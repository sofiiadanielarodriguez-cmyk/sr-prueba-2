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sofia_s_rodriguez_pwc_com/Documents/Downloads/"/>
    </mc:Choice>
  </mc:AlternateContent>
  <xr:revisionPtr revIDLastSave="7" documentId="11_91D806AD1F70F65BE04E7502E6F2B2F0C5E61DE3" xr6:coauthVersionLast="47" xr6:coauthVersionMax="47" xr10:uidLastSave="{DE20AA3E-F804-4CDC-92DD-8F9EBA0573F3}"/>
  <bookViews>
    <workbookView xWindow="-110" yWindow="-110" windowWidth="19420" windowHeight="11500" activeTab="3" xr2:uid="{00000000-000D-0000-FFFF-FFFF00000000}"/>
  </bookViews>
  <sheets>
    <sheet name="Summary" sheetId="1" r:id="rId1"/>
    <sheet name="Staffing Detail" sheetId="2" r:id="rId2"/>
    <sheet name="Proposed Hours" sheetId="3" r:id="rId3"/>
    <sheet name="Retained Data" sheetId="4" r:id="rId4"/>
  </sheets>
  <definedNames>
    <definedName name="_xlnm._FilterDatabase" localSheetId="2" hidden="1">'Proposed Hours'!$A$1:$L$531</definedName>
    <definedName name="_xlnm._FilterDatabase" localSheetId="1" hidden="1">'Staffing Detail'!$A$1:$AW$1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750" i="2" l="1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AW726" i="2"/>
  <c r="AV726" i="2"/>
  <c r="AU726" i="2"/>
  <c r="AT726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AW719" i="2"/>
  <c r="AV719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AW687" i="2"/>
  <c r="AV687" i="2"/>
  <c r="AU687" i="2"/>
  <c r="AT687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AW684" i="2"/>
  <c r="AV684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AW681" i="2"/>
  <c r="AV681" i="2"/>
  <c r="AU681" i="2"/>
  <c r="AT681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AW677" i="2"/>
  <c r="AV677" i="2"/>
  <c r="AU677" i="2"/>
  <c r="AT677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AW670" i="2"/>
  <c r="AV670" i="2"/>
  <c r="AU670" i="2"/>
  <c r="AT670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AW662" i="2"/>
  <c r="AV662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AW660" i="2"/>
  <c r="AV660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AW657" i="2"/>
  <c r="AV657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AW654" i="2"/>
  <c r="AV654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AW651" i="2"/>
  <c r="AV651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AW645" i="2"/>
  <c r="AV645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AW637" i="2"/>
  <c r="AV637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AW635" i="2"/>
  <c r="AV635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AW629" i="2"/>
  <c r="AV629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</calcChain>
</file>

<file path=xl/sharedStrings.xml><?xml version="1.0" encoding="utf-8"?>
<sst xmlns="http://schemas.openxmlformats.org/spreadsheetml/2006/main" count="12122" uniqueCount="412">
  <si>
    <t>GS + BBH Weekly Staffing &amp; Overbooking Review</t>
  </si>
  <si>
    <t>As of 03-Sep-2026 | Capacity evaluated across both clients</t>
  </si>
  <si>
    <t>Resource Name</t>
  </si>
  <si>
    <t>Staff Category</t>
  </si>
  <si>
    <t>Weeks &gt; threshold</t>
  </si>
  <si>
    <t>Max Weekly Hours</t>
  </si>
  <si>
    <t>First Overbook Week</t>
  </si>
  <si>
    <t>Severity</t>
  </si>
  <si>
    <t>Clients</t>
  </si>
  <si>
    <t>Camila Vargas</t>
  </si>
  <si>
    <t>Senior</t>
  </si>
  <si>
    <t>Red</t>
  </si>
  <si>
    <t>GS</t>
  </si>
  <si>
    <t>Alan gabriel Gonzalez</t>
  </si>
  <si>
    <t>Staff</t>
  </si>
  <si>
    <t>Lacey Tovar Roa</t>
  </si>
  <si>
    <t>Manager</t>
  </si>
  <si>
    <t>Ignacio Borda</t>
  </si>
  <si>
    <t>Sofía Daniela Rodriguez</t>
  </si>
  <si>
    <t>GS + BBH</t>
  </si>
  <si>
    <t>Gaston Sales</t>
  </si>
  <si>
    <t>Nahuel Niglio</t>
  </si>
  <si>
    <t>Fiorella Cuervo</t>
  </si>
  <si>
    <t>Gonzalo Enzo Monti</t>
  </si>
  <si>
    <t>Katerine Garcia Macias</t>
  </si>
  <si>
    <t>Yanina Judith Peralta</t>
  </si>
  <si>
    <t>Catalina Renata Cuesso</t>
  </si>
  <si>
    <t>Micaela Lapuente</t>
  </si>
  <si>
    <t>Pilar Navarro</t>
  </si>
  <si>
    <t>BBH</t>
  </si>
  <si>
    <t>Sebastian Fauve Raul</t>
  </si>
  <si>
    <t>Eugenia Trezza</t>
  </si>
  <si>
    <t>Pedro Rattagan</t>
  </si>
  <si>
    <t>Juan Pirez</t>
  </si>
  <si>
    <t>Orange</t>
  </si>
  <si>
    <t>Juan Vicente</t>
  </si>
  <si>
    <t>Ezequiel Francisco Basualdo</t>
  </si>
  <si>
    <t>Argentina Team members not found in Flex Hours</t>
  </si>
  <si>
    <t>Argentina TBDs in Flex not included in Team List</t>
  </si>
  <si>
    <t>TBD-RR-2469563</t>
  </si>
  <si>
    <t>GS Bank USA Audit Dec26</t>
  </si>
  <si>
    <t>TBD-RR-2469563 (TBD ASR AC Argentina BCM Senior)</t>
  </si>
  <si>
    <t>TBD-RR-2469864</t>
  </si>
  <si>
    <t>GS J. Aron &amp; Company Financial Aud Dec26</t>
  </si>
  <si>
    <t>TBD-RR-2469864 (TBD ASR AC Argentina BCM Senior)</t>
  </si>
  <si>
    <t>TBD-RR-2602502</t>
  </si>
  <si>
    <t>GS Corp Financial Reporting Audit Dec26</t>
  </si>
  <si>
    <t>TBD-RR-2602502 (TBD ASR AC Argentina BCM Associate)</t>
  </si>
  <si>
    <t>Run controls</t>
  </si>
  <si>
    <t>Current week logic</t>
  </si>
  <si>
    <t>Actual + ETC for week of 31-Aug-2026</t>
  </si>
  <si>
    <t>Future week logic</t>
  </si>
  <si>
    <t>ETC</t>
  </si>
  <si>
    <t>Capacity scope</t>
  </si>
  <si>
    <t>Combined GS + BBH per real person</t>
  </si>
  <si>
    <t>Redistribution eligibility</t>
  </si>
  <si>
    <t>Target must be listed on the relevant client team</t>
  </si>
  <si>
    <t>Human review</t>
  </si>
  <si>
    <t>Required before any production staffing changes</t>
  </si>
  <si>
    <t>Rules applied in v2</t>
  </si>
  <si>
    <t>Staffing Detail consolidates each person across GS and BBH under a single TOTAL.</t>
  </si>
  <si>
    <t>Juan Manuel Anit Pirez, Fiorella Cuervo and Ezequiel Francisco Basualdo are treated as Senior effective July 2026.</t>
  </si>
  <si>
    <t>Orange proposal rows = hours proposed to remove; green proposal rows = hours proposed to add.</t>
  </si>
  <si>
    <t>Overbooking is evaluated on combined GS + BBH weekly hours.</t>
  </si>
  <si>
    <t>Client</t>
  </si>
  <si>
    <t>Row Type</t>
  </si>
  <si>
    <t>Project Line Name</t>
  </si>
  <si>
    <t>Budget Hours To Date</t>
  </si>
  <si>
    <t>Budget Hours</t>
  </si>
  <si>
    <t>Projected Total Hours</t>
  </si>
  <si>
    <t>Variance</t>
  </si>
  <si>
    <t>BBH Proposed TBD Manager 01</t>
  </si>
  <si>
    <t>TOTAL</t>
  </si>
  <si>
    <t>All Projects</t>
  </si>
  <si>
    <t>PROPOSED ADD</t>
  </si>
  <si>
    <t>BBH&amp;Co. Audit Dec26</t>
  </si>
  <si>
    <t>GS Proposed TBD Manager 01</t>
  </si>
  <si>
    <t>GS AC Management Dec26</t>
  </si>
  <si>
    <t>GS BD Financials GS&amp;Co Audit Dec26</t>
  </si>
  <si>
    <t>GS BD Net Capital Regulatory Dec26</t>
  </si>
  <si>
    <t>GS BD Regulatory Procedures Dec26</t>
  </si>
  <si>
    <t>GS Centralized Testing - Pod 3 Dec26</t>
  </si>
  <si>
    <t>GS Folio Dec26</t>
  </si>
  <si>
    <t>GS Vals (Derivs MIDA PV &amp; Models) Dec26</t>
  </si>
  <si>
    <t>Joaquin Lorenzo</t>
  </si>
  <si>
    <t>Detail</t>
  </si>
  <si>
    <t>GS AM Subsidiaries Audit Dec26</t>
  </si>
  <si>
    <t>GS Bank USA - Q1 Review Dec26</t>
  </si>
  <si>
    <t>GS Bank USA - Q2 Review Dec26</t>
  </si>
  <si>
    <t>GS Bank USA - Q3 Review Dec26</t>
  </si>
  <si>
    <t>GS First Quarter 10-Q Audit Dec26</t>
  </si>
  <si>
    <t>GS Second Quarter 10-Q Audit Dec26</t>
  </si>
  <si>
    <t>GS Third Quarter 10-Q Audit Dec26</t>
  </si>
  <si>
    <t>BBH / GS</t>
  </si>
  <si>
    <t>Julian Martin Oliva</t>
  </si>
  <si>
    <t>BBH&amp;Co. Audit - Trust Companies Dec26</t>
  </si>
  <si>
    <t>GS Lending Ptnrs Financials Audit Dec26</t>
  </si>
  <si>
    <t>GS Centralized Testing - Pod 2 Dec26</t>
  </si>
  <si>
    <t>GS GSFM Sub Audit Dec26</t>
  </si>
  <si>
    <t>PROPOSED REMOVE</t>
  </si>
  <si>
    <t>GS BHC Regulatory Capital Dec26</t>
  </si>
  <si>
    <t>GS Centralized Testing - Pod 1 Dec26</t>
  </si>
  <si>
    <t>GS MMDP Audit Dec26</t>
  </si>
  <si>
    <t>GS Centralized Testing SLC Dec26</t>
  </si>
  <si>
    <t>Martin Ogara</t>
  </si>
  <si>
    <t>TBD-0001</t>
  </si>
  <si>
    <t>GS DAT SOX System Migration Dec26</t>
  </si>
  <si>
    <t>TBD-0002</t>
  </si>
  <si>
    <t>TBD-0003</t>
  </si>
  <si>
    <t>TBD-0004</t>
  </si>
  <si>
    <t>TBD-0005</t>
  </si>
  <si>
    <t>TBD-0006</t>
  </si>
  <si>
    <t>TBD-0008</t>
  </si>
  <si>
    <t>GS IMD Audit Dec26</t>
  </si>
  <si>
    <t>TBD-0009</t>
  </si>
  <si>
    <t>TBD-0010</t>
  </si>
  <si>
    <t>TBD-0011</t>
  </si>
  <si>
    <t>TBD-0012</t>
  </si>
  <si>
    <t>TBD-0013</t>
  </si>
  <si>
    <t>TBD-0014</t>
  </si>
  <si>
    <t>GS Trust Dec26</t>
  </si>
  <si>
    <t>BBH Proposed TBD Senior 01</t>
  </si>
  <si>
    <t>GS BD CFTC Regulatory Dec26</t>
  </si>
  <si>
    <t>GS BD Possession Dec26</t>
  </si>
  <si>
    <t>GS BD Reserve Requirement Regulato Dec26</t>
  </si>
  <si>
    <t>GS MBD Group Audit Dec26</t>
  </si>
  <si>
    <t>GS Mercer Allied Audit Dec26</t>
  </si>
  <si>
    <t>GS Ayco Company LP Dec26</t>
  </si>
  <si>
    <t>GS Mortgage Sub Financials Audits Dec26</t>
  </si>
  <si>
    <t>GS Proposed TBD Senior 01</t>
  </si>
  <si>
    <t>GS Proposed TBD Senior 02</t>
  </si>
  <si>
    <t>Juan Manuel Anit Pirez</t>
  </si>
  <si>
    <t>María Ferreira</t>
  </si>
  <si>
    <t>María Isabel Martinez Ferreira</t>
  </si>
  <si>
    <t>TS Audit Support - GS Dec26</t>
  </si>
  <si>
    <t>TBD-0007</t>
  </si>
  <si>
    <t>TBD-0015</t>
  </si>
  <si>
    <t>TBD-0016</t>
  </si>
  <si>
    <t>TBD-7800</t>
  </si>
  <si>
    <t>TBD-RR-2469922</t>
  </si>
  <si>
    <t>TBD-RR-2470487</t>
  </si>
  <si>
    <t>TBD-RR-2472905</t>
  </si>
  <si>
    <t>TBD-RR-2472992</t>
  </si>
  <si>
    <t>TBD-RR-2625870</t>
  </si>
  <si>
    <t>Fiorella Caterina Rosenbach</t>
  </si>
  <si>
    <t>GS Proposed TBD Staff 01</t>
  </si>
  <si>
    <t>GS Proposed TBD Staff 02</t>
  </si>
  <si>
    <t>GS Proposed TBD Staff 03</t>
  </si>
  <si>
    <t>GS Transfer Pricing Audit Dec26</t>
  </si>
  <si>
    <t>GS Proposed TBD Staff 04</t>
  </si>
  <si>
    <t>GS Proposed TBD Staff 05</t>
  </si>
  <si>
    <t>GS Proposed TBD Staff 06</t>
  </si>
  <si>
    <t>GS Proposed TBD Staff 07</t>
  </si>
  <si>
    <t>GS Proposed TBD Staff 08</t>
  </si>
  <si>
    <t>GS Proposed TBD Staff 09</t>
  </si>
  <si>
    <t>GS Proposed TBD Staff 10</t>
  </si>
  <si>
    <t>GS Proposed TBD Staff 11</t>
  </si>
  <si>
    <t>GS Proposed TBD Staff 12</t>
  </si>
  <si>
    <t>GS Audit (Tax ) - (FinReg) Dec26</t>
  </si>
  <si>
    <t>Jackson Da Silva</t>
  </si>
  <si>
    <t>Magali Alvarez</t>
  </si>
  <si>
    <t>Maria Guadalupe Musa</t>
  </si>
  <si>
    <t>TBD-0017</t>
  </si>
  <si>
    <t>TBD-0018</t>
  </si>
  <si>
    <t>TBD-0019</t>
  </si>
  <si>
    <t>TBD-0020</t>
  </si>
  <si>
    <t>TBD-0021</t>
  </si>
  <si>
    <t>TBD-1 AC POD 3</t>
  </si>
  <si>
    <t>TBD-2 AC POD 3 Intern</t>
  </si>
  <si>
    <t>TBD-3613</t>
  </si>
  <si>
    <t>TBD-7799</t>
  </si>
  <si>
    <t>TBD-9407</t>
  </si>
  <si>
    <t>TBD-9408</t>
  </si>
  <si>
    <t>TBD-ACBA1</t>
  </si>
  <si>
    <t>TBD-Associate</t>
  </si>
  <si>
    <t>TBD-nahue replacement</t>
  </si>
  <si>
    <t>TBD-Rec&amp;Pay</t>
  </si>
  <si>
    <t>TBD-rec&amp;pay</t>
  </si>
  <si>
    <t>TBD-Rec&amp;Pay-PLCs</t>
  </si>
  <si>
    <t>TBD-REG</t>
  </si>
  <si>
    <t>TBD-RR-1072962</t>
  </si>
  <si>
    <t>TBD-RR-2428312</t>
  </si>
  <si>
    <t>TBD-RR-2470610</t>
  </si>
  <si>
    <t>TBD-RR-2725857</t>
  </si>
  <si>
    <t>TBD-RR-2931057</t>
  </si>
  <si>
    <t>Source Resource</t>
  </si>
  <si>
    <t>Source Staff Category</t>
  </si>
  <si>
    <t>Target Resource</t>
  </si>
  <si>
    <t>Target Staff Category</t>
  </si>
  <si>
    <t>Week</t>
  </si>
  <si>
    <t>Hours to Move</t>
  </si>
  <si>
    <t>Reason</t>
  </si>
  <si>
    <t>Continuity</t>
  </si>
  <si>
    <t>Resulting Weekly Hours</t>
  </si>
  <si>
    <t>Target Type</t>
  </si>
  <si>
    <t>Overbooking reduction</t>
  </si>
  <si>
    <t>Yes</t>
  </si>
  <si>
    <t>Existing Resource</t>
  </si>
  <si>
    <t>No</t>
  </si>
  <si>
    <t>Existing TBD coverage</t>
  </si>
  <si>
    <t>Unlisted Argentina TBD coverage</t>
  </si>
  <si>
    <t>Proposed TBD</t>
  </si>
  <si>
    <t>TBD consolidation</t>
  </si>
  <si>
    <t>Sebastian OOO</t>
  </si>
  <si>
    <t>Resource Match ID</t>
  </si>
  <si>
    <t>Staff Level</t>
  </si>
  <si>
    <t>01/05/2026 Actual</t>
  </si>
  <si>
    <t>01/12/2026 Actual</t>
  </si>
  <si>
    <t>01/19/2026 Actual</t>
  </si>
  <si>
    <t>01/26/2026 Actual</t>
  </si>
  <si>
    <t>02/02/2026 Actual</t>
  </si>
  <si>
    <t>02/09/2026 Actual</t>
  </si>
  <si>
    <t>02/16/2026 Actual</t>
  </si>
  <si>
    <t>02/23/2026 Actual</t>
  </si>
  <si>
    <t>03/02/2026 Actual</t>
  </si>
  <si>
    <t>03/09/2026 Actual</t>
  </si>
  <si>
    <t>03/16/2026 Actual</t>
  </si>
  <si>
    <t>03/23/2026 Actual</t>
  </si>
  <si>
    <t>03/30/2026 Actual</t>
  </si>
  <si>
    <t>04/06/2026 Actual</t>
  </si>
  <si>
    <t>04/13/2026 Actual</t>
  </si>
  <si>
    <t>04/20/2026 Actual</t>
  </si>
  <si>
    <t>04/27/2026 Actual</t>
  </si>
  <si>
    <t>05/04/2026 Actual</t>
  </si>
  <si>
    <t>05/11/2026 Actual</t>
  </si>
  <si>
    <t>05/18/2026 Actual</t>
  </si>
  <si>
    <t>05/25/2026 Actual</t>
  </si>
  <si>
    <t>06/01/2026 Actual</t>
  </si>
  <si>
    <t>06/08/2026 Actual</t>
  </si>
  <si>
    <t>06/15/2026 Actual</t>
  </si>
  <si>
    <t>06/22/2026 Actual</t>
  </si>
  <si>
    <t>06/29/2026 Actual</t>
  </si>
  <si>
    <t>07/06/2026 Actual</t>
  </si>
  <si>
    <t>07/13/2026 Actual</t>
  </si>
  <si>
    <t>07/20/2026 Actual</t>
  </si>
  <si>
    <t>07/27/2026 Actual</t>
  </si>
  <si>
    <t>08/03/2026 Actual</t>
  </si>
  <si>
    <t>08/10/2026 Actual</t>
  </si>
  <si>
    <t>08/17/2026 Actual</t>
  </si>
  <si>
    <t>08/24/2026 Actual</t>
  </si>
  <si>
    <t>08/31/2026 Actual</t>
  </si>
  <si>
    <t>09/07/2026 Actual</t>
  </si>
  <si>
    <t>09/14/2026 Actual</t>
  </si>
  <si>
    <t>09/21/2026 Actual</t>
  </si>
  <si>
    <t>09/28/2026 Actual</t>
  </si>
  <si>
    <t>10/05/2026 Actual</t>
  </si>
  <si>
    <t>10/12/2026 Actual</t>
  </si>
  <si>
    <t>10/19/2026 Actual</t>
  </si>
  <si>
    <t>10/26/2026 Actual</t>
  </si>
  <si>
    <t>11/02/2026 Actual</t>
  </si>
  <si>
    <t>11/09/2026 Actual</t>
  </si>
  <si>
    <t>11/16/2026 Actual</t>
  </si>
  <si>
    <t>11/23/2026 Actual</t>
  </si>
  <si>
    <t>11/30/2026 Actual</t>
  </si>
  <si>
    <t>12/07/2026 Actual</t>
  </si>
  <si>
    <t>12/14/2026 Actual</t>
  </si>
  <si>
    <t>12/21/2026 Actual</t>
  </si>
  <si>
    <t>12/28/2026 Actual</t>
  </si>
  <si>
    <t>01/05/2026 ETC</t>
  </si>
  <si>
    <t>01/12/2026 ETC</t>
  </si>
  <si>
    <t>01/19/2026 ETC</t>
  </si>
  <si>
    <t>01/26/2026 ETC</t>
  </si>
  <si>
    <t>02/02/2026 ETC</t>
  </si>
  <si>
    <t>02/09/2026 ETC</t>
  </si>
  <si>
    <t>02/16/2026 ETC</t>
  </si>
  <si>
    <t>02/23/2026 ETC</t>
  </si>
  <si>
    <t>03/02/2026 ETC</t>
  </si>
  <si>
    <t>03/09/2026 ETC</t>
  </si>
  <si>
    <t>03/16/2026 ETC</t>
  </si>
  <si>
    <t>03/23/2026 ETC</t>
  </si>
  <si>
    <t>03/30/2026 ETC</t>
  </si>
  <si>
    <t>04/06/2026 ETC</t>
  </si>
  <si>
    <t>04/13/2026 ETC</t>
  </si>
  <si>
    <t>04/20/2026 ETC</t>
  </si>
  <si>
    <t>04/27/2026 ETC</t>
  </si>
  <si>
    <t>05/04/2026 ETC</t>
  </si>
  <si>
    <t>05/11/2026 ETC</t>
  </si>
  <si>
    <t>05/18/2026 ETC</t>
  </si>
  <si>
    <t>05/25/2026 ETC</t>
  </si>
  <si>
    <t>06/01/2026 ETC</t>
  </si>
  <si>
    <t>06/08/2026 ETC</t>
  </si>
  <si>
    <t>06/15/2026 ETC</t>
  </si>
  <si>
    <t>06/22/2026 ETC</t>
  </si>
  <si>
    <t>06/29/2026 ETC</t>
  </si>
  <si>
    <t>07/06/2026 ETC</t>
  </si>
  <si>
    <t>07/13/2026 ETC</t>
  </si>
  <si>
    <t>07/20/2026 ETC</t>
  </si>
  <si>
    <t>07/27/2026 ETC</t>
  </si>
  <si>
    <t>08/03/2026 ETC</t>
  </si>
  <si>
    <t>08/10/2026 ETC</t>
  </si>
  <si>
    <t>08/17/2026 ETC</t>
  </si>
  <si>
    <t>08/24/2026 ETC</t>
  </si>
  <si>
    <t>08/31/2026 ETC</t>
  </si>
  <si>
    <t>09/07/2026 ETC</t>
  </si>
  <si>
    <t>09/14/2026 ETC</t>
  </si>
  <si>
    <t>09/21/2026 ETC</t>
  </si>
  <si>
    <t>09/28/2026 ETC</t>
  </si>
  <si>
    <t>10/05/2026 ETC</t>
  </si>
  <si>
    <t>10/12/2026 ETC</t>
  </si>
  <si>
    <t>10/19/2026 ETC</t>
  </si>
  <si>
    <t>10/26/2026 ETC</t>
  </si>
  <si>
    <t>11/02/2026 ETC</t>
  </si>
  <si>
    <t>11/09/2026 ETC</t>
  </si>
  <si>
    <t>11/16/2026 ETC</t>
  </si>
  <si>
    <t>11/23/2026 ETC</t>
  </si>
  <si>
    <t>11/30/2026 ETC</t>
  </si>
  <si>
    <t>12/07/2026 ETC</t>
  </si>
  <si>
    <t>12/14/2026 ETC</t>
  </si>
  <si>
    <t>12/21/2026 ETC</t>
  </si>
  <si>
    <t>12/28/2026 ETC</t>
  </si>
  <si>
    <t>01/04/2027 ETC</t>
  </si>
  <si>
    <t>01/11/2027 ETC</t>
  </si>
  <si>
    <t>01/18/2027 ETC</t>
  </si>
  <si>
    <t>01/25/2027 ETC</t>
  </si>
  <si>
    <t>02/01/2027 ETC</t>
  </si>
  <si>
    <t>02/08/2027 ETC</t>
  </si>
  <si>
    <t>02/15/2027 ETC</t>
  </si>
  <si>
    <t>02/22/2027 ETC</t>
  </si>
  <si>
    <t>03/01/2027 ETC</t>
  </si>
  <si>
    <t>03/08/2027 ETC</t>
  </si>
  <si>
    <t>03/15/2027 ETC</t>
  </si>
  <si>
    <t>03/22/2027 ETC</t>
  </si>
  <si>
    <t>03/29/2027 ETC</t>
  </si>
  <si>
    <t>04/05/2027 ETC</t>
  </si>
  <si>
    <t>04/12/2027 ETC</t>
  </si>
  <si>
    <t>04/19/2027 ETC</t>
  </si>
  <si>
    <t>04/26/2027 ETC</t>
  </si>
  <si>
    <t>05/03/2027 ETC</t>
  </si>
  <si>
    <t>05/10/2027 ETC</t>
  </si>
  <si>
    <t>05/17/2027 ETC</t>
  </si>
  <si>
    <t>05/24/2027 ETC</t>
  </si>
  <si>
    <t>05/31/2027 ETC</t>
  </si>
  <si>
    <t>AC - Staff - Experienced</t>
  </si>
  <si>
    <t>AC - Non-equity Owned -Staff</t>
  </si>
  <si>
    <t>AC - Senior</t>
  </si>
  <si>
    <t>AC - Non-equity Owned -Senior</t>
  </si>
  <si>
    <t>AC - Manager</t>
  </si>
  <si>
    <t>AC - Non-equity Owned -Manager</t>
  </si>
  <si>
    <t>AC - Senior Manager</t>
  </si>
  <si>
    <t>AC - Staff</t>
  </si>
  <si>
    <t>TBD-0001 (TBD ASR AC Argentina BCM Experienced Associate)</t>
  </si>
  <si>
    <t>TBD-0001 (TBD ASR AC Argentina BCM Manager)</t>
  </si>
  <si>
    <t>TBD-0001 (TBD ASR AC Argentina BCM Director)</t>
  </si>
  <si>
    <t>AC - Director</t>
  </si>
  <si>
    <t>TBD-0001 (TBD ASR AC Argentina BCM Senior)</t>
  </si>
  <si>
    <t>TBD-0001 (TBD ASR AC Argentina BCM Associate)</t>
  </si>
  <si>
    <t>TBD-0002 (TBD ASR AC Argentina BCM Experienced Associate)</t>
  </si>
  <si>
    <t>TBD-0002 (TBD ASR AC Argentina BCM Manager)</t>
  </si>
  <si>
    <t>TBD-0002 (TBD ASR AC Argentina BCM Associate)</t>
  </si>
  <si>
    <t>TBD-0002 (TBD ASR AC Argentina BCM Senior Manager)</t>
  </si>
  <si>
    <t>TBD-0002 (TBD ASR AC Argentina BCM Senior)</t>
  </si>
  <si>
    <t>TBD-0003 (TBD ASR AC Argentina BCM Manager)</t>
  </si>
  <si>
    <t>TBD-0003 (TBD ASR AC Argentina BCM Associate)</t>
  </si>
  <si>
    <t>TBD-0003 (TBD ASR AC Argentina BCM Senior)</t>
  </si>
  <si>
    <t>TBD-0004 (TBD ASR AC Argentina BCM Manager)</t>
  </si>
  <si>
    <t>TBD-0004 (TBD ASR AC Argentina BCM Associate)</t>
  </si>
  <si>
    <t>TBD-0005 (TBD ASR AC Argentina BCM Manager)</t>
  </si>
  <si>
    <t>TBD-0005 (TBD ASR AC Argentina BCM Senior)</t>
  </si>
  <si>
    <t>TBD-0006 (TBD ASR AC Argentina BCM Senior)</t>
  </si>
  <si>
    <t>TBD-0006 (TBD ASR AC Argentina BCM Manager)</t>
  </si>
  <si>
    <t>TBD-0007 (TBD ASR AC Argentina BCM Senior)</t>
  </si>
  <si>
    <t>TBD-0008 (TBD ASR AC Argentina BCM Senior)</t>
  </si>
  <si>
    <t>TBD-0008 (TBD ASR AC Argentina BCM Manager)</t>
  </si>
  <si>
    <t>TBD-0009 (TBD ASR AC Argentina BCM Director)</t>
  </si>
  <si>
    <t>TBD-0009 (TBD ASR AC Argentina BCM Associate)</t>
  </si>
  <si>
    <t>TBD-0009 (TBD ASR AC Argentina BCM Senior)</t>
  </si>
  <si>
    <t>TBD-0010 (TBD ASR AC Argentina BCM Manager)</t>
  </si>
  <si>
    <t>TBD-0010 (TBD ASR AC Argentina BCM Associate)</t>
  </si>
  <si>
    <t>TBD-0010 (TBD ASR AC Argentina BCM Senior)</t>
  </si>
  <si>
    <t>TBD-0011 (TBD ASR AC Argentina BCM Manager)</t>
  </si>
  <si>
    <t>TBD-0011 (TBD ASR AC Argentina BCM Associate)</t>
  </si>
  <si>
    <t>TBD-0011 (TBD ASR AC Argentina BCM Senior)</t>
  </si>
  <si>
    <t>TBD-0012 (TBD ASR AC Argentina BCM Manager)</t>
  </si>
  <si>
    <t>TBD-0012 (TBD ASR AC Argentina BCM Associate)</t>
  </si>
  <si>
    <t>TBD-0013 (TBD ASR AC Argentina BCM Manager)</t>
  </si>
  <si>
    <t>TBD-0013 (TBD ASR AC Argentina BCM Associate)</t>
  </si>
  <si>
    <t>TBD-0013 (TBD ASR AC Argentina BCM Senior)</t>
  </si>
  <si>
    <t>TBD-0014 (TBD ASR AC Argentina BCM Manager)</t>
  </si>
  <si>
    <t>TBD-0014 (TBD ASR AC Argentina BCM Associate)</t>
  </si>
  <si>
    <t>TBD-0015 (TBD ASR AC Argentina BCM Senior)</t>
  </si>
  <si>
    <t>TBD-0015 (TBD ASR AC Argentina BCM Associate)</t>
  </si>
  <si>
    <t>TBD-0016 (TBD ASR AC Argentina BCM Senior)</t>
  </si>
  <si>
    <t>TBD-0016 (TBD ASR AC Argentina BCM Associate)</t>
  </si>
  <si>
    <t>TBD-0017 (TBD ASR AC Argentina BCM Associate)</t>
  </si>
  <si>
    <t>TBD-0018 (TBD ASR AC Argentina BCM Associate)</t>
  </si>
  <si>
    <t>TBD-0019 (TBD ASR AC Argentina BCM Associate)</t>
  </si>
  <si>
    <t>TBD-0020 (TBD ASR AC Argentina BCM Associate)</t>
  </si>
  <si>
    <t>TBD-0021 (TBD ASR AC Argentina BCM Associate)</t>
  </si>
  <si>
    <t>TBD-1 AC POD 3 (TBD ASR AC Argentina BCM Associate)</t>
  </si>
  <si>
    <t>TBD-2 AC POD 3 Intern (TBD ASR AC Argentina BCM Associate)</t>
  </si>
  <si>
    <t>TBD-3613 (TBD ASR AC Argentina BCM Experienced Associate)</t>
  </si>
  <si>
    <t>TBD-7799 (TBD ASR AC Argentina BCM Associate)</t>
  </si>
  <si>
    <t>TBD-7800 (TBD ASR AC Argentina BCM Senior)</t>
  </si>
  <si>
    <t>TBD-9407 (TBD ASR AC Argentina BCM Associate)</t>
  </si>
  <si>
    <t>TBD-9408 (TBD ASR AC Argentina BCM Associate)</t>
  </si>
  <si>
    <t>TBD-ACBA1 (TBD ASR AC Argentina BCM Experienced Associate)</t>
  </si>
  <si>
    <t>TBD-Associate (TBD ASR AC Argentina BCM Associate)</t>
  </si>
  <si>
    <t>TBD-REG (TBD ASR AC Argentina BCM Associate)</t>
  </si>
  <si>
    <t>TBD-RR-1072962 (TBD ASR AC Argentina BCM Associate)</t>
  </si>
  <si>
    <t>TBD-RR-2428312 (TBD ASR AC Argentina BCM Experienced Associate)</t>
  </si>
  <si>
    <t>TBD-RR-2469922 (TBD ASR AC Argentina BCM Senior)</t>
  </si>
  <si>
    <t>TBD-RR-2470487 (TBD ASR AC Argentina BCM Senior)</t>
  </si>
  <si>
    <t>TBD-RR-2470610 (TBD ASR AC Argentina BCM Associate)</t>
  </si>
  <si>
    <t>TBD-RR-2472905 (TBD ASR AC Argentina BCM Senior)</t>
  </si>
  <si>
    <t>TBD-RR-2472992 (TBD ASR AC Argentina BCM Senior)</t>
  </si>
  <si>
    <t>TBD-RR-2625870 (TBD ASR AC Argentina BCM Senior)</t>
  </si>
  <si>
    <t>TBD-RR-2725857 (TBD ASR AC Argentina BCM Associate)</t>
  </si>
  <si>
    <t>TBD-RR-2931057 (TBD ASR AC Argentina BCM Associate)</t>
  </si>
  <si>
    <t>TBD-Rec&amp;Pay (TBD ASR AC Argentina BCM Associate)</t>
  </si>
  <si>
    <t>TBD-Rec&amp;Pay-PLCs (TBD ASR AC Argentina BCM Associate)</t>
  </si>
  <si>
    <t>TBD-nahue replacement (TBD ASR AC Argentina BCM Associate)</t>
  </si>
  <si>
    <t>TBD-rec&amp;pay (TBD ASR AC Argentina BCM Associate)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</si>
</sst>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dd\-mmm\-yyyy"/>
    <numFmt numFmtId="166" formatCode="0.0;\-0.0;\-"/>
    <numFmt numFmtId="167" formatCode="0.0"/>
    <numFmt numFmtId="168" formatCode="#,##0.0;[Red]\(#,##0.0\);\-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E2F0D9"/>
        <bgColor rgb="FFFCE4D6"/>
      </patternFill>
    </fill>
    <fill>
      <patternFill patternType="solid">
        <fgColor rgb="FFFCE4D6"/>
        <bgColor rgb="FFE2F0D9"/>
      </patternFill>
    </fill>
    <fill>
      <patternFill patternType="solid">
        <fgColor rgb="FFF4CCCC"/>
        <bgColor rgb="FFFCE4D6"/>
      </patternFill>
    </fill>
    <fill>
      <patternFill patternType="solid">
        <fgColor rgb="FF17365D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2" fillId="0" borderId="1" xfId="0" applyFont="1" applyBorder="1"/>
    <xf numFmtId="166" fontId="2" fillId="0" borderId="1" xfId="0" applyNumberFormat="1" applyFont="1" applyBorder="1"/>
    <xf numFmtId="0" fontId="0" fillId="3" borderId="0" xfId="0" applyFill="1"/>
    <xf numFmtId="0" fontId="2" fillId="3" borderId="0" xfId="0" applyFont="1" applyFill="1" applyAlignment="1">
      <alignment indent="1"/>
    </xf>
    <xf numFmtId="166" fontId="0" fillId="3" borderId="0" xfId="0" applyNumberFormat="1" applyFill="1"/>
    <xf numFmtId="166" fontId="0" fillId="0" borderId="0" xfId="0" applyNumberFormat="1"/>
    <xf numFmtId="166" fontId="2" fillId="4" borderId="1" xfId="0" applyNumberFormat="1" applyFont="1" applyFill="1" applyBorder="1"/>
    <xf numFmtId="166" fontId="2" fillId="5" borderId="1" xfId="0" applyNumberFormat="1" applyFont="1" applyFill="1" applyBorder="1"/>
    <xf numFmtId="0" fontId="0" fillId="4" borderId="0" xfId="0" applyFill="1"/>
    <xf numFmtId="0" fontId="2" fillId="4" borderId="0" xfId="0" applyFont="1" applyFill="1" applyAlignment="1">
      <alignment indent="1"/>
    </xf>
    <xf numFmtId="166" fontId="0" fillId="4" borderId="0" xfId="0" applyNumberFormat="1" applyFill="1"/>
    <xf numFmtId="165" fontId="0" fillId="0" borderId="0" xfId="0" applyNumberFormat="1"/>
    <xf numFmtId="167" fontId="0" fillId="0" borderId="0" xfId="0" applyNumberFormat="1"/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zoomScaleNormal="100" workbookViewId="0"/>
  </sheetViews>
  <sheetFormatPr defaultColWidth="8.6328125" defaultRowHeight="15" customHeight="1" x14ac:dyDescent="0.35"/>
  <cols>
    <col min="5" max="5" width="48.08984375" bestFit="1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t="s">
        <v>1</v>
      </c>
    </row>
    <row r="4" spans="1:7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5">
      <c r="A5" t="s">
        <v>9</v>
      </c>
      <c r="B5" t="s">
        <v>10</v>
      </c>
      <c r="C5">
        <v>5</v>
      </c>
      <c r="D5">
        <v>190</v>
      </c>
      <c r="E5" s="2">
        <v>46356</v>
      </c>
      <c r="F5" t="s">
        <v>11</v>
      </c>
      <c r="G5" t="s">
        <v>12</v>
      </c>
    </row>
    <row r="6" spans="1:7" x14ac:dyDescent="0.35">
      <c r="A6" t="s">
        <v>13</v>
      </c>
      <c r="B6" t="s">
        <v>14</v>
      </c>
      <c r="C6">
        <v>7</v>
      </c>
      <c r="D6">
        <v>132</v>
      </c>
      <c r="E6" s="2">
        <v>46265</v>
      </c>
      <c r="F6" t="s">
        <v>11</v>
      </c>
      <c r="G6" t="s">
        <v>12</v>
      </c>
    </row>
    <row r="7" spans="1:7" x14ac:dyDescent="0.35">
      <c r="A7" t="s">
        <v>15</v>
      </c>
      <c r="B7" t="s">
        <v>16</v>
      </c>
      <c r="C7">
        <v>4</v>
      </c>
      <c r="D7">
        <v>95.203508999999997</v>
      </c>
      <c r="E7" s="2">
        <v>46356</v>
      </c>
      <c r="F7" t="s">
        <v>11</v>
      </c>
      <c r="G7" t="s">
        <v>12</v>
      </c>
    </row>
    <row r="8" spans="1:7" x14ac:dyDescent="0.35">
      <c r="A8" t="s">
        <v>17</v>
      </c>
      <c r="B8" t="s">
        <v>14</v>
      </c>
      <c r="C8">
        <v>6</v>
      </c>
      <c r="D8">
        <v>90</v>
      </c>
      <c r="E8" s="2">
        <v>46314</v>
      </c>
      <c r="F8" t="s">
        <v>11</v>
      </c>
      <c r="G8" t="s">
        <v>12</v>
      </c>
    </row>
    <row r="9" spans="1:7" x14ac:dyDescent="0.35">
      <c r="A9" t="s">
        <v>18</v>
      </c>
      <c r="B9" t="s">
        <v>16</v>
      </c>
      <c r="C9">
        <v>10</v>
      </c>
      <c r="D9">
        <v>73.403509</v>
      </c>
      <c r="E9" s="2">
        <v>46314</v>
      </c>
      <c r="F9" t="s">
        <v>11</v>
      </c>
      <c r="G9" t="s">
        <v>19</v>
      </c>
    </row>
    <row r="10" spans="1:7" x14ac:dyDescent="0.35">
      <c r="A10" t="s">
        <v>20</v>
      </c>
      <c r="B10" t="s">
        <v>10</v>
      </c>
      <c r="C10">
        <v>9</v>
      </c>
      <c r="D10">
        <v>72.5</v>
      </c>
      <c r="E10" s="2">
        <v>46265</v>
      </c>
      <c r="F10" t="s">
        <v>11</v>
      </c>
      <c r="G10" t="s">
        <v>12</v>
      </c>
    </row>
    <row r="11" spans="1:7" x14ac:dyDescent="0.35">
      <c r="A11" t="s">
        <v>21</v>
      </c>
      <c r="B11" t="s">
        <v>14</v>
      </c>
      <c r="C11">
        <v>7</v>
      </c>
      <c r="D11">
        <v>71</v>
      </c>
      <c r="E11" s="2">
        <v>46265</v>
      </c>
      <c r="F11" t="s">
        <v>11</v>
      </c>
      <c r="G11" t="s">
        <v>12</v>
      </c>
    </row>
    <row r="12" spans="1:7" x14ac:dyDescent="0.35">
      <c r="A12" t="s">
        <v>22</v>
      </c>
      <c r="B12" t="s">
        <v>10</v>
      </c>
      <c r="C12">
        <v>5</v>
      </c>
      <c r="D12">
        <v>70</v>
      </c>
      <c r="E12" s="2">
        <v>46405</v>
      </c>
      <c r="F12" t="s">
        <v>11</v>
      </c>
      <c r="G12" t="s">
        <v>12</v>
      </c>
    </row>
    <row r="13" spans="1:7" x14ac:dyDescent="0.35">
      <c r="A13" t="s">
        <v>23</v>
      </c>
      <c r="B13" t="s">
        <v>10</v>
      </c>
      <c r="C13">
        <v>6</v>
      </c>
      <c r="D13">
        <v>69.5</v>
      </c>
      <c r="E13" s="2">
        <v>46314</v>
      </c>
      <c r="F13" t="s">
        <v>11</v>
      </c>
      <c r="G13" t="s">
        <v>12</v>
      </c>
    </row>
    <row r="14" spans="1:7" x14ac:dyDescent="0.35">
      <c r="A14" t="s">
        <v>24</v>
      </c>
      <c r="B14" t="s">
        <v>14</v>
      </c>
      <c r="C14">
        <v>8</v>
      </c>
      <c r="D14">
        <v>69.5</v>
      </c>
      <c r="E14" s="2">
        <v>46314</v>
      </c>
      <c r="F14" t="s">
        <v>11</v>
      </c>
      <c r="G14" t="s">
        <v>12</v>
      </c>
    </row>
    <row r="15" spans="1:7" x14ac:dyDescent="0.35">
      <c r="A15" t="s">
        <v>25</v>
      </c>
      <c r="B15" t="s">
        <v>16</v>
      </c>
      <c r="C15">
        <v>3</v>
      </c>
      <c r="D15">
        <v>69.403509</v>
      </c>
      <c r="E15" s="2">
        <v>46398</v>
      </c>
      <c r="F15" t="s">
        <v>11</v>
      </c>
      <c r="G15" t="s">
        <v>12</v>
      </c>
    </row>
    <row r="16" spans="1:7" x14ac:dyDescent="0.35">
      <c r="A16" t="s">
        <v>26</v>
      </c>
      <c r="B16" t="s">
        <v>14</v>
      </c>
      <c r="C16">
        <v>5</v>
      </c>
      <c r="D16">
        <v>65.5</v>
      </c>
      <c r="E16" s="2">
        <v>46265</v>
      </c>
      <c r="F16" t="s">
        <v>11</v>
      </c>
      <c r="G16" t="s">
        <v>12</v>
      </c>
    </row>
    <row r="17" spans="1:7" x14ac:dyDescent="0.35">
      <c r="A17" t="s">
        <v>27</v>
      </c>
      <c r="B17" t="s">
        <v>14</v>
      </c>
      <c r="C17">
        <v>5</v>
      </c>
      <c r="D17">
        <v>60</v>
      </c>
      <c r="E17" s="2">
        <v>46342</v>
      </c>
      <c r="F17" t="s">
        <v>11</v>
      </c>
      <c r="G17" t="s">
        <v>12</v>
      </c>
    </row>
    <row r="18" spans="1:7" x14ac:dyDescent="0.35">
      <c r="A18" t="s">
        <v>28</v>
      </c>
      <c r="B18" t="s">
        <v>10</v>
      </c>
      <c r="C18">
        <v>7</v>
      </c>
      <c r="D18">
        <v>60</v>
      </c>
      <c r="E18" s="2">
        <v>46293</v>
      </c>
      <c r="F18" t="s">
        <v>11</v>
      </c>
      <c r="G18" t="s">
        <v>29</v>
      </c>
    </row>
    <row r="19" spans="1:7" x14ac:dyDescent="0.35">
      <c r="A19" t="s">
        <v>30</v>
      </c>
      <c r="B19" t="s">
        <v>14</v>
      </c>
      <c r="C19">
        <v>1</v>
      </c>
      <c r="D19">
        <v>55</v>
      </c>
      <c r="E19" s="2">
        <v>46307</v>
      </c>
      <c r="F19" t="s">
        <v>11</v>
      </c>
      <c r="G19" t="s">
        <v>12</v>
      </c>
    </row>
    <row r="20" spans="1:7" x14ac:dyDescent="0.35">
      <c r="A20" t="s">
        <v>31</v>
      </c>
      <c r="B20" t="s">
        <v>14</v>
      </c>
      <c r="C20">
        <v>1</v>
      </c>
      <c r="D20">
        <v>50</v>
      </c>
      <c r="E20" s="2">
        <v>46307</v>
      </c>
      <c r="F20" t="s">
        <v>11</v>
      </c>
      <c r="G20" t="s">
        <v>29</v>
      </c>
    </row>
    <row r="21" spans="1:7" x14ac:dyDescent="0.35">
      <c r="A21" t="s">
        <v>32</v>
      </c>
      <c r="B21" t="s">
        <v>14</v>
      </c>
      <c r="C21">
        <v>1</v>
      </c>
      <c r="D21">
        <v>50</v>
      </c>
      <c r="E21" s="2">
        <v>46307</v>
      </c>
      <c r="F21" t="s">
        <v>11</v>
      </c>
      <c r="G21" t="s">
        <v>29</v>
      </c>
    </row>
    <row r="22" spans="1:7" x14ac:dyDescent="0.35">
      <c r="A22" t="s">
        <v>33</v>
      </c>
      <c r="B22" t="s">
        <v>10</v>
      </c>
      <c r="C22">
        <v>4</v>
      </c>
      <c r="D22">
        <v>65</v>
      </c>
      <c r="E22" s="2">
        <v>46405</v>
      </c>
      <c r="F22" t="s">
        <v>34</v>
      </c>
      <c r="G22" t="s">
        <v>12</v>
      </c>
    </row>
    <row r="23" spans="1:7" x14ac:dyDescent="0.35">
      <c r="A23" t="s">
        <v>35</v>
      </c>
      <c r="B23" t="s">
        <v>10</v>
      </c>
      <c r="C23">
        <v>3</v>
      </c>
      <c r="D23">
        <v>60</v>
      </c>
      <c r="E23" s="2">
        <v>46419</v>
      </c>
      <c r="F23" t="s">
        <v>34</v>
      </c>
      <c r="G23" t="s">
        <v>29</v>
      </c>
    </row>
    <row r="24" spans="1:7" x14ac:dyDescent="0.35">
      <c r="A24" t="s">
        <v>36</v>
      </c>
      <c r="B24" t="s">
        <v>10</v>
      </c>
      <c r="C24">
        <v>1</v>
      </c>
      <c r="D24">
        <v>42.5</v>
      </c>
      <c r="E24" s="2">
        <v>46314</v>
      </c>
      <c r="F24" t="s">
        <v>34</v>
      </c>
      <c r="G24" t="s">
        <v>12</v>
      </c>
    </row>
    <row r="27" spans="1:7" x14ac:dyDescent="0.35">
      <c r="A27" t="s">
        <v>37</v>
      </c>
    </row>
    <row r="29" spans="1:7" x14ac:dyDescent="0.35">
      <c r="A29" t="s">
        <v>38</v>
      </c>
    </row>
    <row r="30" spans="1:7" x14ac:dyDescent="0.35">
      <c r="A30" t="s">
        <v>39</v>
      </c>
      <c r="B30" t="s">
        <v>10</v>
      </c>
      <c r="C30" t="s">
        <v>12</v>
      </c>
      <c r="D30" t="s">
        <v>40</v>
      </c>
      <c r="E30" t="s">
        <v>41</v>
      </c>
    </row>
    <row r="31" spans="1:7" x14ac:dyDescent="0.35">
      <c r="A31" t="s">
        <v>42</v>
      </c>
      <c r="B31" t="s">
        <v>10</v>
      </c>
      <c r="C31" t="s">
        <v>12</v>
      </c>
      <c r="D31" t="s">
        <v>43</v>
      </c>
      <c r="E31" t="s">
        <v>44</v>
      </c>
    </row>
    <row r="32" spans="1:7" x14ac:dyDescent="0.35">
      <c r="A32" t="s">
        <v>45</v>
      </c>
      <c r="B32" t="s">
        <v>14</v>
      </c>
      <c r="C32" t="s">
        <v>12</v>
      </c>
      <c r="D32" t="s">
        <v>46</v>
      </c>
      <c r="E32" t="s">
        <v>47</v>
      </c>
    </row>
    <row r="34" spans="1:2" x14ac:dyDescent="0.35">
      <c r="A34" t="s">
        <v>48</v>
      </c>
    </row>
    <row r="35" spans="1:2" x14ac:dyDescent="0.35">
      <c r="A35" t="s">
        <v>49</v>
      </c>
      <c r="B35" t="s">
        <v>50</v>
      </c>
    </row>
    <row r="36" spans="1:2" x14ac:dyDescent="0.35">
      <c r="A36" t="s">
        <v>51</v>
      </c>
      <c r="B36" t="s">
        <v>52</v>
      </c>
    </row>
    <row r="37" spans="1:2" x14ac:dyDescent="0.35">
      <c r="A37" t="s">
        <v>53</v>
      </c>
      <c r="B37" t="s">
        <v>54</v>
      </c>
    </row>
    <row r="38" spans="1:2" x14ac:dyDescent="0.35">
      <c r="A38" t="s">
        <v>55</v>
      </c>
      <c r="B38" t="s">
        <v>56</v>
      </c>
    </row>
    <row r="39" spans="1:2" x14ac:dyDescent="0.35">
      <c r="A39" t="s">
        <v>57</v>
      </c>
      <c r="B39" t="s">
        <v>58</v>
      </c>
    </row>
    <row r="41" spans="1:2" x14ac:dyDescent="0.35">
      <c r="A41" s="3" t="s">
        <v>59</v>
      </c>
    </row>
    <row r="42" spans="1:2" x14ac:dyDescent="0.35">
      <c r="A42" t="s">
        <v>60</v>
      </c>
    </row>
    <row r="43" spans="1:2" x14ac:dyDescent="0.35">
      <c r="A43" t="s">
        <v>61</v>
      </c>
    </row>
    <row r="44" spans="1:2" x14ac:dyDescent="0.35">
      <c r="A44" t="s">
        <v>62</v>
      </c>
    </row>
    <row r="45" spans="1:2" x14ac:dyDescent="0.35">
      <c r="A45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753"/>
  <sheetViews>
    <sheetView showGridLines="0" zoomScale="81" zoomScaleNormal="100" workbookViewId="0">
      <pane xSplit="9" ySplit="1" topLeftCell="AI687" activePane="bottomRight" state="frozen"/>
      <selection pane="topRight" activeCell="J1" sqref="J1"/>
      <selection pane="bottomLeft" activeCell="A2" sqref="A2"/>
      <selection pane="bottomRight" activeCell="F113" sqref="F113"/>
    </sheetView>
  </sheetViews>
  <sheetFormatPr defaultColWidth="8.6328125" defaultRowHeight="15" customHeight="1" outlineLevelRow="1" x14ac:dyDescent="0.35"/>
  <cols>
    <col min="1" max="1" width="12" customWidth="1"/>
    <col min="2" max="2" width="16" customWidth="1"/>
    <col min="3" max="3" width="30" customWidth="1"/>
    <col min="4" max="4" width="18" customWidth="1"/>
    <col min="5" max="5" width="48" customWidth="1"/>
    <col min="6" max="6" width="16" customWidth="1"/>
    <col min="7" max="7" width="14" customWidth="1"/>
    <col min="8" max="8" width="18" customWidth="1"/>
    <col min="9" max="49" width="12" customWidth="1"/>
  </cols>
  <sheetData>
    <row r="1" spans="1:49" ht="28" x14ac:dyDescent="0.35">
      <c r="A1" s="4" t="s">
        <v>64</v>
      </c>
      <c r="B1" s="4" t="s">
        <v>3</v>
      </c>
      <c r="C1" s="4" t="s">
        <v>2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  <c r="J1" s="5">
        <v>46265</v>
      </c>
      <c r="K1" s="5">
        <v>46272</v>
      </c>
      <c r="L1" s="5">
        <v>46279</v>
      </c>
      <c r="M1" s="5">
        <v>46286</v>
      </c>
      <c r="N1" s="5">
        <v>46293</v>
      </c>
      <c r="O1" s="5">
        <v>46300</v>
      </c>
      <c r="P1" s="5">
        <v>46307</v>
      </c>
      <c r="Q1" s="5">
        <v>46314</v>
      </c>
      <c r="R1" s="5">
        <v>46321</v>
      </c>
      <c r="S1" s="5">
        <v>46328</v>
      </c>
      <c r="T1" s="5">
        <v>46335</v>
      </c>
      <c r="U1" s="5">
        <v>46342</v>
      </c>
      <c r="V1" s="5">
        <v>46349</v>
      </c>
      <c r="W1" s="5">
        <v>46356</v>
      </c>
      <c r="X1" s="5">
        <v>46363</v>
      </c>
      <c r="Y1" s="5">
        <v>46370</v>
      </c>
      <c r="Z1" s="5">
        <v>46377</v>
      </c>
      <c r="AA1" s="5">
        <v>46384</v>
      </c>
      <c r="AB1" s="5">
        <v>46391</v>
      </c>
      <c r="AC1" s="5">
        <v>46398</v>
      </c>
      <c r="AD1" s="5">
        <v>46405</v>
      </c>
      <c r="AE1" s="5">
        <v>46412</v>
      </c>
      <c r="AF1" s="5">
        <v>46419</v>
      </c>
      <c r="AG1" s="5">
        <v>46426</v>
      </c>
      <c r="AH1" s="5">
        <v>46433</v>
      </c>
      <c r="AI1" s="5">
        <v>46440</v>
      </c>
      <c r="AJ1" s="5">
        <v>46447</v>
      </c>
      <c r="AK1" s="5">
        <v>46454</v>
      </c>
      <c r="AL1" s="5">
        <v>46461</v>
      </c>
      <c r="AM1" s="5">
        <v>46468</v>
      </c>
      <c r="AN1" s="5">
        <v>46475</v>
      </c>
      <c r="AO1" s="5">
        <v>46482</v>
      </c>
      <c r="AP1" s="5">
        <v>46489</v>
      </c>
      <c r="AQ1" s="5">
        <v>46496</v>
      </c>
      <c r="AR1" s="5">
        <v>46503</v>
      </c>
      <c r="AS1" s="5">
        <v>46510</v>
      </c>
      <c r="AT1" s="5">
        <v>46517</v>
      </c>
      <c r="AU1" s="5">
        <v>46524</v>
      </c>
      <c r="AV1" s="5">
        <v>46531</v>
      </c>
      <c r="AW1" s="5">
        <v>46538</v>
      </c>
    </row>
    <row r="2" spans="1:49" ht="14.5" x14ac:dyDescent="0.35">
      <c r="A2" s="6" t="s">
        <v>29</v>
      </c>
      <c r="B2" s="6" t="s">
        <v>16</v>
      </c>
      <c r="C2" s="6" t="s">
        <v>71</v>
      </c>
      <c r="D2" s="6" t="s">
        <v>72</v>
      </c>
      <c r="E2" s="6" t="s">
        <v>73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 ht="14.5" hidden="1" outlineLevel="1" x14ac:dyDescent="0.35">
      <c r="A3" s="8" t="s">
        <v>29</v>
      </c>
      <c r="B3" s="8" t="s">
        <v>16</v>
      </c>
      <c r="C3" s="8" t="s">
        <v>71</v>
      </c>
      <c r="D3" s="8" t="s">
        <v>74</v>
      </c>
      <c r="E3" s="9" t="s">
        <v>75</v>
      </c>
      <c r="F3" s="10"/>
      <c r="G3" s="10"/>
      <c r="H3" s="10"/>
      <c r="I3" s="10"/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10.107018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</row>
    <row r="4" spans="1:49" ht="14.5" collapsed="1" x14ac:dyDescent="0.35">
      <c r="A4" s="6" t="s">
        <v>12</v>
      </c>
      <c r="B4" s="6" t="s">
        <v>16</v>
      </c>
      <c r="C4" s="6" t="s">
        <v>76</v>
      </c>
      <c r="D4" s="6" t="s">
        <v>72</v>
      </c>
      <c r="E4" s="6" t="s">
        <v>73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 ht="14.5" hidden="1" outlineLevel="1" x14ac:dyDescent="0.35">
      <c r="A5" s="8" t="s">
        <v>12</v>
      </c>
      <c r="B5" s="8" t="s">
        <v>16</v>
      </c>
      <c r="C5" s="8" t="s">
        <v>76</v>
      </c>
      <c r="D5" s="8" t="s">
        <v>74</v>
      </c>
      <c r="E5" s="9" t="s">
        <v>77</v>
      </c>
      <c r="F5" s="10"/>
      <c r="G5" s="10"/>
      <c r="H5" s="10"/>
      <c r="I5" s="10"/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2.8070179999999998</v>
      </c>
      <c r="AH5" s="10">
        <v>2.8070179999999998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</row>
    <row r="6" spans="1:49" ht="14.5" hidden="1" outlineLevel="1" x14ac:dyDescent="0.35">
      <c r="A6" s="8" t="s">
        <v>12</v>
      </c>
      <c r="B6" s="8" t="s">
        <v>16</v>
      </c>
      <c r="C6" s="8" t="s">
        <v>76</v>
      </c>
      <c r="D6" s="8" t="s">
        <v>74</v>
      </c>
      <c r="E6" s="9" t="s">
        <v>78</v>
      </c>
      <c r="F6" s="10"/>
      <c r="G6" s="10"/>
      <c r="H6" s="10"/>
      <c r="I6" s="10"/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1.5</v>
      </c>
      <c r="AH6" s="10">
        <v>2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</row>
    <row r="7" spans="1:49" ht="14.5" hidden="1" outlineLevel="1" x14ac:dyDescent="0.35">
      <c r="A7" s="8" t="s">
        <v>12</v>
      </c>
      <c r="B7" s="8" t="s">
        <v>16</v>
      </c>
      <c r="C7" s="8" t="s">
        <v>76</v>
      </c>
      <c r="D7" s="8" t="s">
        <v>74</v>
      </c>
      <c r="E7" s="9" t="s">
        <v>79</v>
      </c>
      <c r="F7" s="10"/>
      <c r="G7" s="10"/>
      <c r="H7" s="10"/>
      <c r="I7" s="10"/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0.107018000000005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</row>
    <row r="8" spans="1:49" ht="14.5" hidden="1" outlineLevel="1" x14ac:dyDescent="0.35">
      <c r="A8" s="8" t="s">
        <v>12</v>
      </c>
      <c r="B8" s="8" t="s">
        <v>16</v>
      </c>
      <c r="C8" s="8" t="s">
        <v>76</v>
      </c>
      <c r="D8" s="8" t="s">
        <v>74</v>
      </c>
      <c r="E8" s="9" t="s">
        <v>80</v>
      </c>
      <c r="F8" s="10"/>
      <c r="G8" s="10"/>
      <c r="H8" s="10"/>
      <c r="I8" s="10"/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5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</row>
    <row r="9" spans="1:49" ht="14.5" hidden="1" outlineLevel="1" x14ac:dyDescent="0.35">
      <c r="A9" s="8" t="s">
        <v>12</v>
      </c>
      <c r="B9" s="8" t="s">
        <v>16</v>
      </c>
      <c r="C9" s="8" t="s">
        <v>76</v>
      </c>
      <c r="D9" s="8" t="s">
        <v>74</v>
      </c>
      <c r="E9" s="9" t="s">
        <v>40</v>
      </c>
      <c r="F9" s="10"/>
      <c r="G9" s="10"/>
      <c r="H9" s="10"/>
      <c r="I9" s="10"/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5</v>
      </c>
      <c r="AH9" s="10">
        <v>6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</row>
    <row r="10" spans="1:49" ht="14.5" hidden="1" outlineLevel="1" x14ac:dyDescent="0.35">
      <c r="A10" s="8" t="s">
        <v>12</v>
      </c>
      <c r="B10" s="8" t="s">
        <v>16</v>
      </c>
      <c r="C10" s="8" t="s">
        <v>76</v>
      </c>
      <c r="D10" s="8" t="s">
        <v>74</v>
      </c>
      <c r="E10" s="9" t="s">
        <v>81</v>
      </c>
      <c r="F10" s="10"/>
      <c r="G10" s="10"/>
      <c r="H10" s="10"/>
      <c r="I10" s="10"/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8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</row>
    <row r="11" spans="1:49" ht="14.5" hidden="1" outlineLevel="1" x14ac:dyDescent="0.35">
      <c r="A11" s="8" t="s">
        <v>12</v>
      </c>
      <c r="B11" s="8" t="s">
        <v>16</v>
      </c>
      <c r="C11" s="8" t="s">
        <v>76</v>
      </c>
      <c r="D11" s="8" t="s">
        <v>74</v>
      </c>
      <c r="E11" s="9" t="s">
        <v>82</v>
      </c>
      <c r="F11" s="10"/>
      <c r="G11" s="10"/>
      <c r="H11" s="10"/>
      <c r="I11" s="10"/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2</v>
      </c>
      <c r="AH11" s="10">
        <v>2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</row>
    <row r="12" spans="1:49" ht="14.5" hidden="1" outlineLevel="1" x14ac:dyDescent="0.35">
      <c r="A12" s="8" t="s">
        <v>12</v>
      </c>
      <c r="B12" s="8" t="s">
        <v>16</v>
      </c>
      <c r="C12" s="8" t="s">
        <v>76</v>
      </c>
      <c r="D12" s="8" t="s">
        <v>74</v>
      </c>
      <c r="E12" s="9" t="s">
        <v>83</v>
      </c>
      <c r="F12" s="10"/>
      <c r="G12" s="10"/>
      <c r="H12" s="10"/>
      <c r="I12" s="10"/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4</v>
      </c>
      <c r="AH12" s="10">
        <v>4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</row>
    <row r="13" spans="1:49" ht="14.5" collapsed="1" x14ac:dyDescent="0.35">
      <c r="A13" s="6" t="s">
        <v>12</v>
      </c>
      <c r="B13" s="6" t="s">
        <v>16</v>
      </c>
      <c r="C13" s="6" t="s">
        <v>84</v>
      </c>
      <c r="D13" s="6" t="s">
        <v>72</v>
      </c>
      <c r="E13" s="6" t="s">
        <v>73</v>
      </c>
      <c r="F13" s="7">
        <f t="shared" ref="F13:AW13" si="0">SUM(F14,F16,F18,F20,F21,F22,F23,F25,F27,F28,F29,F31,F32)</f>
        <v>320.89999999999998</v>
      </c>
      <c r="G13" s="7">
        <f t="shared" si="0"/>
        <v>1063.7</v>
      </c>
      <c r="H13" s="7">
        <f t="shared" si="0"/>
        <v>968.9</v>
      </c>
      <c r="I13" s="7">
        <f t="shared" si="0"/>
        <v>94.800000000000011</v>
      </c>
      <c r="J13" s="7">
        <f t="shared" si="0"/>
        <v>22.429825000000001</v>
      </c>
      <c r="K13" s="7">
        <f t="shared" si="0"/>
        <v>20.929825000000001</v>
      </c>
      <c r="L13" s="7">
        <f t="shared" si="0"/>
        <v>21.929825000000001</v>
      </c>
      <c r="M13" s="7">
        <f t="shared" si="0"/>
        <v>9.929825000000001</v>
      </c>
      <c r="N13" s="7">
        <f t="shared" si="0"/>
        <v>9.929825000000001</v>
      </c>
      <c r="O13" s="7">
        <f t="shared" si="0"/>
        <v>9.929825000000001</v>
      </c>
      <c r="P13" s="7">
        <f t="shared" si="0"/>
        <v>9.929825000000001</v>
      </c>
      <c r="Q13" s="7">
        <f t="shared" si="0"/>
        <v>33.929825000000001</v>
      </c>
      <c r="R13" s="7">
        <f t="shared" si="0"/>
        <v>33.929825000000001</v>
      </c>
      <c r="S13" s="7">
        <f t="shared" si="0"/>
        <v>9.929825000000001</v>
      </c>
      <c r="T13" s="7">
        <f t="shared" si="0"/>
        <v>9.929825000000001</v>
      </c>
      <c r="U13" s="7">
        <f t="shared" si="0"/>
        <v>13.929825000000001</v>
      </c>
      <c r="V13" s="7">
        <f t="shared" si="0"/>
        <v>19.929825000000001</v>
      </c>
      <c r="W13" s="7">
        <f t="shared" si="0"/>
        <v>25.929825000000001</v>
      </c>
      <c r="X13" s="7">
        <f t="shared" si="0"/>
        <v>15.929825000000001</v>
      </c>
      <c r="Y13" s="7">
        <f t="shared" si="0"/>
        <v>9.929825000000001</v>
      </c>
      <c r="Z13" s="7">
        <f t="shared" si="0"/>
        <v>4.9298250000000001</v>
      </c>
      <c r="AA13" s="7">
        <f t="shared" si="0"/>
        <v>1.9298249999999999</v>
      </c>
      <c r="AB13" s="7">
        <f t="shared" si="0"/>
        <v>10.903509</v>
      </c>
      <c r="AC13" s="7">
        <f t="shared" si="0"/>
        <v>20.903509</v>
      </c>
      <c r="AD13" s="7">
        <f t="shared" si="0"/>
        <v>31.903509</v>
      </c>
      <c r="AE13" s="7">
        <f t="shared" si="0"/>
        <v>30.903509</v>
      </c>
      <c r="AF13" s="7">
        <f t="shared" si="0"/>
        <v>36.903509</v>
      </c>
      <c r="AG13" s="7">
        <f t="shared" si="0"/>
        <v>47.903509</v>
      </c>
      <c r="AH13" s="7">
        <f t="shared" si="0"/>
        <v>34.903509</v>
      </c>
      <c r="AI13" s="7">
        <f t="shared" si="0"/>
        <v>28.903509</v>
      </c>
      <c r="AJ13" s="7">
        <f t="shared" si="0"/>
        <v>5.4035089999999997</v>
      </c>
      <c r="AK13" s="7">
        <f t="shared" si="0"/>
        <v>5.4035089999999997</v>
      </c>
      <c r="AL13" s="7">
        <f t="shared" si="0"/>
        <v>10.403509</v>
      </c>
      <c r="AM13" s="7">
        <f t="shared" si="0"/>
        <v>1.4035089999999999</v>
      </c>
      <c r="AN13" s="7">
        <f t="shared" si="0"/>
        <v>1.4035089999999999</v>
      </c>
      <c r="AO13" s="7">
        <f t="shared" si="0"/>
        <v>1.4035089999999999</v>
      </c>
      <c r="AP13" s="7">
        <f t="shared" si="0"/>
        <v>1.4035089999999999</v>
      </c>
      <c r="AQ13" s="7">
        <f t="shared" si="0"/>
        <v>1.4035089999999999</v>
      </c>
      <c r="AR13" s="7">
        <f t="shared" si="0"/>
        <v>1.4035089999999999</v>
      </c>
      <c r="AS13" s="7">
        <f t="shared" si="0"/>
        <v>1.4035089999999999</v>
      </c>
      <c r="AT13" s="7">
        <f t="shared" si="0"/>
        <v>1.4035089999999999</v>
      </c>
      <c r="AU13" s="7">
        <f t="shared" si="0"/>
        <v>0</v>
      </c>
      <c r="AV13" s="7">
        <f t="shared" si="0"/>
        <v>0</v>
      </c>
      <c r="AW13" s="7">
        <f t="shared" si="0"/>
        <v>0</v>
      </c>
    </row>
    <row r="14" spans="1:49" ht="14.5" hidden="1" outlineLevel="1" x14ac:dyDescent="0.35">
      <c r="A14" t="s">
        <v>12</v>
      </c>
      <c r="B14" t="s">
        <v>16</v>
      </c>
      <c r="C14" t="s">
        <v>84</v>
      </c>
      <c r="D14" t="s">
        <v>85</v>
      </c>
      <c r="E14" t="s">
        <v>77</v>
      </c>
      <c r="F14" s="11">
        <v>19.399999999999999</v>
      </c>
      <c r="G14" s="11">
        <v>71.400000000000006</v>
      </c>
      <c r="H14" s="11">
        <v>74.400000000000006</v>
      </c>
      <c r="I14" s="11">
        <v>-2.9999999999999898</v>
      </c>
      <c r="J14" s="11">
        <v>2.4035090000000001</v>
      </c>
      <c r="K14" s="11">
        <v>1.4035089999999999</v>
      </c>
      <c r="L14" s="11">
        <v>1.4035089999999999</v>
      </c>
      <c r="M14" s="11">
        <v>1.4035089999999999</v>
      </c>
      <c r="N14" s="11">
        <v>1.4035089999999999</v>
      </c>
      <c r="O14" s="11">
        <v>1.4035089999999999</v>
      </c>
      <c r="P14" s="11">
        <v>1.4035089999999999</v>
      </c>
      <c r="Q14" s="11">
        <v>1.4035089999999999</v>
      </c>
      <c r="R14" s="11">
        <v>1.4035089999999999</v>
      </c>
      <c r="S14" s="11">
        <v>1.4035089999999999</v>
      </c>
      <c r="T14" s="11">
        <v>1.4035089999999999</v>
      </c>
      <c r="U14" s="11">
        <v>1.4035089999999999</v>
      </c>
      <c r="V14" s="11">
        <v>1.4035089999999999</v>
      </c>
      <c r="W14" s="11">
        <v>1.4035089999999999</v>
      </c>
      <c r="X14" s="11">
        <v>1.4035089999999999</v>
      </c>
      <c r="Y14" s="11">
        <v>1.4035089999999999</v>
      </c>
      <c r="Z14" s="11">
        <v>1.4035089999999999</v>
      </c>
      <c r="AA14" s="11">
        <v>1.4035089999999999</v>
      </c>
      <c r="AB14" s="11">
        <v>1.4035089999999999</v>
      </c>
      <c r="AC14" s="11">
        <v>1.4035089999999999</v>
      </c>
      <c r="AD14" s="11">
        <v>1.4035089999999999</v>
      </c>
      <c r="AE14" s="11">
        <v>1.4035089999999999</v>
      </c>
      <c r="AF14" s="11">
        <v>1.4035089999999999</v>
      </c>
      <c r="AG14" s="11">
        <v>1.4035089999999999</v>
      </c>
      <c r="AH14" s="11">
        <v>1.4035089999999999</v>
      </c>
      <c r="AI14" s="11">
        <v>1.4035089999999999</v>
      </c>
      <c r="AJ14" s="11">
        <v>1.4035089999999999</v>
      </c>
      <c r="AK14" s="11">
        <v>1.4035089999999999</v>
      </c>
      <c r="AL14" s="11">
        <v>1.4035089999999999</v>
      </c>
      <c r="AM14" s="11">
        <v>1.4035089999999999</v>
      </c>
      <c r="AN14" s="11">
        <v>1.4035089999999999</v>
      </c>
      <c r="AO14" s="11">
        <v>1.4035089999999999</v>
      </c>
      <c r="AP14" s="11">
        <v>1.4035089999999999</v>
      </c>
      <c r="AQ14" s="11">
        <v>1.4035089999999999</v>
      </c>
      <c r="AR14" s="11">
        <v>1.4035089999999999</v>
      </c>
      <c r="AS14" s="11">
        <v>1.4035089999999999</v>
      </c>
      <c r="AT14" s="11">
        <v>1.4035089999999999</v>
      </c>
      <c r="AU14" s="11">
        <v>0</v>
      </c>
      <c r="AV14" s="11">
        <v>0</v>
      </c>
      <c r="AW14" s="11">
        <v>0</v>
      </c>
    </row>
    <row r="15" spans="1:49" ht="14.5" hidden="1" outlineLevel="1" x14ac:dyDescent="0.35">
      <c r="A15" s="8" t="s">
        <v>12</v>
      </c>
      <c r="B15" s="8" t="s">
        <v>16</v>
      </c>
      <c r="C15" s="8" t="s">
        <v>84</v>
      </c>
      <c r="D15" s="8" t="s">
        <v>74</v>
      </c>
      <c r="E15" s="9" t="s">
        <v>77</v>
      </c>
      <c r="F15" s="10"/>
      <c r="G15" s="10"/>
      <c r="H15" s="10"/>
      <c r="I15" s="10"/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1.4035089999999999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1.4035089999999999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1.4035089999999999</v>
      </c>
      <c r="AG15" s="10">
        <v>1.4035089999999999</v>
      </c>
      <c r="AH15" s="10">
        <v>1.4035089999999999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</row>
    <row r="16" spans="1:49" ht="14.5" hidden="1" outlineLevel="1" x14ac:dyDescent="0.35">
      <c r="A16" t="s">
        <v>12</v>
      </c>
      <c r="B16" t="s">
        <v>16</v>
      </c>
      <c r="C16" t="s">
        <v>84</v>
      </c>
      <c r="D16" t="s">
        <v>85</v>
      </c>
      <c r="E16" t="s">
        <v>86</v>
      </c>
      <c r="F16" s="11">
        <v>0</v>
      </c>
      <c r="G16" s="11">
        <v>5</v>
      </c>
      <c r="H16" s="11">
        <v>5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5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</row>
    <row r="17" spans="1:49" ht="14.5" hidden="1" outlineLevel="1" x14ac:dyDescent="0.35">
      <c r="A17" s="8" t="s">
        <v>12</v>
      </c>
      <c r="B17" s="8" t="s">
        <v>16</v>
      </c>
      <c r="C17" s="8" t="s">
        <v>84</v>
      </c>
      <c r="D17" s="8" t="s">
        <v>74</v>
      </c>
      <c r="E17" s="9" t="s">
        <v>86</v>
      </c>
      <c r="F17" s="10"/>
      <c r="G17" s="10"/>
      <c r="H17" s="10"/>
      <c r="I17" s="10"/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0.100000000000003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</row>
    <row r="18" spans="1:49" ht="14.5" hidden="1" outlineLevel="1" x14ac:dyDescent="0.35">
      <c r="A18" t="s">
        <v>12</v>
      </c>
      <c r="B18" t="s">
        <v>16</v>
      </c>
      <c r="C18" t="s">
        <v>84</v>
      </c>
      <c r="D18" t="s">
        <v>85</v>
      </c>
      <c r="E18" t="s">
        <v>78</v>
      </c>
      <c r="F18" s="11">
        <v>5.5</v>
      </c>
      <c r="G18" s="11">
        <v>25.3</v>
      </c>
      <c r="H18" s="11">
        <v>19.5</v>
      </c>
      <c r="I18" s="11">
        <v>5.8</v>
      </c>
      <c r="J18" s="11">
        <v>0.52631600000000001</v>
      </c>
      <c r="K18" s="11">
        <v>0.52631600000000001</v>
      </c>
      <c r="L18" s="11">
        <v>0.52631600000000001</v>
      </c>
      <c r="M18" s="11">
        <v>0.52631600000000001</v>
      </c>
      <c r="N18" s="11">
        <v>0.52631600000000001</v>
      </c>
      <c r="O18" s="11">
        <v>0.52631600000000001</v>
      </c>
      <c r="P18" s="11">
        <v>0.52631600000000001</v>
      </c>
      <c r="Q18" s="11">
        <v>0.52631600000000001</v>
      </c>
      <c r="R18" s="11">
        <v>0.52631600000000001</v>
      </c>
      <c r="S18" s="11">
        <v>0.52631600000000001</v>
      </c>
      <c r="T18" s="11">
        <v>0.52631600000000001</v>
      </c>
      <c r="U18" s="11">
        <v>0.52631600000000001</v>
      </c>
      <c r="V18" s="11">
        <v>0.52631600000000001</v>
      </c>
      <c r="W18" s="11">
        <v>0.52631600000000001</v>
      </c>
      <c r="X18" s="11">
        <v>0.52631600000000001</v>
      </c>
      <c r="Y18" s="11">
        <v>0.52631600000000001</v>
      </c>
      <c r="Z18" s="11">
        <v>0.52631600000000001</v>
      </c>
      <c r="AA18" s="11">
        <v>0.52631600000000001</v>
      </c>
      <c r="AB18" s="11">
        <v>1</v>
      </c>
      <c r="AC18" s="11">
        <v>1</v>
      </c>
      <c r="AD18" s="11">
        <v>1</v>
      </c>
      <c r="AE18" s="11">
        <v>1</v>
      </c>
      <c r="AF18" s="11">
        <v>1.5</v>
      </c>
      <c r="AG18" s="11">
        <v>1.5</v>
      </c>
      <c r="AH18" s="11">
        <v>1.5</v>
      </c>
      <c r="AI18" s="11">
        <v>1.5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</row>
    <row r="19" spans="1:49" ht="14.5" hidden="1" outlineLevel="1" x14ac:dyDescent="0.35">
      <c r="A19" s="8" t="s">
        <v>12</v>
      </c>
      <c r="B19" s="8" t="s">
        <v>16</v>
      </c>
      <c r="C19" s="8" t="s">
        <v>84</v>
      </c>
      <c r="D19" s="8" t="s">
        <v>74</v>
      </c>
      <c r="E19" s="9" t="s">
        <v>78</v>
      </c>
      <c r="F19" s="10"/>
      <c r="G19" s="10"/>
      <c r="H19" s="10"/>
      <c r="I19" s="10"/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0.25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0.6</v>
      </c>
      <c r="AG19" s="10">
        <v>0</v>
      </c>
      <c r="AH19" s="10">
        <v>3.8929819999999999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</row>
    <row r="20" spans="1:49" ht="14.5" hidden="1" outlineLevel="1" x14ac:dyDescent="0.35">
      <c r="A20" t="s">
        <v>12</v>
      </c>
      <c r="B20" t="s">
        <v>16</v>
      </c>
      <c r="C20" t="s">
        <v>84</v>
      </c>
      <c r="D20" t="s">
        <v>85</v>
      </c>
      <c r="E20" t="s">
        <v>87</v>
      </c>
      <c r="F20" s="11">
        <v>11</v>
      </c>
      <c r="G20" s="11">
        <v>11</v>
      </c>
      <c r="H20" s="11">
        <v>24</v>
      </c>
      <c r="I20" s="11">
        <v>-13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</row>
    <row r="21" spans="1:49" ht="14.5" hidden="1" outlineLevel="1" x14ac:dyDescent="0.35">
      <c r="A21" t="s">
        <v>12</v>
      </c>
      <c r="B21" t="s">
        <v>16</v>
      </c>
      <c r="C21" t="s">
        <v>84</v>
      </c>
      <c r="D21" t="s">
        <v>85</v>
      </c>
      <c r="E21" t="s">
        <v>88</v>
      </c>
      <c r="F21" s="11">
        <v>10</v>
      </c>
      <c r="G21" s="11">
        <v>10</v>
      </c>
      <c r="H21" s="11">
        <v>25</v>
      </c>
      <c r="I21" s="11">
        <v>-15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</row>
    <row r="22" spans="1:49" ht="14.5" hidden="1" outlineLevel="1" x14ac:dyDescent="0.35">
      <c r="A22" t="s">
        <v>12</v>
      </c>
      <c r="B22" t="s">
        <v>16</v>
      </c>
      <c r="C22" t="s">
        <v>84</v>
      </c>
      <c r="D22" t="s">
        <v>85</v>
      </c>
      <c r="E22" t="s">
        <v>89</v>
      </c>
      <c r="F22" s="11">
        <v>0</v>
      </c>
      <c r="G22" s="11">
        <v>10</v>
      </c>
      <c r="H22" s="11">
        <v>10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5</v>
      </c>
      <c r="R22" s="11">
        <v>5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</row>
    <row r="23" spans="1:49" ht="14.5" hidden="1" outlineLevel="1" x14ac:dyDescent="0.35">
      <c r="A23" t="s">
        <v>12</v>
      </c>
      <c r="B23" t="s">
        <v>16</v>
      </c>
      <c r="C23" t="s">
        <v>84</v>
      </c>
      <c r="D23" t="s">
        <v>85</v>
      </c>
      <c r="E23" t="s">
        <v>40</v>
      </c>
      <c r="F23" s="11">
        <v>0</v>
      </c>
      <c r="G23" s="11">
        <v>15</v>
      </c>
      <c r="H23" s="11">
        <v>20.5</v>
      </c>
      <c r="I23" s="11">
        <v>-5.5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5</v>
      </c>
      <c r="AH23" s="11">
        <v>5</v>
      </c>
      <c r="AI23" s="11">
        <v>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</row>
    <row r="24" spans="1:49" ht="14.5" hidden="1" outlineLevel="1" x14ac:dyDescent="0.35">
      <c r="A24" s="8" t="s">
        <v>12</v>
      </c>
      <c r="B24" s="8" t="s">
        <v>16</v>
      </c>
      <c r="C24" s="8" t="s">
        <v>84</v>
      </c>
      <c r="D24" s="8" t="s">
        <v>74</v>
      </c>
      <c r="E24" s="9" t="s">
        <v>40</v>
      </c>
      <c r="F24" s="10"/>
      <c r="G24" s="10"/>
      <c r="H24" s="10"/>
      <c r="I24" s="10"/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2.5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2.9</v>
      </c>
      <c r="AH24" s="10">
        <v>9.8000000000000007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</row>
    <row r="25" spans="1:49" ht="14.5" hidden="1" outlineLevel="1" x14ac:dyDescent="0.35">
      <c r="A25" t="s">
        <v>12</v>
      </c>
      <c r="B25" t="s">
        <v>16</v>
      </c>
      <c r="C25" t="s">
        <v>84</v>
      </c>
      <c r="D25" t="s">
        <v>85</v>
      </c>
      <c r="E25" t="s">
        <v>81</v>
      </c>
      <c r="F25" s="11">
        <v>112</v>
      </c>
      <c r="G25" s="11">
        <v>458</v>
      </c>
      <c r="H25" s="11">
        <v>257.5</v>
      </c>
      <c r="I25" s="11">
        <v>200.5</v>
      </c>
      <c r="J25" s="11">
        <v>11</v>
      </c>
      <c r="K25" s="11">
        <v>14</v>
      </c>
      <c r="L25" s="11">
        <v>14</v>
      </c>
      <c r="M25" s="11">
        <v>3</v>
      </c>
      <c r="N25" s="11">
        <v>3</v>
      </c>
      <c r="O25" s="11">
        <v>3</v>
      </c>
      <c r="P25" s="11">
        <v>3</v>
      </c>
      <c r="Q25" s="11">
        <v>3</v>
      </c>
      <c r="R25" s="11">
        <v>3</v>
      </c>
      <c r="S25" s="11">
        <v>3</v>
      </c>
      <c r="T25" s="11">
        <v>3</v>
      </c>
      <c r="U25" s="11">
        <v>3</v>
      </c>
      <c r="V25" s="11">
        <v>13</v>
      </c>
      <c r="W25" s="11">
        <v>19</v>
      </c>
      <c r="X25" s="11">
        <v>3</v>
      </c>
      <c r="Y25" s="11">
        <v>3</v>
      </c>
      <c r="Z25" s="11">
        <v>3</v>
      </c>
      <c r="AA25" s="11">
        <v>0</v>
      </c>
      <c r="AB25" s="11">
        <v>4.5</v>
      </c>
      <c r="AC25" s="11">
        <v>6.5</v>
      </c>
      <c r="AD25" s="11">
        <v>3.5</v>
      </c>
      <c r="AE25" s="11">
        <v>3.5</v>
      </c>
      <c r="AF25" s="11">
        <v>7</v>
      </c>
      <c r="AG25" s="11">
        <v>12</v>
      </c>
      <c r="AH25" s="11">
        <v>11</v>
      </c>
      <c r="AI25" s="11">
        <v>11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</row>
    <row r="26" spans="1:49" ht="14.5" hidden="1" outlineLevel="1" x14ac:dyDescent="0.35">
      <c r="A26" s="8" t="s">
        <v>12</v>
      </c>
      <c r="B26" s="8" t="s">
        <v>16</v>
      </c>
      <c r="C26" s="8" t="s">
        <v>84</v>
      </c>
      <c r="D26" s="8" t="s">
        <v>74</v>
      </c>
      <c r="E26" s="9" t="s">
        <v>81</v>
      </c>
      <c r="F26" s="10"/>
      <c r="G26" s="10"/>
      <c r="H26" s="10"/>
      <c r="I26" s="10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1</v>
      </c>
      <c r="S26" s="10">
        <v>1</v>
      </c>
      <c r="T26" s="10">
        <v>0</v>
      </c>
      <c r="U26" s="10">
        <v>2.5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1</v>
      </c>
      <c r="AD26" s="10">
        <v>0</v>
      </c>
      <c r="AE26" s="10">
        <v>0.40350900000000001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</row>
    <row r="27" spans="1:49" ht="14.5" hidden="1" outlineLevel="1" x14ac:dyDescent="0.35">
      <c r="A27" t="s">
        <v>12</v>
      </c>
      <c r="B27" t="s">
        <v>16</v>
      </c>
      <c r="C27" t="s">
        <v>84</v>
      </c>
      <c r="D27" t="s">
        <v>85</v>
      </c>
      <c r="E27" t="s">
        <v>46</v>
      </c>
      <c r="F27" s="11">
        <v>94.5</v>
      </c>
      <c r="G27" s="11">
        <v>304.5</v>
      </c>
      <c r="H27" s="11">
        <v>324.5</v>
      </c>
      <c r="I27" s="11">
        <v>-20</v>
      </c>
      <c r="J27" s="11">
        <v>7.5</v>
      </c>
      <c r="K27" s="11">
        <v>4</v>
      </c>
      <c r="L27" s="11">
        <v>5</v>
      </c>
      <c r="M27" s="11">
        <v>4</v>
      </c>
      <c r="N27" s="11">
        <v>4</v>
      </c>
      <c r="O27" s="11">
        <v>4</v>
      </c>
      <c r="P27" s="11">
        <v>4</v>
      </c>
      <c r="Q27" s="11">
        <v>4</v>
      </c>
      <c r="R27" s="11">
        <v>4</v>
      </c>
      <c r="S27" s="11">
        <v>4</v>
      </c>
      <c r="T27" s="11">
        <v>4</v>
      </c>
      <c r="U27" s="11">
        <v>8</v>
      </c>
      <c r="V27" s="11">
        <v>4</v>
      </c>
      <c r="W27" s="11">
        <v>4</v>
      </c>
      <c r="X27" s="11">
        <v>10</v>
      </c>
      <c r="Y27" s="11">
        <v>4</v>
      </c>
      <c r="Z27" s="11">
        <v>0</v>
      </c>
      <c r="AA27" s="11">
        <v>0</v>
      </c>
      <c r="AB27" s="11">
        <v>4</v>
      </c>
      <c r="AC27" s="11">
        <v>11</v>
      </c>
      <c r="AD27" s="11">
        <v>21</v>
      </c>
      <c r="AE27" s="11">
        <v>20</v>
      </c>
      <c r="AF27" s="11">
        <v>21</v>
      </c>
      <c r="AG27" s="11">
        <v>22</v>
      </c>
      <c r="AH27" s="11">
        <v>15</v>
      </c>
      <c r="AI27" s="11">
        <v>9</v>
      </c>
      <c r="AJ27" s="11">
        <v>4</v>
      </c>
      <c r="AK27" s="11">
        <v>4</v>
      </c>
      <c r="AL27" s="11">
        <v>4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</row>
    <row r="28" spans="1:49" ht="14.5" hidden="1" outlineLevel="1" x14ac:dyDescent="0.35">
      <c r="A28" t="s">
        <v>12</v>
      </c>
      <c r="B28" t="s">
        <v>16</v>
      </c>
      <c r="C28" t="s">
        <v>84</v>
      </c>
      <c r="D28" t="s">
        <v>85</v>
      </c>
      <c r="E28" t="s">
        <v>90</v>
      </c>
      <c r="F28" s="11">
        <v>4.5</v>
      </c>
      <c r="G28" s="11">
        <v>4.5</v>
      </c>
      <c r="H28" s="11">
        <v>67.5</v>
      </c>
      <c r="I28" s="11">
        <v>-63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</row>
    <row r="29" spans="1:49" ht="14.5" hidden="1" outlineLevel="1" x14ac:dyDescent="0.35">
      <c r="A29" t="s">
        <v>12</v>
      </c>
      <c r="B29" t="s">
        <v>16</v>
      </c>
      <c r="C29" t="s">
        <v>84</v>
      </c>
      <c r="D29" t="s">
        <v>85</v>
      </c>
      <c r="E29" t="s">
        <v>43</v>
      </c>
      <c r="F29" s="11">
        <v>4</v>
      </c>
      <c r="G29" s="11">
        <v>49</v>
      </c>
      <c r="H29" s="11">
        <v>42</v>
      </c>
      <c r="I29" s="11">
        <v>7</v>
      </c>
      <c r="J29" s="11">
        <v>1</v>
      </c>
      <c r="K29" s="11">
        <v>1</v>
      </c>
      <c r="L29" s="11">
        <v>1</v>
      </c>
      <c r="M29" s="11">
        <v>1</v>
      </c>
      <c r="N29" s="11">
        <v>1</v>
      </c>
      <c r="O29" s="11">
        <v>1</v>
      </c>
      <c r="P29" s="11">
        <v>1</v>
      </c>
      <c r="Q29" s="11">
        <v>0</v>
      </c>
      <c r="R29" s="11">
        <v>0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>
        <v>1</v>
      </c>
      <c r="Z29" s="11">
        <v>0</v>
      </c>
      <c r="AA29" s="11">
        <v>0</v>
      </c>
      <c r="AB29" s="11">
        <v>0</v>
      </c>
      <c r="AC29" s="11">
        <v>1</v>
      </c>
      <c r="AD29" s="11">
        <v>5</v>
      </c>
      <c r="AE29" s="11">
        <v>5</v>
      </c>
      <c r="AF29" s="11">
        <v>6</v>
      </c>
      <c r="AG29" s="11">
        <v>6</v>
      </c>
      <c r="AH29" s="11">
        <v>1</v>
      </c>
      <c r="AI29" s="11">
        <v>1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</row>
    <row r="30" spans="1:49" ht="14.5" hidden="1" outlineLevel="1" x14ac:dyDescent="0.35">
      <c r="A30" s="8" t="s">
        <v>12</v>
      </c>
      <c r="B30" s="8" t="s">
        <v>16</v>
      </c>
      <c r="C30" s="8" t="s">
        <v>84</v>
      </c>
      <c r="D30" s="8" t="s">
        <v>74</v>
      </c>
      <c r="E30" s="9" t="s">
        <v>43</v>
      </c>
      <c r="F30" s="10"/>
      <c r="G30" s="10"/>
      <c r="H30" s="10"/>
      <c r="I30" s="10"/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2.7929819999999999</v>
      </c>
      <c r="AH30" s="10">
        <v>5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</row>
    <row r="31" spans="1:49" ht="14.5" hidden="1" outlineLevel="1" x14ac:dyDescent="0.35">
      <c r="A31" t="s">
        <v>12</v>
      </c>
      <c r="B31" t="s">
        <v>16</v>
      </c>
      <c r="C31" t="s">
        <v>84</v>
      </c>
      <c r="D31" t="s">
        <v>85</v>
      </c>
      <c r="E31" t="s">
        <v>91</v>
      </c>
      <c r="F31" s="11">
        <v>60</v>
      </c>
      <c r="G31" s="11">
        <v>60</v>
      </c>
      <c r="H31" s="11">
        <v>59</v>
      </c>
      <c r="I31" s="11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</row>
    <row r="32" spans="1:49" ht="14.5" hidden="1" outlineLevel="1" x14ac:dyDescent="0.35">
      <c r="A32" t="s">
        <v>12</v>
      </c>
      <c r="B32" t="s">
        <v>16</v>
      </c>
      <c r="C32" t="s">
        <v>84</v>
      </c>
      <c r="D32" t="s">
        <v>85</v>
      </c>
      <c r="E32" t="s">
        <v>92</v>
      </c>
      <c r="F32" s="11">
        <v>0</v>
      </c>
      <c r="G32" s="11">
        <v>40</v>
      </c>
      <c r="H32" s="11">
        <v>40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20</v>
      </c>
      <c r="R32" s="11">
        <v>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</row>
    <row r="33" spans="1:49" ht="14.5" hidden="1" outlineLevel="1" x14ac:dyDescent="0.35">
      <c r="A33" s="8" t="s">
        <v>12</v>
      </c>
      <c r="B33" s="8" t="s">
        <v>16</v>
      </c>
      <c r="C33" s="8" t="s">
        <v>84</v>
      </c>
      <c r="D33" s="8" t="s">
        <v>74</v>
      </c>
      <c r="E33" s="9" t="s">
        <v>92</v>
      </c>
      <c r="F33" s="10"/>
      <c r="G33" s="10"/>
      <c r="H33" s="10"/>
      <c r="I33" s="1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1.754386</v>
      </c>
      <c r="R33" s="10">
        <v>5.0701749999999999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</row>
    <row r="34" spans="1:49" ht="14.5" collapsed="1" x14ac:dyDescent="0.35">
      <c r="A34" s="6" t="s">
        <v>93</v>
      </c>
      <c r="B34" s="6" t="s">
        <v>16</v>
      </c>
      <c r="C34" s="6" t="s">
        <v>94</v>
      </c>
      <c r="D34" s="6" t="s">
        <v>72</v>
      </c>
      <c r="E34" s="6" t="s">
        <v>73</v>
      </c>
      <c r="F34" s="7">
        <f t="shared" ref="F34:AW34" si="1">SUM(F35,F37,F39,F40,F42,F43,F44)</f>
        <v>92</v>
      </c>
      <c r="G34" s="7">
        <f t="shared" si="1"/>
        <v>605</v>
      </c>
      <c r="H34" s="7">
        <f t="shared" si="1"/>
        <v>754.6</v>
      </c>
      <c r="I34" s="7">
        <f t="shared" si="1"/>
        <v>-149.6</v>
      </c>
      <c r="J34" s="7">
        <f t="shared" si="1"/>
        <v>10</v>
      </c>
      <c r="K34" s="7">
        <f t="shared" si="1"/>
        <v>10</v>
      </c>
      <c r="L34" s="7">
        <f t="shared" si="1"/>
        <v>10</v>
      </c>
      <c r="M34" s="7">
        <f t="shared" si="1"/>
        <v>10</v>
      </c>
      <c r="N34" s="7">
        <f t="shared" si="1"/>
        <v>10</v>
      </c>
      <c r="O34" s="7">
        <f t="shared" si="1"/>
        <v>10.5</v>
      </c>
      <c r="P34" s="7">
        <f t="shared" si="1"/>
        <v>20.5</v>
      </c>
      <c r="Q34" s="7">
        <f t="shared" si="1"/>
        <v>25.5</v>
      </c>
      <c r="R34" s="7">
        <f t="shared" si="1"/>
        <v>25.5</v>
      </c>
      <c r="S34" s="7">
        <f t="shared" si="1"/>
        <v>10.5</v>
      </c>
      <c r="T34" s="7">
        <f t="shared" si="1"/>
        <v>10.5</v>
      </c>
      <c r="U34" s="7">
        <f t="shared" si="1"/>
        <v>10.5</v>
      </c>
      <c r="V34" s="7">
        <f t="shared" si="1"/>
        <v>10.5</v>
      </c>
      <c r="W34" s="7">
        <f t="shared" si="1"/>
        <v>0.5</v>
      </c>
      <c r="X34" s="7">
        <f t="shared" si="1"/>
        <v>0.5</v>
      </c>
      <c r="Y34" s="7">
        <f t="shared" si="1"/>
        <v>3.5</v>
      </c>
      <c r="Z34" s="7">
        <f t="shared" si="1"/>
        <v>0.5</v>
      </c>
      <c r="AA34" s="7">
        <f t="shared" si="1"/>
        <v>0</v>
      </c>
      <c r="AB34" s="7">
        <f t="shared" si="1"/>
        <v>15</v>
      </c>
      <c r="AC34" s="7">
        <f t="shared" si="1"/>
        <v>23</v>
      </c>
      <c r="AD34" s="7">
        <f t="shared" si="1"/>
        <v>43</v>
      </c>
      <c r="AE34" s="7">
        <f t="shared" si="1"/>
        <v>38</v>
      </c>
      <c r="AF34" s="7">
        <f t="shared" si="1"/>
        <v>38</v>
      </c>
      <c r="AG34" s="7">
        <f t="shared" si="1"/>
        <v>38</v>
      </c>
      <c r="AH34" s="7">
        <f t="shared" si="1"/>
        <v>30</v>
      </c>
      <c r="AI34" s="7">
        <f t="shared" si="1"/>
        <v>35</v>
      </c>
      <c r="AJ34" s="7">
        <f t="shared" si="1"/>
        <v>12</v>
      </c>
      <c r="AK34" s="7">
        <f t="shared" si="1"/>
        <v>23.5</v>
      </c>
      <c r="AL34" s="7">
        <f t="shared" si="1"/>
        <v>23.5</v>
      </c>
      <c r="AM34" s="7">
        <f t="shared" si="1"/>
        <v>24</v>
      </c>
      <c r="AN34" s="7">
        <f t="shared" si="1"/>
        <v>24.8</v>
      </c>
      <c r="AO34" s="7">
        <f t="shared" si="1"/>
        <v>19</v>
      </c>
      <c r="AP34" s="7">
        <f t="shared" si="1"/>
        <v>25</v>
      </c>
      <c r="AQ34" s="7">
        <f t="shared" si="1"/>
        <v>18.5</v>
      </c>
      <c r="AR34" s="7">
        <f t="shared" si="1"/>
        <v>17.8</v>
      </c>
      <c r="AS34" s="7">
        <f t="shared" si="1"/>
        <v>15</v>
      </c>
      <c r="AT34" s="7">
        <f t="shared" si="1"/>
        <v>5</v>
      </c>
      <c r="AU34" s="7">
        <f t="shared" si="1"/>
        <v>0</v>
      </c>
      <c r="AV34" s="7">
        <f t="shared" si="1"/>
        <v>0</v>
      </c>
      <c r="AW34" s="7">
        <f t="shared" si="1"/>
        <v>0</v>
      </c>
    </row>
    <row r="35" spans="1:49" ht="14.5" hidden="1" outlineLevel="1" x14ac:dyDescent="0.35">
      <c r="A35" t="s">
        <v>29</v>
      </c>
      <c r="B35" t="s">
        <v>16</v>
      </c>
      <c r="C35" t="s">
        <v>94</v>
      </c>
      <c r="D35" t="s">
        <v>85</v>
      </c>
      <c r="E35" t="s">
        <v>95</v>
      </c>
      <c r="F35" s="11">
        <v>0</v>
      </c>
      <c r="G35" s="11">
        <v>165</v>
      </c>
      <c r="H35" s="11">
        <v>183</v>
      </c>
      <c r="I35" s="11">
        <v>-18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12</v>
      </c>
      <c r="AK35" s="11">
        <v>22</v>
      </c>
      <c r="AL35" s="11">
        <v>17</v>
      </c>
      <c r="AM35" s="11">
        <v>22</v>
      </c>
      <c r="AN35" s="11">
        <v>22</v>
      </c>
      <c r="AO35" s="11">
        <v>17</v>
      </c>
      <c r="AP35" s="11">
        <v>17</v>
      </c>
      <c r="AQ35" s="11">
        <v>17</v>
      </c>
      <c r="AR35" s="11">
        <v>17</v>
      </c>
      <c r="AS35" s="11">
        <v>15</v>
      </c>
      <c r="AT35" s="11">
        <v>5</v>
      </c>
      <c r="AU35" s="11">
        <v>0</v>
      </c>
      <c r="AV35" s="11">
        <v>0</v>
      </c>
      <c r="AW35" s="11">
        <v>0</v>
      </c>
    </row>
    <row r="36" spans="1:49" ht="14.5" hidden="1" outlineLevel="1" x14ac:dyDescent="0.35">
      <c r="A36" s="8" t="s">
        <v>29</v>
      </c>
      <c r="B36" s="8" t="s">
        <v>16</v>
      </c>
      <c r="C36" s="8" t="s">
        <v>94</v>
      </c>
      <c r="D36" s="8" t="s">
        <v>74</v>
      </c>
      <c r="E36" s="9" t="s">
        <v>95</v>
      </c>
      <c r="F36" s="10"/>
      <c r="G36" s="10"/>
      <c r="H36" s="10"/>
      <c r="I36" s="10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</v>
      </c>
      <c r="R36" s="10">
        <v>5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</row>
    <row r="37" spans="1:49" ht="14.5" hidden="1" outlineLevel="1" x14ac:dyDescent="0.35">
      <c r="A37" t="s">
        <v>29</v>
      </c>
      <c r="B37" t="s">
        <v>16</v>
      </c>
      <c r="C37" t="s">
        <v>94</v>
      </c>
      <c r="D37" t="s">
        <v>85</v>
      </c>
      <c r="E37" t="s">
        <v>75</v>
      </c>
      <c r="F37" s="11">
        <v>60</v>
      </c>
      <c r="G37" s="11">
        <v>398</v>
      </c>
      <c r="H37" s="11">
        <v>540.6</v>
      </c>
      <c r="I37" s="11">
        <v>-142.6</v>
      </c>
      <c r="J37" s="11">
        <v>10</v>
      </c>
      <c r="K37" s="11">
        <v>10</v>
      </c>
      <c r="L37" s="11">
        <v>10</v>
      </c>
      <c r="M37" s="11">
        <v>10</v>
      </c>
      <c r="N37" s="11">
        <v>10</v>
      </c>
      <c r="O37" s="11">
        <v>10.5</v>
      </c>
      <c r="P37" s="11">
        <v>20.5</v>
      </c>
      <c r="Q37" s="11">
        <v>20.5</v>
      </c>
      <c r="R37" s="11">
        <v>20.5</v>
      </c>
      <c r="S37" s="11">
        <v>10.5</v>
      </c>
      <c r="T37" s="11">
        <v>10.5</v>
      </c>
      <c r="U37" s="11">
        <v>10.5</v>
      </c>
      <c r="V37" s="11">
        <v>10.5</v>
      </c>
      <c r="W37" s="11">
        <v>0.5</v>
      </c>
      <c r="X37" s="11">
        <v>0.5</v>
      </c>
      <c r="Y37" s="11">
        <v>3.5</v>
      </c>
      <c r="Z37" s="11">
        <v>0.5</v>
      </c>
      <c r="AA37" s="11">
        <v>0</v>
      </c>
      <c r="AB37" s="11">
        <v>15</v>
      </c>
      <c r="AC37" s="11">
        <v>23</v>
      </c>
      <c r="AD37" s="11">
        <v>43</v>
      </c>
      <c r="AE37" s="11">
        <v>38</v>
      </c>
      <c r="AF37" s="11">
        <v>38</v>
      </c>
      <c r="AG37" s="11">
        <v>38</v>
      </c>
      <c r="AH37" s="11">
        <v>30</v>
      </c>
      <c r="AI37" s="11">
        <v>35</v>
      </c>
      <c r="AJ37" s="11">
        <v>0</v>
      </c>
      <c r="AK37" s="11">
        <v>1.5</v>
      </c>
      <c r="AL37" s="11">
        <v>6.5</v>
      </c>
      <c r="AM37" s="11">
        <v>2</v>
      </c>
      <c r="AN37" s="11">
        <v>2.8</v>
      </c>
      <c r="AO37" s="11">
        <v>2</v>
      </c>
      <c r="AP37" s="11">
        <v>8</v>
      </c>
      <c r="AQ37" s="11">
        <v>1.5</v>
      </c>
      <c r="AR37" s="11">
        <v>0.8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</row>
    <row r="38" spans="1:49" ht="14.5" hidden="1" outlineLevel="1" x14ac:dyDescent="0.35">
      <c r="A38" s="8" t="s">
        <v>29</v>
      </c>
      <c r="B38" s="8" t="s">
        <v>16</v>
      </c>
      <c r="C38" s="8" t="s">
        <v>94</v>
      </c>
      <c r="D38" s="8" t="s">
        <v>74</v>
      </c>
      <c r="E38" s="9" t="s">
        <v>75</v>
      </c>
      <c r="F38" s="10"/>
      <c r="G38" s="10"/>
      <c r="H38" s="10"/>
      <c r="I38" s="10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5</v>
      </c>
      <c r="AD38" s="10">
        <v>0</v>
      </c>
      <c r="AE38" s="10">
        <v>0</v>
      </c>
      <c r="AF38" s="10">
        <v>0</v>
      </c>
      <c r="AG38" s="10">
        <v>0</v>
      </c>
      <c r="AH38" s="10">
        <v>4.8929819999999999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</row>
    <row r="39" spans="1:49" ht="14.5" hidden="1" outlineLevel="1" x14ac:dyDescent="0.35">
      <c r="A39" t="s">
        <v>12</v>
      </c>
      <c r="B39" t="s">
        <v>16</v>
      </c>
      <c r="C39" t="s">
        <v>94</v>
      </c>
      <c r="D39" t="s">
        <v>85</v>
      </c>
      <c r="E39" t="s">
        <v>87</v>
      </c>
      <c r="F39" s="11">
        <v>6</v>
      </c>
      <c r="G39" s="11">
        <v>6</v>
      </c>
      <c r="H39" s="11">
        <v>6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</row>
    <row r="40" spans="1:49" ht="14.5" hidden="1" outlineLevel="1" x14ac:dyDescent="0.35">
      <c r="A40" t="s">
        <v>12</v>
      </c>
      <c r="B40" t="s">
        <v>16</v>
      </c>
      <c r="C40" t="s">
        <v>94</v>
      </c>
      <c r="D40" t="s">
        <v>85</v>
      </c>
      <c r="E40" t="s">
        <v>89</v>
      </c>
      <c r="F40" s="11">
        <v>0</v>
      </c>
      <c r="G40" s="11">
        <v>10</v>
      </c>
      <c r="H40" s="11">
        <v>10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5</v>
      </c>
      <c r="R40" s="11">
        <v>5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</row>
    <row r="41" spans="1:49" ht="14.5" hidden="1" outlineLevel="1" x14ac:dyDescent="0.35">
      <c r="A41" s="8" t="s">
        <v>12</v>
      </c>
      <c r="B41" s="8" t="s">
        <v>16</v>
      </c>
      <c r="C41" s="8" t="s">
        <v>94</v>
      </c>
      <c r="D41" s="8" t="s">
        <v>74</v>
      </c>
      <c r="E41" s="9" t="s">
        <v>89</v>
      </c>
      <c r="F41" s="10"/>
      <c r="G41" s="10"/>
      <c r="H41" s="10"/>
      <c r="I41" s="1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1</v>
      </c>
      <c r="R41" s="10">
        <v>2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</row>
    <row r="42" spans="1:49" ht="14.5" hidden="1" outlineLevel="1" x14ac:dyDescent="0.35">
      <c r="A42" t="s">
        <v>12</v>
      </c>
      <c r="B42" t="s">
        <v>16</v>
      </c>
      <c r="C42" t="s">
        <v>94</v>
      </c>
      <c r="D42" t="s">
        <v>85</v>
      </c>
      <c r="E42" t="s">
        <v>90</v>
      </c>
      <c r="F42" s="11">
        <v>0</v>
      </c>
      <c r="G42" s="11">
        <v>0</v>
      </c>
      <c r="H42" s="11">
        <v>13</v>
      </c>
      <c r="I42" s="11">
        <v>-13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</row>
    <row r="43" spans="1:49" ht="14.5" hidden="1" outlineLevel="1" x14ac:dyDescent="0.35">
      <c r="A43" t="s">
        <v>12</v>
      </c>
      <c r="B43" t="s">
        <v>16</v>
      </c>
      <c r="C43" t="s">
        <v>94</v>
      </c>
      <c r="D43" t="s">
        <v>85</v>
      </c>
      <c r="E43" t="s">
        <v>96</v>
      </c>
      <c r="F43" s="11">
        <v>2</v>
      </c>
      <c r="G43" s="11">
        <v>2</v>
      </c>
      <c r="H43" s="11">
        <v>2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</row>
    <row r="44" spans="1:49" ht="14.5" hidden="1" outlineLevel="1" x14ac:dyDescent="0.35">
      <c r="A44" t="s">
        <v>12</v>
      </c>
      <c r="B44" t="s">
        <v>16</v>
      </c>
      <c r="C44" t="s">
        <v>94</v>
      </c>
      <c r="D44" t="s">
        <v>85</v>
      </c>
      <c r="E44" t="s">
        <v>91</v>
      </c>
      <c r="F44" s="11">
        <v>24</v>
      </c>
      <c r="G44" s="11">
        <v>24</v>
      </c>
      <c r="H44" s="11">
        <v>0</v>
      </c>
      <c r="I44" s="11">
        <v>24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</row>
    <row r="45" spans="1:49" ht="14.5" hidden="1" outlineLevel="1" x14ac:dyDescent="0.35">
      <c r="A45" s="8" t="s">
        <v>12</v>
      </c>
      <c r="B45" s="8" t="s">
        <v>16</v>
      </c>
      <c r="C45" s="8" t="s">
        <v>94</v>
      </c>
      <c r="D45" s="8" t="s">
        <v>74</v>
      </c>
      <c r="E45" s="9" t="s">
        <v>78</v>
      </c>
      <c r="F45" s="10"/>
      <c r="G45" s="10"/>
      <c r="H45" s="10"/>
      <c r="I45" s="10"/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7.9</v>
      </c>
      <c r="AH45" s="10">
        <v>9.8070179999999993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</row>
    <row r="46" spans="1:49" ht="14.5" hidden="1" outlineLevel="1" x14ac:dyDescent="0.35">
      <c r="A46" s="8" t="s">
        <v>12</v>
      </c>
      <c r="B46" s="8" t="s">
        <v>16</v>
      </c>
      <c r="C46" s="8" t="s">
        <v>94</v>
      </c>
      <c r="D46" s="8" t="s">
        <v>74</v>
      </c>
      <c r="E46" s="9" t="s">
        <v>79</v>
      </c>
      <c r="F46" s="10"/>
      <c r="G46" s="10"/>
      <c r="H46" s="10"/>
      <c r="I46" s="10"/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3.5929820000000099</v>
      </c>
      <c r="AH46" s="10">
        <v>4.2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</row>
    <row r="47" spans="1:49" ht="14.5" hidden="1" outlineLevel="1" x14ac:dyDescent="0.35">
      <c r="A47" s="8" t="s">
        <v>12</v>
      </c>
      <c r="B47" s="8" t="s">
        <v>16</v>
      </c>
      <c r="C47" s="8" t="s">
        <v>94</v>
      </c>
      <c r="D47" s="8" t="s">
        <v>74</v>
      </c>
      <c r="E47" s="9" t="s">
        <v>97</v>
      </c>
      <c r="F47" s="10"/>
      <c r="G47" s="10"/>
      <c r="H47" s="10"/>
      <c r="I47" s="10"/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4</v>
      </c>
      <c r="AH47" s="10">
        <v>4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</row>
    <row r="48" spans="1:49" ht="14.5" hidden="1" outlineLevel="1" x14ac:dyDescent="0.35">
      <c r="A48" s="8" t="s">
        <v>12</v>
      </c>
      <c r="B48" s="8" t="s">
        <v>16</v>
      </c>
      <c r="C48" s="8" t="s">
        <v>94</v>
      </c>
      <c r="D48" s="8" t="s">
        <v>74</v>
      </c>
      <c r="E48" s="9" t="s">
        <v>98</v>
      </c>
      <c r="F48" s="10"/>
      <c r="G48" s="10"/>
      <c r="H48" s="10"/>
      <c r="I48" s="10"/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2.1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</row>
    <row r="49" spans="1:49" ht="14.5" hidden="1" outlineLevel="1" x14ac:dyDescent="0.35">
      <c r="A49" s="8" t="s">
        <v>12</v>
      </c>
      <c r="B49" s="8" t="s">
        <v>16</v>
      </c>
      <c r="C49" s="8" t="s">
        <v>94</v>
      </c>
      <c r="D49" s="8" t="s">
        <v>74</v>
      </c>
      <c r="E49" s="9" t="s">
        <v>43</v>
      </c>
      <c r="F49" s="10"/>
      <c r="G49" s="10"/>
      <c r="H49" s="10"/>
      <c r="I49" s="10"/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1.507018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</row>
    <row r="50" spans="1:49" ht="14.5" hidden="1" outlineLevel="1" x14ac:dyDescent="0.35">
      <c r="A50" s="8" t="s">
        <v>12</v>
      </c>
      <c r="B50" s="8" t="s">
        <v>16</v>
      </c>
      <c r="C50" s="8" t="s">
        <v>94</v>
      </c>
      <c r="D50" s="8" t="s">
        <v>74</v>
      </c>
      <c r="E50" s="9" t="s">
        <v>83</v>
      </c>
      <c r="F50" s="10"/>
      <c r="G50" s="10"/>
      <c r="H50" s="10"/>
      <c r="I50" s="10"/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4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</row>
    <row r="51" spans="1:49" ht="14.5" collapsed="1" x14ac:dyDescent="0.35">
      <c r="A51" s="6" t="s">
        <v>12</v>
      </c>
      <c r="B51" s="6" t="s">
        <v>16</v>
      </c>
      <c r="C51" s="6" t="s">
        <v>15</v>
      </c>
      <c r="D51" s="6" t="s">
        <v>72</v>
      </c>
      <c r="E51" s="6" t="s">
        <v>73</v>
      </c>
      <c r="F51" s="7">
        <f t="shared" ref="F51:AW51" si="2">SUM(F52,F55,F58,F60,F61,F62,F63,F65,F66,F68,F70,F73,F75,F76)</f>
        <v>337.59999999999997</v>
      </c>
      <c r="G51" s="7">
        <f t="shared" si="2"/>
        <v>959.20000000000016</v>
      </c>
      <c r="H51" s="7">
        <f t="shared" si="2"/>
        <v>898</v>
      </c>
      <c r="I51" s="7">
        <f t="shared" si="2"/>
        <v>61.199999999999989</v>
      </c>
      <c r="J51" s="7">
        <f t="shared" si="2"/>
        <v>39.203509000000004</v>
      </c>
      <c r="K51" s="7">
        <f t="shared" si="2"/>
        <v>16.203509</v>
      </c>
      <c r="L51" s="7">
        <f t="shared" si="2"/>
        <v>7.4035089999999997</v>
      </c>
      <c r="M51" s="7">
        <f t="shared" si="2"/>
        <v>7.4035089999999997</v>
      </c>
      <c r="N51" s="7">
        <f t="shared" si="2"/>
        <v>5.4035089999999997</v>
      </c>
      <c r="O51" s="7">
        <f t="shared" si="2"/>
        <v>12.603508999999999</v>
      </c>
      <c r="P51" s="7">
        <f t="shared" si="2"/>
        <v>12.903509</v>
      </c>
      <c r="Q51" s="7">
        <f t="shared" si="2"/>
        <v>12.403509</v>
      </c>
      <c r="R51" s="7">
        <f t="shared" si="2"/>
        <v>8.4035089999999997</v>
      </c>
      <c r="S51" s="7">
        <f t="shared" si="2"/>
        <v>12.503509000000001</v>
      </c>
      <c r="T51" s="7">
        <f t="shared" si="2"/>
        <v>21.003509000000001</v>
      </c>
      <c r="U51" s="7">
        <f t="shared" si="2"/>
        <v>19.203508999999997</v>
      </c>
      <c r="V51" s="7">
        <f t="shared" si="2"/>
        <v>20.803508999999998</v>
      </c>
      <c r="W51" s="12">
        <f t="shared" si="2"/>
        <v>44.903509</v>
      </c>
      <c r="X51" s="7">
        <f t="shared" si="2"/>
        <v>34.503509000000001</v>
      </c>
      <c r="Y51" s="12">
        <f t="shared" si="2"/>
        <v>44.903509</v>
      </c>
      <c r="Z51" s="7">
        <f t="shared" si="2"/>
        <v>10.403509</v>
      </c>
      <c r="AA51" s="7">
        <f t="shared" si="2"/>
        <v>2.4035089999999997</v>
      </c>
      <c r="AB51" s="7">
        <f t="shared" si="2"/>
        <v>2.4035089999999997</v>
      </c>
      <c r="AC51" s="7">
        <f t="shared" si="2"/>
        <v>6.9035089999999997</v>
      </c>
      <c r="AD51" s="7">
        <f t="shared" si="2"/>
        <v>11.103508999999999</v>
      </c>
      <c r="AE51" s="7">
        <f t="shared" si="2"/>
        <v>23.403509</v>
      </c>
      <c r="AF51" s="7">
        <f t="shared" si="2"/>
        <v>41.503508999999994</v>
      </c>
      <c r="AG51" s="13">
        <f t="shared" si="2"/>
        <v>79.203508999999997</v>
      </c>
      <c r="AH51" s="13">
        <f t="shared" si="2"/>
        <v>95.203508999999997</v>
      </c>
      <c r="AI51" s="7">
        <f t="shared" si="2"/>
        <v>32.903509</v>
      </c>
      <c r="AJ51" s="7">
        <f t="shared" si="2"/>
        <v>2.6035089999999999</v>
      </c>
      <c r="AK51" s="7">
        <f t="shared" si="2"/>
        <v>1.4035089999999999</v>
      </c>
      <c r="AL51" s="7">
        <f t="shared" si="2"/>
        <v>1.4035089999999999</v>
      </c>
      <c r="AM51" s="7">
        <f t="shared" si="2"/>
        <v>1.4035089999999999</v>
      </c>
      <c r="AN51" s="7">
        <f t="shared" si="2"/>
        <v>1.4035089999999999</v>
      </c>
      <c r="AO51" s="7">
        <f t="shared" si="2"/>
        <v>1.4035089999999999</v>
      </c>
      <c r="AP51" s="7">
        <f t="shared" si="2"/>
        <v>1.4035089999999999</v>
      </c>
      <c r="AQ51" s="7">
        <f t="shared" si="2"/>
        <v>1.4035089999999999</v>
      </c>
      <c r="AR51" s="7">
        <f t="shared" si="2"/>
        <v>1.4035089999999999</v>
      </c>
      <c r="AS51" s="7">
        <f t="shared" si="2"/>
        <v>1.4035089999999999</v>
      </c>
      <c r="AT51" s="7">
        <f t="shared" si="2"/>
        <v>1.4035089999999999</v>
      </c>
      <c r="AU51" s="7">
        <f t="shared" si="2"/>
        <v>0</v>
      </c>
      <c r="AV51" s="7">
        <f t="shared" si="2"/>
        <v>0</v>
      </c>
      <c r="AW51" s="7">
        <f t="shared" si="2"/>
        <v>0</v>
      </c>
    </row>
    <row r="52" spans="1:49" ht="14.5" hidden="1" outlineLevel="1" x14ac:dyDescent="0.35">
      <c r="A52" t="s">
        <v>12</v>
      </c>
      <c r="B52" t="s">
        <v>16</v>
      </c>
      <c r="C52" t="s">
        <v>15</v>
      </c>
      <c r="D52" t="s">
        <v>85</v>
      </c>
      <c r="E52" t="s">
        <v>77</v>
      </c>
      <c r="F52" s="11">
        <v>42.9</v>
      </c>
      <c r="G52" s="11">
        <v>94.9</v>
      </c>
      <c r="H52" s="11">
        <v>84.9</v>
      </c>
      <c r="I52" s="11">
        <v>10</v>
      </c>
      <c r="J52" s="11">
        <v>1.9035089999999999</v>
      </c>
      <c r="K52" s="11">
        <v>1.4035089999999999</v>
      </c>
      <c r="L52" s="11">
        <v>1.4035089999999999</v>
      </c>
      <c r="M52" s="11">
        <v>1.4035089999999999</v>
      </c>
      <c r="N52" s="11">
        <v>1.4035089999999999</v>
      </c>
      <c r="O52" s="11">
        <v>1.4035089999999999</v>
      </c>
      <c r="P52" s="11">
        <v>1.4035089999999999</v>
      </c>
      <c r="Q52" s="11">
        <v>1.4035089999999999</v>
      </c>
      <c r="R52" s="11">
        <v>1.4035089999999999</v>
      </c>
      <c r="S52" s="11">
        <v>1.4035089999999999</v>
      </c>
      <c r="T52" s="11">
        <v>1.4035089999999999</v>
      </c>
      <c r="U52" s="11">
        <v>1.4035089999999999</v>
      </c>
      <c r="V52" s="11">
        <v>1.4035089999999999</v>
      </c>
      <c r="W52" s="11">
        <v>1.4035089999999999</v>
      </c>
      <c r="X52" s="11">
        <v>1.4035089999999999</v>
      </c>
      <c r="Y52" s="11">
        <v>1.4035089999999999</v>
      </c>
      <c r="Z52" s="11">
        <v>1.4035089999999999</v>
      </c>
      <c r="AA52" s="11">
        <v>1.4035089999999999</v>
      </c>
      <c r="AB52" s="11">
        <v>1.4035089999999999</v>
      </c>
      <c r="AC52" s="11">
        <v>1.4035089999999999</v>
      </c>
      <c r="AD52" s="11">
        <v>1.4035089999999999</v>
      </c>
      <c r="AE52" s="11">
        <v>1.4035089999999999</v>
      </c>
      <c r="AF52" s="11">
        <v>1.4035089999999999</v>
      </c>
      <c r="AG52" s="11">
        <v>1.4035089999999999</v>
      </c>
      <c r="AH52" s="11">
        <v>1.4035089999999999</v>
      </c>
      <c r="AI52" s="11">
        <v>1.4035089999999999</v>
      </c>
      <c r="AJ52" s="11">
        <v>1.4035089999999999</v>
      </c>
      <c r="AK52" s="11">
        <v>1.4035089999999999</v>
      </c>
      <c r="AL52" s="11">
        <v>1.4035089999999999</v>
      </c>
      <c r="AM52" s="11">
        <v>1.4035089999999999</v>
      </c>
      <c r="AN52" s="11">
        <v>1.4035089999999999</v>
      </c>
      <c r="AO52" s="11">
        <v>1.4035089999999999</v>
      </c>
      <c r="AP52" s="11">
        <v>1.4035089999999999</v>
      </c>
      <c r="AQ52" s="11">
        <v>1.4035089999999999</v>
      </c>
      <c r="AR52" s="11">
        <v>1.4035089999999999</v>
      </c>
      <c r="AS52" s="11">
        <v>1.4035089999999999</v>
      </c>
      <c r="AT52" s="11">
        <v>1.4035089999999999</v>
      </c>
      <c r="AU52" s="11">
        <v>0</v>
      </c>
      <c r="AV52" s="11">
        <v>0</v>
      </c>
      <c r="AW52" s="11">
        <v>0</v>
      </c>
    </row>
    <row r="53" spans="1:49" ht="14.5" hidden="1" outlineLevel="1" x14ac:dyDescent="0.35">
      <c r="A53" s="14" t="s">
        <v>12</v>
      </c>
      <c r="B53" s="14" t="s">
        <v>16</v>
      </c>
      <c r="C53" s="14" t="s">
        <v>15</v>
      </c>
      <c r="D53" s="14" t="s">
        <v>99</v>
      </c>
      <c r="E53" s="15" t="s">
        <v>77</v>
      </c>
      <c r="F53" s="16"/>
      <c r="G53" s="16"/>
      <c r="H53" s="16"/>
      <c r="I53" s="16"/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-1.4035089999999999</v>
      </c>
      <c r="X53" s="16">
        <v>0</v>
      </c>
      <c r="Y53" s="16">
        <v>-1.4035089999999999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-1.4035089999999999</v>
      </c>
      <c r="AH53" s="16">
        <v>-1.4035089999999999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</row>
    <row r="54" spans="1:49" ht="14.5" hidden="1" outlineLevel="1" x14ac:dyDescent="0.35">
      <c r="A54" s="8" t="s">
        <v>12</v>
      </c>
      <c r="B54" s="8" t="s">
        <v>16</v>
      </c>
      <c r="C54" s="8" t="s">
        <v>15</v>
      </c>
      <c r="D54" s="8" t="s">
        <v>74</v>
      </c>
      <c r="E54" s="9" t="s">
        <v>77</v>
      </c>
      <c r="F54" s="10"/>
      <c r="G54" s="10"/>
      <c r="H54" s="10"/>
      <c r="I54" s="10"/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1.4035089999999999</v>
      </c>
      <c r="R54" s="10">
        <v>1.4035089999999999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0.40350900000000001</v>
      </c>
      <c r="AC54" s="10">
        <v>2.8070179999999998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</row>
    <row r="55" spans="1:49" ht="14.5" hidden="1" outlineLevel="1" x14ac:dyDescent="0.35">
      <c r="A55" t="s">
        <v>12</v>
      </c>
      <c r="B55" t="s">
        <v>16</v>
      </c>
      <c r="C55" t="s">
        <v>15</v>
      </c>
      <c r="D55" t="s">
        <v>85</v>
      </c>
      <c r="E55" t="s">
        <v>78</v>
      </c>
      <c r="F55" s="11">
        <v>21.1</v>
      </c>
      <c r="G55" s="11">
        <v>93.1</v>
      </c>
      <c r="H55" s="11">
        <v>73.5</v>
      </c>
      <c r="I55" s="11">
        <v>19.600000000000001</v>
      </c>
      <c r="J55" s="11">
        <v>1.3</v>
      </c>
      <c r="K55" s="11">
        <v>11.5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2</v>
      </c>
      <c r="S55" s="11">
        <v>0</v>
      </c>
      <c r="T55" s="11">
        <v>2.2999999999999998</v>
      </c>
      <c r="U55" s="11">
        <v>1.9</v>
      </c>
      <c r="V55" s="11">
        <v>1</v>
      </c>
      <c r="W55" s="11">
        <v>8.8000000000000007</v>
      </c>
      <c r="X55" s="11">
        <v>1.4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1</v>
      </c>
      <c r="AF55" s="11">
        <v>3.4</v>
      </c>
      <c r="AG55" s="11">
        <v>7.9</v>
      </c>
      <c r="AH55" s="11">
        <v>13.7</v>
      </c>
      <c r="AI55" s="11">
        <v>15.8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</row>
    <row r="56" spans="1:49" ht="14.5" hidden="1" outlineLevel="1" x14ac:dyDescent="0.35">
      <c r="A56" s="14" t="s">
        <v>12</v>
      </c>
      <c r="B56" s="14" t="s">
        <v>16</v>
      </c>
      <c r="C56" s="14" t="s">
        <v>15</v>
      </c>
      <c r="D56" s="14" t="s">
        <v>99</v>
      </c>
      <c r="E56" s="15" t="s">
        <v>78</v>
      </c>
      <c r="F56" s="16"/>
      <c r="G56" s="16"/>
      <c r="H56" s="16"/>
      <c r="I56" s="16"/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-7.9</v>
      </c>
      <c r="AH56" s="16">
        <v>-13.7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</row>
    <row r="57" spans="1:49" ht="14.5" hidden="1" outlineLevel="1" x14ac:dyDescent="0.35">
      <c r="A57" s="8" t="s">
        <v>12</v>
      </c>
      <c r="B57" s="8" t="s">
        <v>16</v>
      </c>
      <c r="C57" s="8" t="s">
        <v>15</v>
      </c>
      <c r="D57" s="8" t="s">
        <v>74</v>
      </c>
      <c r="E57" s="9" t="s">
        <v>78</v>
      </c>
      <c r="F57" s="10"/>
      <c r="G57" s="10"/>
      <c r="H57" s="10"/>
      <c r="I57" s="1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0.25</v>
      </c>
      <c r="R57" s="10">
        <v>0.25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0.5</v>
      </c>
      <c r="AC57" s="10">
        <v>1.1000000000000001</v>
      </c>
      <c r="AD57" s="10">
        <v>0</v>
      </c>
      <c r="AE57" s="10">
        <v>0.5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</row>
    <row r="58" spans="1:49" ht="14.5" hidden="1" outlineLevel="1" x14ac:dyDescent="0.35">
      <c r="A58" t="s">
        <v>12</v>
      </c>
      <c r="B58" t="s">
        <v>16</v>
      </c>
      <c r="C58" t="s">
        <v>15</v>
      </c>
      <c r="D58" t="s">
        <v>85</v>
      </c>
      <c r="E58" t="s">
        <v>79</v>
      </c>
      <c r="F58" s="11">
        <v>25.1</v>
      </c>
      <c r="G58" s="11">
        <v>70.8</v>
      </c>
      <c r="H58" s="11">
        <v>63.2</v>
      </c>
      <c r="I58" s="11">
        <v>7.5999999999999899</v>
      </c>
      <c r="J58" s="11">
        <v>0</v>
      </c>
      <c r="K58" s="11">
        <v>0.3</v>
      </c>
      <c r="L58" s="11">
        <v>0</v>
      </c>
      <c r="M58" s="11">
        <v>0</v>
      </c>
      <c r="N58" s="11">
        <v>0</v>
      </c>
      <c r="O58" s="11">
        <v>0.2</v>
      </c>
      <c r="P58" s="11">
        <v>0</v>
      </c>
      <c r="Q58" s="11">
        <v>0</v>
      </c>
      <c r="R58" s="11">
        <v>1</v>
      </c>
      <c r="S58" s="11">
        <v>0</v>
      </c>
      <c r="T58" s="11">
        <v>0</v>
      </c>
      <c r="U58" s="11">
        <v>2</v>
      </c>
      <c r="V58" s="11">
        <v>0</v>
      </c>
      <c r="W58" s="11">
        <v>1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1</v>
      </c>
      <c r="AD58" s="11">
        <v>5.2</v>
      </c>
      <c r="AE58" s="11">
        <v>8</v>
      </c>
      <c r="AF58" s="11">
        <v>8</v>
      </c>
      <c r="AG58" s="11">
        <v>5</v>
      </c>
      <c r="AH58" s="11">
        <v>14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</row>
    <row r="59" spans="1:49" ht="14.5" hidden="1" outlineLevel="1" x14ac:dyDescent="0.35">
      <c r="A59" s="14" t="s">
        <v>12</v>
      </c>
      <c r="B59" s="14" t="s">
        <v>16</v>
      </c>
      <c r="C59" s="14" t="s">
        <v>15</v>
      </c>
      <c r="D59" s="14" t="s">
        <v>99</v>
      </c>
      <c r="E59" s="15" t="s">
        <v>79</v>
      </c>
      <c r="F59" s="16"/>
      <c r="G59" s="16"/>
      <c r="H59" s="16"/>
      <c r="I59" s="16"/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-3.7000000000000202</v>
      </c>
      <c r="AH59" s="16">
        <v>-4.2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</row>
    <row r="60" spans="1:49" ht="14.5" hidden="1" outlineLevel="1" x14ac:dyDescent="0.35">
      <c r="A60" t="s">
        <v>12</v>
      </c>
      <c r="B60" t="s">
        <v>16</v>
      </c>
      <c r="C60" t="s">
        <v>15</v>
      </c>
      <c r="D60" t="s">
        <v>85</v>
      </c>
      <c r="E60" t="s">
        <v>100</v>
      </c>
      <c r="F60" s="11">
        <v>117.5</v>
      </c>
      <c r="G60" s="11">
        <v>245</v>
      </c>
      <c r="H60" s="11">
        <v>214.5</v>
      </c>
      <c r="I60" s="11">
        <v>30.5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6</v>
      </c>
      <c r="V60" s="11">
        <v>10</v>
      </c>
      <c r="W60" s="11">
        <v>12</v>
      </c>
      <c r="X60" s="11">
        <v>10</v>
      </c>
      <c r="Y60" s="11">
        <v>21</v>
      </c>
      <c r="Z60" s="11">
        <v>4</v>
      </c>
      <c r="AA60" s="11">
        <v>1</v>
      </c>
      <c r="AB60" s="11">
        <v>1</v>
      </c>
      <c r="AC60" s="11">
        <v>2.5</v>
      </c>
      <c r="AD60" s="11">
        <v>2.5</v>
      </c>
      <c r="AE60" s="11">
        <v>9</v>
      </c>
      <c r="AF60" s="11">
        <v>11.5</v>
      </c>
      <c r="AG60" s="11">
        <v>12</v>
      </c>
      <c r="AH60" s="11">
        <v>25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</row>
    <row r="61" spans="1:49" ht="14.5" hidden="1" outlineLevel="1" x14ac:dyDescent="0.35">
      <c r="A61" t="s">
        <v>12</v>
      </c>
      <c r="B61" t="s">
        <v>16</v>
      </c>
      <c r="C61" t="s">
        <v>15</v>
      </c>
      <c r="D61" t="s">
        <v>85</v>
      </c>
      <c r="E61" t="s">
        <v>87</v>
      </c>
      <c r="F61" s="11">
        <v>3</v>
      </c>
      <c r="G61" s="11">
        <v>3</v>
      </c>
      <c r="H61" s="11">
        <v>3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</row>
    <row r="62" spans="1:49" ht="14.5" hidden="1" outlineLevel="1" x14ac:dyDescent="0.35">
      <c r="A62" t="s">
        <v>12</v>
      </c>
      <c r="B62" t="s">
        <v>16</v>
      </c>
      <c r="C62" t="s">
        <v>15</v>
      </c>
      <c r="D62" t="s">
        <v>85</v>
      </c>
      <c r="E62" t="s">
        <v>88</v>
      </c>
      <c r="F62" s="11">
        <v>0</v>
      </c>
      <c r="G62" s="11">
        <v>0</v>
      </c>
      <c r="H62" s="11">
        <v>10</v>
      </c>
      <c r="I62" s="11">
        <v>-10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</row>
    <row r="63" spans="1:49" ht="14.5" hidden="1" outlineLevel="1" x14ac:dyDescent="0.35">
      <c r="A63" t="s">
        <v>12</v>
      </c>
      <c r="B63" t="s">
        <v>16</v>
      </c>
      <c r="C63" t="s">
        <v>15</v>
      </c>
      <c r="D63" t="s">
        <v>85</v>
      </c>
      <c r="E63" t="s">
        <v>40</v>
      </c>
      <c r="F63" s="11">
        <v>11.8</v>
      </c>
      <c r="G63" s="11">
        <v>64.900000000000006</v>
      </c>
      <c r="H63" s="11">
        <v>55.1</v>
      </c>
      <c r="I63" s="11">
        <v>9.8000000000000007</v>
      </c>
      <c r="J63" s="11">
        <v>7.9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1.8</v>
      </c>
      <c r="T63" s="11">
        <v>1.4</v>
      </c>
      <c r="U63" s="11">
        <v>0</v>
      </c>
      <c r="V63" s="11">
        <v>6.4</v>
      </c>
      <c r="W63" s="11">
        <v>3.8</v>
      </c>
      <c r="X63" s="11">
        <v>0</v>
      </c>
      <c r="Y63" s="11">
        <v>6</v>
      </c>
      <c r="Z63" s="11">
        <v>5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6.9</v>
      </c>
      <c r="AG63" s="11">
        <v>2.9</v>
      </c>
      <c r="AH63" s="11">
        <v>9.8000000000000007</v>
      </c>
      <c r="AI63" s="11">
        <v>1.2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</row>
    <row r="64" spans="1:49" ht="14.5" hidden="1" outlineLevel="1" x14ac:dyDescent="0.35">
      <c r="A64" s="14" t="s">
        <v>12</v>
      </c>
      <c r="B64" s="14" t="s">
        <v>16</v>
      </c>
      <c r="C64" s="14" t="s">
        <v>15</v>
      </c>
      <c r="D64" s="14" t="s">
        <v>99</v>
      </c>
      <c r="E64" s="15" t="s">
        <v>40</v>
      </c>
      <c r="F64" s="16"/>
      <c r="G64" s="16"/>
      <c r="H64" s="16"/>
      <c r="I64" s="16"/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-1.1000000000000001</v>
      </c>
      <c r="X64" s="16">
        <v>0</v>
      </c>
      <c r="Y64" s="16">
        <v>-2.5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-2.9</v>
      </c>
      <c r="AH64" s="16">
        <v>-9.8000000000000007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</row>
    <row r="65" spans="1:49" ht="14.5" hidden="1" outlineLevel="1" x14ac:dyDescent="0.35">
      <c r="A65" t="s">
        <v>12</v>
      </c>
      <c r="B65" t="s">
        <v>16</v>
      </c>
      <c r="C65" t="s">
        <v>15</v>
      </c>
      <c r="D65" t="s">
        <v>85</v>
      </c>
      <c r="E65" t="s">
        <v>101</v>
      </c>
      <c r="F65" s="11">
        <v>55.8</v>
      </c>
      <c r="G65" s="11">
        <v>168.6</v>
      </c>
      <c r="H65" s="11">
        <v>166.1</v>
      </c>
      <c r="I65" s="11">
        <v>2.5</v>
      </c>
      <c r="J65" s="11">
        <v>12</v>
      </c>
      <c r="K65" s="11">
        <v>1</v>
      </c>
      <c r="L65" s="11">
        <v>0</v>
      </c>
      <c r="M65" s="11">
        <v>0</v>
      </c>
      <c r="N65" s="11">
        <v>0</v>
      </c>
      <c r="O65" s="11">
        <v>11</v>
      </c>
      <c r="P65" s="11">
        <v>10.5</v>
      </c>
      <c r="Q65" s="11">
        <v>11</v>
      </c>
      <c r="R65" s="11">
        <v>0</v>
      </c>
      <c r="S65" s="11">
        <v>0</v>
      </c>
      <c r="T65" s="11">
        <v>7.4</v>
      </c>
      <c r="U65" s="11">
        <v>1</v>
      </c>
      <c r="V65" s="11">
        <v>0</v>
      </c>
      <c r="W65" s="11">
        <v>2</v>
      </c>
      <c r="X65" s="11">
        <v>14.5</v>
      </c>
      <c r="Y65" s="11">
        <v>11.5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15</v>
      </c>
      <c r="AH65" s="11">
        <v>20.2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</row>
    <row r="66" spans="1:49" ht="14.5" hidden="1" outlineLevel="1" x14ac:dyDescent="0.35">
      <c r="A66" t="s">
        <v>12</v>
      </c>
      <c r="B66" t="s">
        <v>16</v>
      </c>
      <c r="C66" t="s">
        <v>15</v>
      </c>
      <c r="D66" t="s">
        <v>85</v>
      </c>
      <c r="E66" t="s">
        <v>97</v>
      </c>
      <c r="F66" s="11">
        <v>30.5</v>
      </c>
      <c r="G66" s="11">
        <v>102.5</v>
      </c>
      <c r="H66" s="11">
        <v>106.2</v>
      </c>
      <c r="I66" s="11">
        <v>-3.7</v>
      </c>
      <c r="J66" s="11">
        <v>6.5</v>
      </c>
      <c r="K66" s="11">
        <v>0</v>
      </c>
      <c r="L66" s="11">
        <v>4</v>
      </c>
      <c r="M66" s="11">
        <v>4</v>
      </c>
      <c r="N66" s="11">
        <v>4</v>
      </c>
      <c r="O66" s="11">
        <v>0</v>
      </c>
      <c r="P66" s="11">
        <v>0</v>
      </c>
      <c r="Q66" s="11">
        <v>0</v>
      </c>
      <c r="R66" s="11">
        <v>4</v>
      </c>
      <c r="S66" s="11">
        <v>5</v>
      </c>
      <c r="T66" s="11">
        <v>5</v>
      </c>
      <c r="U66" s="11">
        <v>5</v>
      </c>
      <c r="V66" s="11">
        <v>0</v>
      </c>
      <c r="W66" s="11">
        <v>5</v>
      </c>
      <c r="X66" s="11">
        <v>4</v>
      </c>
      <c r="Y66" s="11">
        <v>4</v>
      </c>
      <c r="Z66" s="11">
        <v>0</v>
      </c>
      <c r="AA66" s="11">
        <v>0</v>
      </c>
      <c r="AB66" s="11">
        <v>0</v>
      </c>
      <c r="AC66" s="11">
        <v>2</v>
      </c>
      <c r="AD66" s="11">
        <v>2</v>
      </c>
      <c r="AE66" s="11">
        <v>4</v>
      </c>
      <c r="AF66" s="11">
        <v>4</v>
      </c>
      <c r="AG66" s="11">
        <v>4</v>
      </c>
      <c r="AH66" s="11">
        <v>4</v>
      </c>
      <c r="AI66" s="11">
        <v>4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</row>
    <row r="67" spans="1:49" ht="14.5" hidden="1" outlineLevel="1" x14ac:dyDescent="0.35">
      <c r="A67" s="14" t="s">
        <v>12</v>
      </c>
      <c r="B67" s="14" t="s">
        <v>16</v>
      </c>
      <c r="C67" s="14" t="s">
        <v>15</v>
      </c>
      <c r="D67" s="14" t="s">
        <v>99</v>
      </c>
      <c r="E67" s="15" t="s">
        <v>97</v>
      </c>
      <c r="F67" s="16"/>
      <c r="G67" s="16"/>
      <c r="H67" s="16"/>
      <c r="I67" s="16"/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-4</v>
      </c>
      <c r="AH67" s="16">
        <v>-4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</row>
    <row r="68" spans="1:49" ht="14.5" hidden="1" outlineLevel="1" x14ac:dyDescent="0.35">
      <c r="A68" t="s">
        <v>12</v>
      </c>
      <c r="B68" t="s">
        <v>16</v>
      </c>
      <c r="C68" t="s">
        <v>15</v>
      </c>
      <c r="D68" t="s">
        <v>85</v>
      </c>
      <c r="E68" t="s">
        <v>82</v>
      </c>
      <c r="F68" s="11">
        <v>0</v>
      </c>
      <c r="G68" s="11">
        <v>0</v>
      </c>
      <c r="H68" s="11">
        <v>13</v>
      </c>
      <c r="I68" s="11">
        <v>-13</v>
      </c>
      <c r="J68" s="11">
        <v>0</v>
      </c>
      <c r="K68" s="11">
        <v>2</v>
      </c>
      <c r="L68" s="11">
        <v>2</v>
      </c>
      <c r="M68" s="11">
        <v>2</v>
      </c>
      <c r="N68" s="11">
        <v>0</v>
      </c>
      <c r="O68" s="11">
        <v>0</v>
      </c>
      <c r="P68" s="11">
        <v>1</v>
      </c>
      <c r="Q68" s="11">
        <v>0</v>
      </c>
      <c r="R68" s="11">
        <v>0</v>
      </c>
      <c r="S68" s="11">
        <v>1</v>
      </c>
      <c r="T68" s="11">
        <v>1</v>
      </c>
      <c r="U68" s="11">
        <v>1</v>
      </c>
      <c r="V68" s="11">
        <v>0</v>
      </c>
      <c r="W68" s="11">
        <v>1</v>
      </c>
      <c r="X68" s="11">
        <v>1</v>
      </c>
      <c r="Y68" s="11">
        <v>1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</row>
    <row r="69" spans="1:49" ht="14.5" hidden="1" outlineLevel="1" x14ac:dyDescent="0.35">
      <c r="A69" s="14" t="s">
        <v>12</v>
      </c>
      <c r="B69" s="14" t="s">
        <v>16</v>
      </c>
      <c r="C69" s="14" t="s">
        <v>15</v>
      </c>
      <c r="D69" s="14" t="s">
        <v>99</v>
      </c>
      <c r="E69" s="15" t="s">
        <v>82</v>
      </c>
      <c r="F69" s="16"/>
      <c r="G69" s="16"/>
      <c r="H69" s="16"/>
      <c r="I69" s="16"/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-1</v>
      </c>
      <c r="X69" s="16">
        <v>0</v>
      </c>
      <c r="Y69" s="16">
        <v>-1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</row>
    <row r="70" spans="1:49" ht="14.5" hidden="1" outlineLevel="1" x14ac:dyDescent="0.35">
      <c r="A70" t="s">
        <v>12</v>
      </c>
      <c r="B70" t="s">
        <v>16</v>
      </c>
      <c r="C70" t="s">
        <v>15</v>
      </c>
      <c r="D70" t="s">
        <v>85</v>
      </c>
      <c r="E70" t="s">
        <v>98</v>
      </c>
      <c r="F70" s="11">
        <v>25.2</v>
      </c>
      <c r="G70" s="11">
        <v>55.6</v>
      </c>
      <c r="H70" s="11">
        <v>30.4</v>
      </c>
      <c r="I70" s="11">
        <v>25.2</v>
      </c>
      <c r="J70" s="11">
        <v>2.4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1.4</v>
      </c>
      <c r="T70" s="11">
        <v>1.2</v>
      </c>
      <c r="U70" s="11">
        <v>0</v>
      </c>
      <c r="V70" s="11">
        <v>2</v>
      </c>
      <c r="W70" s="11">
        <v>1.4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2</v>
      </c>
      <c r="AG70" s="11">
        <v>16.7</v>
      </c>
      <c r="AH70" s="11">
        <v>2.1</v>
      </c>
      <c r="AI70" s="11">
        <v>1.2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</row>
    <row r="71" spans="1:49" ht="14.5" hidden="1" outlineLevel="1" x14ac:dyDescent="0.35">
      <c r="A71" s="14" t="s">
        <v>12</v>
      </c>
      <c r="B71" s="14" t="s">
        <v>16</v>
      </c>
      <c r="C71" s="14" t="s">
        <v>15</v>
      </c>
      <c r="D71" s="14" t="s">
        <v>99</v>
      </c>
      <c r="E71" s="15" t="s">
        <v>98</v>
      </c>
      <c r="F71" s="16"/>
      <c r="G71" s="16"/>
      <c r="H71" s="16"/>
      <c r="I71" s="16"/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-1.4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-2.1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</row>
    <row r="72" spans="1:49" ht="14.5" hidden="1" outlineLevel="1" x14ac:dyDescent="0.35">
      <c r="A72" s="8" t="s">
        <v>12</v>
      </c>
      <c r="B72" s="8" t="s">
        <v>16</v>
      </c>
      <c r="C72" s="8" t="s">
        <v>15</v>
      </c>
      <c r="D72" s="8" t="s">
        <v>74</v>
      </c>
      <c r="E72" s="9" t="s">
        <v>98</v>
      </c>
      <c r="F72" s="10"/>
      <c r="G72" s="10"/>
      <c r="H72" s="10"/>
      <c r="I72" s="10"/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2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3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</row>
    <row r="73" spans="1:49" ht="14.5" hidden="1" outlineLevel="1" x14ac:dyDescent="0.35">
      <c r="A73" t="s">
        <v>12</v>
      </c>
      <c r="B73" t="s">
        <v>16</v>
      </c>
      <c r="C73" t="s">
        <v>15</v>
      </c>
      <c r="D73" t="s">
        <v>85</v>
      </c>
      <c r="E73" t="s">
        <v>43</v>
      </c>
      <c r="F73" s="11">
        <v>1.4</v>
      </c>
      <c r="G73" s="11">
        <v>33.200000000000003</v>
      </c>
      <c r="H73" s="11">
        <v>31.8</v>
      </c>
      <c r="I73" s="11">
        <v>1.4</v>
      </c>
      <c r="J73" s="11">
        <v>3.6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1.3</v>
      </c>
      <c r="U73" s="11">
        <v>0.9</v>
      </c>
      <c r="V73" s="11">
        <v>0</v>
      </c>
      <c r="W73" s="11">
        <v>4</v>
      </c>
      <c r="X73" s="11">
        <v>2.2000000000000002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4.3</v>
      </c>
      <c r="AH73" s="11">
        <v>5</v>
      </c>
      <c r="AI73" s="11">
        <v>9.3000000000000007</v>
      </c>
      <c r="AJ73" s="11">
        <v>1.2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</row>
    <row r="74" spans="1:49" ht="14.5" hidden="1" outlineLevel="1" x14ac:dyDescent="0.35">
      <c r="A74" s="14" t="s">
        <v>12</v>
      </c>
      <c r="B74" s="14" t="s">
        <v>16</v>
      </c>
      <c r="C74" s="14" t="s">
        <v>15</v>
      </c>
      <c r="D74" s="14" t="s">
        <v>99</v>
      </c>
      <c r="E74" s="15" t="s">
        <v>43</v>
      </c>
      <c r="F74" s="16"/>
      <c r="G74" s="16"/>
      <c r="H74" s="16"/>
      <c r="I74" s="16"/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-4.3</v>
      </c>
      <c r="AH74" s="16">
        <v>-5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</row>
    <row r="75" spans="1:49" ht="14.5" hidden="1" outlineLevel="1" x14ac:dyDescent="0.35">
      <c r="A75" t="s">
        <v>12</v>
      </c>
      <c r="B75" t="s">
        <v>16</v>
      </c>
      <c r="C75" t="s">
        <v>15</v>
      </c>
      <c r="D75" t="s">
        <v>85</v>
      </c>
      <c r="E75" t="s">
        <v>102</v>
      </c>
      <c r="F75" s="11">
        <v>3.3</v>
      </c>
      <c r="G75" s="11">
        <v>27.6</v>
      </c>
      <c r="H75" s="11">
        <v>25.3</v>
      </c>
      <c r="I75" s="11">
        <v>2.2999999999999998</v>
      </c>
      <c r="J75" s="11">
        <v>3.6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1.9</v>
      </c>
      <c r="T75" s="11">
        <v>0</v>
      </c>
      <c r="U75" s="11">
        <v>0</v>
      </c>
      <c r="V75" s="11">
        <v>0</v>
      </c>
      <c r="W75" s="11">
        <v>4.5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4.3</v>
      </c>
      <c r="AG75" s="11">
        <v>10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</row>
    <row r="76" spans="1:49" ht="14.5" hidden="1" outlineLevel="1" x14ac:dyDescent="0.35">
      <c r="A76" t="s">
        <v>12</v>
      </c>
      <c r="B76" t="s">
        <v>16</v>
      </c>
      <c r="C76" t="s">
        <v>15</v>
      </c>
      <c r="D76" t="s">
        <v>85</v>
      </c>
      <c r="E76" t="s">
        <v>91</v>
      </c>
      <c r="F76" s="11">
        <v>0</v>
      </c>
      <c r="G76" s="11">
        <v>0</v>
      </c>
      <c r="H76" s="11">
        <v>21</v>
      </c>
      <c r="I76" s="11">
        <v>-21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</row>
    <row r="77" spans="1:49" ht="14.5" hidden="1" outlineLevel="1" x14ac:dyDescent="0.35">
      <c r="A77" s="8" t="s">
        <v>12</v>
      </c>
      <c r="B77" s="8" t="s">
        <v>16</v>
      </c>
      <c r="C77" s="8" t="s">
        <v>15</v>
      </c>
      <c r="D77" s="8" t="s">
        <v>74</v>
      </c>
      <c r="E77" s="9" t="s">
        <v>103</v>
      </c>
      <c r="F77" s="10"/>
      <c r="G77" s="10"/>
      <c r="H77" s="10"/>
      <c r="I77" s="10"/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10</v>
      </c>
      <c r="R77" s="10">
        <v>6.8543860000000096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</row>
    <row r="78" spans="1:49" ht="14.5" hidden="1" outlineLevel="1" x14ac:dyDescent="0.35">
      <c r="A78" s="8" t="s">
        <v>12</v>
      </c>
      <c r="B78" s="8" t="s">
        <v>16</v>
      </c>
      <c r="C78" s="8" t="s">
        <v>15</v>
      </c>
      <c r="D78" s="8" t="s">
        <v>74</v>
      </c>
      <c r="E78" s="9" t="s">
        <v>92</v>
      </c>
      <c r="F78" s="10"/>
      <c r="G78" s="10"/>
      <c r="H78" s="10"/>
      <c r="I78" s="10"/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4.9298250000000001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</row>
    <row r="79" spans="1:49" ht="14.5" hidden="1" outlineLevel="1" x14ac:dyDescent="0.35">
      <c r="A79" s="8" t="s">
        <v>12</v>
      </c>
      <c r="B79" s="8" t="s">
        <v>16</v>
      </c>
      <c r="C79" s="8" t="s">
        <v>15</v>
      </c>
      <c r="D79" s="8" t="s">
        <v>74</v>
      </c>
      <c r="E79" s="9" t="s">
        <v>83</v>
      </c>
      <c r="F79" s="10"/>
      <c r="G79" s="10"/>
      <c r="H79" s="10"/>
      <c r="I79" s="10"/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4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</row>
    <row r="80" spans="1:49" ht="14.5" collapsed="1" x14ac:dyDescent="0.35">
      <c r="A80" s="6" t="s">
        <v>12</v>
      </c>
      <c r="B80" s="6" t="s">
        <v>16</v>
      </c>
      <c r="C80" s="6" t="s">
        <v>104</v>
      </c>
      <c r="D80" s="6" t="s">
        <v>72</v>
      </c>
      <c r="E80" s="6" t="s">
        <v>73</v>
      </c>
      <c r="F80" s="7">
        <f t="shared" ref="F80:AW80" si="3">SUM(F81,F82,F83,F84)</f>
        <v>15.5</v>
      </c>
      <c r="G80" s="7">
        <f t="shared" si="3"/>
        <v>196.5</v>
      </c>
      <c r="H80" s="7">
        <f t="shared" si="3"/>
        <v>249.5</v>
      </c>
      <c r="I80" s="7">
        <f t="shared" si="3"/>
        <v>-53</v>
      </c>
      <c r="J80" s="7">
        <f t="shared" si="3"/>
        <v>3</v>
      </c>
      <c r="K80" s="7">
        <f t="shared" si="3"/>
        <v>6</v>
      </c>
      <c r="L80" s="7">
        <f t="shared" si="3"/>
        <v>8</v>
      </c>
      <c r="M80" s="7">
        <f t="shared" si="3"/>
        <v>8</v>
      </c>
      <c r="N80" s="7">
        <f t="shared" si="3"/>
        <v>5</v>
      </c>
      <c r="O80" s="7">
        <f t="shared" si="3"/>
        <v>2</v>
      </c>
      <c r="P80" s="7">
        <f t="shared" si="3"/>
        <v>2</v>
      </c>
      <c r="Q80" s="7">
        <f t="shared" si="3"/>
        <v>4</v>
      </c>
      <c r="R80" s="7">
        <f t="shared" si="3"/>
        <v>4</v>
      </c>
      <c r="S80" s="7">
        <f t="shared" si="3"/>
        <v>4</v>
      </c>
      <c r="T80" s="7">
        <f t="shared" si="3"/>
        <v>7</v>
      </c>
      <c r="U80" s="7">
        <f t="shared" si="3"/>
        <v>5</v>
      </c>
      <c r="V80" s="7">
        <f t="shared" si="3"/>
        <v>4</v>
      </c>
      <c r="W80" s="7">
        <f t="shared" si="3"/>
        <v>2</v>
      </c>
      <c r="X80" s="7">
        <f t="shared" si="3"/>
        <v>3</v>
      </c>
      <c r="Y80" s="7">
        <f t="shared" si="3"/>
        <v>5</v>
      </c>
      <c r="Z80" s="7">
        <f t="shared" si="3"/>
        <v>0</v>
      </c>
      <c r="AA80" s="7">
        <f t="shared" si="3"/>
        <v>0</v>
      </c>
      <c r="AB80" s="7">
        <f t="shared" si="3"/>
        <v>10</v>
      </c>
      <c r="AC80" s="7">
        <f t="shared" si="3"/>
        <v>10</v>
      </c>
      <c r="AD80" s="7">
        <f t="shared" si="3"/>
        <v>17</v>
      </c>
      <c r="AE80" s="7">
        <f t="shared" si="3"/>
        <v>25</v>
      </c>
      <c r="AF80" s="7">
        <f t="shared" si="3"/>
        <v>30</v>
      </c>
      <c r="AG80" s="7">
        <f t="shared" si="3"/>
        <v>30</v>
      </c>
      <c r="AH80" s="7">
        <f t="shared" si="3"/>
        <v>30</v>
      </c>
      <c r="AI80" s="7">
        <f t="shared" si="3"/>
        <v>10</v>
      </c>
      <c r="AJ80" s="7">
        <f t="shared" si="3"/>
        <v>0</v>
      </c>
      <c r="AK80" s="7">
        <f t="shared" si="3"/>
        <v>0</v>
      </c>
      <c r="AL80" s="7">
        <f t="shared" si="3"/>
        <v>0</v>
      </c>
      <c r="AM80" s="7">
        <f t="shared" si="3"/>
        <v>0</v>
      </c>
      <c r="AN80" s="7">
        <f t="shared" si="3"/>
        <v>0</v>
      </c>
      <c r="AO80" s="7">
        <f t="shared" si="3"/>
        <v>0</v>
      </c>
      <c r="AP80" s="7">
        <f t="shared" si="3"/>
        <v>0</v>
      </c>
      <c r="AQ80" s="7">
        <f t="shared" si="3"/>
        <v>0</v>
      </c>
      <c r="AR80" s="7">
        <f t="shared" si="3"/>
        <v>0</v>
      </c>
      <c r="AS80" s="7">
        <f t="shared" si="3"/>
        <v>0</v>
      </c>
      <c r="AT80" s="7">
        <f t="shared" si="3"/>
        <v>0</v>
      </c>
      <c r="AU80" s="7">
        <f t="shared" si="3"/>
        <v>0</v>
      </c>
      <c r="AV80" s="7">
        <f t="shared" si="3"/>
        <v>0</v>
      </c>
      <c r="AW80" s="7">
        <f t="shared" si="3"/>
        <v>0</v>
      </c>
    </row>
    <row r="81" spans="1:49" ht="14.5" hidden="1" outlineLevel="1" x14ac:dyDescent="0.35">
      <c r="A81" t="s">
        <v>12</v>
      </c>
      <c r="B81" t="s">
        <v>16</v>
      </c>
      <c r="C81" t="s">
        <v>104</v>
      </c>
      <c r="D81" t="s">
        <v>85</v>
      </c>
      <c r="E81" t="s">
        <v>77</v>
      </c>
      <c r="F81" s="11">
        <v>1.5</v>
      </c>
      <c r="G81" s="11">
        <v>1.5</v>
      </c>
      <c r="H81" s="11">
        <v>18.5</v>
      </c>
      <c r="I81" s="11">
        <v>-17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</row>
    <row r="82" spans="1:49" ht="14.5" hidden="1" outlineLevel="1" x14ac:dyDescent="0.35">
      <c r="A82" t="s">
        <v>12</v>
      </c>
      <c r="B82" t="s">
        <v>16</v>
      </c>
      <c r="C82" t="s">
        <v>104</v>
      </c>
      <c r="D82" t="s">
        <v>85</v>
      </c>
      <c r="E82" t="s">
        <v>80</v>
      </c>
      <c r="F82" s="11">
        <v>4</v>
      </c>
      <c r="G82" s="11">
        <v>185</v>
      </c>
      <c r="H82" s="11">
        <v>181</v>
      </c>
      <c r="I82" s="11">
        <v>4</v>
      </c>
      <c r="J82" s="11">
        <v>0</v>
      </c>
      <c r="K82" s="11">
        <v>6</v>
      </c>
      <c r="L82" s="11">
        <v>8</v>
      </c>
      <c r="M82" s="11">
        <v>8</v>
      </c>
      <c r="N82" s="11">
        <v>5</v>
      </c>
      <c r="O82" s="11">
        <v>2</v>
      </c>
      <c r="P82" s="11">
        <v>2</v>
      </c>
      <c r="Q82" s="11">
        <v>4</v>
      </c>
      <c r="R82" s="11">
        <v>4</v>
      </c>
      <c r="S82" s="11">
        <v>4</v>
      </c>
      <c r="T82" s="11">
        <v>7</v>
      </c>
      <c r="U82" s="11">
        <v>5</v>
      </c>
      <c r="V82" s="11">
        <v>4</v>
      </c>
      <c r="W82" s="11">
        <v>2</v>
      </c>
      <c r="X82" s="11">
        <v>3</v>
      </c>
      <c r="Y82" s="11">
        <v>5</v>
      </c>
      <c r="Z82" s="11">
        <v>0</v>
      </c>
      <c r="AA82" s="11">
        <v>0</v>
      </c>
      <c r="AB82" s="11">
        <v>10</v>
      </c>
      <c r="AC82" s="11">
        <v>10</v>
      </c>
      <c r="AD82" s="11">
        <v>12</v>
      </c>
      <c r="AE82" s="11">
        <v>15</v>
      </c>
      <c r="AF82" s="11">
        <v>20</v>
      </c>
      <c r="AG82" s="11">
        <v>20</v>
      </c>
      <c r="AH82" s="11">
        <v>15</v>
      </c>
      <c r="AI82" s="11">
        <v>10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</row>
    <row r="83" spans="1:49" ht="14.5" hidden="1" outlineLevel="1" x14ac:dyDescent="0.35">
      <c r="A83" t="s">
        <v>12</v>
      </c>
      <c r="B83" t="s">
        <v>16</v>
      </c>
      <c r="C83" t="s">
        <v>104</v>
      </c>
      <c r="D83" t="s">
        <v>85</v>
      </c>
      <c r="E83" t="s">
        <v>88</v>
      </c>
      <c r="F83" s="11">
        <v>10</v>
      </c>
      <c r="G83" s="11">
        <v>10</v>
      </c>
      <c r="H83" s="11">
        <v>0</v>
      </c>
      <c r="I83" s="11">
        <v>10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</row>
    <row r="84" spans="1:49" ht="14.5" hidden="1" outlineLevel="1" x14ac:dyDescent="0.35">
      <c r="A84" t="s">
        <v>12</v>
      </c>
      <c r="B84" t="s">
        <v>16</v>
      </c>
      <c r="C84" t="s">
        <v>104</v>
      </c>
      <c r="D84" t="s">
        <v>85</v>
      </c>
      <c r="E84" t="s">
        <v>103</v>
      </c>
      <c r="F84" s="11">
        <v>0</v>
      </c>
      <c r="G84" s="11">
        <v>0</v>
      </c>
      <c r="H84" s="11">
        <v>50</v>
      </c>
      <c r="I84" s="11">
        <v>-50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5</v>
      </c>
      <c r="AE84" s="11">
        <v>10</v>
      </c>
      <c r="AF84" s="11">
        <v>10</v>
      </c>
      <c r="AG84" s="11">
        <v>10</v>
      </c>
      <c r="AH84" s="11">
        <v>15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</row>
    <row r="85" spans="1:49" ht="14.5" collapsed="1" x14ac:dyDescent="0.35">
      <c r="A85" s="6" t="s">
        <v>93</v>
      </c>
      <c r="B85" s="6" t="s">
        <v>16</v>
      </c>
      <c r="C85" s="6" t="s">
        <v>18</v>
      </c>
      <c r="D85" s="6" t="s">
        <v>72</v>
      </c>
      <c r="E85" s="6" t="s">
        <v>73</v>
      </c>
      <c r="F85" s="7">
        <f t="shared" ref="F85:AW85" si="4">SUM(F86,F88,F90,F92,F94,F95,F96,F98,F100,F102,F104,F105,F107,F108)</f>
        <v>348.70000000000005</v>
      </c>
      <c r="G85" s="7">
        <f t="shared" si="4"/>
        <v>1470.5</v>
      </c>
      <c r="H85" s="7">
        <f t="shared" si="4"/>
        <v>1393.1999999999998</v>
      </c>
      <c r="I85" s="7">
        <f t="shared" si="4"/>
        <v>77.300000000000011</v>
      </c>
      <c r="J85" s="7">
        <f t="shared" si="4"/>
        <v>28.653509</v>
      </c>
      <c r="K85" s="7">
        <f t="shared" si="4"/>
        <v>29.653509</v>
      </c>
      <c r="L85" s="7">
        <f t="shared" si="4"/>
        <v>23.653509</v>
      </c>
      <c r="M85" s="7">
        <f t="shared" si="4"/>
        <v>12.653509</v>
      </c>
      <c r="N85" s="7">
        <f t="shared" si="4"/>
        <v>12.653509</v>
      </c>
      <c r="O85" s="7">
        <f t="shared" si="4"/>
        <v>17.653509</v>
      </c>
      <c r="P85" s="7">
        <f t="shared" si="4"/>
        <v>39.653509</v>
      </c>
      <c r="Q85" s="13">
        <f t="shared" si="4"/>
        <v>67.653509</v>
      </c>
      <c r="R85" s="13">
        <f t="shared" si="4"/>
        <v>69.653509</v>
      </c>
      <c r="S85" s="12">
        <f t="shared" si="4"/>
        <v>42.653509</v>
      </c>
      <c r="T85" s="7">
        <f t="shared" si="4"/>
        <v>32.653509</v>
      </c>
      <c r="U85" s="13">
        <f t="shared" si="4"/>
        <v>49.153509</v>
      </c>
      <c r="V85" s="7">
        <f t="shared" si="4"/>
        <v>39.653509</v>
      </c>
      <c r="W85" s="7">
        <f t="shared" si="4"/>
        <v>17.153509</v>
      </c>
      <c r="X85" s="7">
        <f t="shared" si="4"/>
        <v>2.6535089999999997</v>
      </c>
      <c r="Y85" s="7">
        <f t="shared" si="4"/>
        <v>11.653509</v>
      </c>
      <c r="Z85" s="7">
        <f t="shared" si="4"/>
        <v>2.6535089999999997</v>
      </c>
      <c r="AA85" s="7">
        <f t="shared" si="4"/>
        <v>1.6535089999999999</v>
      </c>
      <c r="AB85" s="12">
        <f t="shared" si="4"/>
        <v>56.903509</v>
      </c>
      <c r="AC85" s="13">
        <f t="shared" si="4"/>
        <v>65.903509</v>
      </c>
      <c r="AD85" s="7">
        <f t="shared" si="4"/>
        <v>50.903509</v>
      </c>
      <c r="AE85" s="12">
        <f t="shared" si="4"/>
        <v>55.903509</v>
      </c>
      <c r="AF85" s="12">
        <f t="shared" si="4"/>
        <v>57.003509000000001</v>
      </c>
      <c r="AG85" s="13">
        <f t="shared" si="4"/>
        <v>69.903509</v>
      </c>
      <c r="AH85" s="13">
        <f t="shared" si="4"/>
        <v>73.403509</v>
      </c>
      <c r="AI85" s="7">
        <f t="shared" si="4"/>
        <v>39.103509000000003</v>
      </c>
      <c r="AJ85" s="7">
        <f t="shared" si="4"/>
        <v>11.403509</v>
      </c>
      <c r="AK85" s="7">
        <f t="shared" si="4"/>
        <v>21.403509</v>
      </c>
      <c r="AL85" s="7">
        <f t="shared" si="4"/>
        <v>16.403509</v>
      </c>
      <c r="AM85" s="7">
        <f t="shared" si="4"/>
        <v>21.403509</v>
      </c>
      <c r="AN85" s="7">
        <f t="shared" si="4"/>
        <v>21.403509</v>
      </c>
      <c r="AO85" s="7">
        <f t="shared" si="4"/>
        <v>16.403509</v>
      </c>
      <c r="AP85" s="7">
        <f t="shared" si="4"/>
        <v>16.403509</v>
      </c>
      <c r="AQ85" s="7">
        <f t="shared" si="4"/>
        <v>16.403509</v>
      </c>
      <c r="AR85" s="7">
        <f t="shared" si="4"/>
        <v>16.403509</v>
      </c>
      <c r="AS85" s="7">
        <f t="shared" si="4"/>
        <v>16.403509</v>
      </c>
      <c r="AT85" s="7">
        <f t="shared" si="4"/>
        <v>6.4035089999999997</v>
      </c>
      <c r="AU85" s="7">
        <f t="shared" si="4"/>
        <v>0</v>
      </c>
      <c r="AV85" s="7">
        <f t="shared" si="4"/>
        <v>0</v>
      </c>
      <c r="AW85" s="7">
        <f t="shared" si="4"/>
        <v>0</v>
      </c>
    </row>
    <row r="86" spans="1:49" ht="14.5" hidden="1" outlineLevel="1" x14ac:dyDescent="0.35">
      <c r="A86" t="s">
        <v>29</v>
      </c>
      <c r="B86" t="s">
        <v>16</v>
      </c>
      <c r="C86" t="s">
        <v>18</v>
      </c>
      <c r="D86" t="s">
        <v>85</v>
      </c>
      <c r="E86" t="s">
        <v>95</v>
      </c>
      <c r="F86" s="11">
        <v>20</v>
      </c>
      <c r="G86" s="11">
        <v>250</v>
      </c>
      <c r="H86" s="11">
        <v>230</v>
      </c>
      <c r="I86" s="11">
        <v>20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5</v>
      </c>
      <c r="P86" s="11">
        <v>5</v>
      </c>
      <c r="Q86" s="11">
        <v>15</v>
      </c>
      <c r="R86" s="11">
        <v>15</v>
      </c>
      <c r="S86" s="11">
        <v>5</v>
      </c>
      <c r="T86" s="11">
        <v>5</v>
      </c>
      <c r="U86" s="11">
        <v>5</v>
      </c>
      <c r="V86" s="11">
        <v>5</v>
      </c>
      <c r="W86" s="11">
        <v>5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10</v>
      </c>
      <c r="AK86" s="11">
        <v>20</v>
      </c>
      <c r="AL86" s="11">
        <v>15</v>
      </c>
      <c r="AM86" s="11">
        <v>20</v>
      </c>
      <c r="AN86" s="11">
        <v>20</v>
      </c>
      <c r="AO86" s="11">
        <v>15</v>
      </c>
      <c r="AP86" s="11">
        <v>15</v>
      </c>
      <c r="AQ86" s="11">
        <v>15</v>
      </c>
      <c r="AR86" s="11">
        <v>15</v>
      </c>
      <c r="AS86" s="11">
        <v>15</v>
      </c>
      <c r="AT86" s="11">
        <v>5</v>
      </c>
      <c r="AU86" s="11">
        <v>0</v>
      </c>
      <c r="AV86" s="11">
        <v>0</v>
      </c>
      <c r="AW86" s="11">
        <v>0</v>
      </c>
    </row>
    <row r="87" spans="1:49" ht="14.5" hidden="1" outlineLevel="1" x14ac:dyDescent="0.35">
      <c r="A87" s="14" t="s">
        <v>29</v>
      </c>
      <c r="B87" s="14" t="s">
        <v>16</v>
      </c>
      <c r="C87" s="14" t="s">
        <v>18</v>
      </c>
      <c r="D87" s="14" t="s">
        <v>99</v>
      </c>
      <c r="E87" s="15" t="s">
        <v>95</v>
      </c>
      <c r="F87" s="16"/>
      <c r="G87" s="16"/>
      <c r="H87" s="16"/>
      <c r="I87" s="16"/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-5</v>
      </c>
      <c r="R87" s="16">
        <v>-5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</row>
    <row r="88" spans="1:49" ht="14.5" hidden="1" outlineLevel="1" x14ac:dyDescent="0.35">
      <c r="A88" t="s">
        <v>29</v>
      </c>
      <c r="B88" t="s">
        <v>16</v>
      </c>
      <c r="C88" t="s">
        <v>18</v>
      </c>
      <c r="D88" t="s">
        <v>85</v>
      </c>
      <c r="E88" t="s">
        <v>75</v>
      </c>
      <c r="F88" s="11">
        <v>175</v>
      </c>
      <c r="G88" s="11">
        <v>693</v>
      </c>
      <c r="H88" s="11">
        <v>565</v>
      </c>
      <c r="I88" s="11">
        <v>128</v>
      </c>
      <c r="J88" s="11">
        <v>10</v>
      </c>
      <c r="K88" s="11">
        <v>10</v>
      </c>
      <c r="L88" s="11">
        <v>10</v>
      </c>
      <c r="M88" s="11">
        <v>10</v>
      </c>
      <c r="N88" s="11">
        <v>10</v>
      </c>
      <c r="O88" s="11">
        <v>10</v>
      </c>
      <c r="P88" s="11">
        <v>30</v>
      </c>
      <c r="Q88" s="11">
        <v>30</v>
      </c>
      <c r="R88" s="11">
        <v>30</v>
      </c>
      <c r="S88" s="11">
        <v>25</v>
      </c>
      <c r="T88" s="11">
        <v>25</v>
      </c>
      <c r="U88" s="11">
        <v>25</v>
      </c>
      <c r="V88" s="11">
        <v>25</v>
      </c>
      <c r="W88" s="11">
        <v>0</v>
      </c>
      <c r="X88" s="11">
        <v>0</v>
      </c>
      <c r="Y88" s="11">
        <v>3</v>
      </c>
      <c r="Z88" s="11">
        <v>0</v>
      </c>
      <c r="AA88" s="11">
        <v>0</v>
      </c>
      <c r="AB88" s="11">
        <v>40</v>
      </c>
      <c r="AC88" s="11">
        <v>40</v>
      </c>
      <c r="AD88" s="11">
        <v>30</v>
      </c>
      <c r="AE88" s="11">
        <v>30</v>
      </c>
      <c r="AF88" s="11">
        <v>30</v>
      </c>
      <c r="AG88" s="11">
        <v>25</v>
      </c>
      <c r="AH88" s="11">
        <v>15</v>
      </c>
      <c r="AI88" s="11">
        <v>20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</row>
    <row r="89" spans="1:49" ht="14.5" hidden="1" outlineLevel="1" x14ac:dyDescent="0.35">
      <c r="A89" s="14" t="s">
        <v>29</v>
      </c>
      <c r="B89" s="14" t="s">
        <v>16</v>
      </c>
      <c r="C89" s="14" t="s">
        <v>18</v>
      </c>
      <c r="D89" s="14" t="s">
        <v>99</v>
      </c>
      <c r="E89" s="15" t="s">
        <v>75</v>
      </c>
      <c r="F89" s="16"/>
      <c r="G89" s="16"/>
      <c r="H89" s="16"/>
      <c r="I89" s="16"/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-5</v>
      </c>
      <c r="AD89" s="16">
        <v>0</v>
      </c>
      <c r="AE89" s="16">
        <v>0</v>
      </c>
      <c r="AF89" s="16">
        <v>0</v>
      </c>
      <c r="AG89" s="16">
        <v>0</v>
      </c>
      <c r="AH89" s="16">
        <v>-15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</row>
    <row r="90" spans="1:49" ht="14.5" hidden="1" outlineLevel="1" x14ac:dyDescent="0.35">
      <c r="A90" t="s">
        <v>12</v>
      </c>
      <c r="B90" t="s">
        <v>16</v>
      </c>
      <c r="C90" t="s">
        <v>18</v>
      </c>
      <c r="D90" t="s">
        <v>85</v>
      </c>
      <c r="E90" t="s">
        <v>77</v>
      </c>
      <c r="F90" s="11">
        <v>22.9</v>
      </c>
      <c r="G90" s="11">
        <v>74.900000000000006</v>
      </c>
      <c r="H90" s="11">
        <v>80.900000000000006</v>
      </c>
      <c r="I90" s="11">
        <v>-5.9999999999999902</v>
      </c>
      <c r="J90" s="11">
        <v>1.4035089999999999</v>
      </c>
      <c r="K90" s="11">
        <v>1.4035089999999999</v>
      </c>
      <c r="L90" s="11">
        <v>1.4035089999999999</v>
      </c>
      <c r="M90" s="11">
        <v>1.4035089999999999</v>
      </c>
      <c r="N90" s="11">
        <v>1.4035089999999999</v>
      </c>
      <c r="O90" s="11">
        <v>1.4035089999999999</v>
      </c>
      <c r="P90" s="11">
        <v>1.4035089999999999</v>
      </c>
      <c r="Q90" s="11">
        <v>1.4035089999999999</v>
      </c>
      <c r="R90" s="11">
        <v>1.4035089999999999</v>
      </c>
      <c r="S90" s="11">
        <v>1.4035089999999999</v>
      </c>
      <c r="T90" s="11">
        <v>1.4035089999999999</v>
      </c>
      <c r="U90" s="11">
        <v>1.4035089999999999</v>
      </c>
      <c r="V90" s="11">
        <v>1.4035089999999999</v>
      </c>
      <c r="W90" s="11">
        <v>1.4035089999999999</v>
      </c>
      <c r="X90" s="11">
        <v>1.4035089999999999</v>
      </c>
      <c r="Y90" s="11">
        <v>1.4035089999999999</v>
      </c>
      <c r="Z90" s="11">
        <v>1.4035089999999999</v>
      </c>
      <c r="AA90" s="11">
        <v>1.4035089999999999</v>
      </c>
      <c r="AB90" s="11">
        <v>1.4035089999999999</v>
      </c>
      <c r="AC90" s="11">
        <v>1.4035089999999999</v>
      </c>
      <c r="AD90" s="11">
        <v>1.4035089999999999</v>
      </c>
      <c r="AE90" s="11">
        <v>1.4035089999999999</v>
      </c>
      <c r="AF90" s="11">
        <v>1.4035089999999999</v>
      </c>
      <c r="AG90" s="11">
        <v>1.4035089999999999</v>
      </c>
      <c r="AH90" s="11">
        <v>1.4035089999999999</v>
      </c>
      <c r="AI90" s="11">
        <v>1.4035089999999999</v>
      </c>
      <c r="AJ90" s="11">
        <v>1.4035089999999999</v>
      </c>
      <c r="AK90" s="11">
        <v>1.4035089999999999</v>
      </c>
      <c r="AL90" s="11">
        <v>1.4035089999999999</v>
      </c>
      <c r="AM90" s="11">
        <v>1.4035089999999999</v>
      </c>
      <c r="AN90" s="11">
        <v>1.4035089999999999</v>
      </c>
      <c r="AO90" s="11">
        <v>1.4035089999999999</v>
      </c>
      <c r="AP90" s="11">
        <v>1.4035089999999999</v>
      </c>
      <c r="AQ90" s="11">
        <v>1.4035089999999999</v>
      </c>
      <c r="AR90" s="11">
        <v>1.4035089999999999</v>
      </c>
      <c r="AS90" s="11">
        <v>1.4035089999999999</v>
      </c>
      <c r="AT90" s="11">
        <v>1.4035089999999999</v>
      </c>
      <c r="AU90" s="11">
        <v>0</v>
      </c>
      <c r="AV90" s="11">
        <v>0</v>
      </c>
      <c r="AW90" s="11">
        <v>0</v>
      </c>
    </row>
    <row r="91" spans="1:49" ht="14.5" hidden="1" outlineLevel="1" x14ac:dyDescent="0.35">
      <c r="A91" s="14" t="s">
        <v>12</v>
      </c>
      <c r="B91" s="14" t="s">
        <v>16</v>
      </c>
      <c r="C91" s="14" t="s">
        <v>18</v>
      </c>
      <c r="D91" s="14" t="s">
        <v>99</v>
      </c>
      <c r="E91" s="15" t="s">
        <v>77</v>
      </c>
      <c r="F91" s="16"/>
      <c r="G91" s="16"/>
      <c r="H91" s="16"/>
      <c r="I91" s="16"/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-1.4035089999999999</v>
      </c>
      <c r="R91" s="16">
        <v>-1.4035089999999999</v>
      </c>
      <c r="S91" s="16">
        <v>-1.4035089999999999</v>
      </c>
      <c r="T91" s="16">
        <v>0</v>
      </c>
      <c r="U91" s="16">
        <v>-1.4035089999999999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-0.40350900000000001</v>
      </c>
      <c r="AC91" s="16">
        <v>-1.4035089999999999</v>
      </c>
      <c r="AD91" s="16">
        <v>0</v>
      </c>
      <c r="AE91" s="16">
        <v>0</v>
      </c>
      <c r="AF91" s="16">
        <v>-1.4035089999999999</v>
      </c>
      <c r="AG91" s="16">
        <v>-1.4035089999999999</v>
      </c>
      <c r="AH91" s="16">
        <v>-1.4035089999999999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</row>
    <row r="92" spans="1:49" ht="14.5" hidden="1" outlineLevel="1" x14ac:dyDescent="0.35">
      <c r="A92" t="s">
        <v>12</v>
      </c>
      <c r="B92" t="s">
        <v>16</v>
      </c>
      <c r="C92" t="s">
        <v>18</v>
      </c>
      <c r="D92" t="s">
        <v>85</v>
      </c>
      <c r="E92" t="s">
        <v>78</v>
      </c>
      <c r="F92" s="11">
        <v>3.3</v>
      </c>
      <c r="G92" s="11">
        <v>12.1</v>
      </c>
      <c r="H92" s="11">
        <v>9.3000000000000007</v>
      </c>
      <c r="I92" s="11">
        <v>2.8</v>
      </c>
      <c r="J92" s="11">
        <v>0.25</v>
      </c>
      <c r="K92" s="11">
        <v>0.25</v>
      </c>
      <c r="L92" s="11">
        <v>0.25</v>
      </c>
      <c r="M92" s="11">
        <v>0.25</v>
      </c>
      <c r="N92" s="11">
        <v>0.25</v>
      </c>
      <c r="O92" s="11">
        <v>0.25</v>
      </c>
      <c r="P92" s="11">
        <v>0.25</v>
      </c>
      <c r="Q92" s="11">
        <v>0.25</v>
      </c>
      <c r="R92" s="11">
        <v>0.25</v>
      </c>
      <c r="S92" s="11">
        <v>0.25</v>
      </c>
      <c r="T92" s="11">
        <v>0.25</v>
      </c>
      <c r="U92" s="11">
        <v>0.25</v>
      </c>
      <c r="V92" s="11">
        <v>0.25</v>
      </c>
      <c r="W92" s="11">
        <v>0.25</v>
      </c>
      <c r="X92" s="11">
        <v>0.25</v>
      </c>
      <c r="Y92" s="11">
        <v>0.25</v>
      </c>
      <c r="Z92" s="11">
        <v>0.25</v>
      </c>
      <c r="AA92" s="11">
        <v>0.25</v>
      </c>
      <c r="AB92" s="11">
        <v>0.5</v>
      </c>
      <c r="AC92" s="11">
        <v>0.5</v>
      </c>
      <c r="AD92" s="11">
        <v>0.5</v>
      </c>
      <c r="AE92" s="11">
        <v>0.5</v>
      </c>
      <c r="AF92" s="11">
        <v>0.6</v>
      </c>
      <c r="AG92" s="11">
        <v>0.5</v>
      </c>
      <c r="AH92" s="11">
        <v>1</v>
      </c>
      <c r="AI92" s="11">
        <v>0.7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</row>
    <row r="93" spans="1:49" ht="14.5" hidden="1" outlineLevel="1" x14ac:dyDescent="0.35">
      <c r="A93" s="14" t="s">
        <v>12</v>
      </c>
      <c r="B93" s="14" t="s">
        <v>16</v>
      </c>
      <c r="C93" s="14" t="s">
        <v>18</v>
      </c>
      <c r="D93" s="14" t="s">
        <v>99</v>
      </c>
      <c r="E93" s="15" t="s">
        <v>78</v>
      </c>
      <c r="F93" s="16"/>
      <c r="G93" s="16"/>
      <c r="H93" s="16"/>
      <c r="I93" s="16"/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-0.25</v>
      </c>
      <c r="R93" s="16">
        <v>-0.25</v>
      </c>
      <c r="S93" s="16">
        <v>-0.25</v>
      </c>
      <c r="T93" s="16">
        <v>0</v>
      </c>
      <c r="U93" s="16">
        <v>-0.25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-0.5</v>
      </c>
      <c r="AC93" s="16">
        <v>-0.5</v>
      </c>
      <c r="AD93" s="16">
        <v>0</v>
      </c>
      <c r="AE93" s="16">
        <v>-0.5</v>
      </c>
      <c r="AF93" s="16">
        <v>-0.6</v>
      </c>
      <c r="AG93" s="16">
        <v>-0.5</v>
      </c>
      <c r="AH93" s="16">
        <v>-1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</row>
    <row r="94" spans="1:49" ht="14.5" hidden="1" outlineLevel="1" x14ac:dyDescent="0.35">
      <c r="A94" t="s">
        <v>12</v>
      </c>
      <c r="B94" t="s">
        <v>16</v>
      </c>
      <c r="C94" t="s">
        <v>18</v>
      </c>
      <c r="D94" t="s">
        <v>85</v>
      </c>
      <c r="E94" t="s">
        <v>87</v>
      </c>
      <c r="F94" s="11">
        <v>4</v>
      </c>
      <c r="G94" s="11">
        <v>4</v>
      </c>
      <c r="H94" s="11">
        <v>4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</row>
    <row r="95" spans="1:49" ht="14.5" hidden="1" outlineLevel="1" x14ac:dyDescent="0.35">
      <c r="A95" t="s">
        <v>12</v>
      </c>
      <c r="B95" t="s">
        <v>16</v>
      </c>
      <c r="C95" t="s">
        <v>18</v>
      </c>
      <c r="D95" t="s">
        <v>85</v>
      </c>
      <c r="E95" t="s">
        <v>88</v>
      </c>
      <c r="F95" s="11">
        <v>3</v>
      </c>
      <c r="G95" s="11">
        <v>3</v>
      </c>
      <c r="H95" s="11">
        <v>9</v>
      </c>
      <c r="I95" s="11">
        <v>-6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</row>
    <row r="96" spans="1:49" ht="14.5" hidden="1" outlineLevel="1" x14ac:dyDescent="0.35">
      <c r="A96" t="s">
        <v>12</v>
      </c>
      <c r="B96" t="s">
        <v>16</v>
      </c>
      <c r="C96" t="s">
        <v>18</v>
      </c>
      <c r="D96" t="s">
        <v>85</v>
      </c>
      <c r="E96" t="s">
        <v>89</v>
      </c>
      <c r="F96" s="11">
        <v>0</v>
      </c>
      <c r="G96" s="11">
        <v>3</v>
      </c>
      <c r="H96" s="11">
        <v>3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1</v>
      </c>
      <c r="R96" s="11">
        <v>2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</row>
    <row r="97" spans="1:49" ht="14.5" hidden="1" outlineLevel="1" x14ac:dyDescent="0.35">
      <c r="A97" s="14" t="s">
        <v>12</v>
      </c>
      <c r="B97" s="14" t="s">
        <v>16</v>
      </c>
      <c r="C97" s="14" t="s">
        <v>18</v>
      </c>
      <c r="D97" s="14" t="s">
        <v>99</v>
      </c>
      <c r="E97" s="15" t="s">
        <v>89</v>
      </c>
      <c r="F97" s="16"/>
      <c r="G97" s="16"/>
      <c r="H97" s="16"/>
      <c r="I97" s="16"/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-1</v>
      </c>
      <c r="R97" s="16">
        <v>-2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</row>
    <row r="98" spans="1:49" ht="14.5" hidden="1" outlineLevel="1" x14ac:dyDescent="0.35">
      <c r="A98" t="s">
        <v>12</v>
      </c>
      <c r="B98" t="s">
        <v>16</v>
      </c>
      <c r="C98" t="s">
        <v>18</v>
      </c>
      <c r="D98" t="s">
        <v>85</v>
      </c>
      <c r="E98" t="s">
        <v>40</v>
      </c>
      <c r="F98" s="11">
        <v>0</v>
      </c>
      <c r="G98" s="11">
        <v>15</v>
      </c>
      <c r="H98" s="11">
        <v>15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5</v>
      </c>
      <c r="AH98" s="11">
        <v>5</v>
      </c>
      <c r="AI98" s="11">
        <v>5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</row>
    <row r="99" spans="1:49" ht="14.5" hidden="1" outlineLevel="1" x14ac:dyDescent="0.35">
      <c r="A99" s="14" t="s">
        <v>12</v>
      </c>
      <c r="B99" s="14" t="s">
        <v>16</v>
      </c>
      <c r="C99" s="14" t="s">
        <v>18</v>
      </c>
      <c r="D99" s="14" t="s">
        <v>99</v>
      </c>
      <c r="E99" s="15" t="s">
        <v>40</v>
      </c>
      <c r="F99" s="16"/>
      <c r="G99" s="16"/>
      <c r="H99" s="16"/>
      <c r="I99" s="16"/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-5</v>
      </c>
      <c r="AH99" s="16">
        <v>-1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</row>
    <row r="100" spans="1:49" ht="14.5" hidden="1" outlineLevel="1" x14ac:dyDescent="0.35">
      <c r="A100" t="s">
        <v>12</v>
      </c>
      <c r="B100" t="s">
        <v>16</v>
      </c>
      <c r="C100" t="s">
        <v>18</v>
      </c>
      <c r="D100" t="s">
        <v>85</v>
      </c>
      <c r="E100" t="s">
        <v>81</v>
      </c>
      <c r="F100" s="11">
        <v>8</v>
      </c>
      <c r="G100" s="11">
        <v>8</v>
      </c>
      <c r="H100" s="11">
        <v>124.5</v>
      </c>
      <c r="I100" s="11">
        <v>-116.5</v>
      </c>
      <c r="J100" s="11">
        <v>1</v>
      </c>
      <c r="K100" s="11">
        <v>8</v>
      </c>
      <c r="L100" s="11">
        <v>12</v>
      </c>
      <c r="M100" s="11">
        <v>1</v>
      </c>
      <c r="N100" s="11">
        <v>1</v>
      </c>
      <c r="O100" s="11">
        <v>1</v>
      </c>
      <c r="P100" s="11">
        <v>1</v>
      </c>
      <c r="Q100" s="11">
        <v>1</v>
      </c>
      <c r="R100" s="11">
        <v>1</v>
      </c>
      <c r="S100" s="11">
        <v>1</v>
      </c>
      <c r="T100" s="11">
        <v>1</v>
      </c>
      <c r="U100" s="11">
        <v>2.5</v>
      </c>
      <c r="V100" s="11">
        <v>8</v>
      </c>
      <c r="W100" s="11">
        <v>10.5</v>
      </c>
      <c r="X100" s="11">
        <v>1</v>
      </c>
      <c r="Y100" s="11">
        <v>1</v>
      </c>
      <c r="Z100" s="11">
        <v>1</v>
      </c>
      <c r="AA100" s="11">
        <v>0</v>
      </c>
      <c r="AB100" s="11">
        <v>3</v>
      </c>
      <c r="AC100" s="11">
        <v>1</v>
      </c>
      <c r="AD100" s="11">
        <v>1</v>
      </c>
      <c r="AE100" s="11">
        <v>1</v>
      </c>
      <c r="AF100" s="11">
        <v>2</v>
      </c>
      <c r="AG100" s="11">
        <v>10</v>
      </c>
      <c r="AH100" s="11">
        <v>12</v>
      </c>
      <c r="AI100" s="11">
        <v>2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</row>
    <row r="101" spans="1:49" ht="14.5" hidden="1" outlineLevel="1" x14ac:dyDescent="0.35">
      <c r="A101" s="14" t="s">
        <v>12</v>
      </c>
      <c r="B101" s="14" t="s">
        <v>16</v>
      </c>
      <c r="C101" s="14" t="s">
        <v>18</v>
      </c>
      <c r="D101" s="14" t="s">
        <v>99</v>
      </c>
      <c r="E101" s="15" t="s">
        <v>81</v>
      </c>
      <c r="F101" s="16"/>
      <c r="G101" s="16"/>
      <c r="H101" s="16"/>
      <c r="I101" s="16"/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-1</v>
      </c>
      <c r="R101" s="16">
        <v>-1</v>
      </c>
      <c r="S101" s="16">
        <v>-1</v>
      </c>
      <c r="T101" s="16">
        <v>0</v>
      </c>
      <c r="U101" s="16">
        <v>-2.5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-1</v>
      </c>
      <c r="AD101" s="16">
        <v>0</v>
      </c>
      <c r="AE101" s="16">
        <v>-0.40350900000000001</v>
      </c>
      <c r="AF101" s="16">
        <v>0</v>
      </c>
      <c r="AG101" s="16">
        <v>-8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</row>
    <row r="102" spans="1:49" ht="14.5" hidden="1" outlineLevel="1" x14ac:dyDescent="0.35">
      <c r="A102" t="s">
        <v>12</v>
      </c>
      <c r="B102" t="s">
        <v>16</v>
      </c>
      <c r="C102" t="s">
        <v>18</v>
      </c>
      <c r="D102" t="s">
        <v>85</v>
      </c>
      <c r="E102" t="s">
        <v>103</v>
      </c>
      <c r="F102" s="11">
        <v>65.5</v>
      </c>
      <c r="G102" s="11">
        <v>284.5</v>
      </c>
      <c r="H102" s="11">
        <v>248.5</v>
      </c>
      <c r="I102" s="11">
        <v>36</v>
      </c>
      <c r="J102" s="11">
        <v>16</v>
      </c>
      <c r="K102" s="11">
        <v>10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10</v>
      </c>
      <c r="R102" s="11">
        <v>10</v>
      </c>
      <c r="S102" s="11">
        <v>10</v>
      </c>
      <c r="T102" s="11">
        <v>0</v>
      </c>
      <c r="U102" s="11">
        <v>15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11</v>
      </c>
      <c r="AC102" s="11">
        <v>20</v>
      </c>
      <c r="AD102" s="11">
        <v>13</v>
      </c>
      <c r="AE102" s="11">
        <v>18</v>
      </c>
      <c r="AF102" s="11">
        <v>18</v>
      </c>
      <c r="AG102" s="11">
        <v>18</v>
      </c>
      <c r="AH102" s="11">
        <v>29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</row>
    <row r="103" spans="1:49" ht="14.5" hidden="1" outlineLevel="1" x14ac:dyDescent="0.35">
      <c r="A103" s="14" t="s">
        <v>12</v>
      </c>
      <c r="B103" s="14" t="s">
        <v>16</v>
      </c>
      <c r="C103" s="14" t="s">
        <v>18</v>
      </c>
      <c r="D103" s="14" t="s">
        <v>99</v>
      </c>
      <c r="E103" s="15" t="s">
        <v>103</v>
      </c>
      <c r="F103" s="16"/>
      <c r="G103" s="16"/>
      <c r="H103" s="16"/>
      <c r="I103" s="16"/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-10</v>
      </c>
      <c r="R103" s="16">
        <v>-10</v>
      </c>
      <c r="S103" s="16">
        <v>0</v>
      </c>
      <c r="T103" s="16">
        <v>0</v>
      </c>
      <c r="U103" s="16">
        <v>-5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</row>
    <row r="104" spans="1:49" ht="14.5" hidden="1" outlineLevel="1" x14ac:dyDescent="0.35">
      <c r="A104" t="s">
        <v>12</v>
      </c>
      <c r="B104" t="s">
        <v>16</v>
      </c>
      <c r="C104" t="s">
        <v>18</v>
      </c>
      <c r="D104" t="s">
        <v>85</v>
      </c>
      <c r="E104" t="s">
        <v>90</v>
      </c>
      <c r="F104" s="11">
        <v>0</v>
      </c>
      <c r="G104" s="11">
        <v>0</v>
      </c>
      <c r="H104" s="11">
        <v>10</v>
      </c>
      <c r="I104" s="11">
        <v>-10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</row>
    <row r="105" spans="1:49" ht="14.5" hidden="1" outlineLevel="1" x14ac:dyDescent="0.35">
      <c r="A105" t="s">
        <v>12</v>
      </c>
      <c r="B105" t="s">
        <v>16</v>
      </c>
      <c r="C105" t="s">
        <v>18</v>
      </c>
      <c r="D105" t="s">
        <v>85</v>
      </c>
      <c r="E105" t="s">
        <v>98</v>
      </c>
      <c r="F105" s="11">
        <v>39</v>
      </c>
      <c r="G105" s="11">
        <v>98</v>
      </c>
      <c r="H105" s="11">
        <v>64</v>
      </c>
      <c r="I105" s="11">
        <v>34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2</v>
      </c>
      <c r="Q105" s="11">
        <v>2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6</v>
      </c>
      <c r="Z105" s="11">
        <v>0</v>
      </c>
      <c r="AA105" s="11">
        <v>0</v>
      </c>
      <c r="AB105" s="11">
        <v>1</v>
      </c>
      <c r="AC105" s="11">
        <v>3</v>
      </c>
      <c r="AD105" s="11">
        <v>5</v>
      </c>
      <c r="AE105" s="11">
        <v>5</v>
      </c>
      <c r="AF105" s="11">
        <v>5</v>
      </c>
      <c r="AG105" s="11">
        <v>10</v>
      </c>
      <c r="AH105" s="11">
        <v>10</v>
      </c>
      <c r="AI105" s="11">
        <v>10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</row>
    <row r="106" spans="1:49" ht="14.5" hidden="1" outlineLevel="1" x14ac:dyDescent="0.35">
      <c r="A106" s="14" t="s">
        <v>12</v>
      </c>
      <c r="B106" s="14" t="s">
        <v>16</v>
      </c>
      <c r="C106" s="14" t="s">
        <v>18</v>
      </c>
      <c r="D106" s="14" t="s">
        <v>99</v>
      </c>
      <c r="E106" s="15" t="s">
        <v>98</v>
      </c>
      <c r="F106" s="16"/>
      <c r="G106" s="16"/>
      <c r="H106" s="16"/>
      <c r="I106" s="16"/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-2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-1</v>
      </c>
      <c r="AC106" s="16">
        <v>-3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</row>
    <row r="107" spans="1:49" ht="14.5" hidden="1" outlineLevel="1" x14ac:dyDescent="0.35">
      <c r="A107" t="s">
        <v>12</v>
      </c>
      <c r="B107" t="s">
        <v>16</v>
      </c>
      <c r="C107" t="s">
        <v>18</v>
      </c>
      <c r="D107" t="s">
        <v>85</v>
      </c>
      <c r="E107" t="s">
        <v>91</v>
      </c>
      <c r="F107" s="11">
        <v>8</v>
      </c>
      <c r="G107" s="11">
        <v>8</v>
      </c>
      <c r="H107" s="11">
        <v>13</v>
      </c>
      <c r="I107" s="11">
        <v>-5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</row>
    <row r="108" spans="1:49" ht="14.5" hidden="1" outlineLevel="1" x14ac:dyDescent="0.35">
      <c r="A108" t="s">
        <v>12</v>
      </c>
      <c r="B108" t="s">
        <v>16</v>
      </c>
      <c r="C108" t="s">
        <v>18</v>
      </c>
      <c r="D108" t="s">
        <v>85</v>
      </c>
      <c r="E108" t="s">
        <v>92</v>
      </c>
      <c r="F108" s="11">
        <v>0</v>
      </c>
      <c r="G108" s="11">
        <v>17</v>
      </c>
      <c r="H108" s="11">
        <v>17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7</v>
      </c>
      <c r="R108" s="11">
        <v>10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</row>
    <row r="109" spans="1:49" ht="14.5" hidden="1" outlineLevel="1" x14ac:dyDescent="0.35">
      <c r="A109" s="14" t="s">
        <v>12</v>
      </c>
      <c r="B109" s="14" t="s">
        <v>16</v>
      </c>
      <c r="C109" s="14" t="s">
        <v>18</v>
      </c>
      <c r="D109" s="14" t="s">
        <v>99</v>
      </c>
      <c r="E109" s="15" t="s">
        <v>92</v>
      </c>
      <c r="F109" s="16"/>
      <c r="G109" s="16"/>
      <c r="H109" s="16"/>
      <c r="I109" s="16"/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-7</v>
      </c>
      <c r="R109" s="16">
        <v>-10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</row>
    <row r="110" spans="1:49" ht="14.5" collapsed="1" x14ac:dyDescent="0.35">
      <c r="A110" s="6" t="s">
        <v>12</v>
      </c>
      <c r="B110" s="6" t="s">
        <v>16</v>
      </c>
      <c r="C110" s="6" t="s">
        <v>105</v>
      </c>
      <c r="D110" s="6" t="s">
        <v>72</v>
      </c>
      <c r="E110" s="6" t="s">
        <v>73</v>
      </c>
      <c r="F110" s="7">
        <f t="shared" ref="F110:AW110" si="5">SUM(F111,F112)</f>
        <v>13.5</v>
      </c>
      <c r="G110" s="7">
        <f t="shared" si="5"/>
        <v>13.5</v>
      </c>
      <c r="H110" s="7">
        <f t="shared" si="5"/>
        <v>0</v>
      </c>
      <c r="I110" s="7">
        <f t="shared" si="5"/>
        <v>13.5</v>
      </c>
      <c r="J110" s="7">
        <f t="shared" si="5"/>
        <v>0</v>
      </c>
      <c r="K110" s="7">
        <f t="shared" si="5"/>
        <v>0</v>
      </c>
      <c r="L110" s="7">
        <f t="shared" si="5"/>
        <v>0</v>
      </c>
      <c r="M110" s="7">
        <f t="shared" si="5"/>
        <v>0</v>
      </c>
      <c r="N110" s="7">
        <f t="shared" si="5"/>
        <v>0</v>
      </c>
      <c r="O110" s="7">
        <f t="shared" si="5"/>
        <v>0</v>
      </c>
      <c r="P110" s="7">
        <f t="shared" si="5"/>
        <v>0</v>
      </c>
      <c r="Q110" s="7">
        <f t="shared" si="5"/>
        <v>0</v>
      </c>
      <c r="R110" s="7">
        <f t="shared" si="5"/>
        <v>0</v>
      </c>
      <c r="S110" s="7">
        <f t="shared" si="5"/>
        <v>0</v>
      </c>
      <c r="T110" s="7">
        <f t="shared" si="5"/>
        <v>0</v>
      </c>
      <c r="U110" s="7">
        <f t="shared" si="5"/>
        <v>0</v>
      </c>
      <c r="V110" s="7">
        <f t="shared" si="5"/>
        <v>0</v>
      </c>
      <c r="W110" s="7">
        <f t="shared" si="5"/>
        <v>0</v>
      </c>
      <c r="X110" s="7">
        <f t="shared" si="5"/>
        <v>0</v>
      </c>
      <c r="Y110" s="7">
        <f t="shared" si="5"/>
        <v>0</v>
      </c>
      <c r="Z110" s="7">
        <f t="shared" si="5"/>
        <v>0</v>
      </c>
      <c r="AA110" s="7">
        <f t="shared" si="5"/>
        <v>0</v>
      </c>
      <c r="AB110" s="7">
        <f t="shared" si="5"/>
        <v>0</v>
      </c>
      <c r="AC110" s="7">
        <f t="shared" si="5"/>
        <v>0</v>
      </c>
      <c r="AD110" s="7">
        <f t="shared" si="5"/>
        <v>0</v>
      </c>
      <c r="AE110" s="7">
        <f t="shared" si="5"/>
        <v>0</v>
      </c>
      <c r="AF110" s="7">
        <f t="shared" si="5"/>
        <v>0</v>
      </c>
      <c r="AG110" s="7">
        <f t="shared" si="5"/>
        <v>0</v>
      </c>
      <c r="AH110" s="7">
        <f t="shared" si="5"/>
        <v>0</v>
      </c>
      <c r="AI110" s="7">
        <f t="shared" si="5"/>
        <v>0</v>
      </c>
      <c r="AJ110" s="7">
        <f t="shared" si="5"/>
        <v>0</v>
      </c>
      <c r="AK110" s="7">
        <f t="shared" si="5"/>
        <v>0</v>
      </c>
      <c r="AL110" s="7">
        <f t="shared" si="5"/>
        <v>0</v>
      </c>
      <c r="AM110" s="7">
        <f t="shared" si="5"/>
        <v>0</v>
      </c>
      <c r="AN110" s="7">
        <f t="shared" si="5"/>
        <v>0</v>
      </c>
      <c r="AO110" s="7">
        <f t="shared" si="5"/>
        <v>0</v>
      </c>
      <c r="AP110" s="7">
        <f t="shared" si="5"/>
        <v>0</v>
      </c>
      <c r="AQ110" s="7">
        <f t="shared" si="5"/>
        <v>0</v>
      </c>
      <c r="AR110" s="7">
        <f t="shared" si="5"/>
        <v>0</v>
      </c>
      <c r="AS110" s="7">
        <f t="shared" si="5"/>
        <v>0</v>
      </c>
      <c r="AT110" s="7">
        <f t="shared" si="5"/>
        <v>0</v>
      </c>
      <c r="AU110" s="7">
        <f t="shared" si="5"/>
        <v>0</v>
      </c>
      <c r="AV110" s="7">
        <f t="shared" si="5"/>
        <v>0</v>
      </c>
      <c r="AW110" s="7">
        <f t="shared" si="5"/>
        <v>0</v>
      </c>
    </row>
    <row r="111" spans="1:49" ht="14.5" hidden="1" outlineLevel="1" x14ac:dyDescent="0.35">
      <c r="A111" t="s">
        <v>12</v>
      </c>
      <c r="B111" t="s">
        <v>16</v>
      </c>
      <c r="C111" t="s">
        <v>105</v>
      </c>
      <c r="D111" t="s">
        <v>85</v>
      </c>
      <c r="E111" t="s">
        <v>106</v>
      </c>
      <c r="F111" s="11">
        <v>10</v>
      </c>
      <c r="G111" s="11">
        <v>10</v>
      </c>
      <c r="H111" s="11">
        <v>0</v>
      </c>
      <c r="I111" s="11">
        <v>10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</row>
    <row r="112" spans="1:49" ht="14.5" hidden="1" outlineLevel="1" x14ac:dyDescent="0.35">
      <c r="A112" t="s">
        <v>12</v>
      </c>
      <c r="B112" t="s">
        <v>16</v>
      </c>
      <c r="C112" t="s">
        <v>105</v>
      </c>
      <c r="D112" t="s">
        <v>85</v>
      </c>
      <c r="E112" t="s">
        <v>90</v>
      </c>
      <c r="F112" s="11">
        <v>3.5</v>
      </c>
      <c r="G112" s="11">
        <v>3.5</v>
      </c>
      <c r="H112" s="11">
        <v>0</v>
      </c>
      <c r="I112" s="11">
        <v>3.5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</row>
    <row r="113" spans="1:49" ht="14.5" collapsed="1" x14ac:dyDescent="0.35">
      <c r="A113" s="6" t="s">
        <v>12</v>
      </c>
      <c r="B113" s="6" t="s">
        <v>16</v>
      </c>
      <c r="C113" s="6" t="s">
        <v>107</v>
      </c>
      <c r="D113" s="6" t="s">
        <v>72</v>
      </c>
      <c r="E113" s="6" t="s">
        <v>73</v>
      </c>
      <c r="F113" s="7">
        <f t="shared" ref="F113:AW113" si="6">SUM(F114,F115)</f>
        <v>67</v>
      </c>
      <c r="G113" s="7">
        <f t="shared" si="6"/>
        <v>83</v>
      </c>
      <c r="H113" s="7">
        <f t="shared" si="6"/>
        <v>16</v>
      </c>
      <c r="I113" s="7">
        <f t="shared" si="6"/>
        <v>67</v>
      </c>
      <c r="J113" s="7">
        <f t="shared" si="6"/>
        <v>0</v>
      </c>
      <c r="K113" s="7">
        <f t="shared" si="6"/>
        <v>0</v>
      </c>
      <c r="L113" s="7">
        <f t="shared" si="6"/>
        <v>0</v>
      </c>
      <c r="M113" s="7">
        <f t="shared" si="6"/>
        <v>0</v>
      </c>
      <c r="N113" s="7">
        <f t="shared" si="6"/>
        <v>0</v>
      </c>
      <c r="O113" s="7">
        <f t="shared" si="6"/>
        <v>0</v>
      </c>
      <c r="P113" s="7">
        <f t="shared" si="6"/>
        <v>0</v>
      </c>
      <c r="Q113" s="7">
        <f t="shared" si="6"/>
        <v>0</v>
      </c>
      <c r="R113" s="7">
        <f t="shared" si="6"/>
        <v>0</v>
      </c>
      <c r="S113" s="7">
        <f t="shared" si="6"/>
        <v>0</v>
      </c>
      <c r="T113" s="7">
        <f t="shared" si="6"/>
        <v>0</v>
      </c>
      <c r="U113" s="7">
        <f t="shared" si="6"/>
        <v>0</v>
      </c>
      <c r="V113" s="7">
        <f t="shared" si="6"/>
        <v>0</v>
      </c>
      <c r="W113" s="7">
        <f t="shared" si="6"/>
        <v>0</v>
      </c>
      <c r="X113" s="7">
        <f t="shared" si="6"/>
        <v>0</v>
      </c>
      <c r="Y113" s="7">
        <f t="shared" si="6"/>
        <v>0</v>
      </c>
      <c r="Z113" s="7">
        <f t="shared" si="6"/>
        <v>0</v>
      </c>
      <c r="AA113" s="7">
        <f t="shared" si="6"/>
        <v>0</v>
      </c>
      <c r="AB113" s="7">
        <f t="shared" si="6"/>
        <v>0</v>
      </c>
      <c r="AC113" s="7">
        <f t="shared" si="6"/>
        <v>0</v>
      </c>
      <c r="AD113" s="7">
        <f t="shared" si="6"/>
        <v>0</v>
      </c>
      <c r="AE113" s="7">
        <f t="shared" si="6"/>
        <v>4</v>
      </c>
      <c r="AF113" s="7">
        <f t="shared" si="6"/>
        <v>4</v>
      </c>
      <c r="AG113" s="7">
        <f t="shared" si="6"/>
        <v>4</v>
      </c>
      <c r="AH113" s="7">
        <f t="shared" si="6"/>
        <v>4</v>
      </c>
      <c r="AI113" s="7">
        <f t="shared" si="6"/>
        <v>0</v>
      </c>
      <c r="AJ113" s="7">
        <f t="shared" si="6"/>
        <v>0</v>
      </c>
      <c r="AK113" s="7">
        <f t="shared" si="6"/>
        <v>0</v>
      </c>
      <c r="AL113" s="7">
        <f t="shared" si="6"/>
        <v>0</v>
      </c>
      <c r="AM113" s="7">
        <f t="shared" si="6"/>
        <v>0</v>
      </c>
      <c r="AN113" s="7">
        <f t="shared" si="6"/>
        <v>0</v>
      </c>
      <c r="AO113" s="7">
        <f t="shared" si="6"/>
        <v>0</v>
      </c>
      <c r="AP113" s="7">
        <f t="shared" si="6"/>
        <v>0</v>
      </c>
      <c r="AQ113" s="7">
        <f t="shared" si="6"/>
        <v>0</v>
      </c>
      <c r="AR113" s="7">
        <f t="shared" si="6"/>
        <v>0</v>
      </c>
      <c r="AS113" s="7">
        <f t="shared" si="6"/>
        <v>0</v>
      </c>
      <c r="AT113" s="7">
        <f t="shared" si="6"/>
        <v>0</v>
      </c>
      <c r="AU113" s="7">
        <f t="shared" si="6"/>
        <v>0</v>
      </c>
      <c r="AV113" s="7">
        <f t="shared" si="6"/>
        <v>0</v>
      </c>
      <c r="AW113" s="7">
        <f t="shared" si="6"/>
        <v>0</v>
      </c>
    </row>
    <row r="114" spans="1:49" ht="14.5" hidden="1" outlineLevel="1" x14ac:dyDescent="0.35">
      <c r="A114" t="s">
        <v>12</v>
      </c>
      <c r="B114" t="s">
        <v>16</v>
      </c>
      <c r="C114" t="s">
        <v>107</v>
      </c>
      <c r="D114" t="s">
        <v>85</v>
      </c>
      <c r="E114" t="s">
        <v>90</v>
      </c>
      <c r="F114" s="11">
        <v>63</v>
      </c>
      <c r="G114" s="11">
        <v>63</v>
      </c>
      <c r="H114" s="11">
        <v>0</v>
      </c>
      <c r="I114" s="11">
        <v>63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</row>
    <row r="115" spans="1:49" ht="14.5" hidden="1" outlineLevel="1" x14ac:dyDescent="0.35">
      <c r="A115" t="s">
        <v>12</v>
      </c>
      <c r="B115" t="s">
        <v>16</v>
      </c>
      <c r="C115" t="s">
        <v>107</v>
      </c>
      <c r="D115" t="s">
        <v>85</v>
      </c>
      <c r="E115" t="s">
        <v>83</v>
      </c>
      <c r="F115" s="11">
        <v>4</v>
      </c>
      <c r="G115" s="11">
        <v>20</v>
      </c>
      <c r="H115" s="11">
        <v>16</v>
      </c>
      <c r="I115" s="11">
        <v>4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4</v>
      </c>
      <c r="AF115" s="11">
        <v>4</v>
      </c>
      <c r="AG115" s="11">
        <v>4</v>
      </c>
      <c r="AH115" s="11">
        <v>4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</row>
    <row r="116" spans="1:49" ht="14.5" hidden="1" outlineLevel="1" x14ac:dyDescent="0.35">
      <c r="A116" s="14" t="s">
        <v>12</v>
      </c>
      <c r="B116" s="14" t="s">
        <v>16</v>
      </c>
      <c r="C116" s="14" t="s">
        <v>107</v>
      </c>
      <c r="D116" s="14" t="s">
        <v>99</v>
      </c>
      <c r="E116" s="15" t="s">
        <v>83</v>
      </c>
      <c r="F116" s="16"/>
      <c r="G116" s="16"/>
      <c r="H116" s="16"/>
      <c r="I116" s="16"/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-4</v>
      </c>
      <c r="AF116" s="16">
        <v>-4</v>
      </c>
      <c r="AG116" s="16">
        <v>-4</v>
      </c>
      <c r="AH116" s="16">
        <v>-4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</row>
    <row r="117" spans="1:49" ht="14.5" collapsed="1" x14ac:dyDescent="0.35">
      <c r="A117" s="6" t="s">
        <v>12</v>
      </c>
      <c r="B117" s="6" t="s">
        <v>16</v>
      </c>
      <c r="C117" s="6" t="s">
        <v>108</v>
      </c>
      <c r="D117" s="6" t="s">
        <v>72</v>
      </c>
      <c r="E117" s="6" t="s">
        <v>73</v>
      </c>
      <c r="F117" s="7">
        <f t="shared" ref="F117:AW117" si="7">SUM(F118,F119)</f>
        <v>25</v>
      </c>
      <c r="G117" s="7">
        <f t="shared" si="7"/>
        <v>25</v>
      </c>
      <c r="H117" s="7">
        <f t="shared" si="7"/>
        <v>0</v>
      </c>
      <c r="I117" s="7">
        <f t="shared" si="7"/>
        <v>25</v>
      </c>
      <c r="J117" s="7">
        <f t="shared" si="7"/>
        <v>0</v>
      </c>
      <c r="K117" s="7">
        <f t="shared" si="7"/>
        <v>0</v>
      </c>
      <c r="L117" s="7">
        <f t="shared" si="7"/>
        <v>0</v>
      </c>
      <c r="M117" s="7">
        <f t="shared" si="7"/>
        <v>0</v>
      </c>
      <c r="N117" s="7">
        <f t="shared" si="7"/>
        <v>0</v>
      </c>
      <c r="O117" s="7">
        <f t="shared" si="7"/>
        <v>0</v>
      </c>
      <c r="P117" s="7">
        <f t="shared" si="7"/>
        <v>0</v>
      </c>
      <c r="Q117" s="7">
        <f t="shared" si="7"/>
        <v>0</v>
      </c>
      <c r="R117" s="7">
        <f t="shared" si="7"/>
        <v>0</v>
      </c>
      <c r="S117" s="7">
        <f t="shared" si="7"/>
        <v>0</v>
      </c>
      <c r="T117" s="7">
        <f t="shared" si="7"/>
        <v>0</v>
      </c>
      <c r="U117" s="7">
        <f t="shared" si="7"/>
        <v>0</v>
      </c>
      <c r="V117" s="7">
        <f t="shared" si="7"/>
        <v>0</v>
      </c>
      <c r="W117" s="7">
        <f t="shared" si="7"/>
        <v>0</v>
      </c>
      <c r="X117" s="7">
        <f t="shared" si="7"/>
        <v>0</v>
      </c>
      <c r="Y117" s="7">
        <f t="shared" si="7"/>
        <v>0</v>
      </c>
      <c r="Z117" s="7">
        <f t="shared" si="7"/>
        <v>0</v>
      </c>
      <c r="AA117" s="7">
        <f t="shared" si="7"/>
        <v>0</v>
      </c>
      <c r="AB117" s="7">
        <f t="shared" si="7"/>
        <v>0</v>
      </c>
      <c r="AC117" s="7">
        <f t="shared" si="7"/>
        <v>0</v>
      </c>
      <c r="AD117" s="7">
        <f t="shared" si="7"/>
        <v>0</v>
      </c>
      <c r="AE117" s="7">
        <f t="shared" si="7"/>
        <v>0</v>
      </c>
      <c r="AF117" s="7">
        <f t="shared" si="7"/>
        <v>0</v>
      </c>
      <c r="AG117" s="7">
        <f t="shared" si="7"/>
        <v>0</v>
      </c>
      <c r="AH117" s="7">
        <f t="shared" si="7"/>
        <v>0</v>
      </c>
      <c r="AI117" s="7">
        <f t="shared" si="7"/>
        <v>0</v>
      </c>
      <c r="AJ117" s="7">
        <f t="shared" si="7"/>
        <v>0</v>
      </c>
      <c r="AK117" s="7">
        <f t="shared" si="7"/>
        <v>0</v>
      </c>
      <c r="AL117" s="7">
        <f t="shared" si="7"/>
        <v>0</v>
      </c>
      <c r="AM117" s="7">
        <f t="shared" si="7"/>
        <v>0</v>
      </c>
      <c r="AN117" s="7">
        <f t="shared" si="7"/>
        <v>0</v>
      </c>
      <c r="AO117" s="7">
        <f t="shared" si="7"/>
        <v>0</v>
      </c>
      <c r="AP117" s="7">
        <f t="shared" si="7"/>
        <v>0</v>
      </c>
      <c r="AQ117" s="7">
        <f t="shared" si="7"/>
        <v>0</v>
      </c>
      <c r="AR117" s="7">
        <f t="shared" si="7"/>
        <v>0</v>
      </c>
      <c r="AS117" s="7">
        <f t="shared" si="7"/>
        <v>0</v>
      </c>
      <c r="AT117" s="7">
        <f t="shared" si="7"/>
        <v>0</v>
      </c>
      <c r="AU117" s="7">
        <f t="shared" si="7"/>
        <v>0</v>
      </c>
      <c r="AV117" s="7">
        <f t="shared" si="7"/>
        <v>0</v>
      </c>
      <c r="AW117" s="7">
        <f t="shared" si="7"/>
        <v>0</v>
      </c>
    </row>
    <row r="118" spans="1:49" ht="14.5" hidden="1" outlineLevel="1" x14ac:dyDescent="0.35">
      <c r="A118" t="s">
        <v>12</v>
      </c>
      <c r="B118" t="s">
        <v>16</v>
      </c>
      <c r="C118" t="s">
        <v>108</v>
      </c>
      <c r="D118" t="s">
        <v>85</v>
      </c>
      <c r="E118" t="s">
        <v>46</v>
      </c>
      <c r="F118" s="11">
        <v>12</v>
      </c>
      <c r="G118" s="11">
        <v>12</v>
      </c>
      <c r="H118" s="11">
        <v>0</v>
      </c>
      <c r="I118" s="11">
        <v>12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</row>
    <row r="119" spans="1:49" ht="14.5" hidden="1" outlineLevel="1" x14ac:dyDescent="0.35">
      <c r="A119" t="s">
        <v>12</v>
      </c>
      <c r="B119" t="s">
        <v>16</v>
      </c>
      <c r="C119" t="s">
        <v>108</v>
      </c>
      <c r="D119" t="s">
        <v>85</v>
      </c>
      <c r="E119" t="s">
        <v>90</v>
      </c>
      <c r="F119" s="11">
        <v>13</v>
      </c>
      <c r="G119" s="11">
        <v>13</v>
      </c>
      <c r="H119" s="11">
        <v>0</v>
      </c>
      <c r="I119" s="11">
        <v>13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</row>
    <row r="120" spans="1:49" ht="14.5" collapsed="1" x14ac:dyDescent="0.35">
      <c r="A120" s="6" t="s">
        <v>12</v>
      </c>
      <c r="B120" s="6" t="s">
        <v>16</v>
      </c>
      <c r="C120" s="6" t="s">
        <v>109</v>
      </c>
      <c r="D120" s="6" t="s">
        <v>72</v>
      </c>
      <c r="E120" s="6" t="s">
        <v>73</v>
      </c>
      <c r="F120" s="7">
        <f t="shared" ref="F120:AW120" si="8">SUM(F121)</f>
        <v>7</v>
      </c>
      <c r="G120" s="7">
        <f t="shared" si="8"/>
        <v>7</v>
      </c>
      <c r="H120" s="7">
        <f t="shared" si="8"/>
        <v>0</v>
      </c>
      <c r="I120" s="7">
        <f t="shared" si="8"/>
        <v>7</v>
      </c>
      <c r="J120" s="7">
        <f t="shared" si="8"/>
        <v>0</v>
      </c>
      <c r="K120" s="7">
        <f t="shared" si="8"/>
        <v>0</v>
      </c>
      <c r="L120" s="7">
        <f t="shared" si="8"/>
        <v>0</v>
      </c>
      <c r="M120" s="7">
        <f t="shared" si="8"/>
        <v>0</v>
      </c>
      <c r="N120" s="7">
        <f t="shared" si="8"/>
        <v>0</v>
      </c>
      <c r="O120" s="7">
        <f t="shared" si="8"/>
        <v>0</v>
      </c>
      <c r="P120" s="7">
        <f t="shared" si="8"/>
        <v>0</v>
      </c>
      <c r="Q120" s="7">
        <f t="shared" si="8"/>
        <v>0</v>
      </c>
      <c r="R120" s="7">
        <f t="shared" si="8"/>
        <v>0</v>
      </c>
      <c r="S120" s="7">
        <f t="shared" si="8"/>
        <v>0</v>
      </c>
      <c r="T120" s="7">
        <f t="shared" si="8"/>
        <v>0</v>
      </c>
      <c r="U120" s="7">
        <f t="shared" si="8"/>
        <v>0</v>
      </c>
      <c r="V120" s="7">
        <f t="shared" si="8"/>
        <v>0</v>
      </c>
      <c r="W120" s="7">
        <f t="shared" si="8"/>
        <v>0</v>
      </c>
      <c r="X120" s="7">
        <f t="shared" si="8"/>
        <v>0</v>
      </c>
      <c r="Y120" s="7">
        <f t="shared" si="8"/>
        <v>0</v>
      </c>
      <c r="Z120" s="7">
        <f t="shared" si="8"/>
        <v>0</v>
      </c>
      <c r="AA120" s="7">
        <f t="shared" si="8"/>
        <v>0</v>
      </c>
      <c r="AB120" s="7">
        <f t="shared" si="8"/>
        <v>0</v>
      </c>
      <c r="AC120" s="7">
        <f t="shared" si="8"/>
        <v>0</v>
      </c>
      <c r="AD120" s="7">
        <f t="shared" si="8"/>
        <v>0</v>
      </c>
      <c r="AE120" s="7">
        <f t="shared" si="8"/>
        <v>0</v>
      </c>
      <c r="AF120" s="7">
        <f t="shared" si="8"/>
        <v>0</v>
      </c>
      <c r="AG120" s="7">
        <f t="shared" si="8"/>
        <v>0</v>
      </c>
      <c r="AH120" s="7">
        <f t="shared" si="8"/>
        <v>0</v>
      </c>
      <c r="AI120" s="7">
        <f t="shared" si="8"/>
        <v>0</v>
      </c>
      <c r="AJ120" s="7">
        <f t="shared" si="8"/>
        <v>0</v>
      </c>
      <c r="AK120" s="7">
        <f t="shared" si="8"/>
        <v>0</v>
      </c>
      <c r="AL120" s="7">
        <f t="shared" si="8"/>
        <v>0</v>
      </c>
      <c r="AM120" s="7">
        <f t="shared" si="8"/>
        <v>0</v>
      </c>
      <c r="AN120" s="7">
        <f t="shared" si="8"/>
        <v>0</v>
      </c>
      <c r="AO120" s="7">
        <f t="shared" si="8"/>
        <v>0</v>
      </c>
      <c r="AP120" s="7">
        <f t="shared" si="8"/>
        <v>0</v>
      </c>
      <c r="AQ120" s="7">
        <f t="shared" si="8"/>
        <v>0</v>
      </c>
      <c r="AR120" s="7">
        <f t="shared" si="8"/>
        <v>0</v>
      </c>
      <c r="AS120" s="7">
        <f t="shared" si="8"/>
        <v>0</v>
      </c>
      <c r="AT120" s="7">
        <f t="shared" si="8"/>
        <v>0</v>
      </c>
      <c r="AU120" s="7">
        <f t="shared" si="8"/>
        <v>0</v>
      </c>
      <c r="AV120" s="7">
        <f t="shared" si="8"/>
        <v>0</v>
      </c>
      <c r="AW120" s="7">
        <f t="shared" si="8"/>
        <v>0</v>
      </c>
    </row>
    <row r="121" spans="1:49" ht="14.5" hidden="1" outlineLevel="1" x14ac:dyDescent="0.35">
      <c r="A121" t="s">
        <v>12</v>
      </c>
      <c r="B121" t="s">
        <v>16</v>
      </c>
      <c r="C121" t="s">
        <v>109</v>
      </c>
      <c r="D121" t="s">
        <v>85</v>
      </c>
      <c r="E121" t="s">
        <v>90</v>
      </c>
      <c r="F121" s="11">
        <v>7</v>
      </c>
      <c r="G121" s="11">
        <v>7</v>
      </c>
      <c r="H121" s="11">
        <v>0</v>
      </c>
      <c r="I121" s="11">
        <v>7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</row>
    <row r="122" spans="1:49" ht="14.5" collapsed="1" x14ac:dyDescent="0.35">
      <c r="A122" s="6" t="s">
        <v>12</v>
      </c>
      <c r="B122" s="6" t="s">
        <v>16</v>
      </c>
      <c r="C122" s="6" t="s">
        <v>110</v>
      </c>
      <c r="D122" s="6" t="s">
        <v>72</v>
      </c>
      <c r="E122" s="6" t="s">
        <v>73</v>
      </c>
      <c r="F122" s="7">
        <f t="shared" ref="F122:AW122" si="9">SUM(F123,F124)</f>
        <v>23</v>
      </c>
      <c r="G122" s="7">
        <f t="shared" si="9"/>
        <v>23</v>
      </c>
      <c r="H122" s="7">
        <f t="shared" si="9"/>
        <v>0</v>
      </c>
      <c r="I122" s="7">
        <f t="shared" si="9"/>
        <v>23</v>
      </c>
      <c r="J122" s="7">
        <f t="shared" si="9"/>
        <v>0</v>
      </c>
      <c r="K122" s="7">
        <f t="shared" si="9"/>
        <v>0</v>
      </c>
      <c r="L122" s="7">
        <f t="shared" si="9"/>
        <v>0</v>
      </c>
      <c r="M122" s="7">
        <f t="shared" si="9"/>
        <v>0</v>
      </c>
      <c r="N122" s="7">
        <f t="shared" si="9"/>
        <v>0</v>
      </c>
      <c r="O122" s="7">
        <f t="shared" si="9"/>
        <v>0</v>
      </c>
      <c r="P122" s="7">
        <f t="shared" si="9"/>
        <v>0</v>
      </c>
      <c r="Q122" s="7">
        <f t="shared" si="9"/>
        <v>0</v>
      </c>
      <c r="R122" s="7">
        <f t="shared" si="9"/>
        <v>0</v>
      </c>
      <c r="S122" s="7">
        <f t="shared" si="9"/>
        <v>0</v>
      </c>
      <c r="T122" s="7">
        <f t="shared" si="9"/>
        <v>0</v>
      </c>
      <c r="U122" s="7">
        <f t="shared" si="9"/>
        <v>0</v>
      </c>
      <c r="V122" s="7">
        <f t="shared" si="9"/>
        <v>0</v>
      </c>
      <c r="W122" s="7">
        <f t="shared" si="9"/>
        <v>0</v>
      </c>
      <c r="X122" s="7">
        <f t="shared" si="9"/>
        <v>0</v>
      </c>
      <c r="Y122" s="7">
        <f t="shared" si="9"/>
        <v>0</v>
      </c>
      <c r="Z122" s="7">
        <f t="shared" si="9"/>
        <v>0</v>
      </c>
      <c r="AA122" s="7">
        <f t="shared" si="9"/>
        <v>0</v>
      </c>
      <c r="AB122" s="7">
        <f t="shared" si="9"/>
        <v>0</v>
      </c>
      <c r="AC122" s="7">
        <f t="shared" si="9"/>
        <v>0</v>
      </c>
      <c r="AD122" s="7">
        <f t="shared" si="9"/>
        <v>0</v>
      </c>
      <c r="AE122" s="7">
        <f t="shared" si="9"/>
        <v>0</v>
      </c>
      <c r="AF122" s="7">
        <f t="shared" si="9"/>
        <v>0</v>
      </c>
      <c r="AG122" s="7">
        <f t="shared" si="9"/>
        <v>0</v>
      </c>
      <c r="AH122" s="7">
        <f t="shared" si="9"/>
        <v>0</v>
      </c>
      <c r="AI122" s="7">
        <f t="shared" si="9"/>
        <v>0</v>
      </c>
      <c r="AJ122" s="7">
        <f t="shared" si="9"/>
        <v>0</v>
      </c>
      <c r="AK122" s="7">
        <f t="shared" si="9"/>
        <v>0</v>
      </c>
      <c r="AL122" s="7">
        <f t="shared" si="9"/>
        <v>0</v>
      </c>
      <c r="AM122" s="7">
        <f t="shared" si="9"/>
        <v>0</v>
      </c>
      <c r="AN122" s="7">
        <f t="shared" si="9"/>
        <v>0</v>
      </c>
      <c r="AO122" s="7">
        <f t="shared" si="9"/>
        <v>0</v>
      </c>
      <c r="AP122" s="7">
        <f t="shared" si="9"/>
        <v>0</v>
      </c>
      <c r="AQ122" s="7">
        <f t="shared" si="9"/>
        <v>0</v>
      </c>
      <c r="AR122" s="7">
        <f t="shared" si="9"/>
        <v>0</v>
      </c>
      <c r="AS122" s="7">
        <f t="shared" si="9"/>
        <v>0</v>
      </c>
      <c r="AT122" s="7">
        <f t="shared" si="9"/>
        <v>0</v>
      </c>
      <c r="AU122" s="7">
        <f t="shared" si="9"/>
        <v>0</v>
      </c>
      <c r="AV122" s="7">
        <f t="shared" si="9"/>
        <v>0</v>
      </c>
      <c r="AW122" s="7">
        <f t="shared" si="9"/>
        <v>0</v>
      </c>
    </row>
    <row r="123" spans="1:49" ht="14.5" hidden="1" outlineLevel="1" x14ac:dyDescent="0.35">
      <c r="A123" t="s">
        <v>12</v>
      </c>
      <c r="B123" t="s">
        <v>16</v>
      </c>
      <c r="C123" t="s">
        <v>110</v>
      </c>
      <c r="D123" t="s">
        <v>85</v>
      </c>
      <c r="E123" t="s">
        <v>87</v>
      </c>
      <c r="F123" s="11">
        <v>13</v>
      </c>
      <c r="G123" s="11">
        <v>13</v>
      </c>
      <c r="H123" s="11">
        <v>0</v>
      </c>
      <c r="I123" s="11">
        <v>13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</row>
    <row r="124" spans="1:49" ht="14.5" hidden="1" outlineLevel="1" x14ac:dyDescent="0.35">
      <c r="A124" t="s">
        <v>12</v>
      </c>
      <c r="B124" t="s">
        <v>16</v>
      </c>
      <c r="C124" t="s">
        <v>110</v>
      </c>
      <c r="D124" t="s">
        <v>85</v>
      </c>
      <c r="E124" t="s">
        <v>90</v>
      </c>
      <c r="F124" s="11">
        <v>10</v>
      </c>
      <c r="G124" s="11">
        <v>10</v>
      </c>
      <c r="H124" s="11">
        <v>0</v>
      </c>
      <c r="I124" s="11">
        <v>10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</row>
    <row r="125" spans="1:49" ht="14.5" collapsed="1" x14ac:dyDescent="0.35">
      <c r="A125" s="6" t="s">
        <v>12</v>
      </c>
      <c r="B125" s="6" t="s">
        <v>16</v>
      </c>
      <c r="C125" s="6" t="s">
        <v>111</v>
      </c>
      <c r="D125" s="6" t="s">
        <v>72</v>
      </c>
      <c r="E125" s="6" t="s">
        <v>73</v>
      </c>
      <c r="F125" s="7">
        <f t="shared" ref="F125:AW125" si="10">SUM(F126)</f>
        <v>4</v>
      </c>
      <c r="G125" s="7">
        <f t="shared" si="10"/>
        <v>4</v>
      </c>
      <c r="H125" s="7">
        <f t="shared" si="10"/>
        <v>0</v>
      </c>
      <c r="I125" s="7">
        <f t="shared" si="10"/>
        <v>4</v>
      </c>
      <c r="J125" s="7">
        <f t="shared" si="10"/>
        <v>0</v>
      </c>
      <c r="K125" s="7">
        <f t="shared" si="10"/>
        <v>0</v>
      </c>
      <c r="L125" s="7">
        <f t="shared" si="10"/>
        <v>0</v>
      </c>
      <c r="M125" s="7">
        <f t="shared" si="10"/>
        <v>0</v>
      </c>
      <c r="N125" s="7">
        <f t="shared" si="10"/>
        <v>0</v>
      </c>
      <c r="O125" s="7">
        <f t="shared" si="10"/>
        <v>0</v>
      </c>
      <c r="P125" s="7">
        <f t="shared" si="10"/>
        <v>0</v>
      </c>
      <c r="Q125" s="7">
        <f t="shared" si="10"/>
        <v>0</v>
      </c>
      <c r="R125" s="7">
        <f t="shared" si="10"/>
        <v>0</v>
      </c>
      <c r="S125" s="7">
        <f t="shared" si="10"/>
        <v>0</v>
      </c>
      <c r="T125" s="7">
        <f t="shared" si="10"/>
        <v>0</v>
      </c>
      <c r="U125" s="7">
        <f t="shared" si="10"/>
        <v>0</v>
      </c>
      <c r="V125" s="7">
        <f t="shared" si="10"/>
        <v>0</v>
      </c>
      <c r="W125" s="7">
        <f t="shared" si="10"/>
        <v>0</v>
      </c>
      <c r="X125" s="7">
        <f t="shared" si="10"/>
        <v>0</v>
      </c>
      <c r="Y125" s="7">
        <f t="shared" si="10"/>
        <v>0</v>
      </c>
      <c r="Z125" s="7">
        <f t="shared" si="10"/>
        <v>0</v>
      </c>
      <c r="AA125" s="7">
        <f t="shared" si="10"/>
        <v>0</v>
      </c>
      <c r="AB125" s="7">
        <f t="shared" si="10"/>
        <v>0</v>
      </c>
      <c r="AC125" s="7">
        <f t="shared" si="10"/>
        <v>0</v>
      </c>
      <c r="AD125" s="7">
        <f t="shared" si="10"/>
        <v>0</v>
      </c>
      <c r="AE125" s="7">
        <f t="shared" si="10"/>
        <v>0</v>
      </c>
      <c r="AF125" s="7">
        <f t="shared" si="10"/>
        <v>0</v>
      </c>
      <c r="AG125" s="7">
        <f t="shared" si="10"/>
        <v>0</v>
      </c>
      <c r="AH125" s="7">
        <f t="shared" si="10"/>
        <v>0</v>
      </c>
      <c r="AI125" s="7">
        <f t="shared" si="10"/>
        <v>0</v>
      </c>
      <c r="AJ125" s="7">
        <f t="shared" si="10"/>
        <v>0</v>
      </c>
      <c r="AK125" s="7">
        <f t="shared" si="10"/>
        <v>0</v>
      </c>
      <c r="AL125" s="7">
        <f t="shared" si="10"/>
        <v>0</v>
      </c>
      <c r="AM125" s="7">
        <f t="shared" si="10"/>
        <v>0</v>
      </c>
      <c r="AN125" s="7">
        <f t="shared" si="10"/>
        <v>0</v>
      </c>
      <c r="AO125" s="7">
        <f t="shared" si="10"/>
        <v>0</v>
      </c>
      <c r="AP125" s="7">
        <f t="shared" si="10"/>
        <v>0</v>
      </c>
      <c r="AQ125" s="7">
        <f t="shared" si="10"/>
        <v>0</v>
      </c>
      <c r="AR125" s="7">
        <f t="shared" si="10"/>
        <v>0</v>
      </c>
      <c r="AS125" s="7">
        <f t="shared" si="10"/>
        <v>0</v>
      </c>
      <c r="AT125" s="7">
        <f t="shared" si="10"/>
        <v>0</v>
      </c>
      <c r="AU125" s="7">
        <f t="shared" si="10"/>
        <v>0</v>
      </c>
      <c r="AV125" s="7">
        <f t="shared" si="10"/>
        <v>0</v>
      </c>
      <c r="AW125" s="7">
        <f t="shared" si="10"/>
        <v>0</v>
      </c>
    </row>
    <row r="126" spans="1:49" ht="14.5" hidden="1" outlineLevel="1" x14ac:dyDescent="0.35">
      <c r="A126" t="s">
        <v>12</v>
      </c>
      <c r="B126" t="s">
        <v>16</v>
      </c>
      <c r="C126" t="s">
        <v>111</v>
      </c>
      <c r="D126" t="s">
        <v>85</v>
      </c>
      <c r="E126" t="s">
        <v>90</v>
      </c>
      <c r="F126" s="11">
        <v>4</v>
      </c>
      <c r="G126" s="11">
        <v>4</v>
      </c>
      <c r="H126" s="11">
        <v>0</v>
      </c>
      <c r="I126" s="11">
        <v>4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</row>
    <row r="127" spans="1:49" ht="14.5" collapsed="1" x14ac:dyDescent="0.35">
      <c r="A127" s="6" t="s">
        <v>12</v>
      </c>
      <c r="B127" s="6" t="s">
        <v>16</v>
      </c>
      <c r="C127" s="6" t="s">
        <v>112</v>
      </c>
      <c r="D127" s="6" t="s">
        <v>72</v>
      </c>
      <c r="E127" s="6" t="s">
        <v>73</v>
      </c>
      <c r="F127" s="7">
        <f t="shared" ref="F127:AW127" si="11">SUM(F128)</f>
        <v>5</v>
      </c>
      <c r="G127" s="7">
        <f t="shared" si="11"/>
        <v>5</v>
      </c>
      <c r="H127" s="7">
        <f t="shared" si="11"/>
        <v>0</v>
      </c>
      <c r="I127" s="7">
        <f t="shared" si="11"/>
        <v>5</v>
      </c>
      <c r="J127" s="7">
        <f t="shared" si="11"/>
        <v>0</v>
      </c>
      <c r="K127" s="7">
        <f t="shared" si="11"/>
        <v>0</v>
      </c>
      <c r="L127" s="7">
        <f t="shared" si="11"/>
        <v>0</v>
      </c>
      <c r="M127" s="7">
        <f t="shared" si="11"/>
        <v>0</v>
      </c>
      <c r="N127" s="7">
        <f t="shared" si="11"/>
        <v>0</v>
      </c>
      <c r="O127" s="7">
        <f t="shared" si="11"/>
        <v>0</v>
      </c>
      <c r="P127" s="7">
        <f t="shared" si="11"/>
        <v>0</v>
      </c>
      <c r="Q127" s="7">
        <f t="shared" si="11"/>
        <v>0</v>
      </c>
      <c r="R127" s="7">
        <f t="shared" si="11"/>
        <v>0</v>
      </c>
      <c r="S127" s="7">
        <f t="shared" si="11"/>
        <v>0</v>
      </c>
      <c r="T127" s="7">
        <f t="shared" si="11"/>
        <v>0</v>
      </c>
      <c r="U127" s="7">
        <f t="shared" si="11"/>
        <v>0</v>
      </c>
      <c r="V127" s="7">
        <f t="shared" si="11"/>
        <v>0</v>
      </c>
      <c r="W127" s="7">
        <f t="shared" si="11"/>
        <v>0</v>
      </c>
      <c r="X127" s="7">
        <f t="shared" si="11"/>
        <v>0</v>
      </c>
      <c r="Y127" s="7">
        <f t="shared" si="11"/>
        <v>0</v>
      </c>
      <c r="Z127" s="7">
        <f t="shared" si="11"/>
        <v>0</v>
      </c>
      <c r="AA127" s="7">
        <f t="shared" si="11"/>
        <v>0</v>
      </c>
      <c r="AB127" s="7">
        <f t="shared" si="11"/>
        <v>0</v>
      </c>
      <c r="AC127" s="7">
        <f t="shared" si="11"/>
        <v>0</v>
      </c>
      <c r="AD127" s="7">
        <f t="shared" si="11"/>
        <v>0</v>
      </c>
      <c r="AE127" s="7">
        <f t="shared" si="11"/>
        <v>0</v>
      </c>
      <c r="AF127" s="7">
        <f t="shared" si="11"/>
        <v>0</v>
      </c>
      <c r="AG127" s="7">
        <f t="shared" si="11"/>
        <v>0</v>
      </c>
      <c r="AH127" s="7">
        <f t="shared" si="11"/>
        <v>0</v>
      </c>
      <c r="AI127" s="7">
        <f t="shared" si="11"/>
        <v>0</v>
      </c>
      <c r="AJ127" s="7">
        <f t="shared" si="11"/>
        <v>0</v>
      </c>
      <c r="AK127" s="7">
        <f t="shared" si="11"/>
        <v>0</v>
      </c>
      <c r="AL127" s="7">
        <f t="shared" si="11"/>
        <v>0</v>
      </c>
      <c r="AM127" s="7">
        <f t="shared" si="11"/>
        <v>0</v>
      </c>
      <c r="AN127" s="7">
        <f t="shared" si="11"/>
        <v>0</v>
      </c>
      <c r="AO127" s="7">
        <f t="shared" si="11"/>
        <v>0</v>
      </c>
      <c r="AP127" s="7">
        <f t="shared" si="11"/>
        <v>0</v>
      </c>
      <c r="AQ127" s="7">
        <f t="shared" si="11"/>
        <v>0</v>
      </c>
      <c r="AR127" s="7">
        <f t="shared" si="11"/>
        <v>0</v>
      </c>
      <c r="AS127" s="7">
        <f t="shared" si="11"/>
        <v>0</v>
      </c>
      <c r="AT127" s="7">
        <f t="shared" si="11"/>
        <v>0</v>
      </c>
      <c r="AU127" s="7">
        <f t="shared" si="11"/>
        <v>0</v>
      </c>
      <c r="AV127" s="7">
        <f t="shared" si="11"/>
        <v>0</v>
      </c>
      <c r="AW127" s="7">
        <f t="shared" si="11"/>
        <v>0</v>
      </c>
    </row>
    <row r="128" spans="1:49" ht="14.5" hidden="1" outlineLevel="1" x14ac:dyDescent="0.35">
      <c r="A128" t="s">
        <v>12</v>
      </c>
      <c r="B128" t="s">
        <v>16</v>
      </c>
      <c r="C128" t="s">
        <v>112</v>
      </c>
      <c r="D128" t="s">
        <v>85</v>
      </c>
      <c r="E128" t="s">
        <v>113</v>
      </c>
      <c r="F128" s="11">
        <v>5</v>
      </c>
      <c r="G128" s="11">
        <v>5</v>
      </c>
      <c r="H128" s="11">
        <v>0</v>
      </c>
      <c r="I128" s="11">
        <v>5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</row>
    <row r="129" spans="1:49" ht="14.5" collapsed="1" x14ac:dyDescent="0.35">
      <c r="A129" s="6" t="s">
        <v>12</v>
      </c>
      <c r="B129" s="6" t="s">
        <v>16</v>
      </c>
      <c r="C129" s="6" t="s">
        <v>114</v>
      </c>
      <c r="D129" s="6" t="s">
        <v>72</v>
      </c>
      <c r="E129" s="6" t="s">
        <v>73</v>
      </c>
      <c r="F129" s="7">
        <f t="shared" ref="F129:AW129" si="12">SUM(F130)</f>
        <v>7.5</v>
      </c>
      <c r="G129" s="7">
        <f t="shared" si="12"/>
        <v>7.5</v>
      </c>
      <c r="H129" s="7">
        <f t="shared" si="12"/>
        <v>0</v>
      </c>
      <c r="I129" s="7">
        <f t="shared" si="12"/>
        <v>7.5</v>
      </c>
      <c r="J129" s="7">
        <f t="shared" si="12"/>
        <v>0</v>
      </c>
      <c r="K129" s="7">
        <f t="shared" si="12"/>
        <v>0</v>
      </c>
      <c r="L129" s="7">
        <f t="shared" si="12"/>
        <v>0</v>
      </c>
      <c r="M129" s="7">
        <f t="shared" si="12"/>
        <v>0</v>
      </c>
      <c r="N129" s="7">
        <f t="shared" si="12"/>
        <v>0</v>
      </c>
      <c r="O129" s="7">
        <f t="shared" si="12"/>
        <v>0</v>
      </c>
      <c r="P129" s="7">
        <f t="shared" si="12"/>
        <v>0</v>
      </c>
      <c r="Q129" s="7">
        <f t="shared" si="12"/>
        <v>0</v>
      </c>
      <c r="R129" s="7">
        <f t="shared" si="12"/>
        <v>0</v>
      </c>
      <c r="S129" s="7">
        <f t="shared" si="12"/>
        <v>0</v>
      </c>
      <c r="T129" s="7">
        <f t="shared" si="12"/>
        <v>0</v>
      </c>
      <c r="U129" s="7">
        <f t="shared" si="12"/>
        <v>0</v>
      </c>
      <c r="V129" s="7">
        <f t="shared" si="12"/>
        <v>0</v>
      </c>
      <c r="W129" s="7">
        <f t="shared" si="12"/>
        <v>0</v>
      </c>
      <c r="X129" s="7">
        <f t="shared" si="12"/>
        <v>0</v>
      </c>
      <c r="Y129" s="7">
        <f t="shared" si="12"/>
        <v>0</v>
      </c>
      <c r="Z129" s="7">
        <f t="shared" si="12"/>
        <v>0</v>
      </c>
      <c r="AA129" s="7">
        <f t="shared" si="12"/>
        <v>0</v>
      </c>
      <c r="AB129" s="7">
        <f t="shared" si="12"/>
        <v>0</v>
      </c>
      <c r="AC129" s="7">
        <f t="shared" si="12"/>
        <v>0</v>
      </c>
      <c r="AD129" s="7">
        <f t="shared" si="12"/>
        <v>0</v>
      </c>
      <c r="AE129" s="7">
        <f t="shared" si="12"/>
        <v>0</v>
      </c>
      <c r="AF129" s="7">
        <f t="shared" si="12"/>
        <v>0</v>
      </c>
      <c r="AG129" s="7">
        <f t="shared" si="12"/>
        <v>0</v>
      </c>
      <c r="AH129" s="7">
        <f t="shared" si="12"/>
        <v>0</v>
      </c>
      <c r="AI129" s="7">
        <f t="shared" si="12"/>
        <v>0</v>
      </c>
      <c r="AJ129" s="7">
        <f t="shared" si="12"/>
        <v>0</v>
      </c>
      <c r="AK129" s="7">
        <f t="shared" si="12"/>
        <v>0</v>
      </c>
      <c r="AL129" s="7">
        <f t="shared" si="12"/>
        <v>0</v>
      </c>
      <c r="AM129" s="7">
        <f t="shared" si="12"/>
        <v>0</v>
      </c>
      <c r="AN129" s="7">
        <f t="shared" si="12"/>
        <v>0</v>
      </c>
      <c r="AO129" s="7">
        <f t="shared" si="12"/>
        <v>0</v>
      </c>
      <c r="AP129" s="7">
        <f t="shared" si="12"/>
        <v>0</v>
      </c>
      <c r="AQ129" s="7">
        <f t="shared" si="12"/>
        <v>0</v>
      </c>
      <c r="AR129" s="7">
        <f t="shared" si="12"/>
        <v>0</v>
      </c>
      <c r="AS129" s="7">
        <f t="shared" si="12"/>
        <v>0</v>
      </c>
      <c r="AT129" s="7">
        <f t="shared" si="12"/>
        <v>0</v>
      </c>
      <c r="AU129" s="7">
        <f t="shared" si="12"/>
        <v>0</v>
      </c>
      <c r="AV129" s="7">
        <f t="shared" si="12"/>
        <v>0</v>
      </c>
      <c r="AW129" s="7">
        <f t="shared" si="12"/>
        <v>0</v>
      </c>
    </row>
    <row r="130" spans="1:49" ht="14.5" hidden="1" outlineLevel="1" x14ac:dyDescent="0.35">
      <c r="A130" t="s">
        <v>12</v>
      </c>
      <c r="B130" t="s">
        <v>16</v>
      </c>
      <c r="C130" t="s">
        <v>114</v>
      </c>
      <c r="D130" t="s">
        <v>85</v>
      </c>
      <c r="E130" t="s">
        <v>77</v>
      </c>
      <c r="F130" s="11">
        <v>7.5</v>
      </c>
      <c r="G130" s="11">
        <v>7.5</v>
      </c>
      <c r="H130" s="11">
        <v>0</v>
      </c>
      <c r="I130" s="11">
        <v>7.5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</row>
    <row r="131" spans="1:49" ht="14.5" collapsed="1" x14ac:dyDescent="0.35">
      <c r="A131" s="6" t="s">
        <v>12</v>
      </c>
      <c r="B131" s="6" t="s">
        <v>16</v>
      </c>
      <c r="C131" s="6" t="s">
        <v>115</v>
      </c>
      <c r="D131" s="6" t="s">
        <v>72</v>
      </c>
      <c r="E131" s="6" t="s">
        <v>73</v>
      </c>
      <c r="F131" s="7">
        <f t="shared" ref="F131:AW131" si="13">SUM(F132)</f>
        <v>7.5</v>
      </c>
      <c r="G131" s="7">
        <f t="shared" si="13"/>
        <v>7.5</v>
      </c>
      <c r="H131" s="7">
        <f t="shared" si="13"/>
        <v>0</v>
      </c>
      <c r="I131" s="7">
        <f t="shared" si="13"/>
        <v>7.5</v>
      </c>
      <c r="J131" s="7">
        <f t="shared" si="13"/>
        <v>0</v>
      </c>
      <c r="K131" s="7">
        <f t="shared" si="13"/>
        <v>0</v>
      </c>
      <c r="L131" s="7">
        <f t="shared" si="13"/>
        <v>0</v>
      </c>
      <c r="M131" s="7">
        <f t="shared" si="13"/>
        <v>0</v>
      </c>
      <c r="N131" s="7">
        <f t="shared" si="13"/>
        <v>0</v>
      </c>
      <c r="O131" s="7">
        <f t="shared" si="13"/>
        <v>0</v>
      </c>
      <c r="P131" s="7">
        <f t="shared" si="13"/>
        <v>0</v>
      </c>
      <c r="Q131" s="7">
        <f t="shared" si="13"/>
        <v>0</v>
      </c>
      <c r="R131" s="7">
        <f t="shared" si="13"/>
        <v>0</v>
      </c>
      <c r="S131" s="7">
        <f t="shared" si="13"/>
        <v>0</v>
      </c>
      <c r="T131" s="7">
        <f t="shared" si="13"/>
        <v>0</v>
      </c>
      <c r="U131" s="7">
        <f t="shared" si="13"/>
        <v>0</v>
      </c>
      <c r="V131" s="7">
        <f t="shared" si="13"/>
        <v>0</v>
      </c>
      <c r="W131" s="7">
        <f t="shared" si="13"/>
        <v>0</v>
      </c>
      <c r="X131" s="7">
        <f t="shared" si="13"/>
        <v>0</v>
      </c>
      <c r="Y131" s="7">
        <f t="shared" si="13"/>
        <v>0</v>
      </c>
      <c r="Z131" s="7">
        <f t="shared" si="13"/>
        <v>0</v>
      </c>
      <c r="AA131" s="7">
        <f t="shared" si="13"/>
        <v>0</v>
      </c>
      <c r="AB131" s="7">
        <f t="shared" si="13"/>
        <v>0</v>
      </c>
      <c r="AC131" s="7">
        <f t="shared" si="13"/>
        <v>0</v>
      </c>
      <c r="AD131" s="7">
        <f t="shared" si="13"/>
        <v>0</v>
      </c>
      <c r="AE131" s="7">
        <f t="shared" si="13"/>
        <v>0</v>
      </c>
      <c r="AF131" s="7">
        <f t="shared" si="13"/>
        <v>0</v>
      </c>
      <c r="AG131" s="7">
        <f t="shared" si="13"/>
        <v>0</v>
      </c>
      <c r="AH131" s="7">
        <f t="shared" si="13"/>
        <v>0</v>
      </c>
      <c r="AI131" s="7">
        <f t="shared" si="13"/>
        <v>0</v>
      </c>
      <c r="AJ131" s="7">
        <f t="shared" si="13"/>
        <v>0</v>
      </c>
      <c r="AK131" s="7">
        <f t="shared" si="13"/>
        <v>0</v>
      </c>
      <c r="AL131" s="7">
        <f t="shared" si="13"/>
        <v>0</v>
      </c>
      <c r="AM131" s="7">
        <f t="shared" si="13"/>
        <v>0</v>
      </c>
      <c r="AN131" s="7">
        <f t="shared" si="13"/>
        <v>0</v>
      </c>
      <c r="AO131" s="7">
        <f t="shared" si="13"/>
        <v>0</v>
      </c>
      <c r="AP131" s="7">
        <f t="shared" si="13"/>
        <v>0</v>
      </c>
      <c r="AQ131" s="7">
        <f t="shared" si="13"/>
        <v>0</v>
      </c>
      <c r="AR131" s="7">
        <f t="shared" si="13"/>
        <v>0</v>
      </c>
      <c r="AS131" s="7">
        <f t="shared" si="13"/>
        <v>0</v>
      </c>
      <c r="AT131" s="7">
        <f t="shared" si="13"/>
        <v>0</v>
      </c>
      <c r="AU131" s="7">
        <f t="shared" si="13"/>
        <v>0</v>
      </c>
      <c r="AV131" s="7">
        <f t="shared" si="13"/>
        <v>0</v>
      </c>
      <c r="AW131" s="7">
        <f t="shared" si="13"/>
        <v>0</v>
      </c>
    </row>
    <row r="132" spans="1:49" ht="14.5" hidden="1" outlineLevel="1" x14ac:dyDescent="0.35">
      <c r="A132" t="s">
        <v>12</v>
      </c>
      <c r="B132" t="s">
        <v>16</v>
      </c>
      <c r="C132" t="s">
        <v>115</v>
      </c>
      <c r="D132" t="s">
        <v>85</v>
      </c>
      <c r="E132" t="s">
        <v>77</v>
      </c>
      <c r="F132" s="11">
        <v>7.5</v>
      </c>
      <c r="G132" s="11">
        <v>7.5</v>
      </c>
      <c r="H132" s="11">
        <v>0</v>
      </c>
      <c r="I132" s="11">
        <v>7.5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</row>
    <row r="133" spans="1:49" ht="14.5" collapsed="1" x14ac:dyDescent="0.35">
      <c r="A133" s="6" t="s">
        <v>12</v>
      </c>
      <c r="B133" s="6" t="s">
        <v>16</v>
      </c>
      <c r="C133" s="6" t="s">
        <v>116</v>
      </c>
      <c r="D133" s="6" t="s">
        <v>72</v>
      </c>
      <c r="E133" s="6" t="s">
        <v>73</v>
      </c>
      <c r="F133" s="7">
        <f t="shared" ref="F133:AW133" si="14">SUM(F134)</f>
        <v>21.5</v>
      </c>
      <c r="G133" s="7">
        <f t="shared" si="14"/>
        <v>21.5</v>
      </c>
      <c r="H133" s="7">
        <f t="shared" si="14"/>
        <v>0</v>
      </c>
      <c r="I133" s="7">
        <f t="shared" si="14"/>
        <v>21.5</v>
      </c>
      <c r="J133" s="7">
        <f t="shared" si="14"/>
        <v>0</v>
      </c>
      <c r="K133" s="7">
        <f t="shared" si="14"/>
        <v>0</v>
      </c>
      <c r="L133" s="7">
        <f t="shared" si="14"/>
        <v>0</v>
      </c>
      <c r="M133" s="7">
        <f t="shared" si="14"/>
        <v>0</v>
      </c>
      <c r="N133" s="7">
        <f t="shared" si="14"/>
        <v>0</v>
      </c>
      <c r="O133" s="7">
        <f t="shared" si="14"/>
        <v>0</v>
      </c>
      <c r="P133" s="7">
        <f t="shared" si="14"/>
        <v>0</v>
      </c>
      <c r="Q133" s="7">
        <f t="shared" si="14"/>
        <v>0</v>
      </c>
      <c r="R133" s="7">
        <f t="shared" si="14"/>
        <v>0</v>
      </c>
      <c r="S133" s="7">
        <f t="shared" si="14"/>
        <v>0</v>
      </c>
      <c r="T133" s="7">
        <f t="shared" si="14"/>
        <v>0</v>
      </c>
      <c r="U133" s="7">
        <f t="shared" si="14"/>
        <v>0</v>
      </c>
      <c r="V133" s="7">
        <f t="shared" si="14"/>
        <v>0</v>
      </c>
      <c r="W133" s="7">
        <f t="shared" si="14"/>
        <v>0</v>
      </c>
      <c r="X133" s="7">
        <f t="shared" si="14"/>
        <v>0</v>
      </c>
      <c r="Y133" s="7">
        <f t="shared" si="14"/>
        <v>0</v>
      </c>
      <c r="Z133" s="7">
        <f t="shared" si="14"/>
        <v>0</v>
      </c>
      <c r="AA133" s="7">
        <f t="shared" si="14"/>
        <v>0</v>
      </c>
      <c r="AB133" s="7">
        <f t="shared" si="14"/>
        <v>0</v>
      </c>
      <c r="AC133" s="7">
        <f t="shared" si="14"/>
        <v>0</v>
      </c>
      <c r="AD133" s="7">
        <f t="shared" si="14"/>
        <v>0</v>
      </c>
      <c r="AE133" s="7">
        <f t="shared" si="14"/>
        <v>0</v>
      </c>
      <c r="AF133" s="7">
        <f t="shared" si="14"/>
        <v>0</v>
      </c>
      <c r="AG133" s="7">
        <f t="shared" si="14"/>
        <v>0</v>
      </c>
      <c r="AH133" s="7">
        <f t="shared" si="14"/>
        <v>0</v>
      </c>
      <c r="AI133" s="7">
        <f t="shared" si="14"/>
        <v>0</v>
      </c>
      <c r="AJ133" s="7">
        <f t="shared" si="14"/>
        <v>0</v>
      </c>
      <c r="AK133" s="7">
        <f t="shared" si="14"/>
        <v>0</v>
      </c>
      <c r="AL133" s="7">
        <f t="shared" si="14"/>
        <v>0</v>
      </c>
      <c r="AM133" s="7">
        <f t="shared" si="14"/>
        <v>0</v>
      </c>
      <c r="AN133" s="7">
        <f t="shared" si="14"/>
        <v>0</v>
      </c>
      <c r="AO133" s="7">
        <f t="shared" si="14"/>
        <v>0</v>
      </c>
      <c r="AP133" s="7">
        <f t="shared" si="14"/>
        <v>0</v>
      </c>
      <c r="AQ133" s="7">
        <f t="shared" si="14"/>
        <v>0</v>
      </c>
      <c r="AR133" s="7">
        <f t="shared" si="14"/>
        <v>0</v>
      </c>
      <c r="AS133" s="7">
        <f t="shared" si="14"/>
        <v>0</v>
      </c>
      <c r="AT133" s="7">
        <f t="shared" si="14"/>
        <v>0</v>
      </c>
      <c r="AU133" s="7">
        <f t="shared" si="14"/>
        <v>0</v>
      </c>
      <c r="AV133" s="7">
        <f t="shared" si="14"/>
        <v>0</v>
      </c>
      <c r="AW133" s="7">
        <f t="shared" si="14"/>
        <v>0</v>
      </c>
    </row>
    <row r="134" spans="1:49" ht="14.5" hidden="1" outlineLevel="1" x14ac:dyDescent="0.35">
      <c r="A134" t="s">
        <v>12</v>
      </c>
      <c r="B134" t="s">
        <v>16</v>
      </c>
      <c r="C134" t="s">
        <v>116</v>
      </c>
      <c r="D134" t="s">
        <v>85</v>
      </c>
      <c r="E134" t="s">
        <v>77</v>
      </c>
      <c r="F134" s="11">
        <v>21.5</v>
      </c>
      <c r="G134" s="11">
        <v>21.5</v>
      </c>
      <c r="H134" s="11">
        <v>0</v>
      </c>
      <c r="I134" s="11">
        <v>21.5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</row>
    <row r="135" spans="1:49" ht="14.5" collapsed="1" x14ac:dyDescent="0.35">
      <c r="A135" s="6" t="s">
        <v>12</v>
      </c>
      <c r="B135" s="6" t="s">
        <v>16</v>
      </c>
      <c r="C135" s="6" t="s">
        <v>117</v>
      </c>
      <c r="D135" s="6" t="s">
        <v>72</v>
      </c>
      <c r="E135" s="6" t="s">
        <v>73</v>
      </c>
      <c r="F135" s="7">
        <f t="shared" ref="F135:AW135" si="15">SUM(F136)</f>
        <v>12.5</v>
      </c>
      <c r="G135" s="7">
        <f t="shared" si="15"/>
        <v>12.5</v>
      </c>
      <c r="H135" s="7">
        <f t="shared" si="15"/>
        <v>0</v>
      </c>
      <c r="I135" s="7">
        <f t="shared" si="15"/>
        <v>12.5</v>
      </c>
      <c r="J135" s="7">
        <f t="shared" si="15"/>
        <v>0</v>
      </c>
      <c r="K135" s="7">
        <f t="shared" si="15"/>
        <v>0</v>
      </c>
      <c r="L135" s="7">
        <f t="shared" si="15"/>
        <v>0</v>
      </c>
      <c r="M135" s="7">
        <f t="shared" si="15"/>
        <v>0</v>
      </c>
      <c r="N135" s="7">
        <f t="shared" si="15"/>
        <v>0</v>
      </c>
      <c r="O135" s="7">
        <f t="shared" si="15"/>
        <v>0</v>
      </c>
      <c r="P135" s="7">
        <f t="shared" si="15"/>
        <v>0</v>
      </c>
      <c r="Q135" s="7">
        <f t="shared" si="15"/>
        <v>0</v>
      </c>
      <c r="R135" s="7">
        <f t="shared" si="15"/>
        <v>0</v>
      </c>
      <c r="S135" s="7">
        <f t="shared" si="15"/>
        <v>0</v>
      </c>
      <c r="T135" s="7">
        <f t="shared" si="15"/>
        <v>0</v>
      </c>
      <c r="U135" s="7">
        <f t="shared" si="15"/>
        <v>0</v>
      </c>
      <c r="V135" s="7">
        <f t="shared" si="15"/>
        <v>0</v>
      </c>
      <c r="W135" s="7">
        <f t="shared" si="15"/>
        <v>0</v>
      </c>
      <c r="X135" s="7">
        <f t="shared" si="15"/>
        <v>0</v>
      </c>
      <c r="Y135" s="7">
        <f t="shared" si="15"/>
        <v>0</v>
      </c>
      <c r="Z135" s="7">
        <f t="shared" si="15"/>
        <v>0</v>
      </c>
      <c r="AA135" s="7">
        <f t="shared" si="15"/>
        <v>0</v>
      </c>
      <c r="AB135" s="7">
        <f t="shared" si="15"/>
        <v>0</v>
      </c>
      <c r="AC135" s="7">
        <f t="shared" si="15"/>
        <v>0</v>
      </c>
      <c r="AD135" s="7">
        <f t="shared" si="15"/>
        <v>0</v>
      </c>
      <c r="AE135" s="7">
        <f t="shared" si="15"/>
        <v>0</v>
      </c>
      <c r="AF135" s="7">
        <f t="shared" si="15"/>
        <v>0</v>
      </c>
      <c r="AG135" s="7">
        <f t="shared" si="15"/>
        <v>0</v>
      </c>
      <c r="AH135" s="7">
        <f t="shared" si="15"/>
        <v>0</v>
      </c>
      <c r="AI135" s="7">
        <f t="shared" si="15"/>
        <v>0</v>
      </c>
      <c r="AJ135" s="7">
        <f t="shared" si="15"/>
        <v>0</v>
      </c>
      <c r="AK135" s="7">
        <f t="shared" si="15"/>
        <v>0</v>
      </c>
      <c r="AL135" s="7">
        <f t="shared" si="15"/>
        <v>0</v>
      </c>
      <c r="AM135" s="7">
        <f t="shared" si="15"/>
        <v>0</v>
      </c>
      <c r="AN135" s="7">
        <f t="shared" si="15"/>
        <v>0</v>
      </c>
      <c r="AO135" s="7">
        <f t="shared" si="15"/>
        <v>0</v>
      </c>
      <c r="AP135" s="7">
        <f t="shared" si="15"/>
        <v>0</v>
      </c>
      <c r="AQ135" s="7">
        <f t="shared" si="15"/>
        <v>0</v>
      </c>
      <c r="AR135" s="7">
        <f t="shared" si="15"/>
        <v>0</v>
      </c>
      <c r="AS135" s="7">
        <f t="shared" si="15"/>
        <v>0</v>
      </c>
      <c r="AT135" s="7">
        <f t="shared" si="15"/>
        <v>0</v>
      </c>
      <c r="AU135" s="7">
        <f t="shared" si="15"/>
        <v>0</v>
      </c>
      <c r="AV135" s="7">
        <f t="shared" si="15"/>
        <v>0</v>
      </c>
      <c r="AW135" s="7">
        <f t="shared" si="15"/>
        <v>0</v>
      </c>
    </row>
    <row r="136" spans="1:49" ht="14.5" hidden="1" outlineLevel="1" x14ac:dyDescent="0.35">
      <c r="A136" t="s">
        <v>12</v>
      </c>
      <c r="B136" t="s">
        <v>16</v>
      </c>
      <c r="C136" t="s">
        <v>117</v>
      </c>
      <c r="D136" t="s">
        <v>85</v>
      </c>
      <c r="E136" t="s">
        <v>77</v>
      </c>
      <c r="F136" s="11">
        <v>12.5</v>
      </c>
      <c r="G136" s="11">
        <v>12.5</v>
      </c>
      <c r="H136" s="11">
        <v>0</v>
      </c>
      <c r="I136" s="11">
        <v>12.5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</row>
    <row r="137" spans="1:49" ht="14.5" collapsed="1" x14ac:dyDescent="0.35">
      <c r="A137" s="6" t="s">
        <v>12</v>
      </c>
      <c r="B137" s="6" t="s">
        <v>16</v>
      </c>
      <c r="C137" s="6" t="s">
        <v>118</v>
      </c>
      <c r="D137" s="6" t="s">
        <v>72</v>
      </c>
      <c r="E137" s="6" t="s">
        <v>73</v>
      </c>
      <c r="F137" s="7">
        <f t="shared" ref="F137:AW137" si="16">SUM(F138)</f>
        <v>12</v>
      </c>
      <c r="G137" s="7">
        <f t="shared" si="16"/>
        <v>12</v>
      </c>
      <c r="H137" s="7">
        <f t="shared" si="16"/>
        <v>0</v>
      </c>
      <c r="I137" s="7">
        <f t="shared" si="16"/>
        <v>12</v>
      </c>
      <c r="J137" s="7">
        <f t="shared" si="16"/>
        <v>0</v>
      </c>
      <c r="K137" s="7">
        <f t="shared" si="16"/>
        <v>0</v>
      </c>
      <c r="L137" s="7">
        <f t="shared" si="16"/>
        <v>0</v>
      </c>
      <c r="M137" s="7">
        <f t="shared" si="16"/>
        <v>0</v>
      </c>
      <c r="N137" s="7">
        <f t="shared" si="16"/>
        <v>0</v>
      </c>
      <c r="O137" s="7">
        <f t="shared" si="16"/>
        <v>0</v>
      </c>
      <c r="P137" s="7">
        <f t="shared" si="16"/>
        <v>0</v>
      </c>
      <c r="Q137" s="7">
        <f t="shared" si="16"/>
        <v>0</v>
      </c>
      <c r="R137" s="7">
        <f t="shared" si="16"/>
        <v>0</v>
      </c>
      <c r="S137" s="7">
        <f t="shared" si="16"/>
        <v>0</v>
      </c>
      <c r="T137" s="7">
        <f t="shared" si="16"/>
        <v>0</v>
      </c>
      <c r="U137" s="7">
        <f t="shared" si="16"/>
        <v>0</v>
      </c>
      <c r="V137" s="7">
        <f t="shared" si="16"/>
        <v>0</v>
      </c>
      <c r="W137" s="7">
        <f t="shared" si="16"/>
        <v>0</v>
      </c>
      <c r="X137" s="7">
        <f t="shared" si="16"/>
        <v>0</v>
      </c>
      <c r="Y137" s="7">
        <f t="shared" si="16"/>
        <v>0</v>
      </c>
      <c r="Z137" s="7">
        <f t="shared" si="16"/>
        <v>0</v>
      </c>
      <c r="AA137" s="7">
        <f t="shared" si="16"/>
        <v>0</v>
      </c>
      <c r="AB137" s="7">
        <f t="shared" si="16"/>
        <v>0</v>
      </c>
      <c r="AC137" s="7">
        <f t="shared" si="16"/>
        <v>0</v>
      </c>
      <c r="AD137" s="7">
        <f t="shared" si="16"/>
        <v>0</v>
      </c>
      <c r="AE137" s="7">
        <f t="shared" si="16"/>
        <v>0</v>
      </c>
      <c r="AF137" s="7">
        <f t="shared" si="16"/>
        <v>0</v>
      </c>
      <c r="AG137" s="7">
        <f t="shared" si="16"/>
        <v>0</v>
      </c>
      <c r="AH137" s="7">
        <f t="shared" si="16"/>
        <v>0</v>
      </c>
      <c r="AI137" s="7">
        <f t="shared" si="16"/>
        <v>0</v>
      </c>
      <c r="AJ137" s="7">
        <f t="shared" si="16"/>
        <v>0</v>
      </c>
      <c r="AK137" s="7">
        <f t="shared" si="16"/>
        <v>0</v>
      </c>
      <c r="AL137" s="7">
        <f t="shared" si="16"/>
        <v>0</v>
      </c>
      <c r="AM137" s="7">
        <f t="shared" si="16"/>
        <v>0</v>
      </c>
      <c r="AN137" s="7">
        <f t="shared" si="16"/>
        <v>0</v>
      </c>
      <c r="AO137" s="7">
        <f t="shared" si="16"/>
        <v>0</v>
      </c>
      <c r="AP137" s="7">
        <f t="shared" si="16"/>
        <v>0</v>
      </c>
      <c r="AQ137" s="7">
        <f t="shared" si="16"/>
        <v>0</v>
      </c>
      <c r="AR137" s="7">
        <f t="shared" si="16"/>
        <v>0</v>
      </c>
      <c r="AS137" s="7">
        <f t="shared" si="16"/>
        <v>0</v>
      </c>
      <c r="AT137" s="7">
        <f t="shared" si="16"/>
        <v>0</v>
      </c>
      <c r="AU137" s="7">
        <f t="shared" si="16"/>
        <v>0</v>
      </c>
      <c r="AV137" s="7">
        <f t="shared" si="16"/>
        <v>0</v>
      </c>
      <c r="AW137" s="7">
        <f t="shared" si="16"/>
        <v>0</v>
      </c>
    </row>
    <row r="138" spans="1:49" ht="14.5" hidden="1" outlineLevel="1" x14ac:dyDescent="0.35">
      <c r="A138" t="s">
        <v>12</v>
      </c>
      <c r="B138" t="s">
        <v>16</v>
      </c>
      <c r="C138" t="s">
        <v>118</v>
      </c>
      <c r="D138" t="s">
        <v>85</v>
      </c>
      <c r="E138" t="s">
        <v>77</v>
      </c>
      <c r="F138" s="11">
        <v>12</v>
      </c>
      <c r="G138" s="11">
        <v>12</v>
      </c>
      <c r="H138" s="11">
        <v>0</v>
      </c>
      <c r="I138" s="11">
        <v>12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</row>
    <row r="139" spans="1:49" ht="14.5" collapsed="1" x14ac:dyDescent="0.35">
      <c r="A139" s="6" t="s">
        <v>12</v>
      </c>
      <c r="B139" s="6" t="s">
        <v>16</v>
      </c>
      <c r="C139" s="6" t="s">
        <v>119</v>
      </c>
      <c r="D139" s="6" t="s">
        <v>72</v>
      </c>
      <c r="E139" s="6" t="s">
        <v>73</v>
      </c>
      <c r="F139" s="7">
        <f t="shared" ref="F139:AW139" si="17">SUM(F140)</f>
        <v>17.5</v>
      </c>
      <c r="G139" s="7">
        <f t="shared" si="17"/>
        <v>17.5</v>
      </c>
      <c r="H139" s="7">
        <f t="shared" si="17"/>
        <v>0</v>
      </c>
      <c r="I139" s="7">
        <f t="shared" si="17"/>
        <v>17.5</v>
      </c>
      <c r="J139" s="7">
        <f t="shared" si="17"/>
        <v>0</v>
      </c>
      <c r="K139" s="7">
        <f t="shared" si="17"/>
        <v>0</v>
      </c>
      <c r="L139" s="7">
        <f t="shared" si="17"/>
        <v>0</v>
      </c>
      <c r="M139" s="7">
        <f t="shared" si="17"/>
        <v>0</v>
      </c>
      <c r="N139" s="7">
        <f t="shared" si="17"/>
        <v>0</v>
      </c>
      <c r="O139" s="7">
        <f t="shared" si="17"/>
        <v>0</v>
      </c>
      <c r="P139" s="7">
        <f t="shared" si="17"/>
        <v>0</v>
      </c>
      <c r="Q139" s="7">
        <f t="shared" si="17"/>
        <v>0</v>
      </c>
      <c r="R139" s="7">
        <f t="shared" si="17"/>
        <v>0</v>
      </c>
      <c r="S139" s="7">
        <f t="shared" si="17"/>
        <v>0</v>
      </c>
      <c r="T139" s="7">
        <f t="shared" si="17"/>
        <v>0</v>
      </c>
      <c r="U139" s="7">
        <f t="shared" si="17"/>
        <v>0</v>
      </c>
      <c r="V139" s="7">
        <f t="shared" si="17"/>
        <v>0</v>
      </c>
      <c r="W139" s="7">
        <f t="shared" si="17"/>
        <v>0</v>
      </c>
      <c r="X139" s="7">
        <f t="shared" si="17"/>
        <v>0</v>
      </c>
      <c r="Y139" s="7">
        <f t="shared" si="17"/>
        <v>0</v>
      </c>
      <c r="Z139" s="7">
        <f t="shared" si="17"/>
        <v>0</v>
      </c>
      <c r="AA139" s="7">
        <f t="shared" si="17"/>
        <v>0</v>
      </c>
      <c r="AB139" s="7">
        <f t="shared" si="17"/>
        <v>0</v>
      </c>
      <c r="AC139" s="7">
        <f t="shared" si="17"/>
        <v>0</v>
      </c>
      <c r="AD139" s="7">
        <f t="shared" si="17"/>
        <v>0</v>
      </c>
      <c r="AE139" s="7">
        <f t="shared" si="17"/>
        <v>0</v>
      </c>
      <c r="AF139" s="7">
        <f t="shared" si="17"/>
        <v>0</v>
      </c>
      <c r="AG139" s="7">
        <f t="shared" si="17"/>
        <v>0</v>
      </c>
      <c r="AH139" s="7">
        <f t="shared" si="17"/>
        <v>0</v>
      </c>
      <c r="AI139" s="7">
        <f t="shared" si="17"/>
        <v>0</v>
      </c>
      <c r="AJ139" s="7">
        <f t="shared" si="17"/>
        <v>0</v>
      </c>
      <c r="AK139" s="7">
        <f t="shared" si="17"/>
        <v>0</v>
      </c>
      <c r="AL139" s="7">
        <f t="shared" si="17"/>
        <v>0</v>
      </c>
      <c r="AM139" s="7">
        <f t="shared" si="17"/>
        <v>0</v>
      </c>
      <c r="AN139" s="7">
        <f t="shared" si="17"/>
        <v>0</v>
      </c>
      <c r="AO139" s="7">
        <f t="shared" si="17"/>
        <v>0</v>
      </c>
      <c r="AP139" s="7">
        <f t="shared" si="17"/>
        <v>0</v>
      </c>
      <c r="AQ139" s="7">
        <f t="shared" si="17"/>
        <v>0</v>
      </c>
      <c r="AR139" s="7">
        <f t="shared" si="17"/>
        <v>0</v>
      </c>
      <c r="AS139" s="7">
        <f t="shared" si="17"/>
        <v>0</v>
      </c>
      <c r="AT139" s="7">
        <f t="shared" si="17"/>
        <v>0</v>
      </c>
      <c r="AU139" s="7">
        <f t="shared" si="17"/>
        <v>0</v>
      </c>
      <c r="AV139" s="7">
        <f t="shared" si="17"/>
        <v>0</v>
      </c>
      <c r="AW139" s="7">
        <f t="shared" si="17"/>
        <v>0</v>
      </c>
    </row>
    <row r="140" spans="1:49" ht="14.5" hidden="1" outlineLevel="1" x14ac:dyDescent="0.35">
      <c r="A140" t="s">
        <v>12</v>
      </c>
      <c r="B140" t="s">
        <v>16</v>
      </c>
      <c r="C140" t="s">
        <v>119</v>
      </c>
      <c r="D140" t="s">
        <v>85</v>
      </c>
      <c r="E140" t="s">
        <v>77</v>
      </c>
      <c r="F140" s="11">
        <v>17.5</v>
      </c>
      <c r="G140" s="11">
        <v>17.5</v>
      </c>
      <c r="H140" s="11">
        <v>0</v>
      </c>
      <c r="I140" s="11">
        <v>17.5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</row>
    <row r="141" spans="1:49" ht="14.5" collapsed="1" x14ac:dyDescent="0.35">
      <c r="A141" s="6" t="s">
        <v>12</v>
      </c>
      <c r="B141" s="6" t="s">
        <v>16</v>
      </c>
      <c r="C141" s="6" t="s">
        <v>25</v>
      </c>
      <c r="D141" s="6" t="s">
        <v>72</v>
      </c>
      <c r="E141" s="6" t="s">
        <v>73</v>
      </c>
      <c r="F141" s="7">
        <f t="shared" ref="F141:AW141" si="18">SUM(F142,F145,F147,F150,F152,F155,F157,F158,F161,F163,F164,F165,F166,F168)</f>
        <v>257.2</v>
      </c>
      <c r="G141" s="7">
        <f t="shared" si="18"/>
        <v>993.3</v>
      </c>
      <c r="H141" s="7">
        <f t="shared" si="18"/>
        <v>1009.6</v>
      </c>
      <c r="I141" s="7">
        <f t="shared" si="18"/>
        <v>-16.299999999999994</v>
      </c>
      <c r="J141" s="7">
        <f t="shared" si="18"/>
        <v>32.850876999999997</v>
      </c>
      <c r="K141" s="7">
        <f t="shared" si="18"/>
        <v>25.754386</v>
      </c>
      <c r="L141" s="7">
        <f t="shared" si="18"/>
        <v>13.754386</v>
      </c>
      <c r="M141" s="7">
        <f t="shared" si="18"/>
        <v>9.7543860000000002</v>
      </c>
      <c r="N141" s="7">
        <f t="shared" si="18"/>
        <v>4.7543860000000002</v>
      </c>
      <c r="O141" s="7">
        <f t="shared" si="18"/>
        <v>11.454386</v>
      </c>
      <c r="P141" s="7">
        <f t="shared" si="18"/>
        <v>10.854386</v>
      </c>
      <c r="Q141" s="7">
        <f t="shared" si="18"/>
        <v>34.754385999999997</v>
      </c>
      <c r="R141" s="7">
        <f t="shared" si="18"/>
        <v>36.854385999999998</v>
      </c>
      <c r="S141" s="7">
        <f t="shared" si="18"/>
        <v>15.854386</v>
      </c>
      <c r="T141" s="7">
        <f t="shared" si="18"/>
        <v>7.7543860000000002</v>
      </c>
      <c r="U141" s="7">
        <f t="shared" si="18"/>
        <v>7.7543860000000002</v>
      </c>
      <c r="V141" s="7">
        <f t="shared" si="18"/>
        <v>1.7543859999999998</v>
      </c>
      <c r="W141" s="7">
        <f t="shared" si="18"/>
        <v>14.754386</v>
      </c>
      <c r="X141" s="7">
        <f t="shared" si="18"/>
        <v>19.754386</v>
      </c>
      <c r="Y141" s="7">
        <f t="shared" si="18"/>
        <v>24.754386</v>
      </c>
      <c r="Z141" s="7">
        <f t="shared" si="18"/>
        <v>1.7543859999999998</v>
      </c>
      <c r="AA141" s="7">
        <f t="shared" si="18"/>
        <v>1.7543859999999998</v>
      </c>
      <c r="AB141" s="7">
        <f t="shared" si="18"/>
        <v>39.103509000000003</v>
      </c>
      <c r="AC141" s="12">
        <f t="shared" si="18"/>
        <v>57.103509000000003</v>
      </c>
      <c r="AD141" s="7">
        <f t="shared" si="18"/>
        <v>51.103509000000003</v>
      </c>
      <c r="AE141" s="7">
        <f t="shared" si="18"/>
        <v>51.403509</v>
      </c>
      <c r="AF141" s="7">
        <f t="shared" si="18"/>
        <v>49.403509</v>
      </c>
      <c r="AG141" s="12">
        <f t="shared" si="18"/>
        <v>59.403509</v>
      </c>
      <c r="AH141" s="13">
        <f t="shared" si="18"/>
        <v>69.403509</v>
      </c>
      <c r="AI141" s="7">
        <f t="shared" si="18"/>
        <v>34.903509</v>
      </c>
      <c r="AJ141" s="7">
        <f t="shared" si="18"/>
        <v>8.603508999999999</v>
      </c>
      <c r="AK141" s="7">
        <f t="shared" si="18"/>
        <v>12.503508999999999</v>
      </c>
      <c r="AL141" s="7">
        <f t="shared" si="18"/>
        <v>14.403509</v>
      </c>
      <c r="AM141" s="7">
        <f t="shared" si="18"/>
        <v>8.5035089999999993</v>
      </c>
      <c r="AN141" s="7">
        <f t="shared" si="18"/>
        <v>7.0035089999999993</v>
      </c>
      <c r="AO141" s="7">
        <f t="shared" si="18"/>
        <v>5.303509</v>
      </c>
      <c r="AP141" s="7">
        <f t="shared" si="18"/>
        <v>3.2035089999999999</v>
      </c>
      <c r="AQ141" s="7">
        <f t="shared" si="18"/>
        <v>1.4035089999999999</v>
      </c>
      <c r="AR141" s="7">
        <f t="shared" si="18"/>
        <v>1.4035089999999999</v>
      </c>
      <c r="AS141" s="7">
        <f t="shared" si="18"/>
        <v>1.4035089999999999</v>
      </c>
      <c r="AT141" s="7">
        <f t="shared" si="18"/>
        <v>1.4035089999999999</v>
      </c>
      <c r="AU141" s="7">
        <f t="shared" si="18"/>
        <v>0</v>
      </c>
      <c r="AV141" s="7">
        <f t="shared" si="18"/>
        <v>0</v>
      </c>
      <c r="AW141" s="7">
        <f t="shared" si="18"/>
        <v>0</v>
      </c>
    </row>
    <row r="142" spans="1:49" ht="14.5" hidden="1" outlineLevel="1" x14ac:dyDescent="0.35">
      <c r="A142" t="s">
        <v>12</v>
      </c>
      <c r="B142" t="s">
        <v>16</v>
      </c>
      <c r="C142" t="s">
        <v>25</v>
      </c>
      <c r="D142" t="s">
        <v>85</v>
      </c>
      <c r="E142" t="s">
        <v>77</v>
      </c>
      <c r="F142" s="11">
        <v>34.4</v>
      </c>
      <c r="G142" s="11">
        <v>86.4</v>
      </c>
      <c r="H142" s="11">
        <v>123</v>
      </c>
      <c r="I142" s="11">
        <v>-36.6</v>
      </c>
      <c r="J142" s="11">
        <v>5</v>
      </c>
      <c r="K142" s="11">
        <v>1.4035089999999999</v>
      </c>
      <c r="L142" s="11">
        <v>1.4035089999999999</v>
      </c>
      <c r="M142" s="11">
        <v>1.4035089999999999</v>
      </c>
      <c r="N142" s="11">
        <v>1.4035089999999999</v>
      </c>
      <c r="O142" s="11">
        <v>1.4035089999999999</v>
      </c>
      <c r="P142" s="11">
        <v>1.4035089999999999</v>
      </c>
      <c r="Q142" s="11">
        <v>1.4035089999999999</v>
      </c>
      <c r="R142" s="11">
        <v>1.4035089999999999</v>
      </c>
      <c r="S142" s="11">
        <v>1.4035089999999999</v>
      </c>
      <c r="T142" s="11">
        <v>1.4035089999999999</v>
      </c>
      <c r="U142" s="11">
        <v>1.4035089999999999</v>
      </c>
      <c r="V142" s="11">
        <v>1.4035089999999999</v>
      </c>
      <c r="W142" s="11">
        <v>1.4035089999999999</v>
      </c>
      <c r="X142" s="11">
        <v>1.4035089999999999</v>
      </c>
      <c r="Y142" s="11">
        <v>1.4035089999999999</v>
      </c>
      <c r="Z142" s="11">
        <v>1.4035089999999999</v>
      </c>
      <c r="AA142" s="11">
        <v>1.4035089999999999</v>
      </c>
      <c r="AB142" s="11">
        <v>1.4035089999999999</v>
      </c>
      <c r="AC142" s="11">
        <v>1.4035089999999999</v>
      </c>
      <c r="AD142" s="11">
        <v>1.4035089999999999</v>
      </c>
      <c r="AE142" s="11">
        <v>1.4035089999999999</v>
      </c>
      <c r="AF142" s="11">
        <v>1.4035089999999999</v>
      </c>
      <c r="AG142" s="11">
        <v>1.4035089999999999</v>
      </c>
      <c r="AH142" s="11">
        <v>1.4035089999999999</v>
      </c>
      <c r="AI142" s="11">
        <v>1.4035089999999999</v>
      </c>
      <c r="AJ142" s="11">
        <v>1.4035089999999999</v>
      </c>
      <c r="AK142" s="11">
        <v>1.4035089999999999</v>
      </c>
      <c r="AL142" s="11">
        <v>1.4035089999999999</v>
      </c>
      <c r="AM142" s="11">
        <v>1.4035089999999999</v>
      </c>
      <c r="AN142" s="11">
        <v>1.4035089999999999</v>
      </c>
      <c r="AO142" s="11">
        <v>1.4035089999999999</v>
      </c>
      <c r="AP142" s="11">
        <v>1.4035089999999999</v>
      </c>
      <c r="AQ142" s="11">
        <v>1.4035089999999999</v>
      </c>
      <c r="AR142" s="11">
        <v>1.4035089999999999</v>
      </c>
      <c r="AS142" s="11">
        <v>1.4035089999999999</v>
      </c>
      <c r="AT142" s="11">
        <v>1.4035089999999999</v>
      </c>
      <c r="AU142" s="11">
        <v>0</v>
      </c>
      <c r="AV142" s="11">
        <v>0</v>
      </c>
      <c r="AW142" s="11">
        <v>0</v>
      </c>
    </row>
    <row r="143" spans="1:49" ht="14.5" hidden="1" outlineLevel="1" x14ac:dyDescent="0.35">
      <c r="A143" s="14" t="s">
        <v>12</v>
      </c>
      <c r="B143" s="14" t="s">
        <v>16</v>
      </c>
      <c r="C143" s="14" t="s">
        <v>25</v>
      </c>
      <c r="D143" s="14" t="s">
        <v>99</v>
      </c>
      <c r="E143" s="15" t="s">
        <v>77</v>
      </c>
      <c r="F143" s="16"/>
      <c r="G143" s="16"/>
      <c r="H143" s="16"/>
      <c r="I143" s="16"/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-1.4035089999999999</v>
      </c>
      <c r="AD143" s="16">
        <v>0</v>
      </c>
      <c r="AE143" s="16">
        <v>0</v>
      </c>
      <c r="AF143" s="16">
        <v>0</v>
      </c>
      <c r="AG143" s="16">
        <v>-1.4035089999999999</v>
      </c>
      <c r="AH143" s="16">
        <v>-1.4035089999999999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</row>
    <row r="144" spans="1:49" ht="14.5" hidden="1" outlineLevel="1" x14ac:dyDescent="0.35">
      <c r="A144" s="8" t="s">
        <v>12</v>
      </c>
      <c r="B144" s="8" t="s">
        <v>16</v>
      </c>
      <c r="C144" s="8" t="s">
        <v>25</v>
      </c>
      <c r="D144" s="8" t="s">
        <v>74</v>
      </c>
      <c r="E144" s="9" t="s">
        <v>77</v>
      </c>
      <c r="F144" s="10"/>
      <c r="G144" s="10"/>
      <c r="H144" s="10"/>
      <c r="I144" s="10"/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1.4035089999999999</v>
      </c>
      <c r="V144" s="10">
        <v>0</v>
      </c>
      <c r="W144" s="10">
        <v>1.4035089999999999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</row>
    <row r="145" spans="1:49" ht="14.5" hidden="1" outlineLevel="1" x14ac:dyDescent="0.35">
      <c r="A145" t="s">
        <v>12</v>
      </c>
      <c r="B145" t="s">
        <v>16</v>
      </c>
      <c r="C145" t="s">
        <v>25</v>
      </c>
      <c r="D145" t="s">
        <v>85</v>
      </c>
      <c r="E145" t="s">
        <v>86</v>
      </c>
      <c r="F145" s="11">
        <v>5</v>
      </c>
      <c r="G145" s="11">
        <v>42</v>
      </c>
      <c r="H145" s="11">
        <v>37</v>
      </c>
      <c r="I145" s="11">
        <v>5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2</v>
      </c>
      <c r="S145" s="11">
        <v>3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2</v>
      </c>
      <c r="AC145" s="11">
        <v>2</v>
      </c>
      <c r="AD145" s="11">
        <v>2</v>
      </c>
      <c r="AE145" s="11">
        <v>2</v>
      </c>
      <c r="AF145" s="11">
        <v>0</v>
      </c>
      <c r="AG145" s="11">
        <v>0</v>
      </c>
      <c r="AH145" s="11">
        <v>0</v>
      </c>
      <c r="AI145" s="11">
        <v>0</v>
      </c>
      <c r="AJ145" s="11">
        <v>5</v>
      </c>
      <c r="AK145" s="11">
        <v>8</v>
      </c>
      <c r="AL145" s="11">
        <v>9</v>
      </c>
      <c r="AM145" s="11">
        <v>2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</row>
    <row r="146" spans="1:49" ht="14.5" hidden="1" outlineLevel="1" x14ac:dyDescent="0.35">
      <c r="A146" s="14" t="s">
        <v>12</v>
      </c>
      <c r="B146" s="14" t="s">
        <v>16</v>
      </c>
      <c r="C146" s="14" t="s">
        <v>25</v>
      </c>
      <c r="D146" s="14" t="s">
        <v>99</v>
      </c>
      <c r="E146" s="15" t="s">
        <v>86</v>
      </c>
      <c r="F146" s="16"/>
      <c r="G146" s="16"/>
      <c r="H146" s="16"/>
      <c r="I146" s="16"/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-0.100000000000003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</row>
    <row r="147" spans="1:49" ht="14.5" hidden="1" outlineLevel="1" x14ac:dyDescent="0.35">
      <c r="A147" t="s">
        <v>12</v>
      </c>
      <c r="B147" t="s">
        <v>16</v>
      </c>
      <c r="C147" t="s">
        <v>25</v>
      </c>
      <c r="D147" t="s">
        <v>85</v>
      </c>
      <c r="E147" t="s">
        <v>78</v>
      </c>
      <c r="F147" s="11">
        <v>4.4000000000000004</v>
      </c>
      <c r="G147" s="11">
        <v>16.899999999999999</v>
      </c>
      <c r="H147" s="11">
        <v>13</v>
      </c>
      <c r="I147" s="11">
        <v>3.9</v>
      </c>
      <c r="J147" s="11">
        <v>0.35087699999999999</v>
      </c>
      <c r="K147" s="11">
        <v>0.35087699999999999</v>
      </c>
      <c r="L147" s="11">
        <v>0.35087699999999999</v>
      </c>
      <c r="M147" s="11">
        <v>0.35087699999999999</v>
      </c>
      <c r="N147" s="11">
        <v>0.35087699999999999</v>
      </c>
      <c r="O147" s="11">
        <v>0.35087699999999999</v>
      </c>
      <c r="P147" s="11">
        <v>0.35087699999999999</v>
      </c>
      <c r="Q147" s="11">
        <v>0.35087699999999999</v>
      </c>
      <c r="R147" s="11">
        <v>0.35087699999999999</v>
      </c>
      <c r="S147" s="11">
        <v>0.35087699999999999</v>
      </c>
      <c r="T147" s="11">
        <v>0.35087699999999999</v>
      </c>
      <c r="U147" s="11">
        <v>0.35087699999999999</v>
      </c>
      <c r="V147" s="11">
        <v>0.35087699999999999</v>
      </c>
      <c r="W147" s="11">
        <v>0.35087699999999999</v>
      </c>
      <c r="X147" s="11">
        <v>0.35087699999999999</v>
      </c>
      <c r="Y147" s="11">
        <v>0.35087699999999999</v>
      </c>
      <c r="Z147" s="11">
        <v>0.35087699999999999</v>
      </c>
      <c r="AA147" s="11">
        <v>0.35087699999999999</v>
      </c>
      <c r="AB147" s="11">
        <v>0.6</v>
      </c>
      <c r="AC147" s="11">
        <v>0.6</v>
      </c>
      <c r="AD147" s="11">
        <v>0.7</v>
      </c>
      <c r="AE147" s="11">
        <v>1</v>
      </c>
      <c r="AF147" s="11">
        <v>1</v>
      </c>
      <c r="AG147" s="11">
        <v>1</v>
      </c>
      <c r="AH147" s="11">
        <v>1</v>
      </c>
      <c r="AI147" s="11">
        <v>0.8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</row>
    <row r="148" spans="1:49" ht="14.5" hidden="1" outlineLevel="1" x14ac:dyDescent="0.35">
      <c r="A148" s="14" t="s">
        <v>12</v>
      </c>
      <c r="B148" s="14" t="s">
        <v>16</v>
      </c>
      <c r="C148" s="14" t="s">
        <v>25</v>
      </c>
      <c r="D148" s="14" t="s">
        <v>99</v>
      </c>
      <c r="E148" s="15" t="s">
        <v>78</v>
      </c>
      <c r="F148" s="16"/>
      <c r="G148" s="16"/>
      <c r="H148" s="16"/>
      <c r="I148" s="16"/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-0.6</v>
      </c>
      <c r="AD148" s="16">
        <v>0</v>
      </c>
      <c r="AE148" s="16">
        <v>0</v>
      </c>
      <c r="AF148" s="16">
        <v>0</v>
      </c>
      <c r="AG148" s="16">
        <v>-1</v>
      </c>
      <c r="AH148" s="16">
        <v>-1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</row>
    <row r="149" spans="1:49" ht="14.5" hidden="1" outlineLevel="1" x14ac:dyDescent="0.35">
      <c r="A149" s="8" t="s">
        <v>12</v>
      </c>
      <c r="B149" s="8" t="s">
        <v>16</v>
      </c>
      <c r="C149" s="8" t="s">
        <v>25</v>
      </c>
      <c r="D149" s="8" t="s">
        <v>74</v>
      </c>
      <c r="E149" s="9" t="s">
        <v>78</v>
      </c>
      <c r="F149" s="10"/>
      <c r="G149" s="10"/>
      <c r="H149" s="10"/>
      <c r="I149" s="10"/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0.25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</row>
    <row r="150" spans="1:49" ht="14.5" hidden="1" outlineLevel="1" x14ac:dyDescent="0.35">
      <c r="A150" t="s">
        <v>12</v>
      </c>
      <c r="B150" t="s">
        <v>16</v>
      </c>
      <c r="C150" t="s">
        <v>25</v>
      </c>
      <c r="D150" t="s">
        <v>85</v>
      </c>
      <c r="E150" t="s">
        <v>80</v>
      </c>
      <c r="F150" s="11">
        <v>6</v>
      </c>
      <c r="G150" s="11">
        <v>65</v>
      </c>
      <c r="H150" s="11">
        <v>65</v>
      </c>
      <c r="I150" s="11">
        <v>0</v>
      </c>
      <c r="J150" s="11">
        <v>0</v>
      </c>
      <c r="K150" s="11">
        <v>6</v>
      </c>
      <c r="L150" s="11">
        <v>7</v>
      </c>
      <c r="M150" s="11">
        <v>7</v>
      </c>
      <c r="N150" s="11">
        <v>2</v>
      </c>
      <c r="O150" s="11">
        <v>1</v>
      </c>
      <c r="P150" s="11">
        <v>1</v>
      </c>
      <c r="Q150" s="11">
        <v>2</v>
      </c>
      <c r="R150" s="11">
        <v>2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2</v>
      </c>
      <c r="Y150" s="11">
        <v>2</v>
      </c>
      <c r="Z150" s="11">
        <v>0</v>
      </c>
      <c r="AA150" s="11">
        <v>0</v>
      </c>
      <c r="AB150" s="11">
        <v>2</v>
      </c>
      <c r="AC150" s="11">
        <v>3</v>
      </c>
      <c r="AD150" s="11">
        <v>3</v>
      </c>
      <c r="AE150" s="11">
        <v>5</v>
      </c>
      <c r="AF150" s="11">
        <v>5</v>
      </c>
      <c r="AG150" s="11">
        <v>5</v>
      </c>
      <c r="AH150" s="11">
        <v>5</v>
      </c>
      <c r="AI150" s="11">
        <v>5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</row>
    <row r="151" spans="1:49" ht="14.5" hidden="1" outlineLevel="1" x14ac:dyDescent="0.35">
      <c r="A151" s="14" t="s">
        <v>12</v>
      </c>
      <c r="B151" s="14" t="s">
        <v>16</v>
      </c>
      <c r="C151" s="14" t="s">
        <v>25</v>
      </c>
      <c r="D151" s="14" t="s">
        <v>99</v>
      </c>
      <c r="E151" s="15" t="s">
        <v>80</v>
      </c>
      <c r="F151" s="16"/>
      <c r="G151" s="16"/>
      <c r="H151" s="16"/>
      <c r="I151" s="16"/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-5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</row>
    <row r="152" spans="1:49" ht="14.5" hidden="1" outlineLevel="1" x14ac:dyDescent="0.35">
      <c r="A152" t="s">
        <v>12</v>
      </c>
      <c r="B152" t="s">
        <v>16</v>
      </c>
      <c r="C152" t="s">
        <v>25</v>
      </c>
      <c r="D152" t="s">
        <v>85</v>
      </c>
      <c r="E152" t="s">
        <v>40</v>
      </c>
      <c r="F152" s="11">
        <v>0</v>
      </c>
      <c r="G152" s="11">
        <v>15</v>
      </c>
      <c r="H152" s="11">
        <v>15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5</v>
      </c>
      <c r="AH152" s="11">
        <v>5</v>
      </c>
      <c r="AI152" s="11">
        <v>5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</row>
    <row r="153" spans="1:49" ht="14.5" hidden="1" outlineLevel="1" x14ac:dyDescent="0.35">
      <c r="A153" s="14" t="s">
        <v>12</v>
      </c>
      <c r="B153" s="14" t="s">
        <v>16</v>
      </c>
      <c r="C153" s="14" t="s">
        <v>25</v>
      </c>
      <c r="D153" s="14" t="s">
        <v>99</v>
      </c>
      <c r="E153" s="15" t="s">
        <v>40</v>
      </c>
      <c r="F153" s="16"/>
      <c r="G153" s="16"/>
      <c r="H153" s="16"/>
      <c r="I153" s="16"/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-5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</row>
    <row r="154" spans="1:49" ht="14.5" hidden="1" outlineLevel="1" x14ac:dyDescent="0.35">
      <c r="A154" s="8" t="s">
        <v>12</v>
      </c>
      <c r="B154" s="8" t="s">
        <v>16</v>
      </c>
      <c r="C154" s="8" t="s">
        <v>25</v>
      </c>
      <c r="D154" s="8" t="s">
        <v>74</v>
      </c>
      <c r="E154" s="9" t="s">
        <v>40</v>
      </c>
      <c r="F154" s="10"/>
      <c r="G154" s="10"/>
      <c r="H154" s="10"/>
      <c r="I154" s="10"/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1.1000000000000001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</row>
    <row r="155" spans="1:49" ht="14.5" hidden="1" outlineLevel="1" x14ac:dyDescent="0.35">
      <c r="A155" t="s">
        <v>12</v>
      </c>
      <c r="B155" t="s">
        <v>16</v>
      </c>
      <c r="C155" t="s">
        <v>25</v>
      </c>
      <c r="D155" t="s">
        <v>85</v>
      </c>
      <c r="E155" t="s">
        <v>103</v>
      </c>
      <c r="F155" s="11">
        <v>40.5</v>
      </c>
      <c r="G155" s="11">
        <v>265.5</v>
      </c>
      <c r="H155" s="11">
        <v>303.5</v>
      </c>
      <c r="I155" s="11">
        <v>-38</v>
      </c>
      <c r="J155" s="11">
        <v>8</v>
      </c>
      <c r="K155" s="11">
        <v>10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15</v>
      </c>
      <c r="R155" s="11">
        <v>15</v>
      </c>
      <c r="S155" s="11">
        <v>5</v>
      </c>
      <c r="T155" s="11">
        <v>0</v>
      </c>
      <c r="U155" s="11">
        <v>0</v>
      </c>
      <c r="V155" s="11">
        <v>0</v>
      </c>
      <c r="W155" s="11">
        <v>0</v>
      </c>
      <c r="X155" s="11">
        <v>5</v>
      </c>
      <c r="Y155" s="11">
        <v>5</v>
      </c>
      <c r="Z155" s="11">
        <v>0</v>
      </c>
      <c r="AA155" s="11">
        <v>0</v>
      </c>
      <c r="AB155" s="11">
        <v>17</v>
      </c>
      <c r="AC155" s="11">
        <v>25</v>
      </c>
      <c r="AD155" s="11">
        <v>23</v>
      </c>
      <c r="AE155" s="11">
        <v>25</v>
      </c>
      <c r="AF155" s="11">
        <v>25</v>
      </c>
      <c r="AG155" s="11">
        <v>25</v>
      </c>
      <c r="AH155" s="11">
        <v>35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</row>
    <row r="156" spans="1:49" ht="14.5" hidden="1" outlineLevel="1" x14ac:dyDescent="0.35">
      <c r="A156" s="8" t="s">
        <v>12</v>
      </c>
      <c r="B156" s="8" t="s">
        <v>16</v>
      </c>
      <c r="C156" s="8" t="s">
        <v>25</v>
      </c>
      <c r="D156" s="8" t="s">
        <v>74</v>
      </c>
      <c r="E156" s="9" t="s">
        <v>103</v>
      </c>
      <c r="F156" s="10"/>
      <c r="G156" s="10"/>
      <c r="H156" s="10"/>
      <c r="I156" s="10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3.1456140000000001</v>
      </c>
      <c r="S156" s="10">
        <v>0</v>
      </c>
      <c r="T156" s="10">
        <v>0</v>
      </c>
      <c r="U156" s="10">
        <v>5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</row>
    <row r="157" spans="1:49" ht="14.5" hidden="1" outlineLevel="1" x14ac:dyDescent="0.35">
      <c r="A157" t="s">
        <v>12</v>
      </c>
      <c r="B157" t="s">
        <v>16</v>
      </c>
      <c r="C157" t="s">
        <v>25</v>
      </c>
      <c r="D157" t="s">
        <v>85</v>
      </c>
      <c r="E157" t="s">
        <v>90</v>
      </c>
      <c r="F157" s="11">
        <v>0</v>
      </c>
      <c r="G157" s="11">
        <v>0</v>
      </c>
      <c r="H157" s="11">
        <v>4</v>
      </c>
      <c r="I157" s="11">
        <v>-4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</row>
    <row r="158" spans="1:49" ht="14.5" hidden="1" outlineLevel="1" x14ac:dyDescent="0.35">
      <c r="A158" t="s">
        <v>12</v>
      </c>
      <c r="B158" t="s">
        <v>16</v>
      </c>
      <c r="C158" t="s">
        <v>25</v>
      </c>
      <c r="D158" t="s">
        <v>85</v>
      </c>
      <c r="E158" t="s">
        <v>82</v>
      </c>
      <c r="F158" s="11">
        <v>20</v>
      </c>
      <c r="G158" s="11">
        <v>48</v>
      </c>
      <c r="H158" s="11">
        <v>28.5</v>
      </c>
      <c r="I158" s="11">
        <v>19.5</v>
      </c>
      <c r="J158" s="11">
        <v>4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2</v>
      </c>
      <c r="AC158" s="11">
        <v>2</v>
      </c>
      <c r="AD158" s="11">
        <v>2</v>
      </c>
      <c r="AE158" s="11">
        <v>2</v>
      </c>
      <c r="AF158" s="11">
        <v>2</v>
      </c>
      <c r="AG158" s="11">
        <v>2</v>
      </c>
      <c r="AH158" s="11">
        <v>2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</row>
    <row r="159" spans="1:49" ht="14.5" hidden="1" outlineLevel="1" x14ac:dyDescent="0.35">
      <c r="A159" s="14" t="s">
        <v>12</v>
      </c>
      <c r="B159" s="14" t="s">
        <v>16</v>
      </c>
      <c r="C159" s="14" t="s">
        <v>25</v>
      </c>
      <c r="D159" s="14" t="s">
        <v>99</v>
      </c>
      <c r="E159" s="15" t="s">
        <v>82</v>
      </c>
      <c r="F159" s="16"/>
      <c r="G159" s="16"/>
      <c r="H159" s="16"/>
      <c r="I159" s="16"/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-2</v>
      </c>
      <c r="AH159" s="16">
        <v>-2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</row>
    <row r="160" spans="1:49" ht="14.5" hidden="1" outlineLevel="1" x14ac:dyDescent="0.35">
      <c r="A160" s="8" t="s">
        <v>12</v>
      </c>
      <c r="B160" s="8" t="s">
        <v>16</v>
      </c>
      <c r="C160" s="8" t="s">
        <v>25</v>
      </c>
      <c r="D160" s="8" t="s">
        <v>74</v>
      </c>
      <c r="E160" s="9" t="s">
        <v>82</v>
      </c>
      <c r="F160" s="10"/>
      <c r="G160" s="10"/>
      <c r="H160" s="10"/>
      <c r="I160" s="10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1</v>
      </c>
      <c r="X160" s="10">
        <v>0</v>
      </c>
      <c r="Y160" s="10">
        <v>1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</row>
    <row r="161" spans="1:49" ht="14.5" hidden="1" outlineLevel="1" x14ac:dyDescent="0.35">
      <c r="A161" t="s">
        <v>12</v>
      </c>
      <c r="B161" t="s">
        <v>16</v>
      </c>
      <c r="C161" t="s">
        <v>25</v>
      </c>
      <c r="D161" t="s">
        <v>85</v>
      </c>
      <c r="E161" t="s">
        <v>98</v>
      </c>
      <c r="F161" s="11">
        <v>64</v>
      </c>
      <c r="G161" s="11">
        <v>200</v>
      </c>
      <c r="H161" s="11">
        <v>190.5</v>
      </c>
      <c r="I161" s="11">
        <v>9.5</v>
      </c>
      <c r="J161" s="11">
        <v>7.5</v>
      </c>
      <c r="K161" s="11">
        <v>4</v>
      </c>
      <c r="L161" s="11">
        <v>3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3</v>
      </c>
      <c r="Z161" s="11">
        <v>0</v>
      </c>
      <c r="AA161" s="11">
        <v>0</v>
      </c>
      <c r="AB161" s="11">
        <v>2</v>
      </c>
      <c r="AC161" s="11">
        <v>15</v>
      </c>
      <c r="AD161" s="11">
        <v>15</v>
      </c>
      <c r="AE161" s="11">
        <v>15</v>
      </c>
      <c r="AF161" s="11">
        <v>15</v>
      </c>
      <c r="AG161" s="11">
        <v>20</v>
      </c>
      <c r="AH161" s="11">
        <v>20</v>
      </c>
      <c r="AI161" s="11">
        <v>20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</row>
    <row r="162" spans="1:49" ht="14.5" hidden="1" outlineLevel="1" x14ac:dyDescent="0.35">
      <c r="A162" s="8" t="s">
        <v>12</v>
      </c>
      <c r="B162" s="8" t="s">
        <v>16</v>
      </c>
      <c r="C162" s="8" t="s">
        <v>25</v>
      </c>
      <c r="D162" s="8" t="s">
        <v>74</v>
      </c>
      <c r="E162" s="9" t="s">
        <v>98</v>
      </c>
      <c r="F162" s="10"/>
      <c r="G162" s="10"/>
      <c r="H162" s="10"/>
      <c r="I162" s="10"/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1.4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</row>
    <row r="163" spans="1:49" ht="14.5" hidden="1" outlineLevel="1" x14ac:dyDescent="0.35">
      <c r="A163" t="s">
        <v>12</v>
      </c>
      <c r="B163" t="s">
        <v>16</v>
      </c>
      <c r="C163" t="s">
        <v>25</v>
      </c>
      <c r="D163" t="s">
        <v>85</v>
      </c>
      <c r="E163" t="s">
        <v>113</v>
      </c>
      <c r="F163" s="11">
        <v>67</v>
      </c>
      <c r="G163" s="11">
        <v>145</v>
      </c>
      <c r="H163" s="11">
        <v>140.5</v>
      </c>
      <c r="I163" s="11">
        <v>4.5</v>
      </c>
      <c r="J163" s="11">
        <v>4</v>
      </c>
      <c r="K163" s="11">
        <v>0</v>
      </c>
      <c r="L163" s="11">
        <v>0</v>
      </c>
      <c r="M163" s="11">
        <v>0</v>
      </c>
      <c r="N163" s="11">
        <v>0</v>
      </c>
      <c r="O163" s="11">
        <v>8</v>
      </c>
      <c r="P163" s="11">
        <v>8</v>
      </c>
      <c r="Q163" s="11">
        <v>6</v>
      </c>
      <c r="R163" s="11">
        <v>6</v>
      </c>
      <c r="S163" s="11">
        <v>6</v>
      </c>
      <c r="T163" s="11">
        <v>6</v>
      </c>
      <c r="U163" s="11">
        <v>6</v>
      </c>
      <c r="V163" s="11">
        <v>0</v>
      </c>
      <c r="W163" s="11">
        <v>6</v>
      </c>
      <c r="X163" s="11">
        <v>4</v>
      </c>
      <c r="Y163" s="11">
        <v>6</v>
      </c>
      <c r="Z163" s="11">
        <v>0</v>
      </c>
      <c r="AA163" s="11">
        <v>0</v>
      </c>
      <c r="AB163" s="11">
        <v>8</v>
      </c>
      <c r="AC163" s="11">
        <v>8</v>
      </c>
      <c r="AD163" s="11">
        <v>4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</row>
    <row r="164" spans="1:49" ht="14.5" hidden="1" outlineLevel="1" x14ac:dyDescent="0.35">
      <c r="A164" t="s">
        <v>12</v>
      </c>
      <c r="B164" t="s">
        <v>16</v>
      </c>
      <c r="C164" t="s">
        <v>25</v>
      </c>
      <c r="D164" t="s">
        <v>85</v>
      </c>
      <c r="E164" t="s">
        <v>102</v>
      </c>
      <c r="F164" s="11">
        <v>3</v>
      </c>
      <c r="G164" s="11">
        <v>12</v>
      </c>
      <c r="H164" s="11">
        <v>2</v>
      </c>
      <c r="I164" s="11">
        <v>10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2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</row>
    <row r="165" spans="1:49" ht="14.5" hidden="1" outlineLevel="1" x14ac:dyDescent="0.35">
      <c r="A165" t="s">
        <v>12</v>
      </c>
      <c r="B165" t="s">
        <v>16</v>
      </c>
      <c r="C165" t="s">
        <v>25</v>
      </c>
      <c r="D165" t="s">
        <v>85</v>
      </c>
      <c r="E165" t="s">
        <v>91</v>
      </c>
      <c r="F165" s="11">
        <v>8</v>
      </c>
      <c r="G165" s="11">
        <v>8</v>
      </c>
      <c r="H165" s="11">
        <v>2</v>
      </c>
      <c r="I165" s="11">
        <v>6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</row>
    <row r="166" spans="1:49" ht="14.5" hidden="1" outlineLevel="1" x14ac:dyDescent="0.35">
      <c r="A166" t="s">
        <v>12</v>
      </c>
      <c r="B166" t="s">
        <v>16</v>
      </c>
      <c r="C166" t="s">
        <v>25</v>
      </c>
      <c r="D166" t="s">
        <v>85</v>
      </c>
      <c r="E166" t="s">
        <v>92</v>
      </c>
      <c r="F166" s="11">
        <v>0</v>
      </c>
      <c r="G166" s="11">
        <v>20</v>
      </c>
      <c r="H166" s="11">
        <v>20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10</v>
      </c>
      <c r="R166" s="11">
        <v>10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</row>
    <row r="167" spans="1:49" ht="14.5" hidden="1" outlineLevel="1" x14ac:dyDescent="0.35">
      <c r="A167" s="8" t="s">
        <v>12</v>
      </c>
      <c r="B167" s="8" t="s">
        <v>16</v>
      </c>
      <c r="C167" s="8" t="s">
        <v>25</v>
      </c>
      <c r="D167" s="8" t="s">
        <v>74</v>
      </c>
      <c r="E167" s="9" t="s">
        <v>92</v>
      </c>
      <c r="F167" s="10"/>
      <c r="G167" s="10"/>
      <c r="H167" s="10"/>
      <c r="I167" s="10"/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5.2456139999999998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</row>
    <row r="168" spans="1:49" ht="14.5" hidden="1" outlineLevel="1" x14ac:dyDescent="0.35">
      <c r="A168" t="s">
        <v>12</v>
      </c>
      <c r="B168" t="s">
        <v>16</v>
      </c>
      <c r="C168" t="s">
        <v>25</v>
      </c>
      <c r="D168" t="s">
        <v>85</v>
      </c>
      <c r="E168" t="s">
        <v>120</v>
      </c>
      <c r="F168" s="11">
        <v>4.9000000000000004</v>
      </c>
      <c r="G168" s="11">
        <v>69.5</v>
      </c>
      <c r="H168" s="11">
        <v>65.599999999999994</v>
      </c>
      <c r="I168" s="11">
        <v>3.9000000000000101</v>
      </c>
      <c r="J168" s="11">
        <v>4</v>
      </c>
      <c r="K168" s="11">
        <v>4</v>
      </c>
      <c r="L168" s="11">
        <v>2</v>
      </c>
      <c r="M168" s="11">
        <v>1</v>
      </c>
      <c r="N168" s="11">
        <v>1</v>
      </c>
      <c r="O168" s="11">
        <v>0.7</v>
      </c>
      <c r="P168" s="11">
        <v>0.1</v>
      </c>
      <c r="Q168" s="11">
        <v>0</v>
      </c>
      <c r="R168" s="11">
        <v>0.1</v>
      </c>
      <c r="S168" s="11">
        <v>0.1</v>
      </c>
      <c r="T168" s="11">
        <v>0</v>
      </c>
      <c r="U168" s="11">
        <v>0</v>
      </c>
      <c r="V168" s="11">
        <v>0</v>
      </c>
      <c r="W168" s="11">
        <v>7</v>
      </c>
      <c r="X168" s="11">
        <v>7</v>
      </c>
      <c r="Y168" s="11">
        <v>7</v>
      </c>
      <c r="Z168" s="11">
        <v>0</v>
      </c>
      <c r="AA168" s="11">
        <v>0</v>
      </c>
      <c r="AB168" s="11">
        <v>4.0999999999999996</v>
      </c>
      <c r="AC168" s="11">
        <v>0.1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0.7</v>
      </c>
      <c r="AJ168" s="11">
        <v>2.2000000000000002</v>
      </c>
      <c r="AK168" s="11">
        <v>3.1</v>
      </c>
      <c r="AL168" s="11">
        <v>4</v>
      </c>
      <c r="AM168" s="11">
        <v>5.0999999999999996</v>
      </c>
      <c r="AN168" s="11">
        <v>5.6</v>
      </c>
      <c r="AO168" s="11">
        <v>3.9</v>
      </c>
      <c r="AP168" s="11">
        <v>1.8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</row>
    <row r="169" spans="1:49" ht="14.5" collapsed="1" x14ac:dyDescent="0.35">
      <c r="A169" s="6" t="s">
        <v>29</v>
      </c>
      <c r="B169" s="6" t="s">
        <v>10</v>
      </c>
      <c r="C169" s="6" t="s">
        <v>121</v>
      </c>
      <c r="D169" s="6" t="s">
        <v>72</v>
      </c>
      <c r="E169" s="6" t="s">
        <v>73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</row>
    <row r="170" spans="1:49" ht="14.5" hidden="1" outlineLevel="1" x14ac:dyDescent="0.35">
      <c r="A170" s="8" t="s">
        <v>29</v>
      </c>
      <c r="B170" s="8" t="s">
        <v>10</v>
      </c>
      <c r="C170" s="8" t="s">
        <v>121</v>
      </c>
      <c r="D170" s="8" t="s">
        <v>74</v>
      </c>
      <c r="E170" s="9" t="s">
        <v>75</v>
      </c>
      <c r="F170" s="10"/>
      <c r="G170" s="10"/>
      <c r="H170" s="10"/>
      <c r="I170" s="10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10</v>
      </c>
      <c r="R170" s="10">
        <v>10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10</v>
      </c>
      <c r="AG170" s="10">
        <v>10</v>
      </c>
      <c r="AH170" s="10">
        <v>10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</row>
    <row r="171" spans="1:49" ht="14.5" collapsed="1" x14ac:dyDescent="0.35">
      <c r="A171" s="6" t="s">
        <v>12</v>
      </c>
      <c r="B171" s="6" t="s">
        <v>10</v>
      </c>
      <c r="C171" s="6" t="s">
        <v>9</v>
      </c>
      <c r="D171" s="6" t="s">
        <v>72</v>
      </c>
      <c r="E171" s="6" t="s">
        <v>73</v>
      </c>
      <c r="F171" s="7">
        <f t="shared" ref="F171:AW171" si="19">SUM(F172,F175,F177,F179,F180,F181,F183,F185,F187,F188,F189,F191,F194,F197)</f>
        <v>504.8</v>
      </c>
      <c r="G171" s="7">
        <f t="shared" si="19"/>
        <v>1270</v>
      </c>
      <c r="H171" s="7">
        <f t="shared" si="19"/>
        <v>1272.3</v>
      </c>
      <c r="I171" s="7">
        <f t="shared" si="19"/>
        <v>-2.3000000000000043</v>
      </c>
      <c r="J171" s="7">
        <f t="shared" si="19"/>
        <v>25</v>
      </c>
      <c r="K171" s="7">
        <f t="shared" si="19"/>
        <v>22</v>
      </c>
      <c r="L171" s="7">
        <f t="shared" si="19"/>
        <v>0</v>
      </c>
      <c r="M171" s="7">
        <f t="shared" si="19"/>
        <v>0</v>
      </c>
      <c r="N171" s="7">
        <f t="shared" si="19"/>
        <v>8</v>
      </c>
      <c r="O171" s="7">
        <f t="shared" si="19"/>
        <v>0.5</v>
      </c>
      <c r="P171" s="7">
        <f t="shared" si="19"/>
        <v>3</v>
      </c>
      <c r="Q171" s="7">
        <f t="shared" si="19"/>
        <v>15</v>
      </c>
      <c r="R171" s="7">
        <f t="shared" si="19"/>
        <v>15</v>
      </c>
      <c r="S171" s="7">
        <f t="shared" si="19"/>
        <v>20.5</v>
      </c>
      <c r="T171" s="7">
        <f t="shared" si="19"/>
        <v>25</v>
      </c>
      <c r="U171" s="7">
        <f t="shared" si="19"/>
        <v>24</v>
      </c>
      <c r="V171" s="7">
        <f t="shared" si="19"/>
        <v>12</v>
      </c>
      <c r="W171" s="13">
        <f t="shared" si="19"/>
        <v>52.4</v>
      </c>
      <c r="X171" s="13">
        <f t="shared" si="19"/>
        <v>51.8</v>
      </c>
      <c r="Y171" s="7">
        <f t="shared" si="19"/>
        <v>15.5</v>
      </c>
      <c r="Z171" s="7">
        <f t="shared" si="19"/>
        <v>3</v>
      </c>
      <c r="AA171" s="7">
        <f t="shared" si="19"/>
        <v>0</v>
      </c>
      <c r="AB171" s="7">
        <f t="shared" si="19"/>
        <v>0</v>
      </c>
      <c r="AC171" s="7">
        <f t="shared" si="19"/>
        <v>14</v>
      </c>
      <c r="AD171" s="7">
        <f t="shared" si="19"/>
        <v>30</v>
      </c>
      <c r="AE171" s="7">
        <f t="shared" si="19"/>
        <v>29</v>
      </c>
      <c r="AF171" s="13">
        <f t="shared" si="19"/>
        <v>93.5</v>
      </c>
      <c r="AG171" s="13">
        <f t="shared" si="19"/>
        <v>190</v>
      </c>
      <c r="AH171" s="13">
        <f t="shared" si="19"/>
        <v>85.9</v>
      </c>
      <c r="AI171" s="7">
        <f t="shared" si="19"/>
        <v>12.5</v>
      </c>
      <c r="AJ171" s="7">
        <f t="shared" si="19"/>
        <v>0</v>
      </c>
      <c r="AK171" s="7">
        <f t="shared" si="19"/>
        <v>0</v>
      </c>
      <c r="AL171" s="7">
        <f t="shared" si="19"/>
        <v>0</v>
      </c>
      <c r="AM171" s="7">
        <f t="shared" si="19"/>
        <v>0</v>
      </c>
      <c r="AN171" s="7">
        <f t="shared" si="19"/>
        <v>0</v>
      </c>
      <c r="AO171" s="7">
        <f t="shared" si="19"/>
        <v>0</v>
      </c>
      <c r="AP171" s="7">
        <f t="shared" si="19"/>
        <v>0</v>
      </c>
      <c r="AQ171" s="7">
        <f t="shared" si="19"/>
        <v>0</v>
      </c>
      <c r="AR171" s="7">
        <f t="shared" si="19"/>
        <v>0</v>
      </c>
      <c r="AS171" s="7">
        <f t="shared" si="19"/>
        <v>0</v>
      </c>
      <c r="AT171" s="7">
        <f t="shared" si="19"/>
        <v>0</v>
      </c>
      <c r="AU171" s="7">
        <f t="shared" si="19"/>
        <v>0</v>
      </c>
      <c r="AV171" s="7">
        <f t="shared" si="19"/>
        <v>0</v>
      </c>
      <c r="AW171" s="7">
        <f t="shared" si="19"/>
        <v>0</v>
      </c>
    </row>
    <row r="172" spans="1:49" ht="14.5" hidden="1" outlineLevel="1" x14ac:dyDescent="0.35">
      <c r="A172" t="s">
        <v>12</v>
      </c>
      <c r="B172" t="s">
        <v>10</v>
      </c>
      <c r="C172" t="s">
        <v>9</v>
      </c>
      <c r="D172" t="s">
        <v>85</v>
      </c>
      <c r="E172" t="s">
        <v>78</v>
      </c>
      <c r="F172" s="11">
        <v>37.200000000000003</v>
      </c>
      <c r="G172" s="11">
        <v>152.19999999999999</v>
      </c>
      <c r="H172" s="11">
        <v>132.5</v>
      </c>
      <c r="I172" s="11">
        <v>19.7</v>
      </c>
      <c r="J172" s="11">
        <v>0</v>
      </c>
      <c r="K172" s="11">
        <v>1</v>
      </c>
      <c r="L172" s="11">
        <v>0</v>
      </c>
      <c r="M172" s="11">
        <v>0</v>
      </c>
      <c r="N172" s="11">
        <v>8</v>
      </c>
      <c r="O172" s="11">
        <v>0</v>
      </c>
      <c r="P172" s="11">
        <v>0</v>
      </c>
      <c r="Q172" s="11">
        <v>8</v>
      </c>
      <c r="R172" s="11">
        <v>8</v>
      </c>
      <c r="S172" s="11">
        <v>8</v>
      </c>
      <c r="T172" s="11">
        <v>2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8</v>
      </c>
      <c r="AD172" s="11">
        <v>24</v>
      </c>
      <c r="AE172" s="11">
        <v>8</v>
      </c>
      <c r="AF172" s="11">
        <v>8</v>
      </c>
      <c r="AG172" s="11">
        <v>24</v>
      </c>
      <c r="AH172" s="11">
        <v>8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</row>
    <row r="173" spans="1:49" ht="14.5" hidden="1" outlineLevel="1" x14ac:dyDescent="0.35">
      <c r="A173" s="14" t="s">
        <v>12</v>
      </c>
      <c r="B173" s="14" t="s">
        <v>10</v>
      </c>
      <c r="C173" s="14" t="s">
        <v>9</v>
      </c>
      <c r="D173" s="14" t="s">
        <v>99</v>
      </c>
      <c r="E173" s="15" t="s">
        <v>78</v>
      </c>
      <c r="F173" s="16"/>
      <c r="G173" s="16"/>
      <c r="H173" s="16"/>
      <c r="I173" s="16"/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-8</v>
      </c>
      <c r="AG173" s="16">
        <v>-24</v>
      </c>
      <c r="AH173" s="16">
        <v>-8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</row>
    <row r="174" spans="1:49" ht="14.5" hidden="1" outlineLevel="1" x14ac:dyDescent="0.35">
      <c r="A174" s="8" t="s">
        <v>12</v>
      </c>
      <c r="B174" s="8" t="s">
        <v>10</v>
      </c>
      <c r="C174" s="8" t="s">
        <v>9</v>
      </c>
      <c r="D174" s="8" t="s">
        <v>74</v>
      </c>
      <c r="E174" s="9" t="s">
        <v>78</v>
      </c>
      <c r="F174" s="10"/>
      <c r="G174" s="10"/>
      <c r="H174" s="10"/>
      <c r="I174" s="10"/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0.614035</v>
      </c>
      <c r="R174" s="10">
        <v>0.614035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1.5</v>
      </c>
      <c r="AE174" s="10">
        <v>1.5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</row>
    <row r="175" spans="1:49" ht="14.5" hidden="1" outlineLevel="1" x14ac:dyDescent="0.35">
      <c r="A175" t="s">
        <v>12</v>
      </c>
      <c r="B175" t="s">
        <v>10</v>
      </c>
      <c r="C175" t="s">
        <v>9</v>
      </c>
      <c r="D175" t="s">
        <v>85</v>
      </c>
      <c r="E175" t="s">
        <v>79</v>
      </c>
      <c r="F175" s="11">
        <v>76</v>
      </c>
      <c r="G175" s="11">
        <v>162.5</v>
      </c>
      <c r="H175" s="11">
        <v>163.19999999999999</v>
      </c>
      <c r="I175" s="11">
        <v>-0.70000000000000295</v>
      </c>
      <c r="J175" s="11">
        <v>0</v>
      </c>
      <c r="K175" s="11">
        <v>0.5</v>
      </c>
      <c r="L175" s="11">
        <v>0</v>
      </c>
      <c r="M175" s="11">
        <v>0</v>
      </c>
      <c r="N175" s="11">
        <v>0</v>
      </c>
      <c r="O175" s="11">
        <v>0.5</v>
      </c>
      <c r="P175" s="11">
        <v>0</v>
      </c>
      <c r="Q175" s="11">
        <v>2</v>
      </c>
      <c r="R175" s="11">
        <v>0</v>
      </c>
      <c r="S175" s="11">
        <v>3</v>
      </c>
      <c r="T175" s="11">
        <v>3</v>
      </c>
      <c r="U175" s="11">
        <v>1</v>
      </c>
      <c r="V175" s="11">
        <v>0</v>
      </c>
      <c r="W175" s="11">
        <v>7.5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3</v>
      </c>
      <c r="AE175" s="11">
        <v>7</v>
      </c>
      <c r="AF175" s="11">
        <v>5</v>
      </c>
      <c r="AG175" s="11">
        <v>36</v>
      </c>
      <c r="AH175" s="11">
        <v>18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</row>
    <row r="176" spans="1:49" ht="14.5" hidden="1" outlineLevel="1" x14ac:dyDescent="0.35">
      <c r="A176" s="14" t="s">
        <v>12</v>
      </c>
      <c r="B176" s="14" t="s">
        <v>10</v>
      </c>
      <c r="C176" s="14" t="s">
        <v>9</v>
      </c>
      <c r="D176" s="14" t="s">
        <v>99</v>
      </c>
      <c r="E176" s="15" t="s">
        <v>79</v>
      </c>
      <c r="F176" s="16"/>
      <c r="G176" s="16"/>
      <c r="H176" s="16"/>
      <c r="I176" s="16"/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-5</v>
      </c>
      <c r="AG176" s="16">
        <v>-36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</row>
    <row r="177" spans="1:49" ht="14.5" hidden="1" outlineLevel="1" x14ac:dyDescent="0.35">
      <c r="A177" t="s">
        <v>12</v>
      </c>
      <c r="B177" t="s">
        <v>10</v>
      </c>
      <c r="C177" t="s">
        <v>9</v>
      </c>
      <c r="D177" t="s">
        <v>85</v>
      </c>
      <c r="E177" t="s">
        <v>100</v>
      </c>
      <c r="F177" s="11">
        <v>206</v>
      </c>
      <c r="G177" s="11">
        <v>473</v>
      </c>
      <c r="H177" s="11">
        <v>474</v>
      </c>
      <c r="I177" s="11">
        <v>-1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3</v>
      </c>
      <c r="Q177" s="11">
        <v>0</v>
      </c>
      <c r="R177" s="11">
        <v>2</v>
      </c>
      <c r="S177" s="11">
        <v>2</v>
      </c>
      <c r="T177" s="11">
        <v>7</v>
      </c>
      <c r="U177" s="11">
        <v>16</v>
      </c>
      <c r="V177" s="11">
        <v>3</v>
      </c>
      <c r="W177" s="11">
        <v>24</v>
      </c>
      <c r="X177" s="11">
        <v>36</v>
      </c>
      <c r="Y177" s="11">
        <v>14</v>
      </c>
      <c r="Z177" s="11">
        <v>3</v>
      </c>
      <c r="AA177" s="11">
        <v>0</v>
      </c>
      <c r="AB177" s="11">
        <v>0</v>
      </c>
      <c r="AC177" s="11">
        <v>6</v>
      </c>
      <c r="AD177" s="11">
        <v>3</v>
      </c>
      <c r="AE177" s="11">
        <v>14</v>
      </c>
      <c r="AF177" s="11">
        <v>58</v>
      </c>
      <c r="AG177" s="11">
        <v>67</v>
      </c>
      <c r="AH177" s="11">
        <v>9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</row>
    <row r="178" spans="1:49" ht="14.5" hidden="1" outlineLevel="1" x14ac:dyDescent="0.35">
      <c r="A178" s="14" t="s">
        <v>12</v>
      </c>
      <c r="B178" s="14" t="s">
        <v>10</v>
      </c>
      <c r="C178" s="14" t="s">
        <v>9</v>
      </c>
      <c r="D178" s="14" t="s">
        <v>99</v>
      </c>
      <c r="E178" s="15" t="s">
        <v>100</v>
      </c>
      <c r="F178" s="16"/>
      <c r="G178" s="16"/>
      <c r="H178" s="16"/>
      <c r="I178" s="16"/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-3</v>
      </c>
      <c r="AG178" s="16">
        <v>-12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</row>
    <row r="179" spans="1:49" ht="14.5" hidden="1" outlineLevel="1" x14ac:dyDescent="0.35">
      <c r="A179" t="s">
        <v>12</v>
      </c>
      <c r="B179" t="s">
        <v>10</v>
      </c>
      <c r="C179" t="s">
        <v>9</v>
      </c>
      <c r="D179" t="s">
        <v>85</v>
      </c>
      <c r="E179" t="s">
        <v>87</v>
      </c>
      <c r="F179" s="11">
        <v>12.1</v>
      </c>
      <c r="G179" s="11">
        <v>12.1</v>
      </c>
      <c r="H179" s="11">
        <v>12.1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</row>
    <row r="180" spans="1:49" ht="14.5" hidden="1" outlineLevel="1" x14ac:dyDescent="0.35">
      <c r="A180" t="s">
        <v>12</v>
      </c>
      <c r="B180" t="s">
        <v>10</v>
      </c>
      <c r="C180" t="s">
        <v>9</v>
      </c>
      <c r="D180" t="s">
        <v>85</v>
      </c>
      <c r="E180" t="s">
        <v>88</v>
      </c>
      <c r="F180" s="11">
        <v>10</v>
      </c>
      <c r="G180" s="11">
        <v>10</v>
      </c>
      <c r="H180" s="11">
        <v>15.5</v>
      </c>
      <c r="I180" s="11">
        <v>-5.5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</row>
    <row r="181" spans="1:49" ht="14.5" hidden="1" outlineLevel="1" x14ac:dyDescent="0.35">
      <c r="A181" t="s">
        <v>12</v>
      </c>
      <c r="B181" t="s">
        <v>10</v>
      </c>
      <c r="C181" t="s">
        <v>9</v>
      </c>
      <c r="D181" t="s">
        <v>85</v>
      </c>
      <c r="E181" t="s">
        <v>89</v>
      </c>
      <c r="F181" s="11">
        <v>0</v>
      </c>
      <c r="G181" s="11">
        <v>10</v>
      </c>
      <c r="H181" s="11">
        <v>10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5</v>
      </c>
      <c r="R181" s="11">
        <v>5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</row>
    <row r="182" spans="1:49" ht="14.5" hidden="1" outlineLevel="1" x14ac:dyDescent="0.35">
      <c r="A182" s="8" t="s">
        <v>12</v>
      </c>
      <c r="B182" s="8" t="s">
        <v>10</v>
      </c>
      <c r="C182" s="8" t="s">
        <v>9</v>
      </c>
      <c r="D182" s="8" t="s">
        <v>74</v>
      </c>
      <c r="E182" s="9" t="s">
        <v>89</v>
      </c>
      <c r="F182" s="10"/>
      <c r="G182" s="10"/>
      <c r="H182" s="10"/>
      <c r="I182" s="10"/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7.5</v>
      </c>
      <c r="R182" s="10">
        <v>5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</row>
    <row r="183" spans="1:49" ht="14.5" hidden="1" outlineLevel="1" x14ac:dyDescent="0.35">
      <c r="A183" t="s">
        <v>12</v>
      </c>
      <c r="B183" t="s">
        <v>10</v>
      </c>
      <c r="C183" t="s">
        <v>9</v>
      </c>
      <c r="D183" t="s">
        <v>85</v>
      </c>
      <c r="E183" t="s">
        <v>40</v>
      </c>
      <c r="F183" s="11">
        <v>1</v>
      </c>
      <c r="G183" s="11">
        <v>25</v>
      </c>
      <c r="H183" s="11">
        <v>36.5</v>
      </c>
      <c r="I183" s="11">
        <v>-11.5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5.5</v>
      </c>
      <c r="AG183" s="11">
        <v>1.5</v>
      </c>
      <c r="AH183" s="11">
        <v>16</v>
      </c>
      <c r="AI183" s="11">
        <v>1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</row>
    <row r="184" spans="1:49" ht="14.5" hidden="1" outlineLevel="1" x14ac:dyDescent="0.35">
      <c r="A184" s="14" t="s">
        <v>12</v>
      </c>
      <c r="B184" s="14" t="s">
        <v>10</v>
      </c>
      <c r="C184" s="14" t="s">
        <v>9</v>
      </c>
      <c r="D184" s="14" t="s">
        <v>99</v>
      </c>
      <c r="E184" s="15" t="s">
        <v>40</v>
      </c>
      <c r="F184" s="16"/>
      <c r="G184" s="16"/>
      <c r="H184" s="16"/>
      <c r="I184" s="16"/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-5.5</v>
      </c>
      <c r="AG184" s="16">
        <v>-1.5</v>
      </c>
      <c r="AH184" s="16">
        <v>-4.9000000000000101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</row>
    <row r="185" spans="1:49" ht="14.5" hidden="1" outlineLevel="1" x14ac:dyDescent="0.35">
      <c r="A185" t="s">
        <v>12</v>
      </c>
      <c r="B185" t="s">
        <v>10</v>
      </c>
      <c r="C185" t="s">
        <v>9</v>
      </c>
      <c r="D185" t="s">
        <v>85</v>
      </c>
      <c r="E185" t="s">
        <v>101</v>
      </c>
      <c r="F185" s="11">
        <v>102.5</v>
      </c>
      <c r="G185" s="11">
        <v>243.2</v>
      </c>
      <c r="H185" s="11">
        <v>212.6</v>
      </c>
      <c r="I185" s="11">
        <v>30.6</v>
      </c>
      <c r="J185" s="11">
        <v>18</v>
      </c>
      <c r="K185" s="11">
        <v>18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8.5</v>
      </c>
      <c r="U185" s="11">
        <v>3.5</v>
      </c>
      <c r="V185" s="11">
        <v>0</v>
      </c>
      <c r="W185" s="11">
        <v>18.399999999999999</v>
      </c>
      <c r="X185" s="11">
        <v>15.8</v>
      </c>
      <c r="Y185" s="11">
        <v>1.5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1</v>
      </c>
      <c r="AG185" s="11">
        <v>21.5</v>
      </c>
      <c r="AH185" s="11">
        <v>16.899999999999999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</row>
    <row r="186" spans="1:49" ht="14.5" hidden="1" outlineLevel="1" x14ac:dyDescent="0.35">
      <c r="A186" s="14" t="s">
        <v>12</v>
      </c>
      <c r="B186" s="14" t="s">
        <v>10</v>
      </c>
      <c r="C186" s="14" t="s">
        <v>9</v>
      </c>
      <c r="D186" s="14" t="s">
        <v>99</v>
      </c>
      <c r="E186" s="15" t="s">
        <v>101</v>
      </c>
      <c r="F186" s="16"/>
      <c r="G186" s="16"/>
      <c r="H186" s="16"/>
      <c r="I186" s="16"/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-9.9</v>
      </c>
      <c r="X186" s="16">
        <v>-11.8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-1</v>
      </c>
      <c r="AG186" s="16">
        <v>-21.5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</row>
    <row r="187" spans="1:49" ht="14.5" hidden="1" outlineLevel="1" x14ac:dyDescent="0.35">
      <c r="A187" t="s">
        <v>12</v>
      </c>
      <c r="B187" t="s">
        <v>10</v>
      </c>
      <c r="C187" t="s">
        <v>9</v>
      </c>
      <c r="D187" t="s">
        <v>85</v>
      </c>
      <c r="E187" t="s">
        <v>97</v>
      </c>
      <c r="F187" s="11">
        <v>4.5</v>
      </c>
      <c r="G187" s="11">
        <v>4.5</v>
      </c>
      <c r="H187" s="11">
        <v>26</v>
      </c>
      <c r="I187" s="11">
        <v>-21.5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</row>
    <row r="188" spans="1:49" ht="14.5" hidden="1" outlineLevel="1" x14ac:dyDescent="0.35">
      <c r="A188" t="s">
        <v>12</v>
      </c>
      <c r="B188" t="s">
        <v>10</v>
      </c>
      <c r="C188" t="s">
        <v>9</v>
      </c>
      <c r="D188" t="s">
        <v>85</v>
      </c>
      <c r="E188" t="s">
        <v>90</v>
      </c>
      <c r="F188" s="11">
        <v>0</v>
      </c>
      <c r="G188" s="11">
        <v>0</v>
      </c>
      <c r="H188" s="11">
        <v>26.1</v>
      </c>
      <c r="I188" s="11">
        <v>-26.1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</row>
    <row r="189" spans="1:49" ht="14.5" hidden="1" outlineLevel="1" x14ac:dyDescent="0.35">
      <c r="A189" t="s">
        <v>12</v>
      </c>
      <c r="B189" t="s">
        <v>10</v>
      </c>
      <c r="C189" t="s">
        <v>9</v>
      </c>
      <c r="D189" t="s">
        <v>85</v>
      </c>
      <c r="E189" t="s">
        <v>98</v>
      </c>
      <c r="F189" s="11">
        <v>38</v>
      </c>
      <c r="G189" s="11">
        <v>77.5</v>
      </c>
      <c r="H189" s="11">
        <v>45.5</v>
      </c>
      <c r="I189" s="11">
        <v>32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3</v>
      </c>
      <c r="T189" s="11">
        <v>1</v>
      </c>
      <c r="U189" s="11">
        <v>2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10</v>
      </c>
      <c r="AG189" s="11">
        <v>15</v>
      </c>
      <c r="AH189" s="11">
        <v>8.5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</row>
    <row r="190" spans="1:49" ht="14.5" hidden="1" outlineLevel="1" x14ac:dyDescent="0.35">
      <c r="A190" s="14" t="s">
        <v>12</v>
      </c>
      <c r="B190" s="14" t="s">
        <v>10</v>
      </c>
      <c r="C190" s="14" t="s">
        <v>9</v>
      </c>
      <c r="D190" s="14" t="s">
        <v>99</v>
      </c>
      <c r="E190" s="15" t="s">
        <v>98</v>
      </c>
      <c r="F190" s="16"/>
      <c r="G190" s="16"/>
      <c r="H190" s="16"/>
      <c r="I190" s="16"/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-10</v>
      </c>
      <c r="AG190" s="16">
        <v>-15</v>
      </c>
      <c r="AH190" s="16">
        <v>-8.5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</row>
    <row r="191" spans="1:49" ht="14.5" hidden="1" outlineLevel="1" x14ac:dyDescent="0.35">
      <c r="A191" t="s">
        <v>12</v>
      </c>
      <c r="B191" t="s">
        <v>10</v>
      </c>
      <c r="C191" t="s">
        <v>9</v>
      </c>
      <c r="D191" t="s">
        <v>85</v>
      </c>
      <c r="E191" t="s">
        <v>43</v>
      </c>
      <c r="F191" s="11">
        <v>4</v>
      </c>
      <c r="G191" s="11">
        <v>43</v>
      </c>
      <c r="H191" s="11">
        <v>41</v>
      </c>
      <c r="I191" s="11">
        <v>2</v>
      </c>
      <c r="J191" s="11">
        <v>3.5</v>
      </c>
      <c r="K191" s="11">
        <v>2.5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3</v>
      </c>
      <c r="U191" s="11">
        <v>1</v>
      </c>
      <c r="V191" s="11">
        <v>3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6</v>
      </c>
      <c r="AH191" s="11">
        <v>8.5</v>
      </c>
      <c r="AI191" s="11">
        <v>11.5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</row>
    <row r="192" spans="1:49" ht="14.5" hidden="1" outlineLevel="1" x14ac:dyDescent="0.35">
      <c r="A192" s="14" t="s">
        <v>12</v>
      </c>
      <c r="B192" s="14" t="s">
        <v>10</v>
      </c>
      <c r="C192" s="14" t="s">
        <v>9</v>
      </c>
      <c r="D192" s="14" t="s">
        <v>99</v>
      </c>
      <c r="E192" s="15" t="s">
        <v>43</v>
      </c>
      <c r="F192" s="16"/>
      <c r="G192" s="16"/>
      <c r="H192" s="16"/>
      <c r="I192" s="16"/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-6</v>
      </c>
      <c r="AH192" s="16">
        <v>-8.5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</row>
    <row r="193" spans="1:49" ht="14.5" hidden="1" outlineLevel="1" x14ac:dyDescent="0.35">
      <c r="A193" s="8" t="s">
        <v>12</v>
      </c>
      <c r="B193" s="8" t="s">
        <v>10</v>
      </c>
      <c r="C193" s="8" t="s">
        <v>9</v>
      </c>
      <c r="D193" s="8" t="s">
        <v>74</v>
      </c>
      <c r="E193" s="9" t="s">
        <v>43</v>
      </c>
      <c r="F193" s="10"/>
      <c r="G193" s="10"/>
      <c r="H193" s="10"/>
      <c r="I193" s="10"/>
      <c r="J193" s="10">
        <v>0</v>
      </c>
      <c r="K193" s="10">
        <v>0</v>
      </c>
      <c r="L193" s="10">
        <v>10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10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</row>
    <row r="194" spans="1:49" ht="14.5" hidden="1" outlineLevel="1" x14ac:dyDescent="0.35">
      <c r="A194" t="s">
        <v>12</v>
      </c>
      <c r="B194" t="s">
        <v>10</v>
      </c>
      <c r="C194" t="s">
        <v>9</v>
      </c>
      <c r="D194" t="s">
        <v>85</v>
      </c>
      <c r="E194" t="s">
        <v>102</v>
      </c>
      <c r="F194" s="11">
        <v>13.5</v>
      </c>
      <c r="G194" s="11">
        <v>57</v>
      </c>
      <c r="H194" s="11">
        <v>50.5</v>
      </c>
      <c r="I194" s="11">
        <v>6.5</v>
      </c>
      <c r="J194" s="11">
        <v>3.5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4.5</v>
      </c>
      <c r="T194" s="11">
        <v>0.5</v>
      </c>
      <c r="U194" s="11">
        <v>0.5</v>
      </c>
      <c r="V194" s="11">
        <v>6</v>
      </c>
      <c r="W194" s="11">
        <v>2.5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6</v>
      </c>
      <c r="AG194" s="11">
        <v>19</v>
      </c>
      <c r="AH194" s="11">
        <v>1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</row>
    <row r="195" spans="1:49" ht="14.5" hidden="1" outlineLevel="1" x14ac:dyDescent="0.35">
      <c r="A195" s="14" t="s">
        <v>12</v>
      </c>
      <c r="B195" s="14" t="s">
        <v>10</v>
      </c>
      <c r="C195" s="14" t="s">
        <v>9</v>
      </c>
      <c r="D195" s="14" t="s">
        <v>99</v>
      </c>
      <c r="E195" s="15" t="s">
        <v>102</v>
      </c>
      <c r="F195" s="16"/>
      <c r="G195" s="16"/>
      <c r="H195" s="16"/>
      <c r="I195" s="16"/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-2.5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-6</v>
      </c>
      <c r="AG195" s="16">
        <v>-19</v>
      </c>
      <c r="AH195" s="16">
        <v>-1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</row>
    <row r="196" spans="1:49" ht="14.5" hidden="1" outlineLevel="1" x14ac:dyDescent="0.35">
      <c r="A196" s="8" t="s">
        <v>12</v>
      </c>
      <c r="B196" s="8" t="s">
        <v>10</v>
      </c>
      <c r="C196" s="8" t="s">
        <v>9</v>
      </c>
      <c r="D196" s="8" t="s">
        <v>74</v>
      </c>
      <c r="E196" s="9" t="s">
        <v>102</v>
      </c>
      <c r="F196" s="10"/>
      <c r="G196" s="10"/>
      <c r="H196" s="10"/>
      <c r="I196" s="10"/>
      <c r="J196" s="10">
        <v>0</v>
      </c>
      <c r="K196" s="10">
        <v>0</v>
      </c>
      <c r="L196" s="10">
        <v>2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</row>
    <row r="197" spans="1:49" ht="14.5" hidden="1" outlineLevel="1" x14ac:dyDescent="0.35">
      <c r="A197" t="s">
        <v>12</v>
      </c>
      <c r="B197" t="s">
        <v>10</v>
      </c>
      <c r="C197" t="s">
        <v>9</v>
      </c>
      <c r="D197" t="s">
        <v>85</v>
      </c>
      <c r="E197" t="s">
        <v>91</v>
      </c>
      <c r="F197" s="11">
        <v>0</v>
      </c>
      <c r="G197" s="11">
        <v>0</v>
      </c>
      <c r="H197" s="11">
        <v>26.8</v>
      </c>
      <c r="I197" s="11">
        <v>-26.8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</row>
    <row r="198" spans="1:49" ht="14.5" collapsed="1" x14ac:dyDescent="0.35">
      <c r="A198" s="6" t="s">
        <v>12</v>
      </c>
      <c r="B198" s="6" t="s">
        <v>10</v>
      </c>
      <c r="C198" s="6" t="s">
        <v>36</v>
      </c>
      <c r="D198" s="6" t="s">
        <v>72</v>
      </c>
      <c r="E198" s="6" t="s">
        <v>73</v>
      </c>
      <c r="F198" s="7">
        <f t="shared" ref="F198:AW198" si="20">SUM(F199,F200,F201,F202,F203,F204,F205,F207,F208,F209,F211,F212,F213,F214,F215,F217)</f>
        <v>311.5</v>
      </c>
      <c r="G198" s="7">
        <f t="shared" si="20"/>
        <v>866.7</v>
      </c>
      <c r="H198" s="7">
        <f t="shared" si="20"/>
        <v>974.4</v>
      </c>
      <c r="I198" s="7">
        <f t="shared" si="20"/>
        <v>-107.7</v>
      </c>
      <c r="J198" s="7">
        <f t="shared" si="20"/>
        <v>31</v>
      </c>
      <c r="K198" s="7">
        <f t="shared" si="20"/>
        <v>18</v>
      </c>
      <c r="L198" s="7">
        <f t="shared" si="20"/>
        <v>8</v>
      </c>
      <c r="M198" s="7">
        <f t="shared" si="20"/>
        <v>0</v>
      </c>
      <c r="N198" s="7">
        <f t="shared" si="20"/>
        <v>0</v>
      </c>
      <c r="O198" s="7">
        <f t="shared" si="20"/>
        <v>0.4</v>
      </c>
      <c r="P198" s="7">
        <f t="shared" si="20"/>
        <v>0</v>
      </c>
      <c r="Q198" s="12">
        <f t="shared" si="20"/>
        <v>42.5</v>
      </c>
      <c r="R198" s="7">
        <f t="shared" si="20"/>
        <v>31.5</v>
      </c>
      <c r="S198" s="7">
        <f t="shared" si="20"/>
        <v>18</v>
      </c>
      <c r="T198" s="7">
        <f t="shared" si="20"/>
        <v>28</v>
      </c>
      <c r="U198" s="7">
        <f t="shared" si="20"/>
        <v>25</v>
      </c>
      <c r="V198" s="7">
        <f t="shared" si="20"/>
        <v>0</v>
      </c>
      <c r="W198" s="7">
        <f t="shared" si="20"/>
        <v>5</v>
      </c>
      <c r="X198" s="7">
        <f t="shared" si="20"/>
        <v>12</v>
      </c>
      <c r="Y198" s="7">
        <f t="shared" si="20"/>
        <v>12</v>
      </c>
      <c r="Z198" s="7">
        <f t="shared" si="20"/>
        <v>0</v>
      </c>
      <c r="AA198" s="7">
        <f t="shared" si="20"/>
        <v>0</v>
      </c>
      <c r="AB198" s="7">
        <f t="shared" si="20"/>
        <v>7.5</v>
      </c>
      <c r="AC198" s="7">
        <f t="shared" si="20"/>
        <v>33</v>
      </c>
      <c r="AD198" s="7">
        <f t="shared" si="20"/>
        <v>45</v>
      </c>
      <c r="AE198" s="7">
        <f t="shared" si="20"/>
        <v>44</v>
      </c>
      <c r="AF198" s="7">
        <f t="shared" si="20"/>
        <v>49.5</v>
      </c>
      <c r="AG198" s="7">
        <f t="shared" si="20"/>
        <v>45.5</v>
      </c>
      <c r="AH198" s="7">
        <f t="shared" si="20"/>
        <v>42.5</v>
      </c>
      <c r="AI198" s="7">
        <f t="shared" si="20"/>
        <v>28</v>
      </c>
      <c r="AJ198" s="7">
        <f t="shared" si="20"/>
        <v>0</v>
      </c>
      <c r="AK198" s="7">
        <f t="shared" si="20"/>
        <v>0</v>
      </c>
      <c r="AL198" s="7">
        <f t="shared" si="20"/>
        <v>0</v>
      </c>
      <c r="AM198" s="7">
        <f t="shared" si="20"/>
        <v>0</v>
      </c>
      <c r="AN198" s="7">
        <f t="shared" si="20"/>
        <v>0</v>
      </c>
      <c r="AO198" s="7">
        <f t="shared" si="20"/>
        <v>0</v>
      </c>
      <c r="AP198" s="7">
        <f t="shared" si="20"/>
        <v>0</v>
      </c>
      <c r="AQ198" s="7">
        <f t="shared" si="20"/>
        <v>0</v>
      </c>
      <c r="AR198" s="7">
        <f t="shared" si="20"/>
        <v>0</v>
      </c>
      <c r="AS198" s="7">
        <f t="shared" si="20"/>
        <v>0</v>
      </c>
      <c r="AT198" s="7">
        <f t="shared" si="20"/>
        <v>0</v>
      </c>
      <c r="AU198" s="7">
        <f t="shared" si="20"/>
        <v>0</v>
      </c>
      <c r="AV198" s="7">
        <f t="shared" si="20"/>
        <v>0</v>
      </c>
      <c r="AW198" s="7">
        <f t="shared" si="20"/>
        <v>0</v>
      </c>
    </row>
    <row r="199" spans="1:49" ht="14.5" hidden="1" outlineLevel="1" x14ac:dyDescent="0.35">
      <c r="A199" t="s">
        <v>12</v>
      </c>
      <c r="B199" t="s">
        <v>10</v>
      </c>
      <c r="C199" t="s">
        <v>36</v>
      </c>
      <c r="D199" t="s">
        <v>85</v>
      </c>
      <c r="E199" t="s">
        <v>122</v>
      </c>
      <c r="F199" s="11">
        <v>39.9</v>
      </c>
      <c r="G199" s="11">
        <v>135.9</v>
      </c>
      <c r="H199" s="11">
        <v>73.400000000000006</v>
      </c>
      <c r="I199" s="11">
        <v>62.5</v>
      </c>
      <c r="J199" s="11">
        <v>4</v>
      </c>
      <c r="K199" s="11">
        <v>0</v>
      </c>
      <c r="L199" s="11">
        <v>0</v>
      </c>
      <c r="M199" s="11">
        <v>0</v>
      </c>
      <c r="N199" s="11">
        <v>0</v>
      </c>
      <c r="O199" s="11">
        <v>0.4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1</v>
      </c>
      <c r="Y199" s="11">
        <v>1</v>
      </c>
      <c r="Z199" s="11">
        <v>0</v>
      </c>
      <c r="AA199" s="11">
        <v>0</v>
      </c>
      <c r="AB199" s="11">
        <v>0.5</v>
      </c>
      <c r="AC199" s="11">
        <v>11</v>
      </c>
      <c r="AD199" s="11">
        <v>0.5</v>
      </c>
      <c r="AE199" s="11">
        <v>5.5</v>
      </c>
      <c r="AF199" s="11">
        <v>21.5</v>
      </c>
      <c r="AG199" s="11">
        <v>14.5</v>
      </c>
      <c r="AH199" s="11">
        <v>11.5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</row>
    <row r="200" spans="1:49" ht="14.5" hidden="1" outlineLevel="1" x14ac:dyDescent="0.35">
      <c r="A200" t="s">
        <v>12</v>
      </c>
      <c r="B200" t="s">
        <v>10</v>
      </c>
      <c r="C200" t="s">
        <v>36</v>
      </c>
      <c r="D200" t="s">
        <v>85</v>
      </c>
      <c r="E200" t="s">
        <v>78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</row>
    <row r="201" spans="1:49" ht="14.5" hidden="1" outlineLevel="1" x14ac:dyDescent="0.35">
      <c r="A201" t="s">
        <v>12</v>
      </c>
      <c r="B201" t="s">
        <v>10</v>
      </c>
      <c r="C201" t="s">
        <v>36</v>
      </c>
      <c r="D201" t="s">
        <v>85</v>
      </c>
      <c r="E201" t="s">
        <v>123</v>
      </c>
      <c r="F201" s="11">
        <v>59</v>
      </c>
      <c r="G201" s="11">
        <v>133</v>
      </c>
      <c r="H201" s="11">
        <v>133</v>
      </c>
      <c r="I201" s="11">
        <v>0</v>
      </c>
      <c r="J201" s="11">
        <v>13</v>
      </c>
      <c r="K201" s="11">
        <v>10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10</v>
      </c>
      <c r="U201" s="11">
        <v>10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9</v>
      </c>
      <c r="AE201" s="11">
        <v>7</v>
      </c>
      <c r="AF201" s="11">
        <v>6</v>
      </c>
      <c r="AG201" s="11">
        <v>6</v>
      </c>
      <c r="AH201" s="11">
        <v>6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</row>
    <row r="202" spans="1:49" ht="14.5" hidden="1" outlineLevel="1" x14ac:dyDescent="0.35">
      <c r="A202" t="s">
        <v>12</v>
      </c>
      <c r="B202" t="s">
        <v>10</v>
      </c>
      <c r="C202" t="s">
        <v>36</v>
      </c>
      <c r="D202" t="s">
        <v>85</v>
      </c>
      <c r="E202" t="s">
        <v>124</v>
      </c>
      <c r="F202" s="11">
        <v>52.6</v>
      </c>
      <c r="G202" s="11">
        <v>204.8</v>
      </c>
      <c r="H202" s="11">
        <v>180.5</v>
      </c>
      <c r="I202" s="11">
        <v>24.3</v>
      </c>
      <c r="J202" s="11">
        <v>4</v>
      </c>
      <c r="K202" s="11">
        <v>8</v>
      </c>
      <c r="L202" s="11">
        <v>8</v>
      </c>
      <c r="M202" s="11">
        <v>0</v>
      </c>
      <c r="N202" s="11">
        <v>0</v>
      </c>
      <c r="O202" s="11">
        <v>0</v>
      </c>
      <c r="P202" s="11">
        <v>0</v>
      </c>
      <c r="Q202" s="11">
        <v>10.5</v>
      </c>
      <c r="R202" s="11">
        <v>10.5</v>
      </c>
      <c r="S202" s="11">
        <v>8</v>
      </c>
      <c r="T202" s="11">
        <v>8</v>
      </c>
      <c r="U202" s="11">
        <v>0</v>
      </c>
      <c r="V202" s="11">
        <v>0</v>
      </c>
      <c r="W202" s="11">
        <v>0</v>
      </c>
      <c r="X202" s="11">
        <v>6</v>
      </c>
      <c r="Y202" s="11">
        <v>6</v>
      </c>
      <c r="Z202" s="11">
        <v>0</v>
      </c>
      <c r="AA202" s="11">
        <v>0</v>
      </c>
      <c r="AB202" s="11">
        <v>0</v>
      </c>
      <c r="AC202" s="11">
        <v>11</v>
      </c>
      <c r="AD202" s="11">
        <v>22.5</v>
      </c>
      <c r="AE202" s="11">
        <v>18.5</v>
      </c>
      <c r="AF202" s="11">
        <v>9</v>
      </c>
      <c r="AG202" s="11">
        <v>10</v>
      </c>
      <c r="AH202" s="11">
        <v>10</v>
      </c>
      <c r="AI202" s="11">
        <v>13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</row>
    <row r="203" spans="1:49" ht="14.5" hidden="1" outlineLevel="1" x14ac:dyDescent="0.35">
      <c r="A203" t="s">
        <v>12</v>
      </c>
      <c r="B203" t="s">
        <v>10</v>
      </c>
      <c r="C203" t="s">
        <v>36</v>
      </c>
      <c r="D203" t="s">
        <v>85</v>
      </c>
      <c r="E203" t="s">
        <v>87</v>
      </c>
      <c r="F203" s="11">
        <v>1</v>
      </c>
      <c r="G203" s="11">
        <v>1</v>
      </c>
      <c r="H203" s="11">
        <v>19</v>
      </c>
      <c r="I203" s="11">
        <v>-18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</row>
    <row r="204" spans="1:49" ht="14.5" hidden="1" outlineLevel="1" x14ac:dyDescent="0.35">
      <c r="A204" t="s">
        <v>12</v>
      </c>
      <c r="B204" t="s">
        <v>10</v>
      </c>
      <c r="C204" t="s">
        <v>36</v>
      </c>
      <c r="D204" t="s">
        <v>85</v>
      </c>
      <c r="E204" t="s">
        <v>88</v>
      </c>
      <c r="F204" s="11">
        <v>15</v>
      </c>
      <c r="G204" s="11">
        <v>15</v>
      </c>
      <c r="H204" s="11">
        <v>35</v>
      </c>
      <c r="I204" s="11">
        <v>-20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</row>
    <row r="205" spans="1:49" ht="14.5" hidden="1" outlineLevel="1" x14ac:dyDescent="0.35">
      <c r="A205" t="s">
        <v>12</v>
      </c>
      <c r="B205" t="s">
        <v>10</v>
      </c>
      <c r="C205" t="s">
        <v>36</v>
      </c>
      <c r="D205" t="s">
        <v>85</v>
      </c>
      <c r="E205" t="s">
        <v>89</v>
      </c>
      <c r="F205" s="11">
        <v>0</v>
      </c>
      <c r="G205" s="11">
        <v>15</v>
      </c>
      <c r="H205" s="11">
        <v>15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10</v>
      </c>
      <c r="R205" s="11">
        <v>5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</row>
    <row r="206" spans="1:49" ht="14.5" hidden="1" outlineLevel="1" x14ac:dyDescent="0.35">
      <c r="A206" s="14" t="s">
        <v>12</v>
      </c>
      <c r="B206" s="14" t="s">
        <v>10</v>
      </c>
      <c r="C206" s="14" t="s">
        <v>36</v>
      </c>
      <c r="D206" s="14" t="s">
        <v>99</v>
      </c>
      <c r="E206" s="15" t="s">
        <v>89</v>
      </c>
      <c r="F206" s="16"/>
      <c r="G206" s="16"/>
      <c r="H206" s="16"/>
      <c r="I206" s="16"/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-2.5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</row>
    <row r="207" spans="1:49" ht="14.5" hidden="1" outlineLevel="1" x14ac:dyDescent="0.35">
      <c r="A207" t="s">
        <v>12</v>
      </c>
      <c r="B207" t="s">
        <v>10</v>
      </c>
      <c r="C207" t="s">
        <v>36</v>
      </c>
      <c r="D207" t="s">
        <v>85</v>
      </c>
      <c r="E207" t="s">
        <v>40</v>
      </c>
      <c r="F207" s="11">
        <v>0</v>
      </c>
      <c r="G207" s="11">
        <v>28</v>
      </c>
      <c r="H207" s="11">
        <v>0</v>
      </c>
      <c r="I207" s="11">
        <v>28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</row>
    <row r="208" spans="1:49" ht="14.5" hidden="1" outlineLevel="1" x14ac:dyDescent="0.35">
      <c r="A208" t="s">
        <v>12</v>
      </c>
      <c r="B208" t="s">
        <v>10</v>
      </c>
      <c r="C208" t="s">
        <v>36</v>
      </c>
      <c r="D208" t="s">
        <v>85</v>
      </c>
      <c r="E208" t="s">
        <v>97</v>
      </c>
      <c r="F208" s="11">
        <v>85</v>
      </c>
      <c r="G208" s="11">
        <v>195</v>
      </c>
      <c r="H208" s="11">
        <v>277.5</v>
      </c>
      <c r="I208" s="11">
        <v>-82.5</v>
      </c>
      <c r="J208" s="11">
        <v>8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10</v>
      </c>
      <c r="R208" s="11">
        <v>10</v>
      </c>
      <c r="S208" s="11">
        <v>10</v>
      </c>
      <c r="T208" s="11">
        <v>10</v>
      </c>
      <c r="U208" s="11">
        <v>15</v>
      </c>
      <c r="V208" s="11">
        <v>0</v>
      </c>
      <c r="W208" s="11">
        <v>5</v>
      </c>
      <c r="X208" s="11">
        <v>5</v>
      </c>
      <c r="Y208" s="11">
        <v>5</v>
      </c>
      <c r="Z208" s="11">
        <v>0</v>
      </c>
      <c r="AA208" s="11">
        <v>0</v>
      </c>
      <c r="AB208" s="11">
        <v>5</v>
      </c>
      <c r="AC208" s="11">
        <v>5</v>
      </c>
      <c r="AD208" s="11">
        <v>5</v>
      </c>
      <c r="AE208" s="11">
        <v>5</v>
      </c>
      <c r="AF208" s="11">
        <v>5</v>
      </c>
      <c r="AG208" s="11">
        <v>5</v>
      </c>
      <c r="AH208" s="11">
        <v>5</v>
      </c>
      <c r="AI208" s="11">
        <v>5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</row>
    <row r="209" spans="1:49" ht="14.5" hidden="1" outlineLevel="1" x14ac:dyDescent="0.35">
      <c r="A209" t="s">
        <v>12</v>
      </c>
      <c r="B209" t="s">
        <v>10</v>
      </c>
      <c r="C209" t="s">
        <v>36</v>
      </c>
      <c r="D209" t="s">
        <v>85</v>
      </c>
      <c r="E209" t="s">
        <v>81</v>
      </c>
      <c r="F209" s="11">
        <v>40.5</v>
      </c>
      <c r="G209" s="11">
        <v>40.5</v>
      </c>
      <c r="H209" s="11">
        <v>69</v>
      </c>
      <c r="I209" s="11">
        <v>-28.5</v>
      </c>
      <c r="J209" s="11">
        <v>2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</row>
    <row r="210" spans="1:49" ht="14.5" hidden="1" outlineLevel="1" x14ac:dyDescent="0.35">
      <c r="A210" s="8" t="s">
        <v>12</v>
      </c>
      <c r="B210" s="8" t="s">
        <v>10</v>
      </c>
      <c r="C210" s="8" t="s">
        <v>36</v>
      </c>
      <c r="D210" s="8" t="s">
        <v>74</v>
      </c>
      <c r="E210" s="9" t="s">
        <v>81</v>
      </c>
      <c r="F210" s="10"/>
      <c r="G210" s="10"/>
      <c r="H210" s="10"/>
      <c r="I210" s="10"/>
      <c r="J210" s="10">
        <v>0</v>
      </c>
      <c r="K210" s="10">
        <v>5.5</v>
      </c>
      <c r="L210" s="10">
        <v>5.5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2.5</v>
      </c>
      <c r="W210" s="10">
        <v>4.5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5.5</v>
      </c>
      <c r="AG210" s="10">
        <v>0</v>
      </c>
      <c r="AH210" s="10">
        <v>11.5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</row>
    <row r="211" spans="1:49" ht="14.5" hidden="1" outlineLevel="1" x14ac:dyDescent="0.35">
      <c r="A211" t="s">
        <v>12</v>
      </c>
      <c r="B211" t="s">
        <v>10</v>
      </c>
      <c r="C211" t="s">
        <v>36</v>
      </c>
      <c r="D211" t="s">
        <v>85</v>
      </c>
      <c r="E211" t="s">
        <v>90</v>
      </c>
      <c r="F211" s="11">
        <v>0</v>
      </c>
      <c r="G211" s="11">
        <v>0</v>
      </c>
      <c r="H211" s="11">
        <v>34</v>
      </c>
      <c r="I211" s="11">
        <v>-34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</row>
    <row r="212" spans="1:49" ht="14.5" hidden="1" outlineLevel="1" x14ac:dyDescent="0.35">
      <c r="A212" t="s">
        <v>12</v>
      </c>
      <c r="B212" t="s">
        <v>10</v>
      </c>
      <c r="C212" t="s">
        <v>36</v>
      </c>
      <c r="D212" t="s">
        <v>85</v>
      </c>
      <c r="E212" t="s">
        <v>125</v>
      </c>
      <c r="F212" s="11">
        <v>0</v>
      </c>
      <c r="G212" s="11">
        <v>0</v>
      </c>
      <c r="H212" s="11">
        <v>6.5</v>
      </c>
      <c r="I212" s="11">
        <v>-6.5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</row>
    <row r="213" spans="1:49" ht="14.5" hidden="1" outlineLevel="1" x14ac:dyDescent="0.35">
      <c r="A213" t="s">
        <v>12</v>
      </c>
      <c r="B213" t="s">
        <v>10</v>
      </c>
      <c r="C213" t="s">
        <v>36</v>
      </c>
      <c r="D213" t="s">
        <v>85</v>
      </c>
      <c r="E213" t="s">
        <v>126</v>
      </c>
      <c r="F213" s="11">
        <v>0</v>
      </c>
      <c r="G213" s="11">
        <v>62</v>
      </c>
      <c r="H213" s="11">
        <v>62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2</v>
      </c>
      <c r="AC213" s="11">
        <v>6</v>
      </c>
      <c r="AD213" s="11">
        <v>8</v>
      </c>
      <c r="AE213" s="11">
        <v>8</v>
      </c>
      <c r="AF213" s="11">
        <v>8</v>
      </c>
      <c r="AG213" s="11">
        <v>10</v>
      </c>
      <c r="AH213" s="11">
        <v>10</v>
      </c>
      <c r="AI213" s="11">
        <v>10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</row>
    <row r="214" spans="1:49" ht="14.5" hidden="1" outlineLevel="1" x14ac:dyDescent="0.35">
      <c r="A214" t="s">
        <v>12</v>
      </c>
      <c r="B214" t="s">
        <v>10</v>
      </c>
      <c r="C214" t="s">
        <v>36</v>
      </c>
      <c r="D214" t="s">
        <v>85</v>
      </c>
      <c r="E214" t="s">
        <v>91</v>
      </c>
      <c r="F214" s="11">
        <v>18</v>
      </c>
      <c r="G214" s="11">
        <v>18</v>
      </c>
      <c r="H214" s="11">
        <v>45</v>
      </c>
      <c r="I214" s="11">
        <v>-27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</row>
    <row r="215" spans="1:49" ht="14.5" hidden="1" outlineLevel="1" x14ac:dyDescent="0.35">
      <c r="A215" t="s">
        <v>12</v>
      </c>
      <c r="B215" t="s">
        <v>10</v>
      </c>
      <c r="C215" t="s">
        <v>36</v>
      </c>
      <c r="D215" t="s">
        <v>85</v>
      </c>
      <c r="E215" t="s">
        <v>92</v>
      </c>
      <c r="F215" s="11">
        <v>0</v>
      </c>
      <c r="G215" s="11">
        <v>18</v>
      </c>
      <c r="H215" s="11">
        <v>18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12</v>
      </c>
      <c r="R215" s="11">
        <v>6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</row>
    <row r="216" spans="1:49" ht="14.5" hidden="1" outlineLevel="1" x14ac:dyDescent="0.35">
      <c r="A216" s="8" t="s">
        <v>12</v>
      </c>
      <c r="B216" s="8" t="s">
        <v>10</v>
      </c>
      <c r="C216" s="8" t="s">
        <v>36</v>
      </c>
      <c r="D216" s="8" t="s">
        <v>74</v>
      </c>
      <c r="E216" s="9" t="s">
        <v>92</v>
      </c>
      <c r="F216" s="10"/>
      <c r="G216" s="10"/>
      <c r="H216" s="10"/>
      <c r="I216" s="10"/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8.5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</row>
    <row r="217" spans="1:49" ht="14.5" hidden="1" outlineLevel="1" x14ac:dyDescent="0.35">
      <c r="A217" t="s">
        <v>12</v>
      </c>
      <c r="B217" t="s">
        <v>10</v>
      </c>
      <c r="C217" t="s">
        <v>36</v>
      </c>
      <c r="D217" t="s">
        <v>85</v>
      </c>
      <c r="E217" t="s">
        <v>83</v>
      </c>
      <c r="F217" s="11">
        <v>0.5</v>
      </c>
      <c r="G217" s="11">
        <v>0.5</v>
      </c>
      <c r="H217" s="11">
        <v>6.5</v>
      </c>
      <c r="I217" s="11">
        <v>-6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</row>
    <row r="218" spans="1:49" ht="14.5" hidden="1" outlineLevel="1" x14ac:dyDescent="0.35">
      <c r="A218" s="8" t="s">
        <v>12</v>
      </c>
      <c r="B218" s="8" t="s">
        <v>10</v>
      </c>
      <c r="C218" s="8" t="s">
        <v>36</v>
      </c>
      <c r="D218" s="8" t="s">
        <v>74</v>
      </c>
      <c r="E218" s="9" t="s">
        <v>79</v>
      </c>
      <c r="F218" s="10"/>
      <c r="G218" s="10"/>
      <c r="H218" s="10"/>
      <c r="I218" s="10"/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9.5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</row>
    <row r="219" spans="1:49" ht="14.5" collapsed="1" x14ac:dyDescent="0.35">
      <c r="A219" s="6" t="s">
        <v>12</v>
      </c>
      <c r="B219" s="6" t="s">
        <v>10</v>
      </c>
      <c r="C219" s="6" t="s">
        <v>22</v>
      </c>
      <c r="D219" s="6" t="s">
        <v>72</v>
      </c>
      <c r="E219" s="6" t="s">
        <v>73</v>
      </c>
      <c r="F219" s="7">
        <f t="shared" ref="F219:AW219" si="21">SUM(F220,F221,F224,F225,F226,F227,F228,F230)</f>
        <v>297.5</v>
      </c>
      <c r="G219" s="7">
        <f t="shared" si="21"/>
        <v>915.5</v>
      </c>
      <c r="H219" s="7">
        <f t="shared" si="21"/>
        <v>923.5</v>
      </c>
      <c r="I219" s="7">
        <f t="shared" si="21"/>
        <v>-8</v>
      </c>
      <c r="J219" s="7">
        <f t="shared" si="21"/>
        <v>18.5</v>
      </c>
      <c r="K219" s="7">
        <f t="shared" si="21"/>
        <v>5</v>
      </c>
      <c r="L219" s="7">
        <f t="shared" si="21"/>
        <v>8</v>
      </c>
      <c r="M219" s="7">
        <f t="shared" si="21"/>
        <v>3</v>
      </c>
      <c r="N219" s="7">
        <f t="shared" si="21"/>
        <v>3</v>
      </c>
      <c r="O219" s="7">
        <f t="shared" si="21"/>
        <v>3</v>
      </c>
      <c r="P219" s="7">
        <f t="shared" si="21"/>
        <v>13</v>
      </c>
      <c r="Q219" s="7">
        <f t="shared" si="21"/>
        <v>13</v>
      </c>
      <c r="R219" s="7">
        <f t="shared" si="21"/>
        <v>0</v>
      </c>
      <c r="S219" s="7">
        <f t="shared" si="21"/>
        <v>5</v>
      </c>
      <c r="T219" s="7">
        <f t="shared" si="21"/>
        <v>5</v>
      </c>
      <c r="U219" s="7">
        <f t="shared" si="21"/>
        <v>10</v>
      </c>
      <c r="V219" s="7">
        <f t="shared" si="21"/>
        <v>10</v>
      </c>
      <c r="W219" s="7">
        <f t="shared" si="21"/>
        <v>0</v>
      </c>
      <c r="X219" s="7">
        <f t="shared" si="21"/>
        <v>0</v>
      </c>
      <c r="Y219" s="7">
        <f t="shared" si="21"/>
        <v>8</v>
      </c>
      <c r="Z219" s="7">
        <f t="shared" si="21"/>
        <v>0</v>
      </c>
      <c r="AA219" s="7">
        <f t="shared" si="21"/>
        <v>0</v>
      </c>
      <c r="AB219" s="7">
        <f t="shared" si="21"/>
        <v>23</v>
      </c>
      <c r="AC219" s="7">
        <f t="shared" si="21"/>
        <v>45</v>
      </c>
      <c r="AD219" s="12">
        <f t="shared" si="21"/>
        <v>60</v>
      </c>
      <c r="AE219" s="13">
        <f t="shared" si="21"/>
        <v>70</v>
      </c>
      <c r="AF219" s="13">
        <f t="shared" si="21"/>
        <v>70</v>
      </c>
      <c r="AG219" s="12">
        <f t="shared" si="21"/>
        <v>61</v>
      </c>
      <c r="AH219" s="12">
        <f t="shared" si="21"/>
        <v>57</v>
      </c>
      <c r="AI219" s="7">
        <f t="shared" si="21"/>
        <v>46</v>
      </c>
      <c r="AJ219" s="7">
        <f t="shared" si="21"/>
        <v>12</v>
      </c>
      <c r="AK219" s="7">
        <f t="shared" si="21"/>
        <v>16</v>
      </c>
      <c r="AL219" s="7">
        <f t="shared" si="21"/>
        <v>16</v>
      </c>
      <c r="AM219" s="7">
        <f t="shared" si="21"/>
        <v>8</v>
      </c>
      <c r="AN219" s="7">
        <f t="shared" si="21"/>
        <v>0</v>
      </c>
      <c r="AO219" s="7">
        <f t="shared" si="21"/>
        <v>0</v>
      </c>
      <c r="AP219" s="7">
        <f t="shared" si="21"/>
        <v>0</v>
      </c>
      <c r="AQ219" s="7">
        <f t="shared" si="21"/>
        <v>0</v>
      </c>
      <c r="AR219" s="7">
        <f t="shared" si="21"/>
        <v>0</v>
      </c>
      <c r="AS219" s="7">
        <f t="shared" si="21"/>
        <v>0</v>
      </c>
      <c r="AT219" s="7">
        <f t="shared" si="21"/>
        <v>0</v>
      </c>
      <c r="AU219" s="7">
        <f t="shared" si="21"/>
        <v>0</v>
      </c>
      <c r="AV219" s="7">
        <f t="shared" si="21"/>
        <v>0</v>
      </c>
      <c r="AW219" s="7">
        <f t="shared" si="21"/>
        <v>0</v>
      </c>
    </row>
    <row r="220" spans="1:49" ht="14.5" hidden="1" outlineLevel="1" x14ac:dyDescent="0.35">
      <c r="A220" t="s">
        <v>12</v>
      </c>
      <c r="B220" t="s">
        <v>10</v>
      </c>
      <c r="C220" t="s">
        <v>22</v>
      </c>
      <c r="D220" t="s">
        <v>85</v>
      </c>
      <c r="E220" t="s">
        <v>127</v>
      </c>
      <c r="F220" s="11">
        <v>0</v>
      </c>
      <c r="G220" s="11">
        <v>70</v>
      </c>
      <c r="H220" s="11">
        <v>70</v>
      </c>
      <c r="I220" s="11">
        <v>0</v>
      </c>
      <c r="J220" s="11">
        <v>0</v>
      </c>
      <c r="K220" s="11">
        <v>0</v>
      </c>
      <c r="L220" s="11">
        <v>3</v>
      </c>
      <c r="M220" s="11">
        <v>3</v>
      </c>
      <c r="N220" s="11">
        <v>3</v>
      </c>
      <c r="O220" s="11">
        <v>3</v>
      </c>
      <c r="P220" s="11">
        <v>3</v>
      </c>
      <c r="Q220" s="11">
        <v>3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12</v>
      </c>
      <c r="AK220" s="11">
        <v>16</v>
      </c>
      <c r="AL220" s="11">
        <v>16</v>
      </c>
      <c r="AM220" s="11">
        <v>8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</row>
    <row r="221" spans="1:49" ht="14.5" hidden="1" outlineLevel="1" x14ac:dyDescent="0.35">
      <c r="A221" t="s">
        <v>12</v>
      </c>
      <c r="B221" t="s">
        <v>10</v>
      </c>
      <c r="C221" t="s">
        <v>22</v>
      </c>
      <c r="D221" t="s">
        <v>85</v>
      </c>
      <c r="E221" t="s">
        <v>80</v>
      </c>
      <c r="F221" s="11">
        <v>0</v>
      </c>
      <c r="G221" s="11">
        <v>122</v>
      </c>
      <c r="H221" s="11">
        <v>122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8</v>
      </c>
      <c r="AC221" s="11">
        <v>15</v>
      </c>
      <c r="AD221" s="11">
        <v>15</v>
      </c>
      <c r="AE221" s="11">
        <v>20</v>
      </c>
      <c r="AF221" s="11">
        <v>20</v>
      </c>
      <c r="AG221" s="11">
        <v>21</v>
      </c>
      <c r="AH221" s="11">
        <v>17</v>
      </c>
      <c r="AI221" s="11">
        <v>6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</row>
    <row r="222" spans="1:49" ht="14.5" hidden="1" outlineLevel="1" x14ac:dyDescent="0.35">
      <c r="A222" s="14" t="s">
        <v>12</v>
      </c>
      <c r="B222" s="14" t="s">
        <v>10</v>
      </c>
      <c r="C222" s="14" t="s">
        <v>22</v>
      </c>
      <c r="D222" s="14" t="s">
        <v>99</v>
      </c>
      <c r="E222" s="15" t="s">
        <v>80</v>
      </c>
      <c r="F222" s="16"/>
      <c r="G222" s="16"/>
      <c r="H222" s="16"/>
      <c r="I222" s="16"/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-6</v>
      </c>
      <c r="AH222" s="16">
        <v>-2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</row>
    <row r="223" spans="1:49" ht="14.5" hidden="1" outlineLevel="1" x14ac:dyDescent="0.35">
      <c r="A223" s="8" t="s">
        <v>12</v>
      </c>
      <c r="B223" s="8" t="s">
        <v>10</v>
      </c>
      <c r="C223" s="8" t="s">
        <v>22</v>
      </c>
      <c r="D223" s="8" t="s">
        <v>74</v>
      </c>
      <c r="E223" s="9" t="s">
        <v>80</v>
      </c>
      <c r="F223" s="10"/>
      <c r="G223" s="10"/>
      <c r="H223" s="10"/>
      <c r="I223" s="10"/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1</v>
      </c>
      <c r="R223" s="10">
        <v>6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</row>
    <row r="224" spans="1:49" ht="14.5" hidden="1" outlineLevel="1" x14ac:dyDescent="0.35">
      <c r="A224" t="s">
        <v>12</v>
      </c>
      <c r="B224" t="s">
        <v>10</v>
      </c>
      <c r="C224" t="s">
        <v>22</v>
      </c>
      <c r="D224" t="s">
        <v>85</v>
      </c>
      <c r="E224" t="s">
        <v>88</v>
      </c>
      <c r="F224" s="11">
        <v>10</v>
      </c>
      <c r="G224" s="11">
        <v>10</v>
      </c>
      <c r="H224" s="11">
        <v>0</v>
      </c>
      <c r="I224" s="11">
        <v>10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</row>
    <row r="225" spans="1:49" ht="14.5" hidden="1" outlineLevel="1" x14ac:dyDescent="0.35">
      <c r="A225" t="s">
        <v>12</v>
      </c>
      <c r="B225" t="s">
        <v>10</v>
      </c>
      <c r="C225" t="s">
        <v>22</v>
      </c>
      <c r="D225" t="s">
        <v>85</v>
      </c>
      <c r="E225" t="s">
        <v>89</v>
      </c>
      <c r="F225" s="11">
        <v>0</v>
      </c>
      <c r="G225" s="11">
        <v>10</v>
      </c>
      <c r="H225" s="11">
        <v>0</v>
      </c>
      <c r="I225" s="11">
        <v>10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</row>
    <row r="226" spans="1:49" ht="14.5" hidden="1" outlineLevel="1" x14ac:dyDescent="0.35">
      <c r="A226" t="s">
        <v>12</v>
      </c>
      <c r="B226" t="s">
        <v>10</v>
      </c>
      <c r="C226" t="s">
        <v>22</v>
      </c>
      <c r="D226" t="s">
        <v>85</v>
      </c>
      <c r="E226" t="s">
        <v>40</v>
      </c>
      <c r="F226" s="11">
        <v>0</v>
      </c>
      <c r="G226" s="11">
        <v>28</v>
      </c>
      <c r="H226" s="11">
        <v>0</v>
      </c>
      <c r="I226" s="11">
        <v>28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</row>
    <row r="227" spans="1:49" ht="14.5" hidden="1" outlineLevel="1" x14ac:dyDescent="0.35">
      <c r="A227" t="s">
        <v>12</v>
      </c>
      <c r="B227" t="s">
        <v>10</v>
      </c>
      <c r="C227" t="s">
        <v>22</v>
      </c>
      <c r="D227" t="s">
        <v>85</v>
      </c>
      <c r="E227" t="s">
        <v>103</v>
      </c>
      <c r="F227" s="11">
        <v>180.5</v>
      </c>
      <c r="G227" s="11">
        <v>270.5</v>
      </c>
      <c r="H227" s="11">
        <v>301.5</v>
      </c>
      <c r="I227" s="11">
        <v>-31</v>
      </c>
      <c r="J227" s="11">
        <v>12.5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5</v>
      </c>
      <c r="T227" s="11">
        <v>5</v>
      </c>
      <c r="U227" s="11">
        <v>10</v>
      </c>
      <c r="V227" s="11">
        <v>10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10</v>
      </c>
      <c r="AD227" s="11">
        <v>10</v>
      </c>
      <c r="AE227" s="11">
        <v>10</v>
      </c>
      <c r="AF227" s="11">
        <v>10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</row>
    <row r="228" spans="1:49" ht="14.5" hidden="1" outlineLevel="1" x14ac:dyDescent="0.35">
      <c r="A228" t="s">
        <v>12</v>
      </c>
      <c r="B228" t="s">
        <v>10</v>
      </c>
      <c r="C228" t="s">
        <v>22</v>
      </c>
      <c r="D228" t="s">
        <v>85</v>
      </c>
      <c r="E228" t="s">
        <v>98</v>
      </c>
      <c r="F228" s="11">
        <v>107</v>
      </c>
      <c r="G228" s="11">
        <v>405</v>
      </c>
      <c r="H228" s="11">
        <v>428</v>
      </c>
      <c r="I228" s="11">
        <v>-23</v>
      </c>
      <c r="J228" s="11">
        <v>6</v>
      </c>
      <c r="K228" s="11">
        <v>5</v>
      </c>
      <c r="L228" s="11">
        <v>5</v>
      </c>
      <c r="M228" s="11">
        <v>0</v>
      </c>
      <c r="N228" s="11">
        <v>0</v>
      </c>
      <c r="O228" s="11">
        <v>0</v>
      </c>
      <c r="P228" s="11">
        <v>10</v>
      </c>
      <c r="Q228" s="11">
        <v>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8</v>
      </c>
      <c r="Z228" s="11">
        <v>0</v>
      </c>
      <c r="AA228" s="11">
        <v>0</v>
      </c>
      <c r="AB228" s="11">
        <v>15</v>
      </c>
      <c r="AC228" s="11">
        <v>20</v>
      </c>
      <c r="AD228" s="11">
        <v>35</v>
      </c>
      <c r="AE228" s="11">
        <v>40</v>
      </c>
      <c r="AF228" s="11">
        <v>40</v>
      </c>
      <c r="AG228" s="11">
        <v>40</v>
      </c>
      <c r="AH228" s="11">
        <v>40</v>
      </c>
      <c r="AI228" s="11">
        <v>40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</row>
    <row r="229" spans="1:49" ht="14.5" hidden="1" outlineLevel="1" x14ac:dyDescent="0.35">
      <c r="A229" s="14" t="s">
        <v>12</v>
      </c>
      <c r="B229" s="14" t="s">
        <v>10</v>
      </c>
      <c r="C229" s="14" t="s">
        <v>22</v>
      </c>
      <c r="D229" s="14" t="s">
        <v>99</v>
      </c>
      <c r="E229" s="15" t="s">
        <v>98</v>
      </c>
      <c r="F229" s="16"/>
      <c r="G229" s="16"/>
      <c r="H229" s="16"/>
      <c r="I229" s="16"/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-5</v>
      </c>
      <c r="AE229" s="16">
        <v>-15</v>
      </c>
      <c r="AF229" s="16">
        <v>-15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</row>
    <row r="230" spans="1:49" ht="14.5" hidden="1" outlineLevel="1" x14ac:dyDescent="0.35">
      <c r="A230" t="s">
        <v>12</v>
      </c>
      <c r="B230" t="s">
        <v>10</v>
      </c>
      <c r="C230" t="s">
        <v>22</v>
      </c>
      <c r="D230" t="s">
        <v>85</v>
      </c>
      <c r="E230" t="s">
        <v>91</v>
      </c>
      <c r="F230" s="11">
        <v>0</v>
      </c>
      <c r="G230" s="11">
        <v>0</v>
      </c>
      <c r="H230" s="11">
        <v>2</v>
      </c>
      <c r="I230" s="11">
        <v>-2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</row>
    <row r="231" spans="1:49" ht="14.5" collapsed="1" x14ac:dyDescent="0.35">
      <c r="A231" s="6" t="s">
        <v>12</v>
      </c>
      <c r="B231" s="6" t="s">
        <v>10</v>
      </c>
      <c r="C231" s="6" t="s">
        <v>20</v>
      </c>
      <c r="D231" s="6" t="s">
        <v>72</v>
      </c>
      <c r="E231" s="6" t="s">
        <v>73</v>
      </c>
      <c r="F231" s="7">
        <f t="shared" ref="F231:AW231" si="22">SUM(F232,F233,F234,F235,F237,F239,F240,F242,F243,F245,F246,F247)</f>
        <v>193.5</v>
      </c>
      <c r="G231" s="7">
        <f t="shared" si="22"/>
        <v>888.5</v>
      </c>
      <c r="H231" s="7">
        <f t="shared" si="22"/>
        <v>1267</v>
      </c>
      <c r="I231" s="7">
        <f t="shared" si="22"/>
        <v>-378.5</v>
      </c>
      <c r="J231" s="7">
        <f t="shared" si="22"/>
        <v>45</v>
      </c>
      <c r="K231" s="13">
        <f t="shared" si="22"/>
        <v>56.5</v>
      </c>
      <c r="L231" s="13">
        <f t="shared" si="22"/>
        <v>57.5</v>
      </c>
      <c r="M231" s="7">
        <f t="shared" si="22"/>
        <v>16.5</v>
      </c>
      <c r="N231" s="7">
        <f t="shared" si="22"/>
        <v>16.5</v>
      </c>
      <c r="O231" s="7">
        <f t="shared" si="22"/>
        <v>12.5</v>
      </c>
      <c r="P231" s="7">
        <f t="shared" si="22"/>
        <v>20.5</v>
      </c>
      <c r="Q231" s="7">
        <f t="shared" si="22"/>
        <v>38.5</v>
      </c>
      <c r="R231" s="7">
        <f t="shared" si="22"/>
        <v>30.5</v>
      </c>
      <c r="S231" s="7">
        <f t="shared" si="22"/>
        <v>14.5</v>
      </c>
      <c r="T231" s="7">
        <f t="shared" si="22"/>
        <v>17.5</v>
      </c>
      <c r="U231" s="7">
        <f t="shared" si="22"/>
        <v>25.5</v>
      </c>
      <c r="V231" s="13">
        <f t="shared" si="22"/>
        <v>52.5</v>
      </c>
      <c r="W231" s="13">
        <f t="shared" si="22"/>
        <v>54.5</v>
      </c>
      <c r="X231" s="7">
        <f t="shared" si="22"/>
        <v>25.5</v>
      </c>
      <c r="Y231" s="7">
        <f t="shared" si="22"/>
        <v>17</v>
      </c>
      <c r="Z231" s="7">
        <f t="shared" si="22"/>
        <v>10</v>
      </c>
      <c r="AA231" s="7">
        <f t="shared" si="22"/>
        <v>0</v>
      </c>
      <c r="AB231" s="7">
        <f t="shared" si="22"/>
        <v>13.5</v>
      </c>
      <c r="AC231" s="7">
        <f t="shared" si="22"/>
        <v>16.5</v>
      </c>
      <c r="AD231" s="7">
        <f t="shared" si="22"/>
        <v>28.5</v>
      </c>
      <c r="AE231" s="7">
        <f t="shared" si="22"/>
        <v>37.5</v>
      </c>
      <c r="AF231" s="12">
        <f t="shared" si="22"/>
        <v>62.5</v>
      </c>
      <c r="AG231" s="12">
        <f t="shared" si="22"/>
        <v>59.5</v>
      </c>
      <c r="AH231" s="13">
        <f t="shared" si="22"/>
        <v>72.5</v>
      </c>
      <c r="AI231" s="13">
        <f t="shared" si="22"/>
        <v>66.5</v>
      </c>
      <c r="AJ231" s="7">
        <f t="shared" si="22"/>
        <v>30</v>
      </c>
      <c r="AK231" s="7">
        <f t="shared" si="22"/>
        <v>30</v>
      </c>
      <c r="AL231" s="7">
        <f t="shared" si="22"/>
        <v>30</v>
      </c>
      <c r="AM231" s="7">
        <f t="shared" si="22"/>
        <v>0</v>
      </c>
      <c r="AN231" s="7">
        <f t="shared" si="22"/>
        <v>0</v>
      </c>
      <c r="AO231" s="7">
        <f t="shared" si="22"/>
        <v>0</v>
      </c>
      <c r="AP231" s="7">
        <f t="shared" si="22"/>
        <v>0</v>
      </c>
      <c r="AQ231" s="7">
        <f t="shared" si="22"/>
        <v>0</v>
      </c>
      <c r="AR231" s="7">
        <f t="shared" si="22"/>
        <v>0</v>
      </c>
      <c r="AS231" s="7">
        <f t="shared" si="22"/>
        <v>0</v>
      </c>
      <c r="AT231" s="7">
        <f t="shared" si="22"/>
        <v>0</v>
      </c>
      <c r="AU231" s="7">
        <f t="shared" si="22"/>
        <v>0</v>
      </c>
      <c r="AV231" s="7">
        <f t="shared" si="22"/>
        <v>0</v>
      </c>
      <c r="AW231" s="7">
        <f t="shared" si="22"/>
        <v>0</v>
      </c>
    </row>
    <row r="232" spans="1:49" ht="14.5" hidden="1" outlineLevel="1" x14ac:dyDescent="0.35">
      <c r="A232" t="s">
        <v>12</v>
      </c>
      <c r="B232" t="s">
        <v>10</v>
      </c>
      <c r="C232" t="s">
        <v>20</v>
      </c>
      <c r="D232" t="s">
        <v>85</v>
      </c>
      <c r="E232" t="s">
        <v>87</v>
      </c>
      <c r="F232" s="11">
        <v>10</v>
      </c>
      <c r="G232" s="11">
        <v>10</v>
      </c>
      <c r="H232" s="11">
        <v>19</v>
      </c>
      <c r="I232" s="11">
        <v>-9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</row>
    <row r="233" spans="1:49" ht="14.5" hidden="1" outlineLevel="1" x14ac:dyDescent="0.35">
      <c r="A233" t="s">
        <v>12</v>
      </c>
      <c r="B233" t="s">
        <v>10</v>
      </c>
      <c r="C233" t="s">
        <v>20</v>
      </c>
      <c r="D233" t="s">
        <v>85</v>
      </c>
      <c r="E233" t="s">
        <v>88</v>
      </c>
      <c r="F233" s="11">
        <v>8</v>
      </c>
      <c r="G233" s="11">
        <v>8</v>
      </c>
      <c r="H233" s="11">
        <v>21</v>
      </c>
      <c r="I233" s="11">
        <v>-13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</row>
    <row r="234" spans="1:49" ht="14.5" hidden="1" outlineLevel="1" x14ac:dyDescent="0.35">
      <c r="A234" t="s">
        <v>12</v>
      </c>
      <c r="B234" t="s">
        <v>10</v>
      </c>
      <c r="C234" t="s">
        <v>20</v>
      </c>
      <c r="D234" t="s">
        <v>85</v>
      </c>
      <c r="E234" t="s">
        <v>89</v>
      </c>
      <c r="F234" s="11">
        <v>0</v>
      </c>
      <c r="G234" s="11">
        <v>8</v>
      </c>
      <c r="H234" s="11">
        <v>8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4</v>
      </c>
      <c r="R234" s="11">
        <v>4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</row>
    <row r="235" spans="1:49" ht="14.5" hidden="1" outlineLevel="1" x14ac:dyDescent="0.35">
      <c r="A235" t="s">
        <v>12</v>
      </c>
      <c r="B235" t="s">
        <v>10</v>
      </c>
      <c r="C235" t="s">
        <v>20</v>
      </c>
      <c r="D235" t="s">
        <v>85</v>
      </c>
      <c r="E235" t="s">
        <v>40</v>
      </c>
      <c r="F235" s="11">
        <v>0</v>
      </c>
      <c r="G235" s="11">
        <v>18</v>
      </c>
      <c r="H235" s="11">
        <v>24</v>
      </c>
      <c r="I235" s="11">
        <v>-6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8</v>
      </c>
      <c r="AG235" s="11">
        <v>0</v>
      </c>
      <c r="AH235" s="11">
        <v>6</v>
      </c>
      <c r="AI235" s="11">
        <v>10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</row>
    <row r="236" spans="1:49" ht="14.5" hidden="1" outlineLevel="1" x14ac:dyDescent="0.35">
      <c r="A236" s="14" t="s">
        <v>12</v>
      </c>
      <c r="B236" s="14" t="s">
        <v>10</v>
      </c>
      <c r="C236" s="14" t="s">
        <v>20</v>
      </c>
      <c r="D236" s="14" t="s">
        <v>99</v>
      </c>
      <c r="E236" s="15" t="s">
        <v>40</v>
      </c>
      <c r="F236" s="16"/>
      <c r="G236" s="16"/>
      <c r="H236" s="16"/>
      <c r="I236" s="16"/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-6</v>
      </c>
      <c r="AI236" s="16">
        <v>-10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</row>
    <row r="237" spans="1:49" ht="14.5" hidden="1" outlineLevel="1" x14ac:dyDescent="0.35">
      <c r="A237" t="s">
        <v>12</v>
      </c>
      <c r="B237" t="s">
        <v>10</v>
      </c>
      <c r="C237" t="s">
        <v>20</v>
      </c>
      <c r="D237" t="s">
        <v>85</v>
      </c>
      <c r="E237" t="s">
        <v>81</v>
      </c>
      <c r="F237" s="11">
        <v>105</v>
      </c>
      <c r="G237" s="11">
        <v>353</v>
      </c>
      <c r="H237" s="11">
        <v>477</v>
      </c>
      <c r="I237" s="11">
        <v>-124</v>
      </c>
      <c r="J237" s="11">
        <v>27</v>
      </c>
      <c r="K237" s="11">
        <v>43.5</v>
      </c>
      <c r="L237" s="11">
        <v>41.5</v>
      </c>
      <c r="M237" s="11">
        <v>5.5</v>
      </c>
      <c r="N237" s="11">
        <v>3.5</v>
      </c>
      <c r="O237" s="11">
        <v>3.5</v>
      </c>
      <c r="P237" s="11">
        <v>3.5</v>
      </c>
      <c r="Q237" s="11">
        <v>3.5</v>
      </c>
      <c r="R237" s="11">
        <v>3.5</v>
      </c>
      <c r="S237" s="11">
        <v>5.5</v>
      </c>
      <c r="T237" s="11">
        <v>3.5</v>
      </c>
      <c r="U237" s="11">
        <v>11.5</v>
      </c>
      <c r="V237" s="11">
        <v>42.5</v>
      </c>
      <c r="W237" s="11">
        <v>40.5</v>
      </c>
      <c r="X237" s="11">
        <v>11.5</v>
      </c>
      <c r="Y237" s="11">
        <v>0</v>
      </c>
      <c r="Z237" s="11">
        <v>0</v>
      </c>
      <c r="AA237" s="11">
        <v>0</v>
      </c>
      <c r="AB237" s="11">
        <v>13.5</v>
      </c>
      <c r="AC237" s="11">
        <v>6.5</v>
      </c>
      <c r="AD237" s="11">
        <v>3.5</v>
      </c>
      <c r="AE237" s="11">
        <v>7.5</v>
      </c>
      <c r="AF237" s="11">
        <v>16.5</v>
      </c>
      <c r="AG237" s="11">
        <v>29.5</v>
      </c>
      <c r="AH237" s="11">
        <v>21.5</v>
      </c>
      <c r="AI237" s="11">
        <v>11.5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</row>
    <row r="238" spans="1:49" ht="14.5" hidden="1" outlineLevel="1" x14ac:dyDescent="0.35">
      <c r="A238" s="14" t="s">
        <v>12</v>
      </c>
      <c r="B238" s="14" t="s">
        <v>10</v>
      </c>
      <c r="C238" s="14" t="s">
        <v>20</v>
      </c>
      <c r="D238" s="14" t="s">
        <v>99</v>
      </c>
      <c r="E238" s="15" t="s">
        <v>81</v>
      </c>
      <c r="F238" s="16"/>
      <c r="G238" s="16"/>
      <c r="H238" s="16"/>
      <c r="I238" s="16"/>
      <c r="J238" s="16">
        <v>0</v>
      </c>
      <c r="K238" s="16">
        <v>-5.5</v>
      </c>
      <c r="L238" s="16">
        <v>-5.5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-2.5</v>
      </c>
      <c r="W238" s="16">
        <v>-4.5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-7.5</v>
      </c>
      <c r="AG238" s="16">
        <v>-4.5</v>
      </c>
      <c r="AH238" s="16">
        <v>-11.5</v>
      </c>
      <c r="AI238" s="16">
        <v>-1.5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</row>
    <row r="239" spans="1:49" ht="14.5" hidden="1" outlineLevel="1" x14ac:dyDescent="0.35">
      <c r="A239" t="s">
        <v>12</v>
      </c>
      <c r="B239" t="s">
        <v>10</v>
      </c>
      <c r="C239" t="s">
        <v>20</v>
      </c>
      <c r="D239" t="s">
        <v>85</v>
      </c>
      <c r="E239" t="s">
        <v>90</v>
      </c>
      <c r="F239" s="11">
        <v>0</v>
      </c>
      <c r="G239" s="11">
        <v>0</v>
      </c>
      <c r="H239" s="11">
        <v>42</v>
      </c>
      <c r="I239" s="11">
        <v>-42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</row>
    <row r="240" spans="1:49" ht="14.5" hidden="1" outlineLevel="1" x14ac:dyDescent="0.35">
      <c r="A240" t="s">
        <v>12</v>
      </c>
      <c r="B240" t="s">
        <v>10</v>
      </c>
      <c r="C240" t="s">
        <v>20</v>
      </c>
      <c r="D240" t="s">
        <v>85</v>
      </c>
      <c r="E240" t="s">
        <v>43</v>
      </c>
      <c r="F240" s="11">
        <v>0</v>
      </c>
      <c r="G240" s="11">
        <v>0</v>
      </c>
      <c r="H240" s="11">
        <v>140</v>
      </c>
      <c r="I240" s="11">
        <v>-140</v>
      </c>
      <c r="J240" s="11">
        <v>11</v>
      </c>
      <c r="K240" s="11">
        <v>10</v>
      </c>
      <c r="L240" s="11">
        <v>10</v>
      </c>
      <c r="M240" s="11">
        <v>5</v>
      </c>
      <c r="N240" s="11">
        <v>5</v>
      </c>
      <c r="O240" s="11">
        <v>5</v>
      </c>
      <c r="P240" s="11">
        <v>5</v>
      </c>
      <c r="Q240" s="11">
        <v>5</v>
      </c>
      <c r="R240" s="11">
        <v>5</v>
      </c>
      <c r="S240" s="11">
        <v>5</v>
      </c>
      <c r="T240" s="11">
        <v>10</v>
      </c>
      <c r="U240" s="11">
        <v>10</v>
      </c>
      <c r="V240" s="11">
        <v>10</v>
      </c>
      <c r="W240" s="11">
        <v>10</v>
      </c>
      <c r="X240" s="11">
        <v>10</v>
      </c>
      <c r="Y240" s="11">
        <v>10</v>
      </c>
      <c r="Z240" s="11">
        <v>10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</row>
    <row r="241" spans="1:49" ht="14.5" hidden="1" outlineLevel="1" x14ac:dyDescent="0.35">
      <c r="A241" s="14" t="s">
        <v>12</v>
      </c>
      <c r="B241" s="14" t="s">
        <v>10</v>
      </c>
      <c r="C241" s="14" t="s">
        <v>20</v>
      </c>
      <c r="D241" s="14" t="s">
        <v>99</v>
      </c>
      <c r="E241" s="15" t="s">
        <v>43</v>
      </c>
      <c r="F241" s="16"/>
      <c r="G241" s="16"/>
      <c r="H241" s="16"/>
      <c r="I241" s="16"/>
      <c r="J241" s="16">
        <v>-3</v>
      </c>
      <c r="K241" s="16">
        <v>-10</v>
      </c>
      <c r="L241" s="16">
        <v>-10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-10</v>
      </c>
      <c r="W241" s="16">
        <v>-10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</row>
    <row r="242" spans="1:49" ht="14.5" hidden="1" outlineLevel="1" x14ac:dyDescent="0.35">
      <c r="A242" t="s">
        <v>12</v>
      </c>
      <c r="B242" t="s">
        <v>10</v>
      </c>
      <c r="C242" t="s">
        <v>20</v>
      </c>
      <c r="D242" t="s">
        <v>85</v>
      </c>
      <c r="E242" t="s">
        <v>125</v>
      </c>
      <c r="F242" s="11">
        <v>19.5</v>
      </c>
      <c r="G242" s="11">
        <v>91.5</v>
      </c>
      <c r="H242" s="11">
        <v>85.5</v>
      </c>
      <c r="I242" s="11">
        <v>6</v>
      </c>
      <c r="J242" s="11">
        <v>5</v>
      </c>
      <c r="K242" s="11">
        <v>2</v>
      </c>
      <c r="L242" s="11">
        <v>4</v>
      </c>
      <c r="M242" s="11">
        <v>4</v>
      </c>
      <c r="N242" s="11">
        <v>4</v>
      </c>
      <c r="O242" s="11">
        <v>0</v>
      </c>
      <c r="P242" s="11">
        <v>0</v>
      </c>
      <c r="Q242" s="11">
        <v>0</v>
      </c>
      <c r="R242" s="11">
        <v>0</v>
      </c>
      <c r="S242" s="11">
        <v>4</v>
      </c>
      <c r="T242" s="11">
        <v>4</v>
      </c>
      <c r="U242" s="11">
        <v>4</v>
      </c>
      <c r="V242" s="11">
        <v>0</v>
      </c>
      <c r="W242" s="11">
        <v>4</v>
      </c>
      <c r="X242" s="11">
        <v>4</v>
      </c>
      <c r="Y242" s="11">
        <v>4</v>
      </c>
      <c r="Z242" s="11">
        <v>0</v>
      </c>
      <c r="AA242" s="11">
        <v>0</v>
      </c>
      <c r="AB242" s="11">
        <v>0</v>
      </c>
      <c r="AC242" s="11">
        <v>4</v>
      </c>
      <c r="AD242" s="11">
        <v>10</v>
      </c>
      <c r="AE242" s="11">
        <v>10</v>
      </c>
      <c r="AF242" s="11">
        <v>8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</row>
    <row r="243" spans="1:49" ht="14.5" hidden="1" outlineLevel="1" x14ac:dyDescent="0.35">
      <c r="A243" t="s">
        <v>12</v>
      </c>
      <c r="B243" t="s">
        <v>10</v>
      </c>
      <c r="C243" t="s">
        <v>20</v>
      </c>
      <c r="D243" t="s">
        <v>85</v>
      </c>
      <c r="E243" t="s">
        <v>102</v>
      </c>
      <c r="F243" s="11">
        <v>39</v>
      </c>
      <c r="G243" s="11">
        <v>286</v>
      </c>
      <c r="H243" s="11">
        <v>316.5</v>
      </c>
      <c r="I243" s="11">
        <v>-30.5</v>
      </c>
      <c r="J243" s="11">
        <v>2</v>
      </c>
      <c r="K243" s="11">
        <v>1</v>
      </c>
      <c r="L243" s="11">
        <v>2</v>
      </c>
      <c r="M243" s="11">
        <v>2</v>
      </c>
      <c r="N243" s="11">
        <v>4</v>
      </c>
      <c r="O243" s="11">
        <v>4</v>
      </c>
      <c r="P243" s="11">
        <v>12</v>
      </c>
      <c r="Q243" s="11">
        <v>20</v>
      </c>
      <c r="R243" s="11">
        <v>12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3</v>
      </c>
      <c r="Z243" s="11">
        <v>0</v>
      </c>
      <c r="AA243" s="11">
        <v>0</v>
      </c>
      <c r="AB243" s="11">
        <v>0</v>
      </c>
      <c r="AC243" s="11">
        <v>6</v>
      </c>
      <c r="AD243" s="11">
        <v>15</v>
      </c>
      <c r="AE243" s="11">
        <v>20</v>
      </c>
      <c r="AF243" s="11">
        <v>30</v>
      </c>
      <c r="AG243" s="11">
        <v>30</v>
      </c>
      <c r="AH243" s="11">
        <v>45</v>
      </c>
      <c r="AI243" s="11">
        <v>45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</row>
    <row r="244" spans="1:49" ht="14.5" hidden="1" outlineLevel="1" x14ac:dyDescent="0.35">
      <c r="A244" s="14" t="s">
        <v>12</v>
      </c>
      <c r="B244" s="14" t="s">
        <v>10</v>
      </c>
      <c r="C244" s="14" t="s">
        <v>20</v>
      </c>
      <c r="D244" s="14" t="s">
        <v>99</v>
      </c>
      <c r="E244" s="15" t="s">
        <v>102</v>
      </c>
      <c r="F244" s="16"/>
      <c r="G244" s="16"/>
      <c r="H244" s="16"/>
      <c r="I244" s="16"/>
      <c r="J244" s="16">
        <v>-2</v>
      </c>
      <c r="K244" s="16">
        <v>-1</v>
      </c>
      <c r="L244" s="16">
        <v>-2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</row>
    <row r="245" spans="1:49" ht="14.5" hidden="1" outlineLevel="1" x14ac:dyDescent="0.35">
      <c r="A245" t="s">
        <v>12</v>
      </c>
      <c r="B245" t="s">
        <v>10</v>
      </c>
      <c r="C245" t="s">
        <v>20</v>
      </c>
      <c r="D245" t="s">
        <v>85</v>
      </c>
      <c r="E245" t="s">
        <v>128</v>
      </c>
      <c r="F245" s="11">
        <v>0</v>
      </c>
      <c r="G245" s="11">
        <v>90</v>
      </c>
      <c r="H245" s="11">
        <v>90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30</v>
      </c>
      <c r="AK245" s="11">
        <v>30</v>
      </c>
      <c r="AL245" s="11">
        <v>30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</row>
    <row r="246" spans="1:49" ht="14.5" hidden="1" outlineLevel="1" x14ac:dyDescent="0.35">
      <c r="A246" t="s">
        <v>12</v>
      </c>
      <c r="B246" t="s">
        <v>10</v>
      </c>
      <c r="C246" t="s">
        <v>20</v>
      </c>
      <c r="D246" t="s">
        <v>85</v>
      </c>
      <c r="E246" t="s">
        <v>91</v>
      </c>
      <c r="F246" s="11">
        <v>12</v>
      </c>
      <c r="G246" s="11">
        <v>12</v>
      </c>
      <c r="H246" s="11">
        <v>32</v>
      </c>
      <c r="I246" s="11">
        <v>-20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</row>
    <row r="247" spans="1:49" ht="14.5" hidden="1" outlineLevel="1" x14ac:dyDescent="0.35">
      <c r="A247" t="s">
        <v>12</v>
      </c>
      <c r="B247" t="s">
        <v>10</v>
      </c>
      <c r="C247" t="s">
        <v>20</v>
      </c>
      <c r="D247" t="s">
        <v>85</v>
      </c>
      <c r="E247" t="s">
        <v>92</v>
      </c>
      <c r="F247" s="11">
        <v>0</v>
      </c>
      <c r="G247" s="11">
        <v>12</v>
      </c>
      <c r="H247" s="11">
        <v>12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6</v>
      </c>
      <c r="R247" s="11">
        <v>6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</row>
    <row r="248" spans="1:49" ht="14.5" hidden="1" outlineLevel="1" x14ac:dyDescent="0.35">
      <c r="A248" s="8" t="s">
        <v>12</v>
      </c>
      <c r="B248" s="8" t="s">
        <v>10</v>
      </c>
      <c r="C248" s="8" t="s">
        <v>20</v>
      </c>
      <c r="D248" s="8" t="s">
        <v>74</v>
      </c>
      <c r="E248" s="9" t="s">
        <v>92</v>
      </c>
      <c r="F248" s="10"/>
      <c r="G248" s="10"/>
      <c r="H248" s="10"/>
      <c r="I248" s="10"/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1.5</v>
      </c>
      <c r="R248" s="10">
        <v>9.5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</row>
    <row r="249" spans="1:49" ht="14.5" collapsed="1" x14ac:dyDescent="0.35">
      <c r="A249" s="6" t="s">
        <v>12</v>
      </c>
      <c r="B249" s="6" t="s">
        <v>10</v>
      </c>
      <c r="C249" s="6" t="s">
        <v>23</v>
      </c>
      <c r="D249" s="6" t="s">
        <v>72</v>
      </c>
      <c r="E249" s="6" t="s">
        <v>73</v>
      </c>
      <c r="F249" s="7">
        <f t="shared" ref="F249:AW249" si="23">SUM(F250,F252,F255,F258,F259,F260,F262,F264,F265,F266,F267,F268,F269,F270)</f>
        <v>315.60000000000002</v>
      </c>
      <c r="G249" s="7">
        <f t="shared" si="23"/>
        <v>1106.5</v>
      </c>
      <c r="H249" s="7">
        <f t="shared" si="23"/>
        <v>1042.2</v>
      </c>
      <c r="I249" s="7">
        <f t="shared" si="23"/>
        <v>64.3</v>
      </c>
      <c r="J249" s="7">
        <f t="shared" si="23"/>
        <v>0.614035</v>
      </c>
      <c r="K249" s="7">
        <f t="shared" si="23"/>
        <v>14.614034999999999</v>
      </c>
      <c r="L249" s="7">
        <f t="shared" si="23"/>
        <v>18.614035000000001</v>
      </c>
      <c r="M249" s="7">
        <f t="shared" si="23"/>
        <v>18.614035000000001</v>
      </c>
      <c r="N249" s="7">
        <f t="shared" si="23"/>
        <v>19.614035000000001</v>
      </c>
      <c r="O249" s="7">
        <f t="shared" si="23"/>
        <v>15.614035000000001</v>
      </c>
      <c r="P249" s="7">
        <f t="shared" si="23"/>
        <v>32.614035000000001</v>
      </c>
      <c r="Q249" s="13">
        <f t="shared" si="23"/>
        <v>54.614035000000001</v>
      </c>
      <c r="R249" s="13">
        <f t="shared" si="23"/>
        <v>57.614035000000001</v>
      </c>
      <c r="S249" s="7">
        <f t="shared" si="23"/>
        <v>17.614035000000001</v>
      </c>
      <c r="T249" s="7">
        <f t="shared" si="23"/>
        <v>21.614035000000001</v>
      </c>
      <c r="U249" s="7">
        <f t="shared" si="23"/>
        <v>33.614035000000001</v>
      </c>
      <c r="V249" s="7">
        <f t="shared" si="23"/>
        <v>8.6140349999999994</v>
      </c>
      <c r="W249" s="7">
        <f t="shared" si="23"/>
        <v>12.614035000000001</v>
      </c>
      <c r="X249" s="7">
        <f t="shared" si="23"/>
        <v>22.614035000000001</v>
      </c>
      <c r="Y249" s="7">
        <f t="shared" si="23"/>
        <v>19.614035000000001</v>
      </c>
      <c r="Z249" s="7">
        <f t="shared" si="23"/>
        <v>0.614035</v>
      </c>
      <c r="AA249" s="7">
        <f t="shared" si="23"/>
        <v>0.8</v>
      </c>
      <c r="AB249" s="7">
        <f t="shared" si="23"/>
        <v>42.5</v>
      </c>
      <c r="AC249" s="7">
        <f t="shared" si="23"/>
        <v>47.5</v>
      </c>
      <c r="AD249" s="12">
        <f t="shared" si="23"/>
        <v>58.5</v>
      </c>
      <c r="AE249" s="12">
        <f t="shared" si="23"/>
        <v>63.5</v>
      </c>
      <c r="AF249" s="12">
        <f t="shared" si="23"/>
        <v>56</v>
      </c>
      <c r="AG249" s="13">
        <f t="shared" si="23"/>
        <v>69.5</v>
      </c>
      <c r="AH249" s="7">
        <f t="shared" si="23"/>
        <v>46.5</v>
      </c>
      <c r="AI249" s="7">
        <f t="shared" si="23"/>
        <v>17.5</v>
      </c>
      <c r="AJ249" s="7">
        <f t="shared" si="23"/>
        <v>10</v>
      </c>
      <c r="AK249" s="7">
        <f t="shared" si="23"/>
        <v>17</v>
      </c>
      <c r="AL249" s="7">
        <f t="shared" si="23"/>
        <v>15</v>
      </c>
      <c r="AM249" s="7">
        <f t="shared" si="23"/>
        <v>0</v>
      </c>
      <c r="AN249" s="7">
        <f t="shared" si="23"/>
        <v>0</v>
      </c>
      <c r="AO249" s="7">
        <f t="shared" si="23"/>
        <v>0</v>
      </c>
      <c r="AP249" s="7">
        <f t="shared" si="23"/>
        <v>0</v>
      </c>
      <c r="AQ249" s="7">
        <f t="shared" si="23"/>
        <v>0</v>
      </c>
      <c r="AR249" s="7">
        <f t="shared" si="23"/>
        <v>0</v>
      </c>
      <c r="AS249" s="7">
        <f t="shared" si="23"/>
        <v>0</v>
      </c>
      <c r="AT249" s="7">
        <f t="shared" si="23"/>
        <v>0</v>
      </c>
      <c r="AU249" s="7">
        <f t="shared" si="23"/>
        <v>0</v>
      </c>
      <c r="AV249" s="7">
        <f t="shared" si="23"/>
        <v>0</v>
      </c>
      <c r="AW249" s="7">
        <f t="shared" si="23"/>
        <v>0</v>
      </c>
    </row>
    <row r="250" spans="1:49" ht="14.5" hidden="1" outlineLevel="1" x14ac:dyDescent="0.35">
      <c r="A250" t="s">
        <v>12</v>
      </c>
      <c r="B250" t="s">
        <v>10</v>
      </c>
      <c r="C250" t="s">
        <v>23</v>
      </c>
      <c r="D250" t="s">
        <v>85</v>
      </c>
      <c r="E250" t="s">
        <v>86</v>
      </c>
      <c r="F250" s="11">
        <v>11</v>
      </c>
      <c r="G250" s="11">
        <v>86</v>
      </c>
      <c r="H250" s="11">
        <v>79</v>
      </c>
      <c r="I250" s="11">
        <v>7</v>
      </c>
      <c r="J250" s="11">
        <v>0</v>
      </c>
      <c r="K250" s="11">
        <v>1</v>
      </c>
      <c r="L250" s="11">
        <v>0</v>
      </c>
      <c r="M250" s="11">
        <v>0</v>
      </c>
      <c r="N250" s="11">
        <v>2</v>
      </c>
      <c r="O250" s="11">
        <v>0</v>
      </c>
      <c r="P250" s="11">
        <v>2</v>
      </c>
      <c r="Q250" s="11">
        <v>6</v>
      </c>
      <c r="R250" s="11">
        <v>4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2</v>
      </c>
      <c r="Y250" s="11">
        <v>2</v>
      </c>
      <c r="Z250" s="11">
        <v>0</v>
      </c>
      <c r="AA250" s="11">
        <v>0</v>
      </c>
      <c r="AB250" s="11">
        <v>3</v>
      </c>
      <c r="AC250" s="11">
        <v>5</v>
      </c>
      <c r="AD250" s="11">
        <v>4</v>
      </c>
      <c r="AE250" s="11">
        <v>2</v>
      </c>
      <c r="AF250" s="11">
        <v>0</v>
      </c>
      <c r="AG250" s="11">
        <v>0</v>
      </c>
      <c r="AH250" s="11">
        <v>0</v>
      </c>
      <c r="AI250" s="11">
        <v>0</v>
      </c>
      <c r="AJ250" s="11">
        <v>10</v>
      </c>
      <c r="AK250" s="11">
        <v>17</v>
      </c>
      <c r="AL250" s="11">
        <v>15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</row>
    <row r="251" spans="1:49" ht="14.5" hidden="1" outlineLevel="1" x14ac:dyDescent="0.35">
      <c r="A251" s="14" t="s">
        <v>12</v>
      </c>
      <c r="B251" s="14" t="s">
        <v>10</v>
      </c>
      <c r="C251" s="14" t="s">
        <v>23</v>
      </c>
      <c r="D251" s="14" t="s">
        <v>99</v>
      </c>
      <c r="E251" s="15" t="s">
        <v>86</v>
      </c>
      <c r="F251" s="16"/>
      <c r="G251" s="16"/>
      <c r="H251" s="16"/>
      <c r="I251" s="16"/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-2</v>
      </c>
      <c r="AE251" s="16">
        <v>-2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</row>
    <row r="252" spans="1:49" ht="14.5" hidden="1" outlineLevel="1" x14ac:dyDescent="0.35">
      <c r="A252" t="s">
        <v>12</v>
      </c>
      <c r="B252" t="s">
        <v>10</v>
      </c>
      <c r="C252" t="s">
        <v>23</v>
      </c>
      <c r="D252" t="s">
        <v>85</v>
      </c>
      <c r="E252" t="s">
        <v>78</v>
      </c>
      <c r="F252" s="11">
        <v>6.6</v>
      </c>
      <c r="G252" s="11">
        <v>29.5</v>
      </c>
      <c r="H252" s="11">
        <v>22.7</v>
      </c>
      <c r="I252" s="11">
        <v>6.8</v>
      </c>
      <c r="J252" s="11">
        <v>0.614035</v>
      </c>
      <c r="K252" s="11">
        <v>0.614035</v>
      </c>
      <c r="L252" s="11">
        <v>0.614035</v>
      </c>
      <c r="M252" s="11">
        <v>0.614035</v>
      </c>
      <c r="N252" s="11">
        <v>0.614035</v>
      </c>
      <c r="O252" s="11">
        <v>0.614035</v>
      </c>
      <c r="P252" s="11">
        <v>0.614035</v>
      </c>
      <c r="Q252" s="11">
        <v>0.614035</v>
      </c>
      <c r="R252" s="11">
        <v>0.614035</v>
      </c>
      <c r="S252" s="11">
        <v>0.614035</v>
      </c>
      <c r="T252" s="11">
        <v>0.614035</v>
      </c>
      <c r="U252" s="11">
        <v>0.614035</v>
      </c>
      <c r="V252" s="11">
        <v>0.614035</v>
      </c>
      <c r="W252" s="11">
        <v>0.614035</v>
      </c>
      <c r="X252" s="11">
        <v>0.614035</v>
      </c>
      <c r="Y252" s="11">
        <v>0.614035</v>
      </c>
      <c r="Z252" s="11">
        <v>0.614035</v>
      </c>
      <c r="AA252" s="11">
        <v>0.8</v>
      </c>
      <c r="AB252" s="11">
        <v>1.5</v>
      </c>
      <c r="AC252" s="11">
        <v>1.5</v>
      </c>
      <c r="AD252" s="11">
        <v>1.5</v>
      </c>
      <c r="AE252" s="11">
        <v>1.5</v>
      </c>
      <c r="AF252" s="11">
        <v>1</v>
      </c>
      <c r="AG252" s="11">
        <v>1.5</v>
      </c>
      <c r="AH252" s="11">
        <v>1.5</v>
      </c>
      <c r="AI252" s="11">
        <v>1.5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</row>
    <row r="253" spans="1:49" ht="14.5" hidden="1" outlineLevel="1" x14ac:dyDescent="0.35">
      <c r="A253" s="14" t="s">
        <v>12</v>
      </c>
      <c r="B253" s="14" t="s">
        <v>10</v>
      </c>
      <c r="C253" s="14" t="s">
        <v>23</v>
      </c>
      <c r="D253" s="14" t="s">
        <v>99</v>
      </c>
      <c r="E253" s="15" t="s">
        <v>78</v>
      </c>
      <c r="F253" s="16"/>
      <c r="G253" s="16"/>
      <c r="H253" s="16"/>
      <c r="I253" s="16"/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-0.614035</v>
      </c>
      <c r="R253" s="16">
        <v>-0.614035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-1.5</v>
      </c>
      <c r="AE253" s="16">
        <v>-1.5</v>
      </c>
      <c r="AF253" s="16">
        <v>-1</v>
      </c>
      <c r="AG253" s="16">
        <v>-1.5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</row>
    <row r="254" spans="1:49" ht="14.5" hidden="1" outlineLevel="1" x14ac:dyDescent="0.35">
      <c r="A254" s="8" t="s">
        <v>12</v>
      </c>
      <c r="B254" s="8" t="s">
        <v>10</v>
      </c>
      <c r="C254" s="8" t="s">
        <v>23</v>
      </c>
      <c r="D254" s="8" t="s">
        <v>74</v>
      </c>
      <c r="E254" s="9" t="s">
        <v>78</v>
      </c>
      <c r="F254" s="10"/>
      <c r="G254" s="10"/>
      <c r="H254" s="10"/>
      <c r="I254" s="10"/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8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</row>
    <row r="255" spans="1:49" ht="14.5" hidden="1" outlineLevel="1" x14ac:dyDescent="0.35">
      <c r="A255" t="s">
        <v>12</v>
      </c>
      <c r="B255" t="s">
        <v>10</v>
      </c>
      <c r="C255" t="s">
        <v>23</v>
      </c>
      <c r="D255" t="s">
        <v>85</v>
      </c>
      <c r="E255" t="s">
        <v>80</v>
      </c>
      <c r="F255" s="11">
        <v>31</v>
      </c>
      <c r="G255" s="11">
        <v>278</v>
      </c>
      <c r="H255" s="11">
        <v>270</v>
      </c>
      <c r="I255" s="11">
        <v>8</v>
      </c>
      <c r="J255" s="11">
        <v>0</v>
      </c>
      <c r="K255" s="11">
        <v>13</v>
      </c>
      <c r="L255" s="11">
        <v>18</v>
      </c>
      <c r="M255" s="11">
        <v>18</v>
      </c>
      <c r="N255" s="11">
        <v>17</v>
      </c>
      <c r="O255" s="11">
        <v>7</v>
      </c>
      <c r="P255" s="11">
        <v>7</v>
      </c>
      <c r="Q255" s="11">
        <v>10</v>
      </c>
      <c r="R255" s="11">
        <v>10</v>
      </c>
      <c r="S255" s="11">
        <v>7</v>
      </c>
      <c r="T255" s="11">
        <v>8</v>
      </c>
      <c r="U255" s="11">
        <v>10</v>
      </c>
      <c r="V255" s="11">
        <v>8</v>
      </c>
      <c r="W255" s="11">
        <v>4</v>
      </c>
      <c r="X255" s="11">
        <v>10</v>
      </c>
      <c r="Y255" s="11">
        <v>7</v>
      </c>
      <c r="Z255" s="11">
        <v>0</v>
      </c>
      <c r="AA255" s="11">
        <v>0</v>
      </c>
      <c r="AB255" s="11">
        <v>7</v>
      </c>
      <c r="AC255" s="11">
        <v>10</v>
      </c>
      <c r="AD255" s="11">
        <v>18</v>
      </c>
      <c r="AE255" s="11">
        <v>20</v>
      </c>
      <c r="AF255" s="11">
        <v>20</v>
      </c>
      <c r="AG255" s="11">
        <v>20</v>
      </c>
      <c r="AH255" s="11">
        <v>15</v>
      </c>
      <c r="AI255" s="11">
        <v>6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</row>
    <row r="256" spans="1:49" ht="14.5" hidden="1" outlineLevel="1" x14ac:dyDescent="0.35">
      <c r="A256" s="14" t="s">
        <v>12</v>
      </c>
      <c r="B256" s="14" t="s">
        <v>10</v>
      </c>
      <c r="C256" s="14" t="s">
        <v>23</v>
      </c>
      <c r="D256" s="14" t="s">
        <v>99</v>
      </c>
      <c r="E256" s="15" t="s">
        <v>80</v>
      </c>
      <c r="F256" s="16"/>
      <c r="G256" s="16"/>
      <c r="H256" s="16"/>
      <c r="I256" s="16"/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-1</v>
      </c>
      <c r="R256" s="16">
        <v>-6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-5</v>
      </c>
      <c r="AF256" s="16">
        <v>0</v>
      </c>
      <c r="AG256" s="16">
        <v>-10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</row>
    <row r="257" spans="1:49" ht="14.5" hidden="1" outlineLevel="1" x14ac:dyDescent="0.35">
      <c r="A257" s="8" t="s">
        <v>12</v>
      </c>
      <c r="B257" s="8" t="s">
        <v>10</v>
      </c>
      <c r="C257" s="8" t="s">
        <v>23</v>
      </c>
      <c r="D257" s="8" t="s">
        <v>74</v>
      </c>
      <c r="E257" s="9" t="s">
        <v>80</v>
      </c>
      <c r="F257" s="10"/>
      <c r="G257" s="10"/>
      <c r="H257" s="10"/>
      <c r="I257" s="10"/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0.5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</row>
    <row r="258" spans="1:49" ht="14.5" hidden="1" outlineLevel="1" x14ac:dyDescent="0.35">
      <c r="A258" t="s">
        <v>12</v>
      </c>
      <c r="B258" t="s">
        <v>10</v>
      </c>
      <c r="C258" t="s">
        <v>23</v>
      </c>
      <c r="D258" t="s">
        <v>85</v>
      </c>
      <c r="E258" t="s">
        <v>87</v>
      </c>
      <c r="F258" s="11">
        <v>15</v>
      </c>
      <c r="G258" s="11">
        <v>15</v>
      </c>
      <c r="H258" s="11">
        <v>22</v>
      </c>
      <c r="I258" s="11">
        <v>-7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</row>
    <row r="259" spans="1:49" ht="14.5" hidden="1" outlineLevel="1" x14ac:dyDescent="0.35">
      <c r="A259" t="s">
        <v>12</v>
      </c>
      <c r="B259" t="s">
        <v>10</v>
      </c>
      <c r="C259" t="s">
        <v>23</v>
      </c>
      <c r="D259" t="s">
        <v>85</v>
      </c>
      <c r="E259" t="s">
        <v>88</v>
      </c>
      <c r="F259" s="11">
        <v>10</v>
      </c>
      <c r="G259" s="11">
        <v>10</v>
      </c>
      <c r="H259" s="11">
        <v>5</v>
      </c>
      <c r="I259" s="11">
        <v>5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</row>
    <row r="260" spans="1:49" ht="14.5" hidden="1" outlineLevel="1" x14ac:dyDescent="0.35">
      <c r="A260" t="s">
        <v>12</v>
      </c>
      <c r="B260" t="s">
        <v>10</v>
      </c>
      <c r="C260" t="s">
        <v>23</v>
      </c>
      <c r="D260" t="s">
        <v>85</v>
      </c>
      <c r="E260" t="s">
        <v>89</v>
      </c>
      <c r="F260" s="11">
        <v>0</v>
      </c>
      <c r="G260" s="11">
        <v>10</v>
      </c>
      <c r="H260" s="11">
        <v>10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5</v>
      </c>
      <c r="R260" s="11">
        <v>5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</row>
    <row r="261" spans="1:49" ht="14.5" hidden="1" outlineLevel="1" x14ac:dyDescent="0.35">
      <c r="A261" s="14" t="s">
        <v>12</v>
      </c>
      <c r="B261" s="14" t="s">
        <v>10</v>
      </c>
      <c r="C261" s="14" t="s">
        <v>23</v>
      </c>
      <c r="D261" s="14" t="s">
        <v>99</v>
      </c>
      <c r="E261" s="15" t="s">
        <v>89</v>
      </c>
      <c r="F261" s="16"/>
      <c r="G261" s="16"/>
      <c r="H261" s="16"/>
      <c r="I261" s="16"/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-5</v>
      </c>
      <c r="R261" s="16">
        <v>-5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</row>
    <row r="262" spans="1:49" ht="14.5" hidden="1" outlineLevel="1" x14ac:dyDescent="0.35">
      <c r="A262" t="s">
        <v>12</v>
      </c>
      <c r="B262" t="s">
        <v>10</v>
      </c>
      <c r="C262" t="s">
        <v>23</v>
      </c>
      <c r="D262" t="s">
        <v>85</v>
      </c>
      <c r="E262" t="s">
        <v>40</v>
      </c>
      <c r="F262" s="11">
        <v>0</v>
      </c>
      <c r="G262" s="11">
        <v>18</v>
      </c>
      <c r="H262" s="11">
        <v>18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3</v>
      </c>
      <c r="AH262" s="11">
        <v>5</v>
      </c>
      <c r="AI262" s="11">
        <v>10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</row>
    <row r="263" spans="1:49" ht="14.5" hidden="1" outlineLevel="1" x14ac:dyDescent="0.35">
      <c r="A263" s="14" t="s">
        <v>12</v>
      </c>
      <c r="B263" s="14" t="s">
        <v>10</v>
      </c>
      <c r="C263" s="14" t="s">
        <v>23</v>
      </c>
      <c r="D263" s="14" t="s">
        <v>99</v>
      </c>
      <c r="E263" s="15" t="s">
        <v>40</v>
      </c>
      <c r="F263" s="16"/>
      <c r="G263" s="16"/>
      <c r="H263" s="16"/>
      <c r="I263" s="16"/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-3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</row>
    <row r="264" spans="1:49" ht="14.5" hidden="1" outlineLevel="1" x14ac:dyDescent="0.35">
      <c r="A264" t="s">
        <v>12</v>
      </c>
      <c r="B264" t="s">
        <v>10</v>
      </c>
      <c r="C264" t="s">
        <v>23</v>
      </c>
      <c r="D264" t="s">
        <v>85</v>
      </c>
      <c r="E264" t="s">
        <v>81</v>
      </c>
      <c r="F264" s="11">
        <v>1</v>
      </c>
      <c r="G264" s="11">
        <v>1</v>
      </c>
      <c r="H264" s="11">
        <v>1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</row>
    <row r="265" spans="1:49" ht="14.5" hidden="1" outlineLevel="1" x14ac:dyDescent="0.35">
      <c r="A265" t="s">
        <v>12</v>
      </c>
      <c r="B265" t="s">
        <v>10</v>
      </c>
      <c r="C265" t="s">
        <v>23</v>
      </c>
      <c r="D265" t="s">
        <v>85</v>
      </c>
      <c r="E265" t="s">
        <v>103</v>
      </c>
      <c r="F265" s="11">
        <v>101</v>
      </c>
      <c r="G265" s="11">
        <v>401</v>
      </c>
      <c r="H265" s="11">
        <v>375.5</v>
      </c>
      <c r="I265" s="11">
        <v>25.5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15</v>
      </c>
      <c r="Q265" s="11">
        <v>15</v>
      </c>
      <c r="R265" s="11">
        <v>20</v>
      </c>
      <c r="S265" s="11">
        <v>0</v>
      </c>
      <c r="T265" s="11">
        <v>5</v>
      </c>
      <c r="U265" s="11">
        <v>15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25</v>
      </c>
      <c r="AC265" s="11">
        <v>25</v>
      </c>
      <c r="AD265" s="11">
        <v>35</v>
      </c>
      <c r="AE265" s="11">
        <v>40</v>
      </c>
      <c r="AF265" s="11">
        <v>35</v>
      </c>
      <c r="AG265" s="11">
        <v>45</v>
      </c>
      <c r="AH265" s="11">
        <v>25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</row>
    <row r="266" spans="1:49" ht="14.5" hidden="1" outlineLevel="1" x14ac:dyDescent="0.35">
      <c r="A266" t="s">
        <v>12</v>
      </c>
      <c r="B266" t="s">
        <v>10</v>
      </c>
      <c r="C266" t="s">
        <v>23</v>
      </c>
      <c r="D266" t="s">
        <v>85</v>
      </c>
      <c r="E266" t="s">
        <v>90</v>
      </c>
      <c r="F266" s="11">
        <v>0</v>
      </c>
      <c r="G266" s="11">
        <v>0</v>
      </c>
      <c r="H266" s="11">
        <v>32</v>
      </c>
      <c r="I266" s="11">
        <v>-32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</row>
    <row r="267" spans="1:49" ht="14.5" hidden="1" outlineLevel="1" x14ac:dyDescent="0.35">
      <c r="A267" t="s">
        <v>12</v>
      </c>
      <c r="B267" t="s">
        <v>10</v>
      </c>
      <c r="C267" t="s">
        <v>23</v>
      </c>
      <c r="D267" t="s">
        <v>85</v>
      </c>
      <c r="E267" t="s">
        <v>113</v>
      </c>
      <c r="F267" s="11">
        <v>126</v>
      </c>
      <c r="G267" s="11">
        <v>230</v>
      </c>
      <c r="H267" s="11">
        <v>180</v>
      </c>
      <c r="I267" s="11">
        <v>50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8</v>
      </c>
      <c r="P267" s="11">
        <v>8</v>
      </c>
      <c r="Q267" s="11">
        <v>10</v>
      </c>
      <c r="R267" s="11">
        <v>12</v>
      </c>
      <c r="S267" s="11">
        <v>10</v>
      </c>
      <c r="T267" s="11">
        <v>8</v>
      </c>
      <c r="U267" s="11">
        <v>8</v>
      </c>
      <c r="V267" s="11">
        <v>0</v>
      </c>
      <c r="W267" s="11">
        <v>8</v>
      </c>
      <c r="X267" s="11">
        <v>10</v>
      </c>
      <c r="Y267" s="11">
        <v>10</v>
      </c>
      <c r="Z267" s="11">
        <v>0</v>
      </c>
      <c r="AA267" s="11">
        <v>0</v>
      </c>
      <c r="AB267" s="11">
        <v>6</v>
      </c>
      <c r="AC267" s="11">
        <v>6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</row>
    <row r="268" spans="1:49" ht="14.5" hidden="1" outlineLevel="1" x14ac:dyDescent="0.35">
      <c r="A268" t="s">
        <v>12</v>
      </c>
      <c r="B268" t="s">
        <v>10</v>
      </c>
      <c r="C268" t="s">
        <v>23</v>
      </c>
      <c r="D268" t="s">
        <v>85</v>
      </c>
      <c r="E268" t="s">
        <v>125</v>
      </c>
      <c r="F268" s="11">
        <v>0</v>
      </c>
      <c r="G268" s="11">
        <v>0</v>
      </c>
      <c r="H268" s="11">
        <v>1</v>
      </c>
      <c r="I268" s="11">
        <v>-1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</row>
    <row r="269" spans="1:49" ht="14.5" hidden="1" outlineLevel="1" x14ac:dyDescent="0.35">
      <c r="A269" t="s">
        <v>12</v>
      </c>
      <c r="B269" t="s">
        <v>10</v>
      </c>
      <c r="C269" t="s">
        <v>23</v>
      </c>
      <c r="D269" t="s">
        <v>85</v>
      </c>
      <c r="E269" t="s">
        <v>91</v>
      </c>
      <c r="F269" s="11">
        <v>14</v>
      </c>
      <c r="G269" s="11">
        <v>14</v>
      </c>
      <c r="H269" s="11">
        <v>12</v>
      </c>
      <c r="I269" s="11">
        <v>2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</row>
    <row r="270" spans="1:49" ht="14.5" hidden="1" outlineLevel="1" x14ac:dyDescent="0.35">
      <c r="A270" t="s">
        <v>12</v>
      </c>
      <c r="B270" t="s">
        <v>10</v>
      </c>
      <c r="C270" t="s">
        <v>23</v>
      </c>
      <c r="D270" t="s">
        <v>85</v>
      </c>
      <c r="E270" t="s">
        <v>92</v>
      </c>
      <c r="F270" s="11">
        <v>0</v>
      </c>
      <c r="G270" s="11">
        <v>14</v>
      </c>
      <c r="H270" s="11">
        <v>14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8</v>
      </c>
      <c r="R270" s="11">
        <v>6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</row>
    <row r="271" spans="1:49" ht="14.5" hidden="1" outlineLevel="1" x14ac:dyDescent="0.35">
      <c r="A271" s="14" t="s">
        <v>12</v>
      </c>
      <c r="B271" s="14" t="s">
        <v>10</v>
      </c>
      <c r="C271" s="14" t="s">
        <v>23</v>
      </c>
      <c r="D271" s="14" t="s">
        <v>99</v>
      </c>
      <c r="E271" s="15" t="s">
        <v>92</v>
      </c>
      <c r="F271" s="16"/>
      <c r="G271" s="16"/>
      <c r="H271" s="16"/>
      <c r="I271" s="16"/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-8</v>
      </c>
      <c r="R271" s="16">
        <v>-6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</row>
    <row r="272" spans="1:49" ht="14.5" collapsed="1" x14ac:dyDescent="0.35">
      <c r="A272" s="6" t="s">
        <v>12</v>
      </c>
      <c r="B272" s="6" t="s">
        <v>10</v>
      </c>
      <c r="C272" s="6" t="s">
        <v>129</v>
      </c>
      <c r="D272" s="6" t="s">
        <v>72</v>
      </c>
      <c r="E272" s="6" t="s">
        <v>73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</row>
    <row r="273" spans="1:49" ht="14.5" hidden="1" outlineLevel="1" x14ac:dyDescent="0.35">
      <c r="A273" s="8" t="s">
        <v>12</v>
      </c>
      <c r="B273" s="8" t="s">
        <v>10</v>
      </c>
      <c r="C273" s="8" t="s">
        <v>129</v>
      </c>
      <c r="D273" s="8" t="s">
        <v>74</v>
      </c>
      <c r="E273" s="9" t="s">
        <v>78</v>
      </c>
      <c r="F273" s="10"/>
      <c r="G273" s="10"/>
      <c r="H273" s="10"/>
      <c r="I273" s="10"/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1.5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</row>
    <row r="274" spans="1:49" ht="14.5" hidden="1" outlineLevel="1" x14ac:dyDescent="0.35">
      <c r="A274" s="8" t="s">
        <v>12</v>
      </c>
      <c r="B274" s="8" t="s">
        <v>10</v>
      </c>
      <c r="C274" s="8" t="s">
        <v>129</v>
      </c>
      <c r="D274" s="8" t="s">
        <v>74</v>
      </c>
      <c r="E274" s="9" t="s">
        <v>79</v>
      </c>
      <c r="F274" s="10"/>
      <c r="G274" s="10"/>
      <c r="H274" s="10"/>
      <c r="I274" s="10"/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22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</row>
    <row r="275" spans="1:49" ht="14.5" hidden="1" outlineLevel="1" x14ac:dyDescent="0.35">
      <c r="A275" s="8" t="s">
        <v>12</v>
      </c>
      <c r="B275" s="8" t="s">
        <v>10</v>
      </c>
      <c r="C275" s="8" t="s">
        <v>129</v>
      </c>
      <c r="D275" s="8" t="s">
        <v>74</v>
      </c>
      <c r="E275" s="9" t="s">
        <v>80</v>
      </c>
      <c r="F275" s="10"/>
      <c r="G275" s="10"/>
      <c r="H275" s="10"/>
      <c r="I275" s="10"/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16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</row>
    <row r="276" spans="1:49" ht="14.5" hidden="1" outlineLevel="1" x14ac:dyDescent="0.35">
      <c r="A276" s="8" t="s">
        <v>12</v>
      </c>
      <c r="B276" s="8" t="s">
        <v>10</v>
      </c>
      <c r="C276" s="8" t="s">
        <v>129</v>
      </c>
      <c r="D276" s="8" t="s">
        <v>74</v>
      </c>
      <c r="E276" s="9" t="s">
        <v>100</v>
      </c>
      <c r="F276" s="10"/>
      <c r="G276" s="10"/>
      <c r="H276" s="10"/>
      <c r="I276" s="10"/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12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</row>
    <row r="277" spans="1:49" ht="14.5" hidden="1" outlineLevel="1" x14ac:dyDescent="0.35">
      <c r="A277" s="8" t="s">
        <v>12</v>
      </c>
      <c r="B277" s="8" t="s">
        <v>10</v>
      </c>
      <c r="C277" s="8" t="s">
        <v>129</v>
      </c>
      <c r="D277" s="8" t="s">
        <v>74</v>
      </c>
      <c r="E277" s="9" t="s">
        <v>40</v>
      </c>
      <c r="F277" s="10"/>
      <c r="G277" s="10"/>
      <c r="H277" s="10"/>
      <c r="I277" s="10"/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3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</row>
    <row r="278" spans="1:49" ht="14.5" hidden="1" outlineLevel="1" x14ac:dyDescent="0.35">
      <c r="A278" s="8" t="s">
        <v>12</v>
      </c>
      <c r="B278" s="8" t="s">
        <v>10</v>
      </c>
      <c r="C278" s="8" t="s">
        <v>129</v>
      </c>
      <c r="D278" s="8" t="s">
        <v>74</v>
      </c>
      <c r="E278" s="9" t="s">
        <v>81</v>
      </c>
      <c r="F278" s="10"/>
      <c r="G278" s="10"/>
      <c r="H278" s="10"/>
      <c r="I278" s="10"/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0.5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</row>
    <row r="279" spans="1:49" ht="14.5" collapsed="1" x14ac:dyDescent="0.35">
      <c r="A279" s="6" t="s">
        <v>12</v>
      </c>
      <c r="B279" s="6" t="s">
        <v>10</v>
      </c>
      <c r="C279" s="6" t="s">
        <v>130</v>
      </c>
      <c r="D279" s="6" t="s">
        <v>72</v>
      </c>
      <c r="E279" s="6" t="s">
        <v>73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</row>
    <row r="280" spans="1:49" ht="14.5" hidden="1" outlineLevel="1" x14ac:dyDescent="0.35">
      <c r="A280" s="8" t="s">
        <v>12</v>
      </c>
      <c r="B280" s="8" t="s">
        <v>10</v>
      </c>
      <c r="C280" s="8" t="s">
        <v>130</v>
      </c>
      <c r="D280" s="8" t="s">
        <v>74</v>
      </c>
      <c r="E280" s="9" t="s">
        <v>81</v>
      </c>
      <c r="F280" s="10"/>
      <c r="G280" s="10"/>
      <c r="H280" s="10"/>
      <c r="I280" s="10"/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4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</row>
    <row r="281" spans="1:49" ht="14.5" hidden="1" outlineLevel="1" x14ac:dyDescent="0.35">
      <c r="A281" s="8" t="s">
        <v>12</v>
      </c>
      <c r="B281" s="8" t="s">
        <v>10</v>
      </c>
      <c r="C281" s="8" t="s">
        <v>130</v>
      </c>
      <c r="D281" s="8" t="s">
        <v>74</v>
      </c>
      <c r="E281" s="9" t="s">
        <v>103</v>
      </c>
      <c r="F281" s="10"/>
      <c r="G281" s="10"/>
      <c r="H281" s="10"/>
      <c r="I281" s="10"/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10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</row>
    <row r="282" spans="1:49" ht="14.5" hidden="1" outlineLevel="1" x14ac:dyDescent="0.35">
      <c r="A282" s="8" t="s">
        <v>12</v>
      </c>
      <c r="B282" s="8" t="s">
        <v>10</v>
      </c>
      <c r="C282" s="8" t="s">
        <v>130</v>
      </c>
      <c r="D282" s="8" t="s">
        <v>74</v>
      </c>
      <c r="E282" s="9" t="s">
        <v>83</v>
      </c>
      <c r="F282" s="10"/>
      <c r="G282" s="10"/>
      <c r="H282" s="10"/>
      <c r="I282" s="10"/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16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</row>
    <row r="283" spans="1:49" ht="14.5" collapsed="1" x14ac:dyDescent="0.35">
      <c r="A283" s="6" t="s">
        <v>12</v>
      </c>
      <c r="B283" s="6" t="s">
        <v>10</v>
      </c>
      <c r="C283" s="6" t="s">
        <v>131</v>
      </c>
      <c r="D283" s="6" t="s">
        <v>72</v>
      </c>
      <c r="E283" s="6" t="s">
        <v>73</v>
      </c>
      <c r="F283" s="7">
        <f t="shared" ref="F283:AW283" si="24">SUM(F284,F285,F286)</f>
        <v>0</v>
      </c>
      <c r="G283" s="7">
        <f t="shared" si="24"/>
        <v>0</v>
      </c>
      <c r="H283" s="7">
        <f t="shared" si="24"/>
        <v>5</v>
      </c>
      <c r="I283" s="7">
        <f t="shared" si="24"/>
        <v>-5</v>
      </c>
      <c r="J283" s="7">
        <f t="shared" si="24"/>
        <v>0</v>
      </c>
      <c r="K283" s="7">
        <f t="shared" si="24"/>
        <v>0</v>
      </c>
      <c r="L283" s="7">
        <f t="shared" si="24"/>
        <v>0</v>
      </c>
      <c r="M283" s="7">
        <f t="shared" si="24"/>
        <v>0</v>
      </c>
      <c r="N283" s="7">
        <f t="shared" si="24"/>
        <v>0</v>
      </c>
      <c r="O283" s="7">
        <f t="shared" si="24"/>
        <v>0</v>
      </c>
      <c r="P283" s="7">
        <f t="shared" si="24"/>
        <v>0</v>
      </c>
      <c r="Q283" s="7">
        <f t="shared" si="24"/>
        <v>0</v>
      </c>
      <c r="R283" s="7">
        <f t="shared" si="24"/>
        <v>0</v>
      </c>
      <c r="S283" s="7">
        <f t="shared" si="24"/>
        <v>0</v>
      </c>
      <c r="T283" s="7">
        <f t="shared" si="24"/>
        <v>0</v>
      </c>
      <c r="U283" s="7">
        <f t="shared" si="24"/>
        <v>0</v>
      </c>
      <c r="V283" s="7">
        <f t="shared" si="24"/>
        <v>0</v>
      </c>
      <c r="W283" s="7">
        <f t="shared" si="24"/>
        <v>0</v>
      </c>
      <c r="X283" s="7">
        <f t="shared" si="24"/>
        <v>0</v>
      </c>
      <c r="Y283" s="7">
        <f t="shared" si="24"/>
        <v>0</v>
      </c>
      <c r="Z283" s="7">
        <f t="shared" si="24"/>
        <v>0</v>
      </c>
      <c r="AA283" s="7">
        <f t="shared" si="24"/>
        <v>0</v>
      </c>
      <c r="AB283" s="7">
        <f t="shared" si="24"/>
        <v>0</v>
      </c>
      <c r="AC283" s="7">
        <f t="shared" si="24"/>
        <v>0</v>
      </c>
      <c r="AD283" s="7">
        <f t="shared" si="24"/>
        <v>0</v>
      </c>
      <c r="AE283" s="7">
        <f t="shared" si="24"/>
        <v>0</v>
      </c>
      <c r="AF283" s="7">
        <f t="shared" si="24"/>
        <v>0</v>
      </c>
      <c r="AG283" s="7">
        <f t="shared" si="24"/>
        <v>0</v>
      </c>
      <c r="AH283" s="7">
        <f t="shared" si="24"/>
        <v>0</v>
      </c>
      <c r="AI283" s="7">
        <f t="shared" si="24"/>
        <v>0</v>
      </c>
      <c r="AJ283" s="7">
        <f t="shared" si="24"/>
        <v>0</v>
      </c>
      <c r="AK283" s="7">
        <f t="shared" si="24"/>
        <v>0</v>
      </c>
      <c r="AL283" s="7">
        <f t="shared" si="24"/>
        <v>0</v>
      </c>
      <c r="AM283" s="7">
        <f t="shared" si="24"/>
        <v>0</v>
      </c>
      <c r="AN283" s="7">
        <f t="shared" si="24"/>
        <v>0</v>
      </c>
      <c r="AO283" s="7">
        <f t="shared" si="24"/>
        <v>0</v>
      </c>
      <c r="AP283" s="7">
        <f t="shared" si="24"/>
        <v>0</v>
      </c>
      <c r="AQ283" s="7">
        <f t="shared" si="24"/>
        <v>0</v>
      </c>
      <c r="AR283" s="7">
        <f t="shared" si="24"/>
        <v>0</v>
      </c>
      <c r="AS283" s="7">
        <f t="shared" si="24"/>
        <v>0</v>
      </c>
      <c r="AT283" s="7">
        <f t="shared" si="24"/>
        <v>0</v>
      </c>
      <c r="AU283" s="7">
        <f t="shared" si="24"/>
        <v>0</v>
      </c>
      <c r="AV283" s="7">
        <f t="shared" si="24"/>
        <v>0</v>
      </c>
      <c r="AW283" s="7">
        <f t="shared" si="24"/>
        <v>0</v>
      </c>
    </row>
    <row r="284" spans="1:49" ht="14.5" hidden="1" outlineLevel="1" x14ac:dyDescent="0.35">
      <c r="A284" t="s">
        <v>12</v>
      </c>
      <c r="B284" t="s">
        <v>10</v>
      </c>
      <c r="C284" t="s">
        <v>131</v>
      </c>
      <c r="D284" t="s">
        <v>85</v>
      </c>
      <c r="E284" t="s">
        <v>103</v>
      </c>
      <c r="F284" s="11">
        <v>0</v>
      </c>
      <c r="G284" s="11">
        <v>0</v>
      </c>
      <c r="H284" s="11">
        <v>1.5</v>
      </c>
      <c r="I284" s="11">
        <v>-1.5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</row>
    <row r="285" spans="1:49" ht="14.5" hidden="1" outlineLevel="1" x14ac:dyDescent="0.35">
      <c r="A285" t="s">
        <v>12</v>
      </c>
      <c r="B285" t="s">
        <v>10</v>
      </c>
      <c r="C285" t="s">
        <v>131</v>
      </c>
      <c r="D285" t="s">
        <v>85</v>
      </c>
      <c r="E285" t="s">
        <v>90</v>
      </c>
      <c r="F285" s="11">
        <v>0</v>
      </c>
      <c r="G285" s="11">
        <v>0</v>
      </c>
      <c r="H285" s="11">
        <v>2</v>
      </c>
      <c r="I285" s="11">
        <v>-2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0</v>
      </c>
    </row>
    <row r="286" spans="1:49" ht="14.5" hidden="1" outlineLevel="1" x14ac:dyDescent="0.35">
      <c r="A286" t="s">
        <v>12</v>
      </c>
      <c r="B286" t="s">
        <v>10</v>
      </c>
      <c r="C286" t="s">
        <v>131</v>
      </c>
      <c r="D286" t="s">
        <v>85</v>
      </c>
      <c r="E286" t="s">
        <v>125</v>
      </c>
      <c r="F286" s="11">
        <v>0</v>
      </c>
      <c r="G286" s="11">
        <v>0</v>
      </c>
      <c r="H286" s="11">
        <v>1.5</v>
      </c>
      <c r="I286" s="11">
        <v>-1.5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</row>
    <row r="287" spans="1:49" ht="14.5" collapsed="1" x14ac:dyDescent="0.35">
      <c r="A287" s="6" t="s">
        <v>12</v>
      </c>
      <c r="B287" s="6" t="s">
        <v>10</v>
      </c>
      <c r="C287" s="6" t="s">
        <v>33</v>
      </c>
      <c r="D287" s="6" t="s">
        <v>72</v>
      </c>
      <c r="E287" s="6" t="s">
        <v>73</v>
      </c>
      <c r="F287" s="7">
        <f t="shared" ref="F287:AW287" si="25">SUM(F288,F289,F290,F292,F294,F295,F296)</f>
        <v>252.5</v>
      </c>
      <c r="G287" s="7">
        <f t="shared" si="25"/>
        <v>1014.2</v>
      </c>
      <c r="H287" s="7">
        <f t="shared" si="25"/>
        <v>1039.2</v>
      </c>
      <c r="I287" s="7">
        <f t="shared" si="25"/>
        <v>-25</v>
      </c>
      <c r="J287" s="7">
        <f t="shared" si="25"/>
        <v>22</v>
      </c>
      <c r="K287" s="7">
        <f t="shared" si="25"/>
        <v>7</v>
      </c>
      <c r="L287" s="7">
        <f t="shared" si="25"/>
        <v>4</v>
      </c>
      <c r="M287" s="7">
        <f t="shared" si="25"/>
        <v>1</v>
      </c>
      <c r="N287" s="7">
        <f t="shared" si="25"/>
        <v>1</v>
      </c>
      <c r="O287" s="7">
        <f t="shared" si="25"/>
        <v>6</v>
      </c>
      <c r="P287" s="7">
        <f t="shared" si="25"/>
        <v>13.2</v>
      </c>
      <c r="Q287" s="7">
        <f t="shared" si="25"/>
        <v>30.1</v>
      </c>
      <c r="R287" s="7">
        <f t="shared" si="25"/>
        <v>30.1</v>
      </c>
      <c r="S287" s="7">
        <f t="shared" si="25"/>
        <v>13.2</v>
      </c>
      <c r="T287" s="7">
        <f t="shared" si="25"/>
        <v>15</v>
      </c>
      <c r="U287" s="7">
        <f t="shared" si="25"/>
        <v>15</v>
      </c>
      <c r="V287" s="7">
        <f t="shared" si="25"/>
        <v>22</v>
      </c>
      <c r="W287" s="7">
        <f t="shared" si="25"/>
        <v>32</v>
      </c>
      <c r="X287" s="7">
        <f t="shared" si="25"/>
        <v>22</v>
      </c>
      <c r="Y287" s="7">
        <f t="shared" si="25"/>
        <v>22</v>
      </c>
      <c r="Z287" s="7">
        <f t="shared" si="25"/>
        <v>0</v>
      </c>
      <c r="AA287" s="7">
        <f t="shared" si="25"/>
        <v>0</v>
      </c>
      <c r="AB287" s="7">
        <f t="shared" si="25"/>
        <v>37</v>
      </c>
      <c r="AC287" s="7">
        <f t="shared" si="25"/>
        <v>45.1</v>
      </c>
      <c r="AD287" s="12">
        <f t="shared" si="25"/>
        <v>65</v>
      </c>
      <c r="AE287" s="12">
        <f t="shared" si="25"/>
        <v>63</v>
      </c>
      <c r="AF287" s="12">
        <f t="shared" si="25"/>
        <v>62</v>
      </c>
      <c r="AG287" s="12">
        <f t="shared" si="25"/>
        <v>65</v>
      </c>
      <c r="AH287" s="7">
        <f t="shared" si="25"/>
        <v>25</v>
      </c>
      <c r="AI287" s="7">
        <f t="shared" si="25"/>
        <v>6</v>
      </c>
      <c r="AJ287" s="7">
        <f t="shared" si="25"/>
        <v>39</v>
      </c>
      <c r="AK287" s="7">
        <f t="shared" si="25"/>
        <v>39</v>
      </c>
      <c r="AL287" s="7">
        <f t="shared" si="25"/>
        <v>39</v>
      </c>
      <c r="AM287" s="7">
        <f t="shared" si="25"/>
        <v>9</v>
      </c>
      <c r="AN287" s="7">
        <f t="shared" si="25"/>
        <v>9</v>
      </c>
      <c r="AO287" s="7">
        <f t="shared" si="25"/>
        <v>9</v>
      </c>
      <c r="AP287" s="7">
        <f t="shared" si="25"/>
        <v>3</v>
      </c>
      <c r="AQ287" s="7">
        <f t="shared" si="25"/>
        <v>0</v>
      </c>
      <c r="AR287" s="7">
        <f t="shared" si="25"/>
        <v>0</v>
      </c>
      <c r="AS287" s="7">
        <f t="shared" si="25"/>
        <v>0</v>
      </c>
      <c r="AT287" s="7">
        <f t="shared" si="25"/>
        <v>0</v>
      </c>
      <c r="AU287" s="7">
        <f t="shared" si="25"/>
        <v>0</v>
      </c>
      <c r="AV287" s="7">
        <f t="shared" si="25"/>
        <v>0</v>
      </c>
      <c r="AW287" s="7">
        <f t="shared" si="25"/>
        <v>0</v>
      </c>
    </row>
    <row r="288" spans="1:49" ht="14.5" hidden="1" outlineLevel="1" x14ac:dyDescent="0.35">
      <c r="A288" t="s">
        <v>12</v>
      </c>
      <c r="B288" t="s">
        <v>10</v>
      </c>
      <c r="C288" t="s">
        <v>33</v>
      </c>
      <c r="D288" t="s">
        <v>85</v>
      </c>
      <c r="E288" t="s">
        <v>78</v>
      </c>
      <c r="F288" s="11">
        <v>0</v>
      </c>
      <c r="G288" s="11">
        <v>0</v>
      </c>
      <c r="H288" s="11">
        <v>3</v>
      </c>
      <c r="I288" s="11">
        <v>-3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</row>
    <row r="289" spans="1:49" ht="14.5" hidden="1" outlineLevel="1" x14ac:dyDescent="0.35">
      <c r="A289" t="s">
        <v>12</v>
      </c>
      <c r="B289" t="s">
        <v>10</v>
      </c>
      <c r="C289" t="s">
        <v>33</v>
      </c>
      <c r="D289" t="s">
        <v>85</v>
      </c>
      <c r="E289" t="s">
        <v>88</v>
      </c>
      <c r="F289" s="11">
        <v>0</v>
      </c>
      <c r="G289" s="11">
        <v>0</v>
      </c>
      <c r="H289" s="11">
        <v>5</v>
      </c>
      <c r="I289" s="11">
        <v>-5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</row>
    <row r="290" spans="1:49" ht="14.5" hidden="1" outlineLevel="1" x14ac:dyDescent="0.35">
      <c r="A290" t="s">
        <v>12</v>
      </c>
      <c r="B290" t="s">
        <v>10</v>
      </c>
      <c r="C290" t="s">
        <v>33</v>
      </c>
      <c r="D290" t="s">
        <v>85</v>
      </c>
      <c r="E290" t="s">
        <v>103</v>
      </c>
      <c r="F290" s="11">
        <v>243.5</v>
      </c>
      <c r="G290" s="11">
        <v>806.5</v>
      </c>
      <c r="H290" s="11">
        <v>807</v>
      </c>
      <c r="I290" s="11">
        <v>-0.5</v>
      </c>
      <c r="J290" s="11">
        <v>15</v>
      </c>
      <c r="K290" s="11">
        <v>0</v>
      </c>
      <c r="L290" s="11">
        <v>0</v>
      </c>
      <c r="M290" s="11">
        <v>0</v>
      </c>
      <c r="N290" s="11">
        <v>0</v>
      </c>
      <c r="O290" s="11">
        <v>5</v>
      </c>
      <c r="P290" s="11">
        <v>13</v>
      </c>
      <c r="Q290" s="11">
        <v>30</v>
      </c>
      <c r="R290" s="11">
        <v>30</v>
      </c>
      <c r="S290" s="11">
        <v>13</v>
      </c>
      <c r="T290" s="11">
        <v>15</v>
      </c>
      <c r="U290" s="11">
        <v>15</v>
      </c>
      <c r="V290" s="11">
        <v>22</v>
      </c>
      <c r="W290" s="11">
        <v>25</v>
      </c>
      <c r="X290" s="11">
        <v>15</v>
      </c>
      <c r="Y290" s="11">
        <v>15</v>
      </c>
      <c r="Z290" s="11">
        <v>0</v>
      </c>
      <c r="AA290" s="11">
        <v>0</v>
      </c>
      <c r="AB290" s="11">
        <v>30</v>
      </c>
      <c r="AC290" s="11">
        <v>45</v>
      </c>
      <c r="AD290" s="11">
        <v>65</v>
      </c>
      <c r="AE290" s="11">
        <v>63</v>
      </c>
      <c r="AF290" s="11">
        <v>62</v>
      </c>
      <c r="AG290" s="11">
        <v>65</v>
      </c>
      <c r="AH290" s="11">
        <v>25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</row>
    <row r="291" spans="1:49" ht="14.5" hidden="1" outlineLevel="1" x14ac:dyDescent="0.35">
      <c r="A291" s="14" t="s">
        <v>12</v>
      </c>
      <c r="B291" s="14" t="s">
        <v>10</v>
      </c>
      <c r="C291" s="14" t="s">
        <v>33</v>
      </c>
      <c r="D291" s="14" t="s">
        <v>99</v>
      </c>
      <c r="E291" s="15" t="s">
        <v>103</v>
      </c>
      <c r="F291" s="16"/>
      <c r="G291" s="16"/>
      <c r="H291" s="16"/>
      <c r="I291" s="16"/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-10</v>
      </c>
      <c r="AE291" s="16">
        <v>-8</v>
      </c>
      <c r="AF291" s="16">
        <v>-7</v>
      </c>
      <c r="AG291" s="16">
        <v>-10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</row>
    <row r="292" spans="1:49" ht="14.5" hidden="1" outlineLevel="1" x14ac:dyDescent="0.35">
      <c r="A292" t="s">
        <v>12</v>
      </c>
      <c r="B292" t="s">
        <v>10</v>
      </c>
      <c r="C292" t="s">
        <v>33</v>
      </c>
      <c r="D292" t="s">
        <v>85</v>
      </c>
      <c r="E292" t="s">
        <v>102</v>
      </c>
      <c r="F292" s="11">
        <v>0</v>
      </c>
      <c r="G292" s="11">
        <v>0</v>
      </c>
      <c r="H292" s="11">
        <v>21</v>
      </c>
      <c r="I292" s="11">
        <v>-21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4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</row>
    <row r="293" spans="1:49" ht="14.5" hidden="1" outlineLevel="1" x14ac:dyDescent="0.35">
      <c r="A293" s="8" t="s">
        <v>12</v>
      </c>
      <c r="B293" s="8" t="s">
        <v>10</v>
      </c>
      <c r="C293" s="8" t="s">
        <v>33</v>
      </c>
      <c r="D293" s="8" t="s">
        <v>74</v>
      </c>
      <c r="E293" s="9" t="s">
        <v>102</v>
      </c>
      <c r="F293" s="10"/>
      <c r="G293" s="10"/>
      <c r="H293" s="10"/>
      <c r="I293" s="10"/>
      <c r="J293" s="10">
        <v>2</v>
      </c>
      <c r="K293" s="10">
        <v>1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2.5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1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</row>
    <row r="294" spans="1:49" ht="14.5" hidden="1" outlineLevel="1" x14ac:dyDescent="0.35">
      <c r="A294" t="s">
        <v>12</v>
      </c>
      <c r="B294" t="s">
        <v>10</v>
      </c>
      <c r="C294" t="s">
        <v>33</v>
      </c>
      <c r="D294" t="s">
        <v>85</v>
      </c>
      <c r="E294" t="s">
        <v>128</v>
      </c>
      <c r="F294" s="11">
        <v>0</v>
      </c>
      <c r="G294" s="11">
        <v>90</v>
      </c>
      <c r="H294" s="11">
        <v>90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30</v>
      </c>
      <c r="AK294" s="11">
        <v>30</v>
      </c>
      <c r="AL294" s="11">
        <v>30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</row>
    <row r="295" spans="1:49" ht="14.5" hidden="1" outlineLevel="1" x14ac:dyDescent="0.35">
      <c r="A295" t="s">
        <v>12</v>
      </c>
      <c r="B295" t="s">
        <v>10</v>
      </c>
      <c r="C295" t="s">
        <v>33</v>
      </c>
      <c r="D295" t="s">
        <v>85</v>
      </c>
      <c r="E295" t="s">
        <v>91</v>
      </c>
      <c r="F295" s="11">
        <v>0</v>
      </c>
      <c r="G295" s="11">
        <v>0</v>
      </c>
      <c r="H295" s="11">
        <v>4.5</v>
      </c>
      <c r="I295" s="11">
        <v>-4.5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</row>
    <row r="296" spans="1:49" ht="14.5" hidden="1" outlineLevel="1" x14ac:dyDescent="0.35">
      <c r="A296" t="s">
        <v>12</v>
      </c>
      <c r="B296" t="s">
        <v>10</v>
      </c>
      <c r="C296" t="s">
        <v>33</v>
      </c>
      <c r="D296" t="s">
        <v>85</v>
      </c>
      <c r="E296" t="s">
        <v>120</v>
      </c>
      <c r="F296" s="11">
        <v>9</v>
      </c>
      <c r="G296" s="11">
        <v>117.7</v>
      </c>
      <c r="H296" s="11">
        <v>108.7</v>
      </c>
      <c r="I296" s="11">
        <v>9</v>
      </c>
      <c r="J296" s="11">
        <v>7</v>
      </c>
      <c r="K296" s="11">
        <v>7</v>
      </c>
      <c r="L296" s="11">
        <v>4</v>
      </c>
      <c r="M296" s="11">
        <v>1</v>
      </c>
      <c r="N296" s="11">
        <v>1</v>
      </c>
      <c r="O296" s="11">
        <v>1</v>
      </c>
      <c r="P296" s="11">
        <v>0.2</v>
      </c>
      <c r="Q296" s="11">
        <v>0.1</v>
      </c>
      <c r="R296" s="11">
        <v>0.1</v>
      </c>
      <c r="S296" s="11">
        <v>0.2</v>
      </c>
      <c r="T296" s="11">
        <v>0</v>
      </c>
      <c r="U296" s="11">
        <v>0</v>
      </c>
      <c r="V296" s="11">
        <v>0</v>
      </c>
      <c r="W296" s="11">
        <v>7</v>
      </c>
      <c r="X296" s="11">
        <v>7</v>
      </c>
      <c r="Y296" s="11">
        <v>7</v>
      </c>
      <c r="Z296" s="11">
        <v>0</v>
      </c>
      <c r="AA296" s="11">
        <v>0</v>
      </c>
      <c r="AB296" s="11">
        <v>7</v>
      </c>
      <c r="AC296" s="11">
        <v>0.1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2</v>
      </c>
      <c r="AJ296" s="11">
        <v>9</v>
      </c>
      <c r="AK296" s="11">
        <v>9</v>
      </c>
      <c r="AL296" s="11">
        <v>9</v>
      </c>
      <c r="AM296" s="11">
        <v>9</v>
      </c>
      <c r="AN296" s="11">
        <v>9</v>
      </c>
      <c r="AO296" s="11">
        <v>9</v>
      </c>
      <c r="AP296" s="11">
        <v>3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</row>
    <row r="297" spans="1:49" ht="14.5" collapsed="1" x14ac:dyDescent="0.35">
      <c r="A297" s="6" t="s">
        <v>29</v>
      </c>
      <c r="B297" s="6" t="s">
        <v>10</v>
      </c>
      <c r="C297" s="6" t="s">
        <v>35</v>
      </c>
      <c r="D297" s="6" t="s">
        <v>72</v>
      </c>
      <c r="E297" s="6" t="s">
        <v>73</v>
      </c>
      <c r="F297" s="7">
        <f t="shared" ref="F297:AW297" si="26">SUM(F298,F300)</f>
        <v>275</v>
      </c>
      <c r="G297" s="7">
        <f t="shared" si="26"/>
        <v>1330</v>
      </c>
      <c r="H297" s="7">
        <f t="shared" si="26"/>
        <v>1277</v>
      </c>
      <c r="I297" s="7">
        <f t="shared" si="26"/>
        <v>53</v>
      </c>
      <c r="J297" s="7">
        <f t="shared" si="26"/>
        <v>26</v>
      </c>
      <c r="K297" s="7">
        <f t="shared" si="26"/>
        <v>20</v>
      </c>
      <c r="L297" s="7">
        <f t="shared" si="26"/>
        <v>20</v>
      </c>
      <c r="M297" s="7">
        <f t="shared" si="26"/>
        <v>20</v>
      </c>
      <c r="N297" s="7">
        <f t="shared" si="26"/>
        <v>35</v>
      </c>
      <c r="O297" s="7">
        <f t="shared" si="26"/>
        <v>30</v>
      </c>
      <c r="P297" s="7">
        <f t="shared" si="26"/>
        <v>40</v>
      </c>
      <c r="Q297" s="7">
        <f t="shared" si="26"/>
        <v>40</v>
      </c>
      <c r="R297" s="7">
        <f t="shared" si="26"/>
        <v>40</v>
      </c>
      <c r="S297" s="7">
        <f t="shared" si="26"/>
        <v>20</v>
      </c>
      <c r="T297" s="7">
        <f t="shared" si="26"/>
        <v>15</v>
      </c>
      <c r="U297" s="7">
        <f t="shared" si="26"/>
        <v>15</v>
      </c>
      <c r="V297" s="7">
        <f t="shared" si="26"/>
        <v>15</v>
      </c>
      <c r="W297" s="7">
        <f t="shared" si="26"/>
        <v>15</v>
      </c>
      <c r="X297" s="7">
        <f t="shared" si="26"/>
        <v>15</v>
      </c>
      <c r="Y297" s="7">
        <f t="shared" si="26"/>
        <v>3</v>
      </c>
      <c r="Z297" s="7">
        <f t="shared" si="26"/>
        <v>2</v>
      </c>
      <c r="AA297" s="7">
        <f t="shared" si="26"/>
        <v>0</v>
      </c>
      <c r="AB297" s="7">
        <f t="shared" si="26"/>
        <v>55</v>
      </c>
      <c r="AC297" s="7">
        <f t="shared" si="26"/>
        <v>50</v>
      </c>
      <c r="AD297" s="7">
        <f t="shared" si="26"/>
        <v>50</v>
      </c>
      <c r="AE297" s="7">
        <f t="shared" si="26"/>
        <v>50</v>
      </c>
      <c r="AF297" s="12">
        <f t="shared" si="26"/>
        <v>60</v>
      </c>
      <c r="AG297" s="12">
        <f t="shared" si="26"/>
        <v>60</v>
      </c>
      <c r="AH297" s="12">
        <f t="shared" si="26"/>
        <v>60</v>
      </c>
      <c r="AI297" s="7">
        <f t="shared" si="26"/>
        <v>40</v>
      </c>
      <c r="AJ297" s="7">
        <f t="shared" si="26"/>
        <v>25</v>
      </c>
      <c r="AK297" s="7">
        <f t="shared" si="26"/>
        <v>40</v>
      </c>
      <c r="AL297" s="7">
        <f t="shared" si="26"/>
        <v>30</v>
      </c>
      <c r="AM297" s="7">
        <f t="shared" si="26"/>
        <v>30</v>
      </c>
      <c r="AN297" s="7">
        <f t="shared" si="26"/>
        <v>25</v>
      </c>
      <c r="AO297" s="7">
        <f t="shared" si="26"/>
        <v>25</v>
      </c>
      <c r="AP297" s="7">
        <f t="shared" si="26"/>
        <v>25</v>
      </c>
      <c r="AQ297" s="7">
        <f t="shared" si="26"/>
        <v>25</v>
      </c>
      <c r="AR297" s="7">
        <f t="shared" si="26"/>
        <v>20</v>
      </c>
      <c r="AS297" s="7">
        <f t="shared" si="26"/>
        <v>15</v>
      </c>
      <c r="AT297" s="7">
        <f t="shared" si="26"/>
        <v>5</v>
      </c>
      <c r="AU297" s="7">
        <f t="shared" si="26"/>
        <v>0</v>
      </c>
      <c r="AV297" s="7">
        <f t="shared" si="26"/>
        <v>0</v>
      </c>
      <c r="AW297" s="7">
        <f t="shared" si="26"/>
        <v>0</v>
      </c>
    </row>
    <row r="298" spans="1:49" ht="14.5" hidden="1" outlineLevel="1" x14ac:dyDescent="0.35">
      <c r="A298" t="s">
        <v>29</v>
      </c>
      <c r="B298" t="s">
        <v>10</v>
      </c>
      <c r="C298" t="s">
        <v>35</v>
      </c>
      <c r="D298" t="s">
        <v>85</v>
      </c>
      <c r="E298" t="s">
        <v>95</v>
      </c>
      <c r="F298" s="11">
        <v>0</v>
      </c>
      <c r="G298" s="11">
        <v>265</v>
      </c>
      <c r="H298" s="11">
        <v>265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25</v>
      </c>
      <c r="AK298" s="11">
        <v>40</v>
      </c>
      <c r="AL298" s="11">
        <v>30</v>
      </c>
      <c r="AM298" s="11">
        <v>30</v>
      </c>
      <c r="AN298" s="11">
        <v>25</v>
      </c>
      <c r="AO298" s="11">
        <v>25</v>
      </c>
      <c r="AP298" s="11">
        <v>25</v>
      </c>
      <c r="AQ298" s="11">
        <v>25</v>
      </c>
      <c r="AR298" s="11">
        <v>20</v>
      </c>
      <c r="AS298" s="11">
        <v>15</v>
      </c>
      <c r="AT298" s="11">
        <v>5</v>
      </c>
      <c r="AU298" s="11">
        <v>0</v>
      </c>
      <c r="AV298" s="11">
        <v>0</v>
      </c>
      <c r="AW298" s="11">
        <v>0</v>
      </c>
    </row>
    <row r="299" spans="1:49" ht="14.5" hidden="1" outlineLevel="1" x14ac:dyDescent="0.35">
      <c r="A299" s="8" t="s">
        <v>29</v>
      </c>
      <c r="B299" s="8" t="s">
        <v>10</v>
      </c>
      <c r="C299" s="8" t="s">
        <v>35</v>
      </c>
      <c r="D299" s="8" t="s">
        <v>74</v>
      </c>
      <c r="E299" s="9" t="s">
        <v>95</v>
      </c>
      <c r="F299" s="10"/>
      <c r="G299" s="10"/>
      <c r="H299" s="10"/>
      <c r="I299" s="10"/>
      <c r="J299" s="10">
        <v>0</v>
      </c>
      <c r="K299" s="10">
        <v>0</v>
      </c>
      <c r="L299" s="10">
        <v>0</v>
      </c>
      <c r="M299" s="10">
        <v>0</v>
      </c>
      <c r="N299" s="10">
        <v>5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</row>
    <row r="300" spans="1:49" ht="14.5" hidden="1" outlineLevel="1" x14ac:dyDescent="0.35">
      <c r="A300" t="s">
        <v>29</v>
      </c>
      <c r="B300" t="s">
        <v>10</v>
      </c>
      <c r="C300" t="s">
        <v>35</v>
      </c>
      <c r="D300" t="s">
        <v>85</v>
      </c>
      <c r="E300" t="s">
        <v>75</v>
      </c>
      <c r="F300" s="11">
        <v>275</v>
      </c>
      <c r="G300" s="11">
        <v>1065</v>
      </c>
      <c r="H300" s="11">
        <v>1012</v>
      </c>
      <c r="I300" s="11">
        <v>53</v>
      </c>
      <c r="J300" s="11">
        <v>26</v>
      </c>
      <c r="K300" s="11">
        <v>20</v>
      </c>
      <c r="L300" s="11">
        <v>20</v>
      </c>
      <c r="M300" s="11">
        <v>20</v>
      </c>
      <c r="N300" s="11">
        <v>35</v>
      </c>
      <c r="O300" s="11">
        <v>30</v>
      </c>
      <c r="P300" s="11">
        <v>40</v>
      </c>
      <c r="Q300" s="11">
        <v>40</v>
      </c>
      <c r="R300" s="11">
        <v>40</v>
      </c>
      <c r="S300" s="11">
        <v>20</v>
      </c>
      <c r="T300" s="11">
        <v>15</v>
      </c>
      <c r="U300" s="11">
        <v>15</v>
      </c>
      <c r="V300" s="11">
        <v>15</v>
      </c>
      <c r="W300" s="11">
        <v>15</v>
      </c>
      <c r="X300" s="11">
        <v>15</v>
      </c>
      <c r="Y300" s="11">
        <v>3</v>
      </c>
      <c r="Z300" s="11">
        <v>2</v>
      </c>
      <c r="AA300" s="11">
        <v>0</v>
      </c>
      <c r="AB300" s="11">
        <v>55</v>
      </c>
      <c r="AC300" s="11">
        <v>50</v>
      </c>
      <c r="AD300" s="11">
        <v>50</v>
      </c>
      <c r="AE300" s="11">
        <v>50</v>
      </c>
      <c r="AF300" s="11">
        <v>60</v>
      </c>
      <c r="AG300" s="11">
        <v>60</v>
      </c>
      <c r="AH300" s="11">
        <v>60</v>
      </c>
      <c r="AI300" s="11">
        <v>40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</row>
    <row r="301" spans="1:49" ht="14.5" hidden="1" outlineLevel="1" x14ac:dyDescent="0.35">
      <c r="A301" s="14" t="s">
        <v>29</v>
      </c>
      <c r="B301" s="14" t="s">
        <v>10</v>
      </c>
      <c r="C301" s="14" t="s">
        <v>35</v>
      </c>
      <c r="D301" s="14" t="s">
        <v>99</v>
      </c>
      <c r="E301" s="15" t="s">
        <v>75</v>
      </c>
      <c r="F301" s="16"/>
      <c r="G301" s="16"/>
      <c r="H301" s="16"/>
      <c r="I301" s="16"/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-5</v>
      </c>
      <c r="AG301" s="16">
        <v>-5</v>
      </c>
      <c r="AH301" s="16">
        <v>-5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</row>
    <row r="302" spans="1:49" ht="14.5" hidden="1" outlineLevel="1" x14ac:dyDescent="0.35">
      <c r="A302" s="8" t="s">
        <v>29</v>
      </c>
      <c r="B302" s="8" t="s">
        <v>10</v>
      </c>
      <c r="C302" s="8" t="s">
        <v>35</v>
      </c>
      <c r="D302" s="8" t="s">
        <v>74</v>
      </c>
      <c r="E302" s="9" t="s">
        <v>75</v>
      </c>
      <c r="F302" s="10"/>
      <c r="G302" s="10"/>
      <c r="H302" s="10"/>
      <c r="I302" s="10"/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10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</row>
    <row r="303" spans="1:49" ht="14.5" collapsed="1" x14ac:dyDescent="0.35">
      <c r="A303" s="6" t="s">
        <v>12</v>
      </c>
      <c r="B303" s="6" t="s">
        <v>10</v>
      </c>
      <c r="C303" s="6" t="s">
        <v>132</v>
      </c>
      <c r="D303" s="6" t="s">
        <v>72</v>
      </c>
      <c r="E303" s="6" t="s">
        <v>73</v>
      </c>
      <c r="F303" s="7">
        <f t="shared" ref="F303:AW303" si="27">SUM(F304,F305,F306,F307,F308,F310,F312,F314,F316,F318,F319)</f>
        <v>112</v>
      </c>
      <c r="G303" s="7">
        <f t="shared" si="27"/>
        <v>373</v>
      </c>
      <c r="H303" s="7">
        <f t="shared" si="27"/>
        <v>634</v>
      </c>
      <c r="I303" s="7">
        <f t="shared" si="27"/>
        <v>-261</v>
      </c>
      <c r="J303" s="7">
        <f t="shared" si="27"/>
        <v>20</v>
      </c>
      <c r="K303" s="7">
        <f t="shared" si="27"/>
        <v>21</v>
      </c>
      <c r="L303" s="7">
        <f t="shared" si="27"/>
        <v>20</v>
      </c>
      <c r="M303" s="7">
        <f t="shared" si="27"/>
        <v>16</v>
      </c>
      <c r="N303" s="7">
        <f t="shared" si="27"/>
        <v>11</v>
      </c>
      <c r="O303" s="7">
        <f t="shared" si="27"/>
        <v>5</v>
      </c>
      <c r="P303" s="7">
        <f t="shared" si="27"/>
        <v>5</v>
      </c>
      <c r="Q303" s="7">
        <f t="shared" si="27"/>
        <v>11</v>
      </c>
      <c r="R303" s="7">
        <f t="shared" si="27"/>
        <v>26</v>
      </c>
      <c r="S303" s="7">
        <f t="shared" si="27"/>
        <v>27.5</v>
      </c>
      <c r="T303" s="7">
        <f t="shared" si="27"/>
        <v>29</v>
      </c>
      <c r="U303" s="7">
        <f t="shared" si="27"/>
        <v>32.5</v>
      </c>
      <c r="V303" s="7">
        <f t="shared" si="27"/>
        <v>13</v>
      </c>
      <c r="W303" s="7">
        <f t="shared" si="27"/>
        <v>19</v>
      </c>
      <c r="X303" s="7">
        <f t="shared" si="27"/>
        <v>18</v>
      </c>
      <c r="Y303" s="7">
        <f t="shared" si="27"/>
        <v>18</v>
      </c>
      <c r="Z303" s="7">
        <f t="shared" si="27"/>
        <v>0</v>
      </c>
      <c r="AA303" s="7">
        <f t="shared" si="27"/>
        <v>0</v>
      </c>
      <c r="AB303" s="7">
        <f t="shared" si="27"/>
        <v>32</v>
      </c>
      <c r="AC303" s="7">
        <f t="shared" si="27"/>
        <v>32</v>
      </c>
      <c r="AD303" s="7">
        <f t="shared" si="27"/>
        <v>27</v>
      </c>
      <c r="AE303" s="7">
        <f t="shared" si="27"/>
        <v>27</v>
      </c>
      <c r="AF303" s="7">
        <f t="shared" si="27"/>
        <v>29.5</v>
      </c>
      <c r="AG303" s="7">
        <f t="shared" si="27"/>
        <v>18.5</v>
      </c>
      <c r="AH303" s="7">
        <f t="shared" si="27"/>
        <v>27.5</v>
      </c>
      <c r="AI303" s="7">
        <f t="shared" si="27"/>
        <v>6</v>
      </c>
      <c r="AJ303" s="7">
        <f t="shared" si="27"/>
        <v>0</v>
      </c>
      <c r="AK303" s="7">
        <f t="shared" si="27"/>
        <v>0</v>
      </c>
      <c r="AL303" s="7">
        <f t="shared" si="27"/>
        <v>0</v>
      </c>
      <c r="AM303" s="7">
        <f t="shared" si="27"/>
        <v>0</v>
      </c>
      <c r="AN303" s="7">
        <f t="shared" si="27"/>
        <v>0</v>
      </c>
      <c r="AO303" s="7">
        <f t="shared" si="27"/>
        <v>0</v>
      </c>
      <c r="AP303" s="7">
        <f t="shared" si="27"/>
        <v>0</v>
      </c>
      <c r="AQ303" s="7">
        <f t="shared" si="27"/>
        <v>0</v>
      </c>
      <c r="AR303" s="7">
        <f t="shared" si="27"/>
        <v>0</v>
      </c>
      <c r="AS303" s="7">
        <f t="shared" si="27"/>
        <v>0</v>
      </c>
      <c r="AT303" s="7">
        <f t="shared" si="27"/>
        <v>0</v>
      </c>
      <c r="AU303" s="7">
        <f t="shared" si="27"/>
        <v>0</v>
      </c>
      <c r="AV303" s="7">
        <f t="shared" si="27"/>
        <v>0</v>
      </c>
      <c r="AW303" s="7">
        <f t="shared" si="27"/>
        <v>0</v>
      </c>
    </row>
    <row r="304" spans="1:49" ht="14.5" hidden="1" outlineLevel="1" x14ac:dyDescent="0.35">
      <c r="A304" t="s">
        <v>12</v>
      </c>
      <c r="B304" t="s">
        <v>10</v>
      </c>
      <c r="C304" t="s">
        <v>132</v>
      </c>
      <c r="D304" t="s">
        <v>85</v>
      </c>
      <c r="E304" t="s">
        <v>78</v>
      </c>
      <c r="F304" s="11">
        <v>0</v>
      </c>
      <c r="G304" s="11">
        <v>0</v>
      </c>
      <c r="H304" s="11">
        <v>8</v>
      </c>
      <c r="I304" s="11">
        <v>-8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</row>
    <row r="305" spans="1:49" ht="14.5" hidden="1" outlineLevel="1" x14ac:dyDescent="0.35">
      <c r="A305" t="s">
        <v>12</v>
      </c>
      <c r="B305" t="s">
        <v>10</v>
      </c>
      <c r="C305" t="s">
        <v>132</v>
      </c>
      <c r="D305" t="s">
        <v>85</v>
      </c>
      <c r="E305" t="s">
        <v>100</v>
      </c>
      <c r="F305" s="11">
        <v>0.5</v>
      </c>
      <c r="G305" s="11">
        <v>0.5</v>
      </c>
      <c r="H305" s="11">
        <v>0.5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</row>
    <row r="306" spans="1:49" ht="14.5" hidden="1" outlineLevel="1" x14ac:dyDescent="0.35">
      <c r="A306" t="s">
        <v>12</v>
      </c>
      <c r="B306" t="s">
        <v>10</v>
      </c>
      <c r="C306" t="s">
        <v>132</v>
      </c>
      <c r="D306" t="s">
        <v>85</v>
      </c>
      <c r="E306" t="s">
        <v>87</v>
      </c>
      <c r="F306" s="11">
        <v>11.5</v>
      </c>
      <c r="G306" s="11">
        <v>11.5</v>
      </c>
      <c r="H306" s="11">
        <v>11.5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</row>
    <row r="307" spans="1:49" ht="14.5" hidden="1" outlineLevel="1" x14ac:dyDescent="0.35">
      <c r="A307" t="s">
        <v>12</v>
      </c>
      <c r="B307" t="s">
        <v>10</v>
      </c>
      <c r="C307" t="s">
        <v>132</v>
      </c>
      <c r="D307" t="s">
        <v>85</v>
      </c>
      <c r="E307" t="s">
        <v>88</v>
      </c>
      <c r="F307" s="11">
        <v>0</v>
      </c>
      <c r="G307" s="11">
        <v>0</v>
      </c>
      <c r="H307" s="11">
        <v>16</v>
      </c>
      <c r="I307" s="11">
        <v>-16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</row>
    <row r="308" spans="1:49" ht="14.5" hidden="1" outlineLevel="1" x14ac:dyDescent="0.35">
      <c r="A308" t="s">
        <v>12</v>
      </c>
      <c r="B308" t="s">
        <v>10</v>
      </c>
      <c r="C308" t="s">
        <v>132</v>
      </c>
      <c r="D308" t="s">
        <v>85</v>
      </c>
      <c r="E308" t="s">
        <v>40</v>
      </c>
      <c r="F308" s="11">
        <v>0</v>
      </c>
      <c r="G308" s="11">
        <v>0</v>
      </c>
      <c r="H308" s="11">
        <v>28.5</v>
      </c>
      <c r="I308" s="11">
        <v>-28.5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3</v>
      </c>
      <c r="AG308" s="11">
        <v>7.5</v>
      </c>
      <c r="AH308" s="11">
        <v>14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</row>
    <row r="309" spans="1:49" ht="14.5" hidden="1" outlineLevel="1" x14ac:dyDescent="0.35">
      <c r="A309" s="8" t="s">
        <v>12</v>
      </c>
      <c r="B309" s="8" t="s">
        <v>10</v>
      </c>
      <c r="C309" s="8" t="s">
        <v>132</v>
      </c>
      <c r="D309" s="8" t="s">
        <v>74</v>
      </c>
      <c r="E309" s="9" t="s">
        <v>40</v>
      </c>
      <c r="F309" s="10"/>
      <c r="G309" s="10"/>
      <c r="H309" s="10"/>
      <c r="I309" s="10"/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5.5</v>
      </c>
      <c r="AG309" s="10">
        <v>1.5</v>
      </c>
      <c r="AH309" s="10">
        <v>10.5</v>
      </c>
      <c r="AI309" s="10">
        <v>10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</row>
    <row r="310" spans="1:49" ht="14.5" hidden="1" outlineLevel="1" x14ac:dyDescent="0.35">
      <c r="A310" t="s">
        <v>12</v>
      </c>
      <c r="B310" t="s">
        <v>10</v>
      </c>
      <c r="C310" t="s">
        <v>132</v>
      </c>
      <c r="D310" t="s">
        <v>85</v>
      </c>
      <c r="E310" t="s">
        <v>101</v>
      </c>
      <c r="F310" s="11">
        <v>23</v>
      </c>
      <c r="G310" s="11">
        <v>23</v>
      </c>
      <c r="H310" s="11">
        <v>220.5</v>
      </c>
      <c r="I310" s="11">
        <v>-197.5</v>
      </c>
      <c r="J310" s="11">
        <v>6</v>
      </c>
      <c r="K310" s="11">
        <v>0</v>
      </c>
      <c r="L310" s="11">
        <v>0</v>
      </c>
      <c r="M310" s="11">
        <v>6</v>
      </c>
      <c r="N310" s="11">
        <v>6</v>
      </c>
      <c r="O310" s="11">
        <v>0</v>
      </c>
      <c r="P310" s="11">
        <v>0</v>
      </c>
      <c r="Q310" s="11">
        <v>6</v>
      </c>
      <c r="R310" s="11">
        <v>6</v>
      </c>
      <c r="S310" s="11">
        <v>6</v>
      </c>
      <c r="T310" s="11">
        <v>6</v>
      </c>
      <c r="U310" s="11">
        <v>8</v>
      </c>
      <c r="V310" s="11">
        <v>0</v>
      </c>
      <c r="W310" s="11">
        <v>8</v>
      </c>
      <c r="X310" s="11">
        <v>8</v>
      </c>
      <c r="Y310" s="11">
        <v>8</v>
      </c>
      <c r="Z310" s="11">
        <v>0</v>
      </c>
      <c r="AA310" s="11">
        <v>0</v>
      </c>
      <c r="AB310" s="11">
        <v>12</v>
      </c>
      <c r="AC310" s="11">
        <v>12</v>
      </c>
      <c r="AD310" s="11">
        <v>12</v>
      </c>
      <c r="AE310" s="11">
        <v>12</v>
      </c>
      <c r="AF310" s="11">
        <v>10</v>
      </c>
      <c r="AG310" s="11">
        <v>8</v>
      </c>
      <c r="AH310" s="11">
        <v>8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</row>
    <row r="311" spans="1:49" ht="14.5" hidden="1" outlineLevel="1" x14ac:dyDescent="0.35">
      <c r="A311" s="8" t="s">
        <v>12</v>
      </c>
      <c r="B311" s="8" t="s">
        <v>10</v>
      </c>
      <c r="C311" s="8" t="s">
        <v>132</v>
      </c>
      <c r="D311" s="8" t="s">
        <v>74</v>
      </c>
      <c r="E311" s="9" t="s">
        <v>101</v>
      </c>
      <c r="F311" s="10"/>
      <c r="G311" s="10"/>
      <c r="H311" s="10"/>
      <c r="I311" s="10"/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9.9</v>
      </c>
      <c r="X311" s="10">
        <v>11.8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1</v>
      </c>
      <c r="AG311" s="10">
        <v>14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</row>
    <row r="312" spans="1:49" ht="14.5" hidden="1" outlineLevel="1" x14ac:dyDescent="0.35">
      <c r="A312" t="s">
        <v>12</v>
      </c>
      <c r="B312" t="s">
        <v>10</v>
      </c>
      <c r="C312" t="s">
        <v>132</v>
      </c>
      <c r="D312" t="s">
        <v>85</v>
      </c>
      <c r="E312" t="s">
        <v>81</v>
      </c>
      <c r="F312" s="11">
        <v>64</v>
      </c>
      <c r="G312" s="11">
        <v>312</v>
      </c>
      <c r="H312" s="11">
        <v>288</v>
      </c>
      <c r="I312" s="11">
        <v>24</v>
      </c>
      <c r="J312" s="11">
        <v>10</v>
      </c>
      <c r="K312" s="11">
        <v>20</v>
      </c>
      <c r="L312" s="11">
        <v>20</v>
      </c>
      <c r="M312" s="11">
        <v>10</v>
      </c>
      <c r="N312" s="11">
        <v>5</v>
      </c>
      <c r="O312" s="11">
        <v>5</v>
      </c>
      <c r="P312" s="11">
        <v>5</v>
      </c>
      <c r="Q312" s="11">
        <v>5</v>
      </c>
      <c r="R312" s="11">
        <v>20</v>
      </c>
      <c r="S312" s="11">
        <v>20</v>
      </c>
      <c r="T312" s="11">
        <v>20</v>
      </c>
      <c r="U312" s="11">
        <v>20</v>
      </c>
      <c r="V312" s="11">
        <v>10</v>
      </c>
      <c r="W312" s="11">
        <v>10</v>
      </c>
      <c r="X312" s="11">
        <v>10</v>
      </c>
      <c r="Y312" s="11">
        <v>10</v>
      </c>
      <c r="Z312" s="11">
        <v>0</v>
      </c>
      <c r="AA312" s="11">
        <v>0</v>
      </c>
      <c r="AB312" s="11">
        <v>20</v>
      </c>
      <c r="AC312" s="11">
        <v>20</v>
      </c>
      <c r="AD312" s="11">
        <v>15</v>
      </c>
      <c r="AE312" s="11">
        <v>15</v>
      </c>
      <c r="AF312" s="11">
        <v>15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</row>
    <row r="313" spans="1:49" ht="14.5" hidden="1" outlineLevel="1" x14ac:dyDescent="0.35">
      <c r="A313" s="8" t="s">
        <v>12</v>
      </c>
      <c r="B313" s="8" t="s">
        <v>10</v>
      </c>
      <c r="C313" s="8" t="s">
        <v>132</v>
      </c>
      <c r="D313" s="8" t="s">
        <v>74</v>
      </c>
      <c r="E313" s="9" t="s">
        <v>81</v>
      </c>
      <c r="F313" s="10"/>
      <c r="G313" s="10"/>
      <c r="H313" s="10"/>
      <c r="I313" s="10"/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1.5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</row>
    <row r="314" spans="1:49" ht="14.5" hidden="1" outlineLevel="1" x14ac:dyDescent="0.35">
      <c r="A314" t="s">
        <v>12</v>
      </c>
      <c r="B314" t="s">
        <v>10</v>
      </c>
      <c r="C314" t="s">
        <v>132</v>
      </c>
      <c r="D314" t="s">
        <v>85</v>
      </c>
      <c r="E314" t="s">
        <v>98</v>
      </c>
      <c r="F314" s="11">
        <v>13</v>
      </c>
      <c r="G314" s="11">
        <v>26</v>
      </c>
      <c r="H314" s="11">
        <v>13</v>
      </c>
      <c r="I314" s="11">
        <v>13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1.5</v>
      </c>
      <c r="T314" s="11">
        <v>1.5</v>
      </c>
      <c r="U314" s="11">
        <v>3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1.5</v>
      </c>
      <c r="AG314" s="11">
        <v>1.5</v>
      </c>
      <c r="AH314" s="11">
        <v>4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</row>
    <row r="315" spans="1:49" ht="14.5" hidden="1" outlineLevel="1" x14ac:dyDescent="0.35">
      <c r="A315" s="8" t="s">
        <v>12</v>
      </c>
      <c r="B315" s="8" t="s">
        <v>10</v>
      </c>
      <c r="C315" s="8" t="s">
        <v>132</v>
      </c>
      <c r="D315" s="8" t="s">
        <v>74</v>
      </c>
      <c r="E315" s="9" t="s">
        <v>98</v>
      </c>
      <c r="F315" s="10"/>
      <c r="G315" s="10"/>
      <c r="H315" s="10"/>
      <c r="I315" s="10"/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5</v>
      </c>
      <c r="AE315" s="10">
        <v>15</v>
      </c>
      <c r="AF315" s="10">
        <v>19</v>
      </c>
      <c r="AG315" s="10">
        <v>15</v>
      </c>
      <c r="AH315" s="10">
        <v>8.5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</row>
    <row r="316" spans="1:49" ht="14.5" hidden="1" outlineLevel="1" x14ac:dyDescent="0.35">
      <c r="A316" t="s">
        <v>12</v>
      </c>
      <c r="B316" t="s">
        <v>10</v>
      </c>
      <c r="C316" t="s">
        <v>132</v>
      </c>
      <c r="D316" t="s">
        <v>85</v>
      </c>
      <c r="E316" t="s">
        <v>43</v>
      </c>
      <c r="F316" s="11">
        <v>0</v>
      </c>
      <c r="G316" s="11">
        <v>0</v>
      </c>
      <c r="H316" s="11">
        <v>23</v>
      </c>
      <c r="I316" s="11">
        <v>-23</v>
      </c>
      <c r="J316" s="11">
        <v>4</v>
      </c>
      <c r="K316" s="11">
        <v>1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1.5</v>
      </c>
      <c r="U316" s="11">
        <v>1.5</v>
      </c>
      <c r="V316" s="11">
        <v>3</v>
      </c>
      <c r="W316" s="11">
        <v>1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1.5</v>
      </c>
      <c r="AH316" s="11">
        <v>1.5</v>
      </c>
      <c r="AI316" s="11">
        <v>6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</row>
    <row r="317" spans="1:49" ht="14.5" hidden="1" outlineLevel="1" x14ac:dyDescent="0.35">
      <c r="A317" s="8" t="s">
        <v>12</v>
      </c>
      <c r="B317" s="8" t="s">
        <v>10</v>
      </c>
      <c r="C317" s="8" t="s">
        <v>132</v>
      </c>
      <c r="D317" s="8" t="s">
        <v>74</v>
      </c>
      <c r="E317" s="9" t="s">
        <v>43</v>
      </c>
      <c r="F317" s="10"/>
      <c r="G317" s="10"/>
      <c r="H317" s="10"/>
      <c r="I317" s="10"/>
      <c r="J317" s="10">
        <v>3</v>
      </c>
      <c r="K317" s="10">
        <v>10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10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6</v>
      </c>
      <c r="AH317" s="10">
        <v>8.5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</row>
    <row r="318" spans="1:49" ht="14.5" hidden="1" outlineLevel="1" x14ac:dyDescent="0.35">
      <c r="A318" t="s">
        <v>12</v>
      </c>
      <c r="B318" t="s">
        <v>10</v>
      </c>
      <c r="C318" t="s">
        <v>132</v>
      </c>
      <c r="D318" t="s">
        <v>85</v>
      </c>
      <c r="E318" t="s">
        <v>102</v>
      </c>
      <c r="F318" s="11">
        <v>0</v>
      </c>
      <c r="G318" s="11">
        <v>0</v>
      </c>
      <c r="H318" s="11">
        <v>2</v>
      </c>
      <c r="I318" s="11">
        <v>-2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</row>
    <row r="319" spans="1:49" ht="14.5" hidden="1" outlineLevel="1" x14ac:dyDescent="0.35">
      <c r="A319" t="s">
        <v>12</v>
      </c>
      <c r="B319" t="s">
        <v>10</v>
      </c>
      <c r="C319" t="s">
        <v>132</v>
      </c>
      <c r="D319" t="s">
        <v>85</v>
      </c>
      <c r="E319" t="s">
        <v>91</v>
      </c>
      <c r="F319" s="11">
        <v>0</v>
      </c>
      <c r="G319" s="11">
        <v>0</v>
      </c>
      <c r="H319" s="11">
        <v>23</v>
      </c>
      <c r="I319" s="11">
        <v>-23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</row>
    <row r="320" spans="1:49" ht="14.5" hidden="1" outlineLevel="1" x14ac:dyDescent="0.35">
      <c r="A320" s="8" t="s">
        <v>12</v>
      </c>
      <c r="B320" s="8" t="s">
        <v>10</v>
      </c>
      <c r="C320" s="8" t="s">
        <v>132</v>
      </c>
      <c r="D320" s="8" t="s">
        <v>74</v>
      </c>
      <c r="E320" s="9" t="s">
        <v>92</v>
      </c>
      <c r="F320" s="10"/>
      <c r="G320" s="10"/>
      <c r="H320" s="10"/>
      <c r="I320" s="10"/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10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</row>
    <row r="321" spans="1:49" ht="14.5" collapsed="1" x14ac:dyDescent="0.35">
      <c r="A321" s="6" t="s">
        <v>12</v>
      </c>
      <c r="B321" s="6" t="s">
        <v>10</v>
      </c>
      <c r="C321" s="6" t="s">
        <v>133</v>
      </c>
      <c r="D321" s="6" t="s">
        <v>72</v>
      </c>
      <c r="E321" s="6" t="s">
        <v>73</v>
      </c>
      <c r="F321" s="7">
        <f t="shared" ref="F321:AW321" si="28">SUM(F322,F323)</f>
        <v>0</v>
      </c>
      <c r="G321" s="7">
        <f t="shared" si="28"/>
        <v>0</v>
      </c>
      <c r="H321" s="7">
        <f t="shared" si="28"/>
        <v>36</v>
      </c>
      <c r="I321" s="7">
        <f t="shared" si="28"/>
        <v>-36</v>
      </c>
      <c r="J321" s="7">
        <f t="shared" si="28"/>
        <v>0</v>
      </c>
      <c r="K321" s="7">
        <f t="shared" si="28"/>
        <v>0</v>
      </c>
      <c r="L321" s="7">
        <f t="shared" si="28"/>
        <v>0</v>
      </c>
      <c r="M321" s="7">
        <f t="shared" si="28"/>
        <v>0</v>
      </c>
      <c r="N321" s="7">
        <f t="shared" si="28"/>
        <v>0</v>
      </c>
      <c r="O321" s="7">
        <f t="shared" si="28"/>
        <v>0</v>
      </c>
      <c r="P321" s="7">
        <f t="shared" si="28"/>
        <v>0</v>
      </c>
      <c r="Q321" s="7">
        <f t="shared" si="28"/>
        <v>0</v>
      </c>
      <c r="R321" s="7">
        <f t="shared" si="28"/>
        <v>0</v>
      </c>
      <c r="S321" s="7">
        <f t="shared" si="28"/>
        <v>0</v>
      </c>
      <c r="T321" s="7">
        <f t="shared" si="28"/>
        <v>0</v>
      </c>
      <c r="U321" s="7">
        <f t="shared" si="28"/>
        <v>0</v>
      </c>
      <c r="V321" s="7">
        <f t="shared" si="28"/>
        <v>0</v>
      </c>
      <c r="W321" s="7">
        <f t="shared" si="28"/>
        <v>0</v>
      </c>
      <c r="X321" s="7">
        <f t="shared" si="28"/>
        <v>0</v>
      </c>
      <c r="Y321" s="7">
        <f t="shared" si="28"/>
        <v>0</v>
      </c>
      <c r="Z321" s="7">
        <f t="shared" si="28"/>
        <v>0</v>
      </c>
      <c r="AA321" s="7">
        <f t="shared" si="28"/>
        <v>0</v>
      </c>
      <c r="AB321" s="7">
        <f t="shared" si="28"/>
        <v>0</v>
      </c>
      <c r="AC321" s="7">
        <f t="shared" si="28"/>
        <v>0</v>
      </c>
      <c r="AD321" s="7">
        <f t="shared" si="28"/>
        <v>0</v>
      </c>
      <c r="AE321" s="7">
        <f t="shared" si="28"/>
        <v>0</v>
      </c>
      <c r="AF321" s="7">
        <f t="shared" si="28"/>
        <v>0</v>
      </c>
      <c r="AG321" s="7">
        <f t="shared" si="28"/>
        <v>0</v>
      </c>
      <c r="AH321" s="7">
        <f t="shared" si="28"/>
        <v>0</v>
      </c>
      <c r="AI321" s="7">
        <f t="shared" si="28"/>
        <v>0</v>
      </c>
      <c r="AJ321" s="7">
        <f t="shared" si="28"/>
        <v>0</v>
      </c>
      <c r="AK321" s="7">
        <f t="shared" si="28"/>
        <v>0</v>
      </c>
      <c r="AL321" s="7">
        <f t="shared" si="28"/>
        <v>0</v>
      </c>
      <c r="AM321" s="7">
        <f t="shared" si="28"/>
        <v>0</v>
      </c>
      <c r="AN321" s="7">
        <f t="shared" si="28"/>
        <v>0</v>
      </c>
      <c r="AO321" s="7">
        <f t="shared" si="28"/>
        <v>0</v>
      </c>
      <c r="AP321" s="7">
        <f t="shared" si="28"/>
        <v>0</v>
      </c>
      <c r="AQ321" s="7">
        <f t="shared" si="28"/>
        <v>0</v>
      </c>
      <c r="AR321" s="7">
        <f t="shared" si="28"/>
        <v>0</v>
      </c>
      <c r="AS321" s="7">
        <f t="shared" si="28"/>
        <v>0</v>
      </c>
      <c r="AT321" s="7">
        <f t="shared" si="28"/>
        <v>0</v>
      </c>
      <c r="AU321" s="7">
        <f t="shared" si="28"/>
        <v>0</v>
      </c>
      <c r="AV321" s="7">
        <f t="shared" si="28"/>
        <v>0</v>
      </c>
      <c r="AW321" s="7">
        <f t="shared" si="28"/>
        <v>0</v>
      </c>
    </row>
    <row r="322" spans="1:49" ht="14.5" hidden="1" outlineLevel="1" x14ac:dyDescent="0.35">
      <c r="A322" t="s">
        <v>12</v>
      </c>
      <c r="B322" t="s">
        <v>10</v>
      </c>
      <c r="C322" t="s">
        <v>133</v>
      </c>
      <c r="D322" t="s">
        <v>85</v>
      </c>
      <c r="E322" t="s">
        <v>87</v>
      </c>
      <c r="F322" s="11">
        <v>0</v>
      </c>
      <c r="G322" s="11">
        <v>0</v>
      </c>
      <c r="H322" s="11">
        <v>18</v>
      </c>
      <c r="I322" s="11">
        <v>-18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</row>
    <row r="323" spans="1:49" ht="14.5" hidden="1" outlineLevel="1" x14ac:dyDescent="0.35">
      <c r="A323" t="s">
        <v>12</v>
      </c>
      <c r="B323" t="s">
        <v>10</v>
      </c>
      <c r="C323" t="s">
        <v>133</v>
      </c>
      <c r="D323" t="s">
        <v>85</v>
      </c>
      <c r="E323" t="s">
        <v>90</v>
      </c>
      <c r="F323" s="11">
        <v>0</v>
      </c>
      <c r="G323" s="11">
        <v>0</v>
      </c>
      <c r="H323" s="11">
        <v>18</v>
      </c>
      <c r="I323" s="11">
        <v>-18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</row>
    <row r="324" spans="1:49" ht="14.5" hidden="1" outlineLevel="1" x14ac:dyDescent="0.35">
      <c r="A324" s="8" t="s">
        <v>12</v>
      </c>
      <c r="B324" s="8" t="s">
        <v>10</v>
      </c>
      <c r="C324" s="8" t="s">
        <v>133</v>
      </c>
      <c r="D324" s="8" t="s">
        <v>74</v>
      </c>
      <c r="E324" s="9" t="s">
        <v>86</v>
      </c>
      <c r="F324" s="10"/>
      <c r="G324" s="10"/>
      <c r="H324" s="10"/>
      <c r="I324" s="10"/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2</v>
      </c>
      <c r="AE324" s="10">
        <v>2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</row>
    <row r="325" spans="1:49" ht="14.5" hidden="1" outlineLevel="1" x14ac:dyDescent="0.35">
      <c r="A325" s="8" t="s">
        <v>12</v>
      </c>
      <c r="B325" s="8" t="s">
        <v>10</v>
      </c>
      <c r="C325" s="8" t="s">
        <v>133</v>
      </c>
      <c r="D325" s="8" t="s">
        <v>74</v>
      </c>
      <c r="E325" s="9" t="s">
        <v>78</v>
      </c>
      <c r="F325" s="10"/>
      <c r="G325" s="10"/>
      <c r="H325" s="10"/>
      <c r="I325" s="10"/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9</v>
      </c>
      <c r="AG325" s="10">
        <v>24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</row>
    <row r="326" spans="1:49" ht="14.5" hidden="1" outlineLevel="1" x14ac:dyDescent="0.35">
      <c r="A326" s="8" t="s">
        <v>12</v>
      </c>
      <c r="B326" s="8" t="s">
        <v>10</v>
      </c>
      <c r="C326" s="8" t="s">
        <v>133</v>
      </c>
      <c r="D326" s="8" t="s">
        <v>74</v>
      </c>
      <c r="E326" s="9" t="s">
        <v>79</v>
      </c>
      <c r="F326" s="10"/>
      <c r="G326" s="10"/>
      <c r="H326" s="10"/>
      <c r="I326" s="10"/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5</v>
      </c>
      <c r="AG326" s="10">
        <v>4.5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</row>
    <row r="327" spans="1:49" ht="14.5" hidden="1" outlineLevel="1" x14ac:dyDescent="0.35">
      <c r="A327" s="8" t="s">
        <v>12</v>
      </c>
      <c r="B327" s="8" t="s">
        <v>10</v>
      </c>
      <c r="C327" s="8" t="s">
        <v>133</v>
      </c>
      <c r="D327" s="8" t="s">
        <v>74</v>
      </c>
      <c r="E327" s="9" t="s">
        <v>80</v>
      </c>
      <c r="F327" s="10"/>
      <c r="G327" s="10"/>
      <c r="H327" s="10"/>
      <c r="I327" s="10"/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5</v>
      </c>
      <c r="AF327" s="10">
        <v>0</v>
      </c>
      <c r="AG327" s="10">
        <v>0</v>
      </c>
      <c r="AH327" s="10">
        <v>1.5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</row>
    <row r="328" spans="1:49" ht="14.5" hidden="1" outlineLevel="1" x14ac:dyDescent="0.35">
      <c r="A328" s="8" t="s">
        <v>12</v>
      </c>
      <c r="B328" s="8" t="s">
        <v>10</v>
      </c>
      <c r="C328" s="8" t="s">
        <v>133</v>
      </c>
      <c r="D328" s="8" t="s">
        <v>74</v>
      </c>
      <c r="E328" s="9" t="s">
        <v>100</v>
      </c>
      <c r="F328" s="10"/>
      <c r="G328" s="10"/>
      <c r="H328" s="10"/>
      <c r="I328" s="10"/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3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</row>
    <row r="329" spans="1:49" ht="14.5" hidden="1" outlineLevel="1" x14ac:dyDescent="0.35">
      <c r="A329" s="8" t="s">
        <v>12</v>
      </c>
      <c r="B329" s="8" t="s">
        <v>10</v>
      </c>
      <c r="C329" s="8" t="s">
        <v>133</v>
      </c>
      <c r="D329" s="8" t="s">
        <v>74</v>
      </c>
      <c r="E329" s="9" t="s">
        <v>40</v>
      </c>
      <c r="F329" s="10"/>
      <c r="G329" s="10"/>
      <c r="H329" s="10"/>
      <c r="I329" s="10"/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0.40000000000000602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</row>
    <row r="330" spans="1:49" ht="14.5" hidden="1" outlineLevel="1" x14ac:dyDescent="0.35">
      <c r="A330" s="8" t="s">
        <v>12</v>
      </c>
      <c r="B330" s="8" t="s">
        <v>10</v>
      </c>
      <c r="C330" s="8" t="s">
        <v>133</v>
      </c>
      <c r="D330" s="8" t="s">
        <v>74</v>
      </c>
      <c r="E330" s="9" t="s">
        <v>101</v>
      </c>
      <c r="F330" s="10"/>
      <c r="G330" s="10"/>
      <c r="H330" s="10"/>
      <c r="I330" s="10"/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7.5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</row>
    <row r="331" spans="1:49" ht="14.5" hidden="1" outlineLevel="1" x14ac:dyDescent="0.35">
      <c r="A331" s="8" t="s">
        <v>12</v>
      </c>
      <c r="B331" s="8" t="s">
        <v>10</v>
      </c>
      <c r="C331" s="8" t="s">
        <v>133</v>
      </c>
      <c r="D331" s="8" t="s">
        <v>74</v>
      </c>
      <c r="E331" s="9" t="s">
        <v>81</v>
      </c>
      <c r="F331" s="10"/>
      <c r="G331" s="10"/>
      <c r="H331" s="10"/>
      <c r="I331" s="10"/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2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</row>
    <row r="332" spans="1:49" ht="14.5" hidden="1" outlineLevel="1" x14ac:dyDescent="0.35">
      <c r="A332" s="8" t="s">
        <v>12</v>
      </c>
      <c r="B332" s="8" t="s">
        <v>10</v>
      </c>
      <c r="C332" s="8" t="s">
        <v>133</v>
      </c>
      <c r="D332" s="8" t="s">
        <v>74</v>
      </c>
      <c r="E332" s="9" t="s">
        <v>103</v>
      </c>
      <c r="F332" s="10"/>
      <c r="G332" s="10"/>
      <c r="H332" s="10"/>
      <c r="I332" s="10"/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10</v>
      </c>
      <c r="AE332" s="10">
        <v>8</v>
      </c>
      <c r="AF332" s="10">
        <v>7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</row>
    <row r="333" spans="1:49" ht="14.5" hidden="1" outlineLevel="1" x14ac:dyDescent="0.35">
      <c r="A333" s="8" t="s">
        <v>12</v>
      </c>
      <c r="B333" s="8" t="s">
        <v>10</v>
      </c>
      <c r="C333" s="8" t="s">
        <v>133</v>
      </c>
      <c r="D333" s="8" t="s">
        <v>74</v>
      </c>
      <c r="E333" s="9" t="s">
        <v>98</v>
      </c>
      <c r="F333" s="10"/>
      <c r="G333" s="10"/>
      <c r="H333" s="10"/>
      <c r="I333" s="10"/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6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</row>
    <row r="334" spans="1:49" ht="14.5" hidden="1" outlineLevel="1" x14ac:dyDescent="0.35">
      <c r="A334" s="8" t="s">
        <v>12</v>
      </c>
      <c r="B334" s="8" t="s">
        <v>10</v>
      </c>
      <c r="C334" s="8" t="s">
        <v>133</v>
      </c>
      <c r="D334" s="8" t="s">
        <v>74</v>
      </c>
      <c r="E334" s="9" t="s">
        <v>102</v>
      </c>
      <c r="F334" s="10"/>
      <c r="G334" s="10"/>
      <c r="H334" s="10"/>
      <c r="I334" s="10"/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6</v>
      </c>
      <c r="AG334" s="10">
        <v>19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</row>
    <row r="335" spans="1:49" ht="14.5" hidden="1" outlineLevel="1" x14ac:dyDescent="0.35">
      <c r="A335" s="8" t="s">
        <v>12</v>
      </c>
      <c r="B335" s="8" t="s">
        <v>10</v>
      </c>
      <c r="C335" s="8" t="s">
        <v>133</v>
      </c>
      <c r="D335" s="8" t="s">
        <v>74</v>
      </c>
      <c r="E335" s="9" t="s">
        <v>92</v>
      </c>
      <c r="F335" s="10"/>
      <c r="G335" s="10"/>
      <c r="H335" s="10"/>
      <c r="I335" s="10"/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16.5</v>
      </c>
      <c r="R335" s="10">
        <v>6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</row>
    <row r="336" spans="1:49" ht="14.5" hidden="1" outlineLevel="1" x14ac:dyDescent="0.35">
      <c r="A336" s="8" t="s">
        <v>12</v>
      </c>
      <c r="B336" s="8" t="s">
        <v>10</v>
      </c>
      <c r="C336" s="8" t="s">
        <v>133</v>
      </c>
      <c r="D336" s="8" t="s">
        <v>74</v>
      </c>
      <c r="E336" s="9" t="s">
        <v>83</v>
      </c>
      <c r="F336" s="10"/>
      <c r="G336" s="10"/>
      <c r="H336" s="10"/>
      <c r="I336" s="10"/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16</v>
      </c>
      <c r="AF336" s="10">
        <v>16</v>
      </c>
      <c r="AG336" s="10">
        <v>0</v>
      </c>
      <c r="AH336" s="10">
        <v>16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</row>
    <row r="337" spans="1:49" ht="14.5" collapsed="1" x14ac:dyDescent="0.35">
      <c r="A337" s="6" t="s">
        <v>29</v>
      </c>
      <c r="B337" s="6" t="s">
        <v>10</v>
      </c>
      <c r="C337" s="6" t="s">
        <v>28</v>
      </c>
      <c r="D337" s="6" t="s">
        <v>72</v>
      </c>
      <c r="E337" s="6" t="s">
        <v>73</v>
      </c>
      <c r="F337" s="7">
        <f t="shared" ref="F337:AW337" si="29">SUM(F338,F340)</f>
        <v>335</v>
      </c>
      <c r="G337" s="7">
        <f t="shared" si="29"/>
        <v>1431</v>
      </c>
      <c r="H337" s="7">
        <f t="shared" si="29"/>
        <v>1371.5</v>
      </c>
      <c r="I337" s="7">
        <f t="shared" si="29"/>
        <v>59.5</v>
      </c>
      <c r="J337" s="7">
        <f t="shared" si="29"/>
        <v>31.5</v>
      </c>
      <c r="K337" s="7">
        <f t="shared" si="29"/>
        <v>25</v>
      </c>
      <c r="L337" s="7">
        <f t="shared" si="29"/>
        <v>25</v>
      </c>
      <c r="M337" s="7">
        <f t="shared" si="29"/>
        <v>25</v>
      </c>
      <c r="N337" s="12">
        <f t="shared" si="29"/>
        <v>45</v>
      </c>
      <c r="O337" s="7">
        <f t="shared" si="29"/>
        <v>40</v>
      </c>
      <c r="P337" s="7">
        <f t="shared" si="29"/>
        <v>40</v>
      </c>
      <c r="Q337" s="13">
        <f t="shared" si="29"/>
        <v>50</v>
      </c>
      <c r="R337" s="13">
        <f t="shared" si="29"/>
        <v>50</v>
      </c>
      <c r="S337" s="13">
        <f t="shared" si="29"/>
        <v>50</v>
      </c>
      <c r="T337" s="7">
        <f t="shared" si="29"/>
        <v>15</v>
      </c>
      <c r="U337" s="7">
        <f t="shared" si="29"/>
        <v>15</v>
      </c>
      <c r="V337" s="7">
        <f t="shared" si="29"/>
        <v>15</v>
      </c>
      <c r="W337" s="7">
        <f t="shared" si="29"/>
        <v>3</v>
      </c>
      <c r="X337" s="7">
        <f t="shared" si="29"/>
        <v>3</v>
      </c>
      <c r="Y337" s="7">
        <f t="shared" si="29"/>
        <v>3</v>
      </c>
      <c r="Z337" s="7">
        <f t="shared" si="29"/>
        <v>2</v>
      </c>
      <c r="AA337" s="7">
        <f t="shared" si="29"/>
        <v>0</v>
      </c>
      <c r="AB337" s="7">
        <f t="shared" si="29"/>
        <v>10</v>
      </c>
      <c r="AC337" s="7">
        <f t="shared" si="29"/>
        <v>50</v>
      </c>
      <c r="AD337" s="7">
        <f t="shared" si="29"/>
        <v>50</v>
      </c>
      <c r="AE337" s="7">
        <f t="shared" si="29"/>
        <v>50</v>
      </c>
      <c r="AF337" s="12">
        <f t="shared" si="29"/>
        <v>60</v>
      </c>
      <c r="AG337" s="12">
        <f t="shared" si="29"/>
        <v>60</v>
      </c>
      <c r="AH337" s="12">
        <f t="shared" si="29"/>
        <v>60</v>
      </c>
      <c r="AI337" s="7">
        <f t="shared" si="29"/>
        <v>40</v>
      </c>
      <c r="AJ337" s="7">
        <f t="shared" si="29"/>
        <v>25</v>
      </c>
      <c r="AK337" s="7">
        <f t="shared" si="29"/>
        <v>40</v>
      </c>
      <c r="AL337" s="7">
        <f t="shared" si="29"/>
        <v>30</v>
      </c>
      <c r="AM337" s="7">
        <f t="shared" si="29"/>
        <v>30</v>
      </c>
      <c r="AN337" s="7">
        <f t="shared" si="29"/>
        <v>30</v>
      </c>
      <c r="AO337" s="7">
        <f t="shared" si="29"/>
        <v>30</v>
      </c>
      <c r="AP337" s="7">
        <f t="shared" si="29"/>
        <v>30</v>
      </c>
      <c r="AQ337" s="7">
        <f t="shared" si="29"/>
        <v>30</v>
      </c>
      <c r="AR337" s="7">
        <f t="shared" si="29"/>
        <v>20</v>
      </c>
      <c r="AS337" s="7">
        <f t="shared" si="29"/>
        <v>15</v>
      </c>
      <c r="AT337" s="7">
        <f t="shared" si="29"/>
        <v>5</v>
      </c>
      <c r="AU337" s="7">
        <f t="shared" si="29"/>
        <v>0</v>
      </c>
      <c r="AV337" s="7">
        <f t="shared" si="29"/>
        <v>0</v>
      </c>
      <c r="AW337" s="7">
        <f t="shared" si="29"/>
        <v>0</v>
      </c>
    </row>
    <row r="338" spans="1:49" ht="14.5" hidden="1" outlineLevel="1" x14ac:dyDescent="0.35">
      <c r="A338" t="s">
        <v>29</v>
      </c>
      <c r="B338" t="s">
        <v>10</v>
      </c>
      <c r="C338" t="s">
        <v>28</v>
      </c>
      <c r="D338" t="s">
        <v>85</v>
      </c>
      <c r="E338" t="s">
        <v>95</v>
      </c>
      <c r="F338" s="11">
        <v>125</v>
      </c>
      <c r="G338" s="11">
        <v>565</v>
      </c>
      <c r="H338" s="11">
        <v>440.5</v>
      </c>
      <c r="I338" s="11">
        <v>124.5</v>
      </c>
      <c r="J338" s="11">
        <v>11</v>
      </c>
      <c r="K338" s="11">
        <v>5</v>
      </c>
      <c r="L338" s="11">
        <v>5</v>
      </c>
      <c r="M338" s="11">
        <v>5</v>
      </c>
      <c r="N338" s="11">
        <v>15</v>
      </c>
      <c r="O338" s="11">
        <v>10</v>
      </c>
      <c r="P338" s="11">
        <v>20</v>
      </c>
      <c r="Q338" s="11">
        <v>30</v>
      </c>
      <c r="R338" s="11">
        <v>30</v>
      </c>
      <c r="S338" s="11">
        <v>30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25</v>
      </c>
      <c r="AK338" s="11">
        <v>40</v>
      </c>
      <c r="AL338" s="11">
        <v>30</v>
      </c>
      <c r="AM338" s="11">
        <v>30</v>
      </c>
      <c r="AN338" s="11">
        <v>30</v>
      </c>
      <c r="AO338" s="11">
        <v>30</v>
      </c>
      <c r="AP338" s="11">
        <v>30</v>
      </c>
      <c r="AQ338" s="11">
        <v>30</v>
      </c>
      <c r="AR338" s="11">
        <v>20</v>
      </c>
      <c r="AS338" s="11">
        <v>15</v>
      </c>
      <c r="AT338" s="11">
        <v>5</v>
      </c>
      <c r="AU338" s="11">
        <v>0</v>
      </c>
      <c r="AV338" s="11">
        <v>0</v>
      </c>
      <c r="AW338" s="11">
        <v>0</v>
      </c>
    </row>
    <row r="339" spans="1:49" ht="14.5" hidden="1" outlineLevel="1" x14ac:dyDescent="0.35">
      <c r="A339" s="14" t="s">
        <v>29</v>
      </c>
      <c r="B339" s="14" t="s">
        <v>10</v>
      </c>
      <c r="C339" s="14" t="s">
        <v>28</v>
      </c>
      <c r="D339" s="14" t="s">
        <v>99</v>
      </c>
      <c r="E339" s="15" t="s">
        <v>95</v>
      </c>
      <c r="F339" s="16"/>
      <c r="G339" s="16"/>
      <c r="H339" s="16"/>
      <c r="I339" s="16"/>
      <c r="J339" s="16">
        <v>0</v>
      </c>
      <c r="K339" s="16">
        <v>0</v>
      </c>
      <c r="L339" s="16">
        <v>0</v>
      </c>
      <c r="M339" s="16">
        <v>0</v>
      </c>
      <c r="N339" s="16">
        <v>-5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</row>
    <row r="340" spans="1:49" ht="14.5" hidden="1" outlineLevel="1" x14ac:dyDescent="0.35">
      <c r="A340" t="s">
        <v>29</v>
      </c>
      <c r="B340" t="s">
        <v>10</v>
      </c>
      <c r="C340" t="s">
        <v>28</v>
      </c>
      <c r="D340" t="s">
        <v>85</v>
      </c>
      <c r="E340" t="s">
        <v>75</v>
      </c>
      <c r="F340" s="11">
        <v>210</v>
      </c>
      <c r="G340" s="11">
        <v>866</v>
      </c>
      <c r="H340" s="11">
        <v>931</v>
      </c>
      <c r="I340" s="11">
        <v>-65</v>
      </c>
      <c r="J340" s="11">
        <v>20.5</v>
      </c>
      <c r="K340" s="11">
        <v>20</v>
      </c>
      <c r="L340" s="11">
        <v>20</v>
      </c>
      <c r="M340" s="11">
        <v>20</v>
      </c>
      <c r="N340" s="11">
        <v>30</v>
      </c>
      <c r="O340" s="11">
        <v>30</v>
      </c>
      <c r="P340" s="11">
        <v>20</v>
      </c>
      <c r="Q340" s="11">
        <v>20</v>
      </c>
      <c r="R340" s="11">
        <v>20</v>
      </c>
      <c r="S340" s="11">
        <v>20</v>
      </c>
      <c r="T340" s="11">
        <v>15</v>
      </c>
      <c r="U340" s="11">
        <v>15</v>
      </c>
      <c r="V340" s="11">
        <v>15</v>
      </c>
      <c r="W340" s="11">
        <v>3</v>
      </c>
      <c r="X340" s="11">
        <v>3</v>
      </c>
      <c r="Y340" s="11">
        <v>3</v>
      </c>
      <c r="Z340" s="11">
        <v>2</v>
      </c>
      <c r="AA340" s="11">
        <v>0</v>
      </c>
      <c r="AB340" s="11">
        <v>10</v>
      </c>
      <c r="AC340" s="11">
        <v>50</v>
      </c>
      <c r="AD340" s="11">
        <v>50</v>
      </c>
      <c r="AE340" s="11">
        <v>50</v>
      </c>
      <c r="AF340" s="11">
        <v>60</v>
      </c>
      <c r="AG340" s="11">
        <v>60</v>
      </c>
      <c r="AH340" s="11">
        <v>60</v>
      </c>
      <c r="AI340" s="11">
        <v>40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</row>
    <row r="341" spans="1:49" ht="14.5" hidden="1" outlineLevel="1" x14ac:dyDescent="0.35">
      <c r="A341" s="14" t="s">
        <v>29</v>
      </c>
      <c r="B341" s="14" t="s">
        <v>10</v>
      </c>
      <c r="C341" s="14" t="s">
        <v>28</v>
      </c>
      <c r="D341" s="14" t="s">
        <v>99</v>
      </c>
      <c r="E341" s="15" t="s">
        <v>75</v>
      </c>
      <c r="F341" s="16"/>
      <c r="G341" s="16"/>
      <c r="H341" s="16"/>
      <c r="I341" s="16"/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-10</v>
      </c>
      <c r="R341" s="16">
        <v>-10</v>
      </c>
      <c r="S341" s="16">
        <v>-10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-5</v>
      </c>
      <c r="AG341" s="16">
        <v>-5</v>
      </c>
      <c r="AH341" s="16">
        <v>-5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</row>
    <row r="342" spans="1:49" ht="14.5" collapsed="1" x14ac:dyDescent="0.35">
      <c r="A342" s="6" t="s">
        <v>12</v>
      </c>
      <c r="B342" s="6" t="s">
        <v>10</v>
      </c>
      <c r="C342" s="6" t="s">
        <v>105</v>
      </c>
      <c r="D342" s="6" t="s">
        <v>72</v>
      </c>
      <c r="E342" s="6" t="s">
        <v>73</v>
      </c>
      <c r="F342" s="7">
        <f t="shared" ref="F342:AW342" si="30">SUM(F343,F344)</f>
        <v>1</v>
      </c>
      <c r="G342" s="7">
        <f t="shared" si="30"/>
        <v>19</v>
      </c>
      <c r="H342" s="7">
        <f t="shared" si="30"/>
        <v>18</v>
      </c>
      <c r="I342" s="7">
        <f t="shared" si="30"/>
        <v>1</v>
      </c>
      <c r="J342" s="7">
        <f t="shared" si="30"/>
        <v>0</v>
      </c>
      <c r="K342" s="7">
        <f t="shared" si="30"/>
        <v>0</v>
      </c>
      <c r="L342" s="7">
        <f t="shared" si="30"/>
        <v>0</v>
      </c>
      <c r="M342" s="7">
        <f t="shared" si="30"/>
        <v>0</v>
      </c>
      <c r="N342" s="7">
        <f t="shared" si="30"/>
        <v>0</v>
      </c>
      <c r="O342" s="7">
        <f t="shared" si="30"/>
        <v>0</v>
      </c>
      <c r="P342" s="7">
        <f t="shared" si="30"/>
        <v>0</v>
      </c>
      <c r="Q342" s="7">
        <f t="shared" si="30"/>
        <v>10</v>
      </c>
      <c r="R342" s="7">
        <f t="shared" si="30"/>
        <v>8</v>
      </c>
      <c r="S342" s="7">
        <f t="shared" si="30"/>
        <v>0</v>
      </c>
      <c r="T342" s="7">
        <f t="shared" si="30"/>
        <v>0</v>
      </c>
      <c r="U342" s="7">
        <f t="shared" si="30"/>
        <v>0</v>
      </c>
      <c r="V342" s="7">
        <f t="shared" si="30"/>
        <v>0</v>
      </c>
      <c r="W342" s="7">
        <f t="shared" si="30"/>
        <v>0</v>
      </c>
      <c r="X342" s="7">
        <f t="shared" si="30"/>
        <v>0</v>
      </c>
      <c r="Y342" s="7">
        <f t="shared" si="30"/>
        <v>0</v>
      </c>
      <c r="Z342" s="7">
        <f t="shared" si="30"/>
        <v>0</v>
      </c>
      <c r="AA342" s="7">
        <f t="shared" si="30"/>
        <v>0</v>
      </c>
      <c r="AB342" s="7">
        <f t="shared" si="30"/>
        <v>0</v>
      </c>
      <c r="AC342" s="7">
        <f t="shared" si="30"/>
        <v>0</v>
      </c>
      <c r="AD342" s="7">
        <f t="shared" si="30"/>
        <v>0</v>
      </c>
      <c r="AE342" s="7">
        <f t="shared" si="30"/>
        <v>0</v>
      </c>
      <c r="AF342" s="7">
        <f t="shared" si="30"/>
        <v>0</v>
      </c>
      <c r="AG342" s="7">
        <f t="shared" si="30"/>
        <v>0</v>
      </c>
      <c r="AH342" s="7">
        <f t="shared" si="30"/>
        <v>0</v>
      </c>
      <c r="AI342" s="7">
        <f t="shared" si="30"/>
        <v>0</v>
      </c>
      <c r="AJ342" s="7">
        <f t="shared" si="30"/>
        <v>0</v>
      </c>
      <c r="AK342" s="7">
        <f t="shared" si="30"/>
        <v>0</v>
      </c>
      <c r="AL342" s="7">
        <f t="shared" si="30"/>
        <v>0</v>
      </c>
      <c r="AM342" s="7">
        <f t="shared" si="30"/>
        <v>0</v>
      </c>
      <c r="AN342" s="7">
        <f t="shared" si="30"/>
        <v>0</v>
      </c>
      <c r="AO342" s="7">
        <f t="shared" si="30"/>
        <v>0</v>
      </c>
      <c r="AP342" s="7">
        <f t="shared" si="30"/>
        <v>0</v>
      </c>
      <c r="AQ342" s="7">
        <f t="shared" si="30"/>
        <v>0</v>
      </c>
      <c r="AR342" s="7">
        <f t="shared" si="30"/>
        <v>0</v>
      </c>
      <c r="AS342" s="7">
        <f t="shared" si="30"/>
        <v>0</v>
      </c>
      <c r="AT342" s="7">
        <f t="shared" si="30"/>
        <v>0</v>
      </c>
      <c r="AU342" s="7">
        <f t="shared" si="30"/>
        <v>0</v>
      </c>
      <c r="AV342" s="7">
        <f t="shared" si="30"/>
        <v>0</v>
      </c>
      <c r="AW342" s="7">
        <f t="shared" si="30"/>
        <v>0</v>
      </c>
    </row>
    <row r="343" spans="1:49" ht="14.5" hidden="1" outlineLevel="1" x14ac:dyDescent="0.35">
      <c r="A343" t="s">
        <v>12</v>
      </c>
      <c r="B343" t="s">
        <v>10</v>
      </c>
      <c r="C343" t="s">
        <v>105</v>
      </c>
      <c r="D343" t="s">
        <v>85</v>
      </c>
      <c r="E343" t="s">
        <v>125</v>
      </c>
      <c r="F343" s="11">
        <v>1</v>
      </c>
      <c r="G343" s="11">
        <v>1</v>
      </c>
      <c r="H343" s="11">
        <v>0</v>
      </c>
      <c r="I343" s="11">
        <v>1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</row>
    <row r="344" spans="1:49" ht="14.5" hidden="1" outlineLevel="1" x14ac:dyDescent="0.35">
      <c r="A344" t="s">
        <v>12</v>
      </c>
      <c r="B344" t="s">
        <v>10</v>
      </c>
      <c r="C344" t="s">
        <v>105</v>
      </c>
      <c r="D344" t="s">
        <v>85</v>
      </c>
      <c r="E344" t="s">
        <v>92</v>
      </c>
      <c r="F344" s="11">
        <v>0</v>
      </c>
      <c r="G344" s="11">
        <v>18</v>
      </c>
      <c r="H344" s="11">
        <v>18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10</v>
      </c>
      <c r="R344" s="11">
        <v>8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</row>
    <row r="345" spans="1:49" ht="14.5" hidden="1" outlineLevel="1" x14ac:dyDescent="0.35">
      <c r="A345" s="14" t="s">
        <v>12</v>
      </c>
      <c r="B345" s="14" t="s">
        <v>10</v>
      </c>
      <c r="C345" s="14" t="s">
        <v>105</v>
      </c>
      <c r="D345" s="14" t="s">
        <v>99</v>
      </c>
      <c r="E345" s="15" t="s">
        <v>92</v>
      </c>
      <c r="F345" s="16"/>
      <c r="G345" s="16"/>
      <c r="H345" s="16"/>
      <c r="I345" s="16"/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-10</v>
      </c>
      <c r="R345" s="16">
        <v>-8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</row>
    <row r="346" spans="1:49" ht="14.5" collapsed="1" x14ac:dyDescent="0.35">
      <c r="A346" s="6" t="s">
        <v>12</v>
      </c>
      <c r="B346" s="6" t="s">
        <v>10</v>
      </c>
      <c r="C346" s="6" t="s">
        <v>107</v>
      </c>
      <c r="D346" s="6" t="s">
        <v>72</v>
      </c>
      <c r="E346" s="6" t="s">
        <v>73</v>
      </c>
      <c r="F346" s="7">
        <f t="shared" ref="F346:AW346" si="31">SUM(F347)</f>
        <v>1.5</v>
      </c>
      <c r="G346" s="7">
        <f t="shared" si="31"/>
        <v>1.5</v>
      </c>
      <c r="H346" s="7">
        <f t="shared" si="31"/>
        <v>0</v>
      </c>
      <c r="I346" s="7">
        <f t="shared" si="31"/>
        <v>1.5</v>
      </c>
      <c r="J346" s="7">
        <f t="shared" si="31"/>
        <v>0</v>
      </c>
      <c r="K346" s="7">
        <f t="shared" si="31"/>
        <v>0</v>
      </c>
      <c r="L346" s="7">
        <f t="shared" si="31"/>
        <v>0</v>
      </c>
      <c r="M346" s="7">
        <f t="shared" si="31"/>
        <v>0</v>
      </c>
      <c r="N346" s="7">
        <f t="shared" si="31"/>
        <v>0</v>
      </c>
      <c r="O346" s="7">
        <f t="shared" si="31"/>
        <v>0</v>
      </c>
      <c r="P346" s="7">
        <f t="shared" si="31"/>
        <v>0</v>
      </c>
      <c r="Q346" s="7">
        <f t="shared" si="31"/>
        <v>0</v>
      </c>
      <c r="R346" s="7">
        <f t="shared" si="31"/>
        <v>0</v>
      </c>
      <c r="S346" s="7">
        <f t="shared" si="31"/>
        <v>0</v>
      </c>
      <c r="T346" s="7">
        <f t="shared" si="31"/>
        <v>0</v>
      </c>
      <c r="U346" s="7">
        <f t="shared" si="31"/>
        <v>0</v>
      </c>
      <c r="V346" s="7">
        <f t="shared" si="31"/>
        <v>0</v>
      </c>
      <c r="W346" s="7">
        <f t="shared" si="31"/>
        <v>0</v>
      </c>
      <c r="X346" s="7">
        <f t="shared" si="31"/>
        <v>0</v>
      </c>
      <c r="Y346" s="7">
        <f t="shared" si="31"/>
        <v>0</v>
      </c>
      <c r="Z346" s="7">
        <f t="shared" si="31"/>
        <v>0</v>
      </c>
      <c r="AA346" s="7">
        <f t="shared" si="31"/>
        <v>0</v>
      </c>
      <c r="AB346" s="7">
        <f t="shared" si="31"/>
        <v>0</v>
      </c>
      <c r="AC346" s="7">
        <f t="shared" si="31"/>
        <v>0</v>
      </c>
      <c r="AD346" s="7">
        <f t="shared" si="31"/>
        <v>0</v>
      </c>
      <c r="AE346" s="7">
        <f t="shared" si="31"/>
        <v>0</v>
      </c>
      <c r="AF346" s="7">
        <f t="shared" si="31"/>
        <v>0</v>
      </c>
      <c r="AG346" s="7">
        <f t="shared" si="31"/>
        <v>0</v>
      </c>
      <c r="AH346" s="7">
        <f t="shared" si="31"/>
        <v>0</v>
      </c>
      <c r="AI346" s="7">
        <f t="shared" si="31"/>
        <v>0</v>
      </c>
      <c r="AJ346" s="7">
        <f t="shared" si="31"/>
        <v>0</v>
      </c>
      <c r="AK346" s="7">
        <f t="shared" si="31"/>
        <v>0</v>
      </c>
      <c r="AL346" s="7">
        <f t="shared" si="31"/>
        <v>0</v>
      </c>
      <c r="AM346" s="7">
        <f t="shared" si="31"/>
        <v>0</v>
      </c>
      <c r="AN346" s="7">
        <f t="shared" si="31"/>
        <v>0</v>
      </c>
      <c r="AO346" s="7">
        <f t="shared" si="31"/>
        <v>0</v>
      </c>
      <c r="AP346" s="7">
        <f t="shared" si="31"/>
        <v>0</v>
      </c>
      <c r="AQ346" s="7">
        <f t="shared" si="31"/>
        <v>0</v>
      </c>
      <c r="AR346" s="7">
        <f t="shared" si="31"/>
        <v>0</v>
      </c>
      <c r="AS346" s="7">
        <f t="shared" si="31"/>
        <v>0</v>
      </c>
      <c r="AT346" s="7">
        <f t="shared" si="31"/>
        <v>0</v>
      </c>
      <c r="AU346" s="7">
        <f t="shared" si="31"/>
        <v>0</v>
      </c>
      <c r="AV346" s="7">
        <f t="shared" si="31"/>
        <v>0</v>
      </c>
      <c r="AW346" s="7">
        <f t="shared" si="31"/>
        <v>0</v>
      </c>
    </row>
    <row r="347" spans="1:49" ht="14.5" hidden="1" outlineLevel="1" x14ac:dyDescent="0.35">
      <c r="A347" t="s">
        <v>12</v>
      </c>
      <c r="B347" t="s">
        <v>10</v>
      </c>
      <c r="C347" t="s">
        <v>107</v>
      </c>
      <c r="D347" t="s">
        <v>85</v>
      </c>
      <c r="E347" t="s">
        <v>134</v>
      </c>
      <c r="F347" s="11">
        <v>1.5</v>
      </c>
      <c r="G347" s="11">
        <v>1.5</v>
      </c>
      <c r="H347" s="11">
        <v>0</v>
      </c>
      <c r="I347" s="11">
        <v>1.5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</row>
    <row r="348" spans="1:49" ht="14.5" collapsed="1" x14ac:dyDescent="0.35">
      <c r="A348" s="6" t="s">
        <v>12</v>
      </c>
      <c r="B348" s="6" t="s">
        <v>10</v>
      </c>
      <c r="C348" s="6" t="s">
        <v>108</v>
      </c>
      <c r="D348" s="6" t="s">
        <v>72</v>
      </c>
      <c r="E348" s="6" t="s">
        <v>73</v>
      </c>
      <c r="F348" s="7">
        <f t="shared" ref="F348:AW348" si="32">SUM(F349)</f>
        <v>16</v>
      </c>
      <c r="G348" s="7">
        <f t="shared" si="32"/>
        <v>80</v>
      </c>
      <c r="H348" s="7">
        <f t="shared" si="32"/>
        <v>64</v>
      </c>
      <c r="I348" s="7">
        <f t="shared" si="32"/>
        <v>16</v>
      </c>
      <c r="J348" s="7">
        <f t="shared" si="32"/>
        <v>0</v>
      </c>
      <c r="K348" s="7">
        <f t="shared" si="32"/>
        <v>0</v>
      </c>
      <c r="L348" s="7">
        <f t="shared" si="32"/>
        <v>0</v>
      </c>
      <c r="M348" s="7">
        <f t="shared" si="32"/>
        <v>0</v>
      </c>
      <c r="N348" s="7">
        <f t="shared" si="32"/>
        <v>0</v>
      </c>
      <c r="O348" s="7">
        <f t="shared" si="32"/>
        <v>0</v>
      </c>
      <c r="P348" s="7">
        <f t="shared" si="32"/>
        <v>0</v>
      </c>
      <c r="Q348" s="7">
        <f t="shared" si="32"/>
        <v>0</v>
      </c>
      <c r="R348" s="7">
        <f t="shared" si="32"/>
        <v>0</v>
      </c>
      <c r="S348" s="7">
        <f t="shared" si="32"/>
        <v>0</v>
      </c>
      <c r="T348" s="7">
        <f t="shared" si="32"/>
        <v>0</v>
      </c>
      <c r="U348" s="7">
        <f t="shared" si="32"/>
        <v>0</v>
      </c>
      <c r="V348" s="7">
        <f t="shared" si="32"/>
        <v>0</v>
      </c>
      <c r="W348" s="7">
        <f t="shared" si="32"/>
        <v>0</v>
      </c>
      <c r="X348" s="7">
        <f t="shared" si="32"/>
        <v>0</v>
      </c>
      <c r="Y348" s="7">
        <f t="shared" si="32"/>
        <v>0</v>
      </c>
      <c r="Z348" s="7">
        <f t="shared" si="32"/>
        <v>0</v>
      </c>
      <c r="AA348" s="7">
        <f t="shared" si="32"/>
        <v>0</v>
      </c>
      <c r="AB348" s="7">
        <f t="shared" si="32"/>
        <v>0</v>
      </c>
      <c r="AC348" s="7">
        <f t="shared" si="32"/>
        <v>0</v>
      </c>
      <c r="AD348" s="7">
        <f t="shared" si="32"/>
        <v>0</v>
      </c>
      <c r="AE348" s="7">
        <f t="shared" si="32"/>
        <v>16</v>
      </c>
      <c r="AF348" s="7">
        <f t="shared" si="32"/>
        <v>16</v>
      </c>
      <c r="AG348" s="7">
        <f t="shared" si="32"/>
        <v>16</v>
      </c>
      <c r="AH348" s="7">
        <f t="shared" si="32"/>
        <v>16</v>
      </c>
      <c r="AI348" s="7">
        <f t="shared" si="32"/>
        <v>0</v>
      </c>
      <c r="AJ348" s="7">
        <f t="shared" si="32"/>
        <v>0</v>
      </c>
      <c r="AK348" s="7">
        <f t="shared" si="32"/>
        <v>0</v>
      </c>
      <c r="AL348" s="7">
        <f t="shared" si="32"/>
        <v>0</v>
      </c>
      <c r="AM348" s="7">
        <f t="shared" si="32"/>
        <v>0</v>
      </c>
      <c r="AN348" s="7">
        <f t="shared" si="32"/>
        <v>0</v>
      </c>
      <c r="AO348" s="7">
        <f t="shared" si="32"/>
        <v>0</v>
      </c>
      <c r="AP348" s="7">
        <f t="shared" si="32"/>
        <v>0</v>
      </c>
      <c r="AQ348" s="7">
        <f t="shared" si="32"/>
        <v>0</v>
      </c>
      <c r="AR348" s="7">
        <f t="shared" si="32"/>
        <v>0</v>
      </c>
      <c r="AS348" s="7">
        <f t="shared" si="32"/>
        <v>0</v>
      </c>
      <c r="AT348" s="7">
        <f t="shared" si="32"/>
        <v>0</v>
      </c>
      <c r="AU348" s="7">
        <f t="shared" si="32"/>
        <v>0</v>
      </c>
      <c r="AV348" s="7">
        <f t="shared" si="32"/>
        <v>0</v>
      </c>
      <c r="AW348" s="7">
        <f t="shared" si="32"/>
        <v>0</v>
      </c>
    </row>
    <row r="349" spans="1:49" ht="14.5" hidden="1" outlineLevel="1" x14ac:dyDescent="0.35">
      <c r="A349" t="s">
        <v>12</v>
      </c>
      <c r="B349" t="s">
        <v>10</v>
      </c>
      <c r="C349" t="s">
        <v>108</v>
      </c>
      <c r="D349" t="s">
        <v>85</v>
      </c>
      <c r="E349" t="s">
        <v>83</v>
      </c>
      <c r="F349" s="11">
        <v>16</v>
      </c>
      <c r="G349" s="11">
        <v>80</v>
      </c>
      <c r="H349" s="11">
        <v>64</v>
      </c>
      <c r="I349" s="11">
        <v>16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16</v>
      </c>
      <c r="AF349" s="11">
        <v>16</v>
      </c>
      <c r="AG349" s="11">
        <v>16</v>
      </c>
      <c r="AH349" s="11">
        <v>16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</row>
    <row r="350" spans="1:49" ht="14.5" hidden="1" outlineLevel="1" x14ac:dyDescent="0.35">
      <c r="A350" s="14" t="s">
        <v>12</v>
      </c>
      <c r="B350" s="14" t="s">
        <v>10</v>
      </c>
      <c r="C350" s="14" t="s">
        <v>108</v>
      </c>
      <c r="D350" s="14" t="s">
        <v>99</v>
      </c>
      <c r="E350" s="15" t="s">
        <v>83</v>
      </c>
      <c r="F350" s="16"/>
      <c r="G350" s="16"/>
      <c r="H350" s="16"/>
      <c r="I350" s="16"/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-16</v>
      </c>
      <c r="AF350" s="16">
        <v>-16</v>
      </c>
      <c r="AG350" s="16">
        <v>-16</v>
      </c>
      <c r="AH350" s="16">
        <v>-16</v>
      </c>
      <c r="AI350" s="16">
        <v>0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</row>
    <row r="351" spans="1:49" ht="14.5" collapsed="1" x14ac:dyDescent="0.35">
      <c r="A351" s="6" t="s">
        <v>12</v>
      </c>
      <c r="B351" s="6" t="s">
        <v>10</v>
      </c>
      <c r="C351" s="6" t="s">
        <v>110</v>
      </c>
      <c r="D351" s="6" t="s">
        <v>72</v>
      </c>
      <c r="E351" s="6" t="s">
        <v>73</v>
      </c>
      <c r="F351" s="7">
        <f t="shared" ref="F351:AW351" si="33">SUM(F352)</f>
        <v>0</v>
      </c>
      <c r="G351" s="7">
        <f t="shared" si="33"/>
        <v>20</v>
      </c>
      <c r="H351" s="7">
        <f t="shared" si="33"/>
        <v>20</v>
      </c>
      <c r="I351" s="7">
        <f t="shared" si="33"/>
        <v>0</v>
      </c>
      <c r="J351" s="7">
        <f t="shared" si="33"/>
        <v>0</v>
      </c>
      <c r="K351" s="7">
        <f t="shared" si="33"/>
        <v>0</v>
      </c>
      <c r="L351" s="7">
        <f t="shared" si="33"/>
        <v>0</v>
      </c>
      <c r="M351" s="7">
        <f t="shared" si="33"/>
        <v>0</v>
      </c>
      <c r="N351" s="7">
        <f t="shared" si="33"/>
        <v>0</v>
      </c>
      <c r="O351" s="7">
        <f t="shared" si="33"/>
        <v>0</v>
      </c>
      <c r="P351" s="7">
        <f t="shared" si="33"/>
        <v>0</v>
      </c>
      <c r="Q351" s="7">
        <f t="shared" si="33"/>
        <v>10</v>
      </c>
      <c r="R351" s="7">
        <f t="shared" si="33"/>
        <v>10</v>
      </c>
      <c r="S351" s="7">
        <f t="shared" si="33"/>
        <v>0</v>
      </c>
      <c r="T351" s="7">
        <f t="shared" si="33"/>
        <v>0</v>
      </c>
      <c r="U351" s="7">
        <f t="shared" si="33"/>
        <v>0</v>
      </c>
      <c r="V351" s="7">
        <f t="shared" si="33"/>
        <v>0</v>
      </c>
      <c r="W351" s="7">
        <f t="shared" si="33"/>
        <v>0</v>
      </c>
      <c r="X351" s="7">
        <f t="shared" si="33"/>
        <v>0</v>
      </c>
      <c r="Y351" s="7">
        <f t="shared" si="33"/>
        <v>0</v>
      </c>
      <c r="Z351" s="7">
        <f t="shared" si="33"/>
        <v>0</v>
      </c>
      <c r="AA351" s="7">
        <f t="shared" si="33"/>
        <v>0</v>
      </c>
      <c r="AB351" s="7">
        <f t="shared" si="33"/>
        <v>0</v>
      </c>
      <c r="AC351" s="7">
        <f t="shared" si="33"/>
        <v>0</v>
      </c>
      <c r="AD351" s="7">
        <f t="shared" si="33"/>
        <v>0</v>
      </c>
      <c r="AE351" s="7">
        <f t="shared" si="33"/>
        <v>0</v>
      </c>
      <c r="AF351" s="7">
        <f t="shared" si="33"/>
        <v>0</v>
      </c>
      <c r="AG351" s="7">
        <f t="shared" si="33"/>
        <v>0</v>
      </c>
      <c r="AH351" s="7">
        <f t="shared" si="33"/>
        <v>0</v>
      </c>
      <c r="AI351" s="7">
        <f t="shared" si="33"/>
        <v>0</v>
      </c>
      <c r="AJ351" s="7">
        <f t="shared" si="33"/>
        <v>0</v>
      </c>
      <c r="AK351" s="7">
        <f t="shared" si="33"/>
        <v>0</v>
      </c>
      <c r="AL351" s="7">
        <f t="shared" si="33"/>
        <v>0</v>
      </c>
      <c r="AM351" s="7">
        <f t="shared" si="33"/>
        <v>0</v>
      </c>
      <c r="AN351" s="7">
        <f t="shared" si="33"/>
        <v>0</v>
      </c>
      <c r="AO351" s="7">
        <f t="shared" si="33"/>
        <v>0</v>
      </c>
      <c r="AP351" s="7">
        <f t="shared" si="33"/>
        <v>0</v>
      </c>
      <c r="AQ351" s="7">
        <f t="shared" si="33"/>
        <v>0</v>
      </c>
      <c r="AR351" s="7">
        <f t="shared" si="33"/>
        <v>0</v>
      </c>
      <c r="AS351" s="7">
        <f t="shared" si="33"/>
        <v>0</v>
      </c>
      <c r="AT351" s="7">
        <f t="shared" si="33"/>
        <v>0</v>
      </c>
      <c r="AU351" s="7">
        <f t="shared" si="33"/>
        <v>0</v>
      </c>
      <c r="AV351" s="7">
        <f t="shared" si="33"/>
        <v>0</v>
      </c>
      <c r="AW351" s="7">
        <f t="shared" si="33"/>
        <v>0</v>
      </c>
    </row>
    <row r="352" spans="1:49" ht="14.5" hidden="1" outlineLevel="1" x14ac:dyDescent="0.35">
      <c r="A352" t="s">
        <v>12</v>
      </c>
      <c r="B352" t="s">
        <v>10</v>
      </c>
      <c r="C352" t="s">
        <v>110</v>
      </c>
      <c r="D352" t="s">
        <v>85</v>
      </c>
      <c r="E352" t="s">
        <v>92</v>
      </c>
      <c r="F352" s="11">
        <v>0</v>
      </c>
      <c r="G352" s="11">
        <v>20</v>
      </c>
      <c r="H352" s="11">
        <v>20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10</v>
      </c>
      <c r="R352" s="11">
        <v>10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</row>
    <row r="353" spans="1:49" ht="14.5" hidden="1" outlineLevel="1" x14ac:dyDescent="0.35">
      <c r="A353" s="14" t="s">
        <v>12</v>
      </c>
      <c r="B353" s="14" t="s">
        <v>10</v>
      </c>
      <c r="C353" s="14" t="s">
        <v>110</v>
      </c>
      <c r="D353" s="14" t="s">
        <v>99</v>
      </c>
      <c r="E353" s="15" t="s">
        <v>92</v>
      </c>
      <c r="F353" s="16"/>
      <c r="G353" s="16"/>
      <c r="H353" s="16"/>
      <c r="I353" s="16"/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-10</v>
      </c>
      <c r="R353" s="16">
        <v>-10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</row>
    <row r="354" spans="1:49" ht="14.5" collapsed="1" x14ac:dyDescent="0.35">
      <c r="A354" s="6" t="s">
        <v>12</v>
      </c>
      <c r="B354" s="6" t="s">
        <v>10</v>
      </c>
      <c r="C354" s="6" t="s">
        <v>111</v>
      </c>
      <c r="D354" s="6" t="s">
        <v>72</v>
      </c>
      <c r="E354" s="6" t="s">
        <v>73</v>
      </c>
      <c r="F354" s="7">
        <f t="shared" ref="F354:AW354" si="34">SUM(F355)</f>
        <v>9</v>
      </c>
      <c r="G354" s="7">
        <f t="shared" si="34"/>
        <v>9</v>
      </c>
      <c r="H354" s="7">
        <f t="shared" si="34"/>
        <v>0</v>
      </c>
      <c r="I354" s="7">
        <f t="shared" si="34"/>
        <v>9</v>
      </c>
      <c r="J354" s="7">
        <f t="shared" si="34"/>
        <v>0</v>
      </c>
      <c r="K354" s="7">
        <f t="shared" si="34"/>
        <v>0</v>
      </c>
      <c r="L354" s="7">
        <f t="shared" si="34"/>
        <v>0</v>
      </c>
      <c r="M354" s="7">
        <f t="shared" si="34"/>
        <v>0</v>
      </c>
      <c r="N354" s="7">
        <f t="shared" si="34"/>
        <v>0</v>
      </c>
      <c r="O354" s="7">
        <f t="shared" si="34"/>
        <v>0</v>
      </c>
      <c r="P354" s="7">
        <f t="shared" si="34"/>
        <v>0</v>
      </c>
      <c r="Q354" s="7">
        <f t="shared" si="34"/>
        <v>0</v>
      </c>
      <c r="R354" s="7">
        <f t="shared" si="34"/>
        <v>0</v>
      </c>
      <c r="S354" s="7">
        <f t="shared" si="34"/>
        <v>0</v>
      </c>
      <c r="T354" s="7">
        <f t="shared" si="34"/>
        <v>0</v>
      </c>
      <c r="U354" s="7">
        <f t="shared" si="34"/>
        <v>0</v>
      </c>
      <c r="V354" s="7">
        <f t="shared" si="34"/>
        <v>0</v>
      </c>
      <c r="W354" s="7">
        <f t="shared" si="34"/>
        <v>0</v>
      </c>
      <c r="X354" s="7">
        <f t="shared" si="34"/>
        <v>0</v>
      </c>
      <c r="Y354" s="7">
        <f t="shared" si="34"/>
        <v>0</v>
      </c>
      <c r="Z354" s="7">
        <f t="shared" si="34"/>
        <v>0</v>
      </c>
      <c r="AA354" s="7">
        <f t="shared" si="34"/>
        <v>0</v>
      </c>
      <c r="AB354" s="7">
        <f t="shared" si="34"/>
        <v>0</v>
      </c>
      <c r="AC354" s="7">
        <f t="shared" si="34"/>
        <v>0</v>
      </c>
      <c r="AD354" s="7">
        <f t="shared" si="34"/>
        <v>0</v>
      </c>
      <c r="AE354" s="7">
        <f t="shared" si="34"/>
        <v>0</v>
      </c>
      <c r="AF354" s="7">
        <f t="shared" si="34"/>
        <v>0</v>
      </c>
      <c r="AG354" s="7">
        <f t="shared" si="34"/>
        <v>0</v>
      </c>
      <c r="AH354" s="7">
        <f t="shared" si="34"/>
        <v>0</v>
      </c>
      <c r="AI354" s="7">
        <f t="shared" si="34"/>
        <v>0</v>
      </c>
      <c r="AJ354" s="7">
        <f t="shared" si="34"/>
        <v>0</v>
      </c>
      <c r="AK354" s="7">
        <f t="shared" si="34"/>
        <v>0</v>
      </c>
      <c r="AL354" s="7">
        <f t="shared" si="34"/>
        <v>0</v>
      </c>
      <c r="AM354" s="7">
        <f t="shared" si="34"/>
        <v>0</v>
      </c>
      <c r="AN354" s="7">
        <f t="shared" si="34"/>
        <v>0</v>
      </c>
      <c r="AO354" s="7">
        <f t="shared" si="34"/>
        <v>0</v>
      </c>
      <c r="AP354" s="7">
        <f t="shared" si="34"/>
        <v>0</v>
      </c>
      <c r="AQ354" s="7">
        <f t="shared" si="34"/>
        <v>0</v>
      </c>
      <c r="AR354" s="7">
        <f t="shared" si="34"/>
        <v>0</v>
      </c>
      <c r="AS354" s="7">
        <f t="shared" si="34"/>
        <v>0</v>
      </c>
      <c r="AT354" s="7">
        <f t="shared" si="34"/>
        <v>0</v>
      </c>
      <c r="AU354" s="7">
        <f t="shared" si="34"/>
        <v>0</v>
      </c>
      <c r="AV354" s="7">
        <f t="shared" si="34"/>
        <v>0</v>
      </c>
      <c r="AW354" s="7">
        <f t="shared" si="34"/>
        <v>0</v>
      </c>
    </row>
    <row r="355" spans="1:49" ht="14.5" hidden="1" outlineLevel="1" x14ac:dyDescent="0.35">
      <c r="A355" t="s">
        <v>12</v>
      </c>
      <c r="B355" t="s">
        <v>10</v>
      </c>
      <c r="C355" t="s">
        <v>111</v>
      </c>
      <c r="D355" t="s">
        <v>85</v>
      </c>
      <c r="E355" t="s">
        <v>87</v>
      </c>
      <c r="F355" s="11">
        <v>9</v>
      </c>
      <c r="G355" s="11">
        <v>9</v>
      </c>
      <c r="H355" s="11">
        <v>0</v>
      </c>
      <c r="I355" s="11">
        <v>9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</row>
    <row r="356" spans="1:49" ht="14.5" collapsed="1" x14ac:dyDescent="0.35">
      <c r="A356" s="6" t="s">
        <v>12</v>
      </c>
      <c r="B356" s="6" t="s">
        <v>10</v>
      </c>
      <c r="C356" s="6" t="s">
        <v>135</v>
      </c>
      <c r="D356" s="6" t="s">
        <v>72</v>
      </c>
      <c r="E356" s="6" t="s">
        <v>73</v>
      </c>
      <c r="F356" s="7">
        <f t="shared" ref="F356:AW356" si="35">SUM(F357,F358)</f>
        <v>33.1</v>
      </c>
      <c r="G356" s="7">
        <f t="shared" si="35"/>
        <v>33.1</v>
      </c>
      <c r="H356" s="7">
        <f t="shared" si="35"/>
        <v>0</v>
      </c>
      <c r="I356" s="7">
        <f t="shared" si="35"/>
        <v>33.1</v>
      </c>
      <c r="J356" s="7">
        <f t="shared" si="35"/>
        <v>0</v>
      </c>
      <c r="K356" s="7">
        <f t="shared" si="35"/>
        <v>0</v>
      </c>
      <c r="L356" s="7">
        <f t="shared" si="35"/>
        <v>0</v>
      </c>
      <c r="M356" s="7">
        <f t="shared" si="35"/>
        <v>0</v>
      </c>
      <c r="N356" s="7">
        <f t="shared" si="35"/>
        <v>0</v>
      </c>
      <c r="O356" s="7">
        <f t="shared" si="35"/>
        <v>0</v>
      </c>
      <c r="P356" s="7">
        <f t="shared" si="35"/>
        <v>0</v>
      </c>
      <c r="Q356" s="7">
        <f t="shared" si="35"/>
        <v>0</v>
      </c>
      <c r="R356" s="7">
        <f t="shared" si="35"/>
        <v>0</v>
      </c>
      <c r="S356" s="7">
        <f t="shared" si="35"/>
        <v>0</v>
      </c>
      <c r="T356" s="7">
        <f t="shared" si="35"/>
        <v>0</v>
      </c>
      <c r="U356" s="7">
        <f t="shared" si="35"/>
        <v>0</v>
      </c>
      <c r="V356" s="7">
        <f t="shared" si="35"/>
        <v>0</v>
      </c>
      <c r="W356" s="7">
        <f t="shared" si="35"/>
        <v>0</v>
      </c>
      <c r="X356" s="7">
        <f t="shared" si="35"/>
        <v>0</v>
      </c>
      <c r="Y356" s="7">
        <f t="shared" si="35"/>
        <v>0</v>
      </c>
      <c r="Z356" s="7">
        <f t="shared" si="35"/>
        <v>0</v>
      </c>
      <c r="AA356" s="7">
        <f t="shared" si="35"/>
        <v>0</v>
      </c>
      <c r="AB356" s="7">
        <f t="shared" si="35"/>
        <v>0</v>
      </c>
      <c r="AC356" s="7">
        <f t="shared" si="35"/>
        <v>0</v>
      </c>
      <c r="AD356" s="7">
        <f t="shared" si="35"/>
        <v>0</v>
      </c>
      <c r="AE356" s="7">
        <f t="shared" si="35"/>
        <v>0</v>
      </c>
      <c r="AF356" s="7">
        <f t="shared" si="35"/>
        <v>0</v>
      </c>
      <c r="AG356" s="7">
        <f t="shared" si="35"/>
        <v>0</v>
      </c>
      <c r="AH356" s="7">
        <f t="shared" si="35"/>
        <v>0</v>
      </c>
      <c r="AI356" s="7">
        <f t="shared" si="35"/>
        <v>0</v>
      </c>
      <c r="AJ356" s="7">
        <f t="shared" si="35"/>
        <v>0</v>
      </c>
      <c r="AK356" s="7">
        <f t="shared" si="35"/>
        <v>0</v>
      </c>
      <c r="AL356" s="7">
        <f t="shared" si="35"/>
        <v>0</v>
      </c>
      <c r="AM356" s="7">
        <f t="shared" si="35"/>
        <v>0</v>
      </c>
      <c r="AN356" s="7">
        <f t="shared" si="35"/>
        <v>0</v>
      </c>
      <c r="AO356" s="7">
        <f t="shared" si="35"/>
        <v>0</v>
      </c>
      <c r="AP356" s="7">
        <f t="shared" si="35"/>
        <v>0</v>
      </c>
      <c r="AQ356" s="7">
        <f t="shared" si="35"/>
        <v>0</v>
      </c>
      <c r="AR356" s="7">
        <f t="shared" si="35"/>
        <v>0</v>
      </c>
      <c r="AS356" s="7">
        <f t="shared" si="35"/>
        <v>0</v>
      </c>
      <c r="AT356" s="7">
        <f t="shared" si="35"/>
        <v>0</v>
      </c>
      <c r="AU356" s="7">
        <f t="shared" si="35"/>
        <v>0</v>
      </c>
      <c r="AV356" s="7">
        <f t="shared" si="35"/>
        <v>0</v>
      </c>
      <c r="AW356" s="7">
        <f t="shared" si="35"/>
        <v>0</v>
      </c>
    </row>
    <row r="357" spans="1:49" ht="14.5" hidden="1" outlineLevel="1" x14ac:dyDescent="0.35">
      <c r="A357" t="s">
        <v>12</v>
      </c>
      <c r="B357" t="s">
        <v>10</v>
      </c>
      <c r="C357" t="s">
        <v>135</v>
      </c>
      <c r="D357" t="s">
        <v>85</v>
      </c>
      <c r="E357" t="s">
        <v>87</v>
      </c>
      <c r="F357" s="11">
        <v>7</v>
      </c>
      <c r="G357" s="11">
        <v>7</v>
      </c>
      <c r="H357" s="11">
        <v>0</v>
      </c>
      <c r="I357" s="11">
        <v>7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</row>
    <row r="358" spans="1:49" ht="14.5" hidden="1" outlineLevel="1" x14ac:dyDescent="0.35">
      <c r="A358" t="s">
        <v>12</v>
      </c>
      <c r="B358" t="s">
        <v>10</v>
      </c>
      <c r="C358" t="s">
        <v>135</v>
      </c>
      <c r="D358" t="s">
        <v>85</v>
      </c>
      <c r="E358" t="s">
        <v>90</v>
      </c>
      <c r="F358" s="11">
        <v>26.1</v>
      </c>
      <c r="G358" s="11">
        <v>26.1</v>
      </c>
      <c r="H358" s="11">
        <v>0</v>
      </c>
      <c r="I358" s="11">
        <v>26.1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</row>
    <row r="359" spans="1:49" ht="14.5" collapsed="1" x14ac:dyDescent="0.35">
      <c r="A359" s="6" t="s">
        <v>12</v>
      </c>
      <c r="B359" s="6" t="s">
        <v>10</v>
      </c>
      <c r="C359" s="6" t="s">
        <v>112</v>
      </c>
      <c r="D359" s="6" t="s">
        <v>72</v>
      </c>
      <c r="E359" s="6" t="s">
        <v>73</v>
      </c>
      <c r="F359" s="7">
        <f t="shared" ref="F359:AW359" si="36">SUM(F360,F361)</f>
        <v>60</v>
      </c>
      <c r="G359" s="7">
        <f t="shared" si="36"/>
        <v>60</v>
      </c>
      <c r="H359" s="7">
        <f t="shared" si="36"/>
        <v>0</v>
      </c>
      <c r="I359" s="7">
        <f t="shared" si="36"/>
        <v>60</v>
      </c>
      <c r="J359" s="7">
        <f t="shared" si="36"/>
        <v>0</v>
      </c>
      <c r="K359" s="7">
        <f t="shared" si="36"/>
        <v>0</v>
      </c>
      <c r="L359" s="7">
        <f t="shared" si="36"/>
        <v>0</v>
      </c>
      <c r="M359" s="7">
        <f t="shared" si="36"/>
        <v>0</v>
      </c>
      <c r="N359" s="7">
        <f t="shared" si="36"/>
        <v>0</v>
      </c>
      <c r="O359" s="7">
        <f t="shared" si="36"/>
        <v>0</v>
      </c>
      <c r="P359" s="7">
        <f t="shared" si="36"/>
        <v>0</v>
      </c>
      <c r="Q359" s="7">
        <f t="shared" si="36"/>
        <v>0</v>
      </c>
      <c r="R359" s="7">
        <f t="shared" si="36"/>
        <v>0</v>
      </c>
      <c r="S359" s="7">
        <f t="shared" si="36"/>
        <v>0</v>
      </c>
      <c r="T359" s="7">
        <f t="shared" si="36"/>
        <v>0</v>
      </c>
      <c r="U359" s="7">
        <f t="shared" si="36"/>
        <v>0</v>
      </c>
      <c r="V359" s="7">
        <f t="shared" si="36"/>
        <v>0</v>
      </c>
      <c r="W359" s="7">
        <f t="shared" si="36"/>
        <v>0</v>
      </c>
      <c r="X359" s="7">
        <f t="shared" si="36"/>
        <v>0</v>
      </c>
      <c r="Y359" s="7">
        <f t="shared" si="36"/>
        <v>0</v>
      </c>
      <c r="Z359" s="7">
        <f t="shared" si="36"/>
        <v>0</v>
      </c>
      <c r="AA359" s="7">
        <f t="shared" si="36"/>
        <v>0</v>
      </c>
      <c r="AB359" s="7">
        <f t="shared" si="36"/>
        <v>0</v>
      </c>
      <c r="AC359" s="7">
        <f t="shared" si="36"/>
        <v>0</v>
      </c>
      <c r="AD359" s="7">
        <f t="shared" si="36"/>
        <v>0</v>
      </c>
      <c r="AE359" s="7">
        <f t="shared" si="36"/>
        <v>0</v>
      </c>
      <c r="AF359" s="7">
        <f t="shared" si="36"/>
        <v>0</v>
      </c>
      <c r="AG359" s="7">
        <f t="shared" si="36"/>
        <v>0</v>
      </c>
      <c r="AH359" s="7">
        <f t="shared" si="36"/>
        <v>0</v>
      </c>
      <c r="AI359" s="7">
        <f t="shared" si="36"/>
        <v>0</v>
      </c>
      <c r="AJ359" s="7">
        <f t="shared" si="36"/>
        <v>0</v>
      </c>
      <c r="AK359" s="7">
        <f t="shared" si="36"/>
        <v>0</v>
      </c>
      <c r="AL359" s="7">
        <f t="shared" si="36"/>
        <v>0</v>
      </c>
      <c r="AM359" s="7">
        <f t="shared" si="36"/>
        <v>0</v>
      </c>
      <c r="AN359" s="7">
        <f t="shared" si="36"/>
        <v>0</v>
      </c>
      <c r="AO359" s="7">
        <f t="shared" si="36"/>
        <v>0</v>
      </c>
      <c r="AP359" s="7">
        <f t="shared" si="36"/>
        <v>0</v>
      </c>
      <c r="AQ359" s="7">
        <f t="shared" si="36"/>
        <v>0</v>
      </c>
      <c r="AR359" s="7">
        <f t="shared" si="36"/>
        <v>0</v>
      </c>
      <c r="AS359" s="7">
        <f t="shared" si="36"/>
        <v>0</v>
      </c>
      <c r="AT359" s="7">
        <f t="shared" si="36"/>
        <v>0</v>
      </c>
      <c r="AU359" s="7">
        <f t="shared" si="36"/>
        <v>0</v>
      </c>
      <c r="AV359" s="7">
        <f t="shared" si="36"/>
        <v>0</v>
      </c>
      <c r="AW359" s="7">
        <f t="shared" si="36"/>
        <v>0</v>
      </c>
    </row>
    <row r="360" spans="1:49" ht="14.5" hidden="1" outlineLevel="1" x14ac:dyDescent="0.35">
      <c r="A360" t="s">
        <v>12</v>
      </c>
      <c r="B360" t="s">
        <v>10</v>
      </c>
      <c r="C360" t="s">
        <v>112</v>
      </c>
      <c r="D360" t="s">
        <v>85</v>
      </c>
      <c r="E360" t="s">
        <v>87</v>
      </c>
      <c r="F360" s="11">
        <v>18</v>
      </c>
      <c r="G360" s="11">
        <v>18</v>
      </c>
      <c r="H360" s="11">
        <v>0</v>
      </c>
      <c r="I360" s="11">
        <v>18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</row>
    <row r="361" spans="1:49" ht="14.5" hidden="1" outlineLevel="1" x14ac:dyDescent="0.35">
      <c r="A361" t="s">
        <v>12</v>
      </c>
      <c r="B361" t="s">
        <v>10</v>
      </c>
      <c r="C361" t="s">
        <v>112</v>
      </c>
      <c r="D361" t="s">
        <v>85</v>
      </c>
      <c r="E361" t="s">
        <v>90</v>
      </c>
      <c r="F361" s="11">
        <v>42</v>
      </c>
      <c r="G361" s="11">
        <v>42</v>
      </c>
      <c r="H361" s="11">
        <v>0</v>
      </c>
      <c r="I361" s="11">
        <v>42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</row>
    <row r="362" spans="1:49" ht="14.5" collapsed="1" x14ac:dyDescent="0.35">
      <c r="A362" s="6" t="s">
        <v>12</v>
      </c>
      <c r="B362" s="6" t="s">
        <v>10</v>
      </c>
      <c r="C362" s="6" t="s">
        <v>114</v>
      </c>
      <c r="D362" s="6" t="s">
        <v>72</v>
      </c>
      <c r="E362" s="6" t="s">
        <v>73</v>
      </c>
      <c r="F362" s="7">
        <f t="shared" ref="F362:AW362" si="37">SUM(F363,F364)</f>
        <v>39</v>
      </c>
      <c r="G362" s="7">
        <f t="shared" si="37"/>
        <v>39</v>
      </c>
      <c r="H362" s="7">
        <f t="shared" si="37"/>
        <v>0</v>
      </c>
      <c r="I362" s="7">
        <f t="shared" si="37"/>
        <v>39</v>
      </c>
      <c r="J362" s="7">
        <f t="shared" si="37"/>
        <v>0</v>
      </c>
      <c r="K362" s="7">
        <f t="shared" si="37"/>
        <v>0</v>
      </c>
      <c r="L362" s="7">
        <f t="shared" si="37"/>
        <v>0</v>
      </c>
      <c r="M362" s="7">
        <f t="shared" si="37"/>
        <v>0</v>
      </c>
      <c r="N362" s="7">
        <f t="shared" si="37"/>
        <v>0</v>
      </c>
      <c r="O362" s="7">
        <f t="shared" si="37"/>
        <v>0</v>
      </c>
      <c r="P362" s="7">
        <f t="shared" si="37"/>
        <v>0</v>
      </c>
      <c r="Q362" s="7">
        <f t="shared" si="37"/>
        <v>0</v>
      </c>
      <c r="R362" s="7">
        <f t="shared" si="37"/>
        <v>0</v>
      </c>
      <c r="S362" s="7">
        <f t="shared" si="37"/>
        <v>0</v>
      </c>
      <c r="T362" s="7">
        <f t="shared" si="37"/>
        <v>0</v>
      </c>
      <c r="U362" s="7">
        <f t="shared" si="37"/>
        <v>0</v>
      </c>
      <c r="V362" s="7">
        <f t="shared" si="37"/>
        <v>0</v>
      </c>
      <c r="W362" s="7">
        <f t="shared" si="37"/>
        <v>0</v>
      </c>
      <c r="X362" s="7">
        <f t="shared" si="37"/>
        <v>0</v>
      </c>
      <c r="Y362" s="7">
        <f t="shared" si="37"/>
        <v>0</v>
      </c>
      <c r="Z362" s="7">
        <f t="shared" si="37"/>
        <v>0</v>
      </c>
      <c r="AA362" s="7">
        <f t="shared" si="37"/>
        <v>0</v>
      </c>
      <c r="AB362" s="7">
        <f t="shared" si="37"/>
        <v>0</v>
      </c>
      <c r="AC362" s="7">
        <f t="shared" si="37"/>
        <v>0</v>
      </c>
      <c r="AD362" s="7">
        <f t="shared" si="37"/>
        <v>0</v>
      </c>
      <c r="AE362" s="7">
        <f t="shared" si="37"/>
        <v>0</v>
      </c>
      <c r="AF362" s="7">
        <f t="shared" si="37"/>
        <v>0</v>
      </c>
      <c r="AG362" s="7">
        <f t="shared" si="37"/>
        <v>0</v>
      </c>
      <c r="AH362" s="7">
        <f t="shared" si="37"/>
        <v>0</v>
      </c>
      <c r="AI362" s="7">
        <f t="shared" si="37"/>
        <v>0</v>
      </c>
      <c r="AJ362" s="7">
        <f t="shared" si="37"/>
        <v>0</v>
      </c>
      <c r="AK362" s="7">
        <f t="shared" si="37"/>
        <v>0</v>
      </c>
      <c r="AL362" s="7">
        <f t="shared" si="37"/>
        <v>0</v>
      </c>
      <c r="AM362" s="7">
        <f t="shared" si="37"/>
        <v>0</v>
      </c>
      <c r="AN362" s="7">
        <f t="shared" si="37"/>
        <v>0</v>
      </c>
      <c r="AO362" s="7">
        <f t="shared" si="37"/>
        <v>0</v>
      </c>
      <c r="AP362" s="7">
        <f t="shared" si="37"/>
        <v>0</v>
      </c>
      <c r="AQ362" s="7">
        <f t="shared" si="37"/>
        <v>0</v>
      </c>
      <c r="AR362" s="7">
        <f t="shared" si="37"/>
        <v>0</v>
      </c>
      <c r="AS362" s="7">
        <f t="shared" si="37"/>
        <v>0</v>
      </c>
      <c r="AT362" s="7">
        <f t="shared" si="37"/>
        <v>0</v>
      </c>
      <c r="AU362" s="7">
        <f t="shared" si="37"/>
        <v>0</v>
      </c>
      <c r="AV362" s="7">
        <f t="shared" si="37"/>
        <v>0</v>
      </c>
      <c r="AW362" s="7">
        <f t="shared" si="37"/>
        <v>0</v>
      </c>
    </row>
    <row r="363" spans="1:49" ht="14.5" hidden="1" outlineLevel="1" x14ac:dyDescent="0.35">
      <c r="A363" t="s">
        <v>12</v>
      </c>
      <c r="B363" t="s">
        <v>10</v>
      </c>
      <c r="C363" t="s">
        <v>114</v>
      </c>
      <c r="D363" t="s">
        <v>85</v>
      </c>
      <c r="E363" t="s">
        <v>90</v>
      </c>
      <c r="F363" s="11">
        <v>32</v>
      </c>
      <c r="G363" s="11">
        <v>32</v>
      </c>
      <c r="H363" s="11">
        <v>0</v>
      </c>
      <c r="I363" s="11">
        <v>32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</row>
    <row r="364" spans="1:49" ht="14.5" hidden="1" outlineLevel="1" x14ac:dyDescent="0.35">
      <c r="A364" t="s">
        <v>12</v>
      </c>
      <c r="B364" t="s">
        <v>10</v>
      </c>
      <c r="C364" t="s">
        <v>114</v>
      </c>
      <c r="D364" t="s">
        <v>85</v>
      </c>
      <c r="E364" t="s">
        <v>113</v>
      </c>
      <c r="F364" s="11">
        <v>7</v>
      </c>
      <c r="G364" s="11">
        <v>7</v>
      </c>
      <c r="H364" s="11">
        <v>0</v>
      </c>
      <c r="I364" s="11">
        <v>7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</row>
    <row r="365" spans="1:49" ht="14.5" collapsed="1" x14ac:dyDescent="0.35">
      <c r="A365" s="6" t="s">
        <v>12</v>
      </c>
      <c r="B365" s="6" t="s">
        <v>10</v>
      </c>
      <c r="C365" s="6" t="s">
        <v>115</v>
      </c>
      <c r="D365" s="6" t="s">
        <v>72</v>
      </c>
      <c r="E365" s="6" t="s">
        <v>73</v>
      </c>
      <c r="F365" s="7">
        <f t="shared" ref="F365:AW365" si="38">SUM(F366)</f>
        <v>4</v>
      </c>
      <c r="G365" s="7">
        <f t="shared" si="38"/>
        <v>4</v>
      </c>
      <c r="H365" s="7">
        <f t="shared" si="38"/>
        <v>0</v>
      </c>
      <c r="I365" s="7">
        <f t="shared" si="38"/>
        <v>4</v>
      </c>
      <c r="J365" s="7">
        <f t="shared" si="38"/>
        <v>0</v>
      </c>
      <c r="K365" s="7">
        <f t="shared" si="38"/>
        <v>0</v>
      </c>
      <c r="L365" s="7">
        <f t="shared" si="38"/>
        <v>0</v>
      </c>
      <c r="M365" s="7">
        <f t="shared" si="38"/>
        <v>0</v>
      </c>
      <c r="N365" s="7">
        <f t="shared" si="38"/>
        <v>0</v>
      </c>
      <c r="O365" s="7">
        <f t="shared" si="38"/>
        <v>0</v>
      </c>
      <c r="P365" s="7">
        <f t="shared" si="38"/>
        <v>0</v>
      </c>
      <c r="Q365" s="7">
        <f t="shared" si="38"/>
        <v>0</v>
      </c>
      <c r="R365" s="7">
        <f t="shared" si="38"/>
        <v>0</v>
      </c>
      <c r="S365" s="7">
        <f t="shared" si="38"/>
        <v>0</v>
      </c>
      <c r="T365" s="7">
        <f t="shared" si="38"/>
        <v>0</v>
      </c>
      <c r="U365" s="7">
        <f t="shared" si="38"/>
        <v>0</v>
      </c>
      <c r="V365" s="7">
        <f t="shared" si="38"/>
        <v>0</v>
      </c>
      <c r="W365" s="7">
        <f t="shared" si="38"/>
        <v>0</v>
      </c>
      <c r="X365" s="7">
        <f t="shared" si="38"/>
        <v>0</v>
      </c>
      <c r="Y365" s="7">
        <f t="shared" si="38"/>
        <v>0</v>
      </c>
      <c r="Z365" s="7">
        <f t="shared" si="38"/>
        <v>0</v>
      </c>
      <c r="AA365" s="7">
        <f t="shared" si="38"/>
        <v>0</v>
      </c>
      <c r="AB365" s="7">
        <f t="shared" si="38"/>
        <v>0</v>
      </c>
      <c r="AC365" s="7">
        <f t="shared" si="38"/>
        <v>0</v>
      </c>
      <c r="AD365" s="7">
        <f t="shared" si="38"/>
        <v>0</v>
      </c>
      <c r="AE365" s="7">
        <f t="shared" si="38"/>
        <v>0</v>
      </c>
      <c r="AF365" s="7">
        <f t="shared" si="38"/>
        <v>0</v>
      </c>
      <c r="AG365" s="7">
        <f t="shared" si="38"/>
        <v>0</v>
      </c>
      <c r="AH365" s="7">
        <f t="shared" si="38"/>
        <v>0</v>
      </c>
      <c r="AI365" s="7">
        <f t="shared" si="38"/>
        <v>0</v>
      </c>
      <c r="AJ365" s="7">
        <f t="shared" si="38"/>
        <v>0</v>
      </c>
      <c r="AK365" s="7">
        <f t="shared" si="38"/>
        <v>0</v>
      </c>
      <c r="AL365" s="7">
        <f t="shared" si="38"/>
        <v>0</v>
      </c>
      <c r="AM365" s="7">
        <f t="shared" si="38"/>
        <v>0</v>
      </c>
      <c r="AN365" s="7">
        <f t="shared" si="38"/>
        <v>0</v>
      </c>
      <c r="AO365" s="7">
        <f t="shared" si="38"/>
        <v>0</v>
      </c>
      <c r="AP365" s="7">
        <f t="shared" si="38"/>
        <v>0</v>
      </c>
      <c r="AQ365" s="7">
        <f t="shared" si="38"/>
        <v>0</v>
      </c>
      <c r="AR365" s="7">
        <f t="shared" si="38"/>
        <v>0</v>
      </c>
      <c r="AS365" s="7">
        <f t="shared" si="38"/>
        <v>0</v>
      </c>
      <c r="AT365" s="7">
        <f t="shared" si="38"/>
        <v>0</v>
      </c>
      <c r="AU365" s="7">
        <f t="shared" si="38"/>
        <v>0</v>
      </c>
      <c r="AV365" s="7">
        <f t="shared" si="38"/>
        <v>0</v>
      </c>
      <c r="AW365" s="7">
        <f t="shared" si="38"/>
        <v>0</v>
      </c>
    </row>
    <row r="366" spans="1:49" ht="14.5" hidden="1" outlineLevel="1" x14ac:dyDescent="0.35">
      <c r="A366" t="s">
        <v>12</v>
      </c>
      <c r="B366" t="s">
        <v>10</v>
      </c>
      <c r="C366" t="s">
        <v>115</v>
      </c>
      <c r="D366" t="s">
        <v>85</v>
      </c>
      <c r="E366" t="s">
        <v>90</v>
      </c>
      <c r="F366" s="11">
        <v>4</v>
      </c>
      <c r="G366" s="11">
        <v>4</v>
      </c>
      <c r="H366" s="11">
        <v>0</v>
      </c>
      <c r="I366" s="11">
        <v>4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</row>
    <row r="367" spans="1:49" ht="14.5" collapsed="1" x14ac:dyDescent="0.35">
      <c r="A367" s="6" t="s">
        <v>12</v>
      </c>
      <c r="B367" s="6" t="s">
        <v>10</v>
      </c>
      <c r="C367" s="6" t="s">
        <v>116</v>
      </c>
      <c r="D367" s="6" t="s">
        <v>72</v>
      </c>
      <c r="E367" s="6" t="s">
        <v>73</v>
      </c>
      <c r="F367" s="7">
        <f t="shared" ref="F367:AW367" si="39">SUM(F368)</f>
        <v>18</v>
      </c>
      <c r="G367" s="7">
        <f t="shared" si="39"/>
        <v>18</v>
      </c>
      <c r="H367" s="7">
        <f t="shared" si="39"/>
        <v>0</v>
      </c>
      <c r="I367" s="7">
        <f t="shared" si="39"/>
        <v>18</v>
      </c>
      <c r="J367" s="7">
        <f t="shared" si="39"/>
        <v>0</v>
      </c>
      <c r="K367" s="7">
        <f t="shared" si="39"/>
        <v>0</v>
      </c>
      <c r="L367" s="7">
        <f t="shared" si="39"/>
        <v>0</v>
      </c>
      <c r="M367" s="7">
        <f t="shared" si="39"/>
        <v>0</v>
      </c>
      <c r="N367" s="7">
        <f t="shared" si="39"/>
        <v>0</v>
      </c>
      <c r="O367" s="7">
        <f t="shared" si="39"/>
        <v>0</v>
      </c>
      <c r="P367" s="7">
        <f t="shared" si="39"/>
        <v>0</v>
      </c>
      <c r="Q367" s="7">
        <f t="shared" si="39"/>
        <v>0</v>
      </c>
      <c r="R367" s="7">
        <f t="shared" si="39"/>
        <v>0</v>
      </c>
      <c r="S367" s="7">
        <f t="shared" si="39"/>
        <v>0</v>
      </c>
      <c r="T367" s="7">
        <f t="shared" si="39"/>
        <v>0</v>
      </c>
      <c r="U367" s="7">
        <f t="shared" si="39"/>
        <v>0</v>
      </c>
      <c r="V367" s="7">
        <f t="shared" si="39"/>
        <v>0</v>
      </c>
      <c r="W367" s="7">
        <f t="shared" si="39"/>
        <v>0</v>
      </c>
      <c r="X367" s="7">
        <f t="shared" si="39"/>
        <v>0</v>
      </c>
      <c r="Y367" s="7">
        <f t="shared" si="39"/>
        <v>0</v>
      </c>
      <c r="Z367" s="7">
        <f t="shared" si="39"/>
        <v>0</v>
      </c>
      <c r="AA367" s="7">
        <f t="shared" si="39"/>
        <v>0</v>
      </c>
      <c r="AB367" s="7">
        <f t="shared" si="39"/>
        <v>0</v>
      </c>
      <c r="AC367" s="7">
        <f t="shared" si="39"/>
        <v>0</v>
      </c>
      <c r="AD367" s="7">
        <f t="shared" si="39"/>
        <v>0</v>
      </c>
      <c r="AE367" s="7">
        <f t="shared" si="39"/>
        <v>0</v>
      </c>
      <c r="AF367" s="7">
        <f t="shared" si="39"/>
        <v>0</v>
      </c>
      <c r="AG367" s="7">
        <f t="shared" si="39"/>
        <v>0</v>
      </c>
      <c r="AH367" s="7">
        <f t="shared" si="39"/>
        <v>0</v>
      </c>
      <c r="AI367" s="7">
        <f t="shared" si="39"/>
        <v>0</v>
      </c>
      <c r="AJ367" s="7">
        <f t="shared" si="39"/>
        <v>0</v>
      </c>
      <c r="AK367" s="7">
        <f t="shared" si="39"/>
        <v>0</v>
      </c>
      <c r="AL367" s="7">
        <f t="shared" si="39"/>
        <v>0</v>
      </c>
      <c r="AM367" s="7">
        <f t="shared" si="39"/>
        <v>0</v>
      </c>
      <c r="AN367" s="7">
        <f t="shared" si="39"/>
        <v>0</v>
      </c>
      <c r="AO367" s="7">
        <f t="shared" si="39"/>
        <v>0</v>
      </c>
      <c r="AP367" s="7">
        <f t="shared" si="39"/>
        <v>0</v>
      </c>
      <c r="AQ367" s="7">
        <f t="shared" si="39"/>
        <v>0</v>
      </c>
      <c r="AR367" s="7">
        <f t="shared" si="39"/>
        <v>0</v>
      </c>
      <c r="AS367" s="7">
        <f t="shared" si="39"/>
        <v>0</v>
      </c>
      <c r="AT367" s="7">
        <f t="shared" si="39"/>
        <v>0</v>
      </c>
      <c r="AU367" s="7">
        <f t="shared" si="39"/>
        <v>0</v>
      </c>
      <c r="AV367" s="7">
        <f t="shared" si="39"/>
        <v>0</v>
      </c>
      <c r="AW367" s="7">
        <f t="shared" si="39"/>
        <v>0</v>
      </c>
    </row>
    <row r="368" spans="1:49" ht="14.5" hidden="1" outlineLevel="1" x14ac:dyDescent="0.35">
      <c r="A368" t="s">
        <v>12</v>
      </c>
      <c r="B368" t="s">
        <v>10</v>
      </c>
      <c r="C368" t="s">
        <v>116</v>
      </c>
      <c r="D368" t="s">
        <v>85</v>
      </c>
      <c r="E368" t="s">
        <v>90</v>
      </c>
      <c r="F368" s="11">
        <v>18</v>
      </c>
      <c r="G368" s="11">
        <v>18</v>
      </c>
      <c r="H368" s="11">
        <v>0</v>
      </c>
      <c r="I368" s="11">
        <v>18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</row>
    <row r="369" spans="1:49" ht="14.5" collapsed="1" x14ac:dyDescent="0.35">
      <c r="A369" s="6" t="s">
        <v>12</v>
      </c>
      <c r="B369" s="6" t="s">
        <v>10</v>
      </c>
      <c r="C369" s="6" t="s">
        <v>118</v>
      </c>
      <c r="D369" s="6" t="s">
        <v>72</v>
      </c>
      <c r="E369" s="6" t="s">
        <v>73</v>
      </c>
      <c r="F369" s="7">
        <f t="shared" ref="F369:AW369" si="40">SUM(F370)</f>
        <v>47</v>
      </c>
      <c r="G369" s="7">
        <f t="shared" si="40"/>
        <v>47</v>
      </c>
      <c r="H369" s="7">
        <f t="shared" si="40"/>
        <v>0</v>
      </c>
      <c r="I369" s="7">
        <f t="shared" si="40"/>
        <v>47</v>
      </c>
      <c r="J369" s="7">
        <f t="shared" si="40"/>
        <v>0</v>
      </c>
      <c r="K369" s="7">
        <f t="shared" si="40"/>
        <v>0</v>
      </c>
      <c r="L369" s="7">
        <f t="shared" si="40"/>
        <v>0</v>
      </c>
      <c r="M369" s="7">
        <f t="shared" si="40"/>
        <v>0</v>
      </c>
      <c r="N369" s="7">
        <f t="shared" si="40"/>
        <v>0</v>
      </c>
      <c r="O369" s="7">
        <f t="shared" si="40"/>
        <v>0</v>
      </c>
      <c r="P369" s="7">
        <f t="shared" si="40"/>
        <v>0</v>
      </c>
      <c r="Q369" s="7">
        <f t="shared" si="40"/>
        <v>0</v>
      </c>
      <c r="R369" s="7">
        <f t="shared" si="40"/>
        <v>0</v>
      </c>
      <c r="S369" s="7">
        <f t="shared" si="40"/>
        <v>0</v>
      </c>
      <c r="T369" s="7">
        <f t="shared" si="40"/>
        <v>0</v>
      </c>
      <c r="U369" s="7">
        <f t="shared" si="40"/>
        <v>0</v>
      </c>
      <c r="V369" s="7">
        <f t="shared" si="40"/>
        <v>0</v>
      </c>
      <c r="W369" s="7">
        <f t="shared" si="40"/>
        <v>0</v>
      </c>
      <c r="X369" s="7">
        <f t="shared" si="40"/>
        <v>0</v>
      </c>
      <c r="Y369" s="7">
        <f t="shared" si="40"/>
        <v>0</v>
      </c>
      <c r="Z369" s="7">
        <f t="shared" si="40"/>
        <v>0</v>
      </c>
      <c r="AA369" s="7">
        <f t="shared" si="40"/>
        <v>0</v>
      </c>
      <c r="AB369" s="7">
        <f t="shared" si="40"/>
        <v>0</v>
      </c>
      <c r="AC369" s="7">
        <f t="shared" si="40"/>
        <v>0</v>
      </c>
      <c r="AD369" s="7">
        <f t="shared" si="40"/>
        <v>0</v>
      </c>
      <c r="AE369" s="7">
        <f t="shared" si="40"/>
        <v>0</v>
      </c>
      <c r="AF369" s="7">
        <f t="shared" si="40"/>
        <v>0</v>
      </c>
      <c r="AG369" s="7">
        <f t="shared" si="40"/>
        <v>0</v>
      </c>
      <c r="AH369" s="7">
        <f t="shared" si="40"/>
        <v>0</v>
      </c>
      <c r="AI369" s="7">
        <f t="shared" si="40"/>
        <v>0</v>
      </c>
      <c r="AJ369" s="7">
        <f t="shared" si="40"/>
        <v>0</v>
      </c>
      <c r="AK369" s="7">
        <f t="shared" si="40"/>
        <v>0</v>
      </c>
      <c r="AL369" s="7">
        <f t="shared" si="40"/>
        <v>0</v>
      </c>
      <c r="AM369" s="7">
        <f t="shared" si="40"/>
        <v>0</v>
      </c>
      <c r="AN369" s="7">
        <f t="shared" si="40"/>
        <v>0</v>
      </c>
      <c r="AO369" s="7">
        <f t="shared" si="40"/>
        <v>0</v>
      </c>
      <c r="AP369" s="7">
        <f t="shared" si="40"/>
        <v>0</v>
      </c>
      <c r="AQ369" s="7">
        <f t="shared" si="40"/>
        <v>0</v>
      </c>
      <c r="AR369" s="7">
        <f t="shared" si="40"/>
        <v>0</v>
      </c>
      <c r="AS369" s="7">
        <f t="shared" si="40"/>
        <v>0</v>
      </c>
      <c r="AT369" s="7">
        <f t="shared" si="40"/>
        <v>0</v>
      </c>
      <c r="AU369" s="7">
        <f t="shared" si="40"/>
        <v>0</v>
      </c>
      <c r="AV369" s="7">
        <f t="shared" si="40"/>
        <v>0</v>
      </c>
      <c r="AW369" s="7">
        <f t="shared" si="40"/>
        <v>0</v>
      </c>
    </row>
    <row r="370" spans="1:49" ht="14.5" hidden="1" outlineLevel="1" x14ac:dyDescent="0.35">
      <c r="A370" t="s">
        <v>12</v>
      </c>
      <c r="B370" t="s">
        <v>10</v>
      </c>
      <c r="C370" t="s">
        <v>118</v>
      </c>
      <c r="D370" t="s">
        <v>85</v>
      </c>
      <c r="E370" t="s">
        <v>102</v>
      </c>
      <c r="F370" s="11">
        <v>47</v>
      </c>
      <c r="G370" s="11">
        <v>47</v>
      </c>
      <c r="H370" s="11">
        <v>0</v>
      </c>
      <c r="I370" s="11">
        <v>47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</row>
    <row r="371" spans="1:49" ht="14.5" collapsed="1" x14ac:dyDescent="0.35">
      <c r="A371" s="6" t="s">
        <v>12</v>
      </c>
      <c r="B371" s="6" t="s">
        <v>10</v>
      </c>
      <c r="C371" s="6" t="s">
        <v>136</v>
      </c>
      <c r="D371" s="6" t="s">
        <v>72</v>
      </c>
      <c r="E371" s="6" t="s">
        <v>73</v>
      </c>
      <c r="F371" s="7">
        <f t="shared" ref="F371:AW371" si="41">SUM(F372)</f>
        <v>53.2</v>
      </c>
      <c r="G371" s="7">
        <f t="shared" si="41"/>
        <v>53.2</v>
      </c>
      <c r="H371" s="7">
        <f t="shared" si="41"/>
        <v>0</v>
      </c>
      <c r="I371" s="7">
        <f t="shared" si="41"/>
        <v>53.2</v>
      </c>
      <c r="J371" s="7">
        <f t="shared" si="41"/>
        <v>0</v>
      </c>
      <c r="K371" s="7">
        <f t="shared" si="41"/>
        <v>0</v>
      </c>
      <c r="L371" s="7">
        <f t="shared" si="41"/>
        <v>0</v>
      </c>
      <c r="M371" s="7">
        <f t="shared" si="41"/>
        <v>0</v>
      </c>
      <c r="N371" s="7">
        <f t="shared" si="41"/>
        <v>0</v>
      </c>
      <c r="O371" s="7">
        <f t="shared" si="41"/>
        <v>0</v>
      </c>
      <c r="P371" s="7">
        <f t="shared" si="41"/>
        <v>0</v>
      </c>
      <c r="Q371" s="7">
        <f t="shared" si="41"/>
        <v>0</v>
      </c>
      <c r="R371" s="7">
        <f t="shared" si="41"/>
        <v>0</v>
      </c>
      <c r="S371" s="7">
        <f t="shared" si="41"/>
        <v>0</v>
      </c>
      <c r="T371" s="7">
        <f t="shared" si="41"/>
        <v>0</v>
      </c>
      <c r="U371" s="7">
        <f t="shared" si="41"/>
        <v>0</v>
      </c>
      <c r="V371" s="7">
        <f t="shared" si="41"/>
        <v>0</v>
      </c>
      <c r="W371" s="7">
        <f t="shared" si="41"/>
        <v>0</v>
      </c>
      <c r="X371" s="7">
        <f t="shared" si="41"/>
        <v>0</v>
      </c>
      <c r="Y371" s="7">
        <f t="shared" si="41"/>
        <v>0</v>
      </c>
      <c r="Z371" s="7">
        <f t="shared" si="41"/>
        <v>0</v>
      </c>
      <c r="AA371" s="7">
        <f t="shared" si="41"/>
        <v>0</v>
      </c>
      <c r="AB371" s="7">
        <f t="shared" si="41"/>
        <v>0</v>
      </c>
      <c r="AC371" s="7">
        <f t="shared" si="41"/>
        <v>0</v>
      </c>
      <c r="AD371" s="7">
        <f t="shared" si="41"/>
        <v>0</v>
      </c>
      <c r="AE371" s="7">
        <f t="shared" si="41"/>
        <v>0</v>
      </c>
      <c r="AF371" s="7">
        <f t="shared" si="41"/>
        <v>0</v>
      </c>
      <c r="AG371" s="7">
        <f t="shared" si="41"/>
        <v>0</v>
      </c>
      <c r="AH371" s="7">
        <f t="shared" si="41"/>
        <v>0</v>
      </c>
      <c r="AI371" s="7">
        <f t="shared" si="41"/>
        <v>0</v>
      </c>
      <c r="AJ371" s="7">
        <f t="shared" si="41"/>
        <v>0</v>
      </c>
      <c r="AK371" s="7">
        <f t="shared" si="41"/>
        <v>0</v>
      </c>
      <c r="AL371" s="7">
        <f t="shared" si="41"/>
        <v>0</v>
      </c>
      <c r="AM371" s="7">
        <f t="shared" si="41"/>
        <v>0</v>
      </c>
      <c r="AN371" s="7">
        <f t="shared" si="41"/>
        <v>0</v>
      </c>
      <c r="AO371" s="7">
        <f t="shared" si="41"/>
        <v>0</v>
      </c>
      <c r="AP371" s="7">
        <f t="shared" si="41"/>
        <v>0</v>
      </c>
      <c r="AQ371" s="7">
        <f t="shared" si="41"/>
        <v>0</v>
      </c>
      <c r="AR371" s="7">
        <f t="shared" si="41"/>
        <v>0</v>
      </c>
      <c r="AS371" s="7">
        <f t="shared" si="41"/>
        <v>0</v>
      </c>
      <c r="AT371" s="7">
        <f t="shared" si="41"/>
        <v>0</v>
      </c>
      <c r="AU371" s="7">
        <f t="shared" si="41"/>
        <v>0</v>
      </c>
      <c r="AV371" s="7">
        <f t="shared" si="41"/>
        <v>0</v>
      </c>
      <c r="AW371" s="7">
        <f t="shared" si="41"/>
        <v>0</v>
      </c>
    </row>
    <row r="372" spans="1:49" ht="14.5" hidden="1" outlineLevel="1" x14ac:dyDescent="0.35">
      <c r="A372" t="s">
        <v>12</v>
      </c>
      <c r="B372" t="s">
        <v>10</v>
      </c>
      <c r="C372" t="s">
        <v>136</v>
      </c>
      <c r="D372" t="s">
        <v>85</v>
      </c>
      <c r="E372" t="s">
        <v>77</v>
      </c>
      <c r="F372" s="11">
        <v>53.2</v>
      </c>
      <c r="G372" s="11">
        <v>53.2</v>
      </c>
      <c r="H372" s="11">
        <v>0</v>
      </c>
      <c r="I372" s="11">
        <v>53.2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</row>
    <row r="373" spans="1:49" ht="14.5" collapsed="1" x14ac:dyDescent="0.35">
      <c r="A373" s="6" t="s">
        <v>12</v>
      </c>
      <c r="B373" s="6" t="s">
        <v>10</v>
      </c>
      <c r="C373" s="6" t="s">
        <v>137</v>
      </c>
      <c r="D373" s="6" t="s">
        <v>72</v>
      </c>
      <c r="E373" s="6" t="s">
        <v>73</v>
      </c>
      <c r="F373" s="7">
        <f t="shared" ref="F373:AW373" si="42">SUM(F374)</f>
        <v>4.5</v>
      </c>
      <c r="G373" s="7">
        <f t="shared" si="42"/>
        <v>4.5</v>
      </c>
      <c r="H373" s="7">
        <f t="shared" si="42"/>
        <v>0</v>
      </c>
      <c r="I373" s="7">
        <f t="shared" si="42"/>
        <v>4.5</v>
      </c>
      <c r="J373" s="7">
        <f t="shared" si="42"/>
        <v>0</v>
      </c>
      <c r="K373" s="7">
        <f t="shared" si="42"/>
        <v>0</v>
      </c>
      <c r="L373" s="7">
        <f t="shared" si="42"/>
        <v>0</v>
      </c>
      <c r="M373" s="7">
        <f t="shared" si="42"/>
        <v>0</v>
      </c>
      <c r="N373" s="7">
        <f t="shared" si="42"/>
        <v>0</v>
      </c>
      <c r="O373" s="7">
        <f t="shared" si="42"/>
        <v>0</v>
      </c>
      <c r="P373" s="7">
        <f t="shared" si="42"/>
        <v>0</v>
      </c>
      <c r="Q373" s="7">
        <f t="shared" si="42"/>
        <v>0</v>
      </c>
      <c r="R373" s="7">
        <f t="shared" si="42"/>
        <v>0</v>
      </c>
      <c r="S373" s="7">
        <f t="shared" si="42"/>
        <v>0</v>
      </c>
      <c r="T373" s="7">
        <f t="shared" si="42"/>
        <v>0</v>
      </c>
      <c r="U373" s="7">
        <f t="shared" si="42"/>
        <v>0</v>
      </c>
      <c r="V373" s="7">
        <f t="shared" si="42"/>
        <v>0</v>
      </c>
      <c r="W373" s="7">
        <f t="shared" si="42"/>
        <v>0</v>
      </c>
      <c r="X373" s="7">
        <f t="shared" si="42"/>
        <v>0</v>
      </c>
      <c r="Y373" s="7">
        <f t="shared" si="42"/>
        <v>0</v>
      </c>
      <c r="Z373" s="7">
        <f t="shared" si="42"/>
        <v>0</v>
      </c>
      <c r="AA373" s="7">
        <f t="shared" si="42"/>
        <v>0</v>
      </c>
      <c r="AB373" s="7">
        <f t="shared" si="42"/>
        <v>0</v>
      </c>
      <c r="AC373" s="7">
        <f t="shared" si="42"/>
        <v>0</v>
      </c>
      <c r="AD373" s="7">
        <f t="shared" si="42"/>
        <v>0</v>
      </c>
      <c r="AE373" s="7">
        <f t="shared" si="42"/>
        <v>0</v>
      </c>
      <c r="AF373" s="7">
        <f t="shared" si="42"/>
        <v>0</v>
      </c>
      <c r="AG373" s="7">
        <f t="shared" si="42"/>
        <v>0</v>
      </c>
      <c r="AH373" s="7">
        <f t="shared" si="42"/>
        <v>0</v>
      </c>
      <c r="AI373" s="7">
        <f t="shared" si="42"/>
        <v>0</v>
      </c>
      <c r="AJ373" s="7">
        <f t="shared" si="42"/>
        <v>0</v>
      </c>
      <c r="AK373" s="7">
        <f t="shared" si="42"/>
        <v>0</v>
      </c>
      <c r="AL373" s="7">
        <f t="shared" si="42"/>
        <v>0</v>
      </c>
      <c r="AM373" s="7">
        <f t="shared" si="42"/>
        <v>0</v>
      </c>
      <c r="AN373" s="7">
        <f t="shared" si="42"/>
        <v>0</v>
      </c>
      <c r="AO373" s="7">
        <f t="shared" si="42"/>
        <v>0</v>
      </c>
      <c r="AP373" s="7">
        <f t="shared" si="42"/>
        <v>0</v>
      </c>
      <c r="AQ373" s="7">
        <f t="shared" si="42"/>
        <v>0</v>
      </c>
      <c r="AR373" s="7">
        <f t="shared" si="42"/>
        <v>0</v>
      </c>
      <c r="AS373" s="7">
        <f t="shared" si="42"/>
        <v>0</v>
      </c>
      <c r="AT373" s="7">
        <f t="shared" si="42"/>
        <v>0</v>
      </c>
      <c r="AU373" s="7">
        <f t="shared" si="42"/>
        <v>0</v>
      </c>
      <c r="AV373" s="7">
        <f t="shared" si="42"/>
        <v>0</v>
      </c>
      <c r="AW373" s="7">
        <f t="shared" si="42"/>
        <v>0</v>
      </c>
    </row>
    <row r="374" spans="1:49" ht="14.5" hidden="1" outlineLevel="1" x14ac:dyDescent="0.35">
      <c r="A374" t="s">
        <v>12</v>
      </c>
      <c r="B374" t="s">
        <v>10</v>
      </c>
      <c r="C374" t="s">
        <v>137</v>
      </c>
      <c r="D374" t="s">
        <v>85</v>
      </c>
      <c r="E374" t="s">
        <v>77</v>
      </c>
      <c r="F374" s="11">
        <v>4.5</v>
      </c>
      <c r="G374" s="11">
        <v>4.5</v>
      </c>
      <c r="H374" s="11">
        <v>0</v>
      </c>
      <c r="I374" s="11">
        <v>4.5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</row>
    <row r="375" spans="1:49" ht="14.5" collapsed="1" x14ac:dyDescent="0.35">
      <c r="A375" s="6" t="s">
        <v>12</v>
      </c>
      <c r="B375" s="6" t="s">
        <v>10</v>
      </c>
      <c r="C375" s="6" t="s">
        <v>138</v>
      </c>
      <c r="D375" s="6" t="s">
        <v>72</v>
      </c>
      <c r="E375" s="6" t="s">
        <v>73</v>
      </c>
      <c r="F375" s="7">
        <f t="shared" ref="F375:AW375" si="43">SUM(F376)</f>
        <v>2.5</v>
      </c>
      <c r="G375" s="7">
        <f t="shared" si="43"/>
        <v>2.5</v>
      </c>
      <c r="H375" s="7">
        <f t="shared" si="43"/>
        <v>0</v>
      </c>
      <c r="I375" s="7">
        <f t="shared" si="43"/>
        <v>2.5</v>
      </c>
      <c r="J375" s="7">
        <f t="shared" si="43"/>
        <v>0</v>
      </c>
      <c r="K375" s="7">
        <f t="shared" si="43"/>
        <v>0</v>
      </c>
      <c r="L375" s="7">
        <f t="shared" si="43"/>
        <v>0</v>
      </c>
      <c r="M375" s="7">
        <f t="shared" si="43"/>
        <v>0</v>
      </c>
      <c r="N375" s="7">
        <f t="shared" si="43"/>
        <v>0</v>
      </c>
      <c r="O375" s="7">
        <f t="shared" si="43"/>
        <v>0</v>
      </c>
      <c r="P375" s="7">
        <f t="shared" si="43"/>
        <v>0</v>
      </c>
      <c r="Q375" s="7">
        <f t="shared" si="43"/>
        <v>0</v>
      </c>
      <c r="R375" s="7">
        <f t="shared" si="43"/>
        <v>0</v>
      </c>
      <c r="S375" s="7">
        <f t="shared" si="43"/>
        <v>0</v>
      </c>
      <c r="T375" s="7">
        <f t="shared" si="43"/>
        <v>0</v>
      </c>
      <c r="U375" s="7">
        <f t="shared" si="43"/>
        <v>0</v>
      </c>
      <c r="V375" s="7">
        <f t="shared" si="43"/>
        <v>0</v>
      </c>
      <c r="W375" s="7">
        <f t="shared" si="43"/>
        <v>0</v>
      </c>
      <c r="X375" s="7">
        <f t="shared" si="43"/>
        <v>0</v>
      </c>
      <c r="Y375" s="7">
        <f t="shared" si="43"/>
        <v>0</v>
      </c>
      <c r="Z375" s="7">
        <f t="shared" si="43"/>
        <v>0</v>
      </c>
      <c r="AA375" s="7">
        <f t="shared" si="43"/>
        <v>0</v>
      </c>
      <c r="AB375" s="7">
        <f t="shared" si="43"/>
        <v>0</v>
      </c>
      <c r="AC375" s="7">
        <f t="shared" si="43"/>
        <v>0</v>
      </c>
      <c r="AD375" s="7">
        <f t="shared" si="43"/>
        <v>0</v>
      </c>
      <c r="AE375" s="7">
        <f t="shared" si="43"/>
        <v>0</v>
      </c>
      <c r="AF375" s="7">
        <f t="shared" si="43"/>
        <v>0</v>
      </c>
      <c r="AG375" s="7">
        <f t="shared" si="43"/>
        <v>0</v>
      </c>
      <c r="AH375" s="7">
        <f t="shared" si="43"/>
        <v>0</v>
      </c>
      <c r="AI375" s="7">
        <f t="shared" si="43"/>
        <v>0</v>
      </c>
      <c r="AJ375" s="7">
        <f t="shared" si="43"/>
        <v>0</v>
      </c>
      <c r="AK375" s="7">
        <f t="shared" si="43"/>
        <v>0</v>
      </c>
      <c r="AL375" s="7">
        <f t="shared" si="43"/>
        <v>0</v>
      </c>
      <c r="AM375" s="7">
        <f t="shared" si="43"/>
        <v>0</v>
      </c>
      <c r="AN375" s="7">
        <f t="shared" si="43"/>
        <v>0</v>
      </c>
      <c r="AO375" s="7">
        <f t="shared" si="43"/>
        <v>0</v>
      </c>
      <c r="AP375" s="7">
        <f t="shared" si="43"/>
        <v>0</v>
      </c>
      <c r="AQ375" s="7">
        <f t="shared" si="43"/>
        <v>0</v>
      </c>
      <c r="AR375" s="7">
        <f t="shared" si="43"/>
        <v>0</v>
      </c>
      <c r="AS375" s="7">
        <f t="shared" si="43"/>
        <v>0</v>
      </c>
      <c r="AT375" s="7">
        <f t="shared" si="43"/>
        <v>0</v>
      </c>
      <c r="AU375" s="7">
        <f t="shared" si="43"/>
        <v>0</v>
      </c>
      <c r="AV375" s="7">
        <f t="shared" si="43"/>
        <v>0</v>
      </c>
      <c r="AW375" s="7">
        <f t="shared" si="43"/>
        <v>0</v>
      </c>
    </row>
    <row r="376" spans="1:49" ht="14.5" hidden="1" outlineLevel="1" x14ac:dyDescent="0.35">
      <c r="A376" t="s">
        <v>12</v>
      </c>
      <c r="B376" t="s">
        <v>10</v>
      </c>
      <c r="C376" t="s">
        <v>138</v>
      </c>
      <c r="D376" t="s">
        <v>85</v>
      </c>
      <c r="E376" t="s">
        <v>103</v>
      </c>
      <c r="F376" s="11">
        <v>2.5</v>
      </c>
      <c r="G376" s="11">
        <v>2.5</v>
      </c>
      <c r="H376" s="11">
        <v>0</v>
      </c>
      <c r="I376" s="11">
        <v>2.5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</row>
    <row r="377" spans="1:49" ht="14.5" collapsed="1" x14ac:dyDescent="0.35">
      <c r="A377" s="6" t="s">
        <v>12</v>
      </c>
      <c r="B377" s="6" t="s">
        <v>10</v>
      </c>
      <c r="C377" s="6" t="s">
        <v>39</v>
      </c>
      <c r="D377" s="6" t="s">
        <v>72</v>
      </c>
      <c r="E377" s="6" t="s">
        <v>73</v>
      </c>
      <c r="F377" s="7">
        <f t="shared" ref="F377:AW377" si="44">SUM(F378)</f>
        <v>0</v>
      </c>
      <c r="G377" s="7">
        <f t="shared" si="44"/>
        <v>24.5</v>
      </c>
      <c r="H377" s="7">
        <f t="shared" si="44"/>
        <v>0</v>
      </c>
      <c r="I377" s="7">
        <f t="shared" si="44"/>
        <v>24.5</v>
      </c>
      <c r="J377" s="7">
        <f t="shared" si="44"/>
        <v>0</v>
      </c>
      <c r="K377" s="7">
        <f t="shared" si="44"/>
        <v>0</v>
      </c>
      <c r="L377" s="7">
        <f t="shared" si="44"/>
        <v>0</v>
      </c>
      <c r="M377" s="7">
        <f t="shared" si="44"/>
        <v>0</v>
      </c>
      <c r="N377" s="7">
        <f t="shared" si="44"/>
        <v>0</v>
      </c>
      <c r="O377" s="7">
        <f t="shared" si="44"/>
        <v>0</v>
      </c>
      <c r="P377" s="7">
        <f t="shared" si="44"/>
        <v>0</v>
      </c>
      <c r="Q377" s="7">
        <f t="shared" si="44"/>
        <v>0</v>
      </c>
      <c r="R377" s="7">
        <f t="shared" si="44"/>
        <v>0</v>
      </c>
      <c r="S377" s="7">
        <f t="shared" si="44"/>
        <v>0</v>
      </c>
      <c r="T377" s="7">
        <f t="shared" si="44"/>
        <v>0</v>
      </c>
      <c r="U377" s="7">
        <f t="shared" si="44"/>
        <v>0</v>
      </c>
      <c r="V377" s="7">
        <f t="shared" si="44"/>
        <v>0</v>
      </c>
      <c r="W377" s="7">
        <f t="shared" si="44"/>
        <v>0</v>
      </c>
      <c r="X377" s="7">
        <f t="shared" si="44"/>
        <v>0</v>
      </c>
      <c r="Y377" s="7">
        <f t="shared" si="44"/>
        <v>0</v>
      </c>
      <c r="Z377" s="7">
        <f t="shared" si="44"/>
        <v>0</v>
      </c>
      <c r="AA377" s="7">
        <f t="shared" si="44"/>
        <v>0</v>
      </c>
      <c r="AB377" s="7">
        <f t="shared" si="44"/>
        <v>0</v>
      </c>
      <c r="AC377" s="7">
        <f t="shared" si="44"/>
        <v>0</v>
      </c>
      <c r="AD377" s="7">
        <f t="shared" si="44"/>
        <v>0</v>
      </c>
      <c r="AE377" s="7">
        <f t="shared" si="44"/>
        <v>0</v>
      </c>
      <c r="AF377" s="7">
        <f t="shared" si="44"/>
        <v>0</v>
      </c>
      <c r="AG377" s="7">
        <f t="shared" si="44"/>
        <v>0</v>
      </c>
      <c r="AH377" s="7">
        <f t="shared" si="44"/>
        <v>0</v>
      </c>
      <c r="AI377" s="7">
        <f t="shared" si="44"/>
        <v>0</v>
      </c>
      <c r="AJ377" s="7">
        <f t="shared" si="44"/>
        <v>0</v>
      </c>
      <c r="AK377" s="7">
        <f t="shared" si="44"/>
        <v>0</v>
      </c>
      <c r="AL377" s="7">
        <f t="shared" si="44"/>
        <v>0</v>
      </c>
      <c r="AM377" s="7">
        <f t="shared" si="44"/>
        <v>0</v>
      </c>
      <c r="AN377" s="7">
        <f t="shared" si="44"/>
        <v>0</v>
      </c>
      <c r="AO377" s="7">
        <f t="shared" si="44"/>
        <v>0</v>
      </c>
      <c r="AP377" s="7">
        <f t="shared" si="44"/>
        <v>0</v>
      </c>
      <c r="AQ377" s="7">
        <f t="shared" si="44"/>
        <v>0</v>
      </c>
      <c r="AR377" s="7">
        <f t="shared" si="44"/>
        <v>0</v>
      </c>
      <c r="AS377" s="7">
        <f t="shared" si="44"/>
        <v>0</v>
      </c>
      <c r="AT377" s="7">
        <f t="shared" si="44"/>
        <v>0</v>
      </c>
      <c r="AU377" s="7">
        <f t="shared" si="44"/>
        <v>0</v>
      </c>
      <c r="AV377" s="7">
        <f t="shared" si="44"/>
        <v>0</v>
      </c>
      <c r="AW377" s="7">
        <f t="shared" si="44"/>
        <v>0</v>
      </c>
    </row>
    <row r="378" spans="1:49" ht="14.5" hidden="1" outlineLevel="1" x14ac:dyDescent="0.35">
      <c r="A378" t="s">
        <v>12</v>
      </c>
      <c r="B378" t="s">
        <v>10</v>
      </c>
      <c r="C378" t="s">
        <v>39</v>
      </c>
      <c r="D378" t="s">
        <v>85</v>
      </c>
      <c r="E378" t="s">
        <v>40</v>
      </c>
      <c r="F378" s="11">
        <v>0</v>
      </c>
      <c r="G378" s="11">
        <v>24.5</v>
      </c>
      <c r="H378" s="11">
        <v>0</v>
      </c>
      <c r="I378" s="11">
        <v>24.5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</row>
    <row r="379" spans="1:49" ht="14.5" collapsed="1" x14ac:dyDescent="0.35">
      <c r="A379" s="6" t="s">
        <v>12</v>
      </c>
      <c r="B379" s="6" t="s">
        <v>10</v>
      </c>
      <c r="C379" s="6" t="s">
        <v>42</v>
      </c>
      <c r="D379" s="6" t="s">
        <v>72</v>
      </c>
      <c r="E379" s="6" t="s">
        <v>73</v>
      </c>
      <c r="F379" s="7">
        <f t="shared" ref="F379:AW379" si="45">SUM(F380)</f>
        <v>3</v>
      </c>
      <c r="G379" s="7">
        <f t="shared" si="45"/>
        <v>24</v>
      </c>
      <c r="H379" s="7">
        <f t="shared" si="45"/>
        <v>0</v>
      </c>
      <c r="I379" s="7">
        <f t="shared" si="45"/>
        <v>24</v>
      </c>
      <c r="J379" s="7">
        <f t="shared" si="45"/>
        <v>0</v>
      </c>
      <c r="K379" s="7">
        <f t="shared" si="45"/>
        <v>0</v>
      </c>
      <c r="L379" s="7">
        <f t="shared" si="45"/>
        <v>0</v>
      </c>
      <c r="M379" s="7">
        <f t="shared" si="45"/>
        <v>0</v>
      </c>
      <c r="N379" s="7">
        <f t="shared" si="45"/>
        <v>0</v>
      </c>
      <c r="O379" s="7">
        <f t="shared" si="45"/>
        <v>0</v>
      </c>
      <c r="P379" s="7">
        <f t="shared" si="45"/>
        <v>0</v>
      </c>
      <c r="Q379" s="7">
        <f t="shared" si="45"/>
        <v>0</v>
      </c>
      <c r="R379" s="7">
        <f t="shared" si="45"/>
        <v>0</v>
      </c>
      <c r="S379" s="7">
        <f t="shared" si="45"/>
        <v>0</v>
      </c>
      <c r="T379" s="7">
        <f t="shared" si="45"/>
        <v>0</v>
      </c>
      <c r="U379" s="7">
        <f t="shared" si="45"/>
        <v>0</v>
      </c>
      <c r="V379" s="7">
        <f t="shared" si="45"/>
        <v>0</v>
      </c>
      <c r="W379" s="7">
        <f t="shared" si="45"/>
        <v>0</v>
      </c>
      <c r="X379" s="7">
        <f t="shared" si="45"/>
        <v>0</v>
      </c>
      <c r="Y379" s="7">
        <f t="shared" si="45"/>
        <v>0</v>
      </c>
      <c r="Z379" s="7">
        <f t="shared" si="45"/>
        <v>0</v>
      </c>
      <c r="AA379" s="7">
        <f t="shared" si="45"/>
        <v>0</v>
      </c>
      <c r="AB379" s="7">
        <f t="shared" si="45"/>
        <v>0</v>
      </c>
      <c r="AC379" s="7">
        <f t="shared" si="45"/>
        <v>0</v>
      </c>
      <c r="AD379" s="7">
        <f t="shared" si="45"/>
        <v>0</v>
      </c>
      <c r="AE379" s="7">
        <f t="shared" si="45"/>
        <v>0</v>
      </c>
      <c r="AF379" s="7">
        <f t="shared" si="45"/>
        <v>0</v>
      </c>
      <c r="AG379" s="7">
        <f t="shared" si="45"/>
        <v>0</v>
      </c>
      <c r="AH379" s="7">
        <f t="shared" si="45"/>
        <v>0</v>
      </c>
      <c r="AI379" s="7">
        <f t="shared" si="45"/>
        <v>0</v>
      </c>
      <c r="AJ379" s="7">
        <f t="shared" si="45"/>
        <v>0</v>
      </c>
      <c r="AK379" s="7">
        <f t="shared" si="45"/>
        <v>0</v>
      </c>
      <c r="AL379" s="7">
        <f t="shared" si="45"/>
        <v>0</v>
      </c>
      <c r="AM379" s="7">
        <f t="shared" si="45"/>
        <v>0</v>
      </c>
      <c r="AN379" s="7">
        <f t="shared" si="45"/>
        <v>0</v>
      </c>
      <c r="AO379" s="7">
        <f t="shared" si="45"/>
        <v>0</v>
      </c>
      <c r="AP379" s="7">
        <f t="shared" si="45"/>
        <v>0</v>
      </c>
      <c r="AQ379" s="7">
        <f t="shared" si="45"/>
        <v>0</v>
      </c>
      <c r="AR379" s="7">
        <f t="shared" si="45"/>
        <v>0</v>
      </c>
      <c r="AS379" s="7">
        <f t="shared" si="45"/>
        <v>0</v>
      </c>
      <c r="AT379" s="7">
        <f t="shared" si="45"/>
        <v>0</v>
      </c>
      <c r="AU379" s="7">
        <f t="shared" si="45"/>
        <v>0</v>
      </c>
      <c r="AV379" s="7">
        <f t="shared" si="45"/>
        <v>0</v>
      </c>
      <c r="AW379" s="7">
        <f t="shared" si="45"/>
        <v>0</v>
      </c>
    </row>
    <row r="380" spans="1:49" ht="14.5" hidden="1" outlineLevel="1" x14ac:dyDescent="0.35">
      <c r="A380" t="s">
        <v>12</v>
      </c>
      <c r="B380" t="s">
        <v>10</v>
      </c>
      <c r="C380" t="s">
        <v>42</v>
      </c>
      <c r="D380" t="s">
        <v>85</v>
      </c>
      <c r="E380" t="s">
        <v>43</v>
      </c>
      <c r="F380" s="11">
        <v>3</v>
      </c>
      <c r="G380" s="11">
        <v>24</v>
      </c>
      <c r="H380" s="11">
        <v>0</v>
      </c>
      <c r="I380" s="11">
        <v>24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</row>
    <row r="381" spans="1:49" ht="14.5" collapsed="1" x14ac:dyDescent="0.35">
      <c r="A381" s="6" t="s">
        <v>12</v>
      </c>
      <c r="B381" s="6" t="s">
        <v>10</v>
      </c>
      <c r="C381" s="6" t="s">
        <v>139</v>
      </c>
      <c r="D381" s="6" t="s">
        <v>72</v>
      </c>
      <c r="E381" s="6" t="s">
        <v>73</v>
      </c>
      <c r="F381" s="7">
        <f t="shared" ref="F381:AW381" si="46">SUM(F382)</f>
        <v>42</v>
      </c>
      <c r="G381" s="7">
        <f t="shared" si="46"/>
        <v>192</v>
      </c>
      <c r="H381" s="7">
        <f t="shared" si="46"/>
        <v>0</v>
      </c>
      <c r="I381" s="7">
        <f t="shared" si="46"/>
        <v>192</v>
      </c>
      <c r="J381" s="7">
        <f t="shared" si="46"/>
        <v>0</v>
      </c>
      <c r="K381" s="7">
        <f t="shared" si="46"/>
        <v>0</v>
      </c>
      <c r="L381" s="7">
        <f t="shared" si="46"/>
        <v>0</v>
      </c>
      <c r="M381" s="7">
        <f t="shared" si="46"/>
        <v>0</v>
      </c>
      <c r="N381" s="7">
        <f t="shared" si="46"/>
        <v>0</v>
      </c>
      <c r="O381" s="7">
        <f t="shared" si="46"/>
        <v>0</v>
      </c>
      <c r="P381" s="7">
        <f t="shared" si="46"/>
        <v>0</v>
      </c>
      <c r="Q381" s="7">
        <f t="shared" si="46"/>
        <v>0</v>
      </c>
      <c r="R381" s="7">
        <f t="shared" si="46"/>
        <v>0</v>
      </c>
      <c r="S381" s="7">
        <f t="shared" si="46"/>
        <v>0</v>
      </c>
      <c r="T381" s="7">
        <f t="shared" si="46"/>
        <v>0</v>
      </c>
      <c r="U381" s="7">
        <f t="shared" si="46"/>
        <v>0</v>
      </c>
      <c r="V381" s="7">
        <f t="shared" si="46"/>
        <v>0</v>
      </c>
      <c r="W381" s="7">
        <f t="shared" si="46"/>
        <v>0</v>
      </c>
      <c r="X381" s="7">
        <f t="shared" si="46"/>
        <v>0</v>
      </c>
      <c r="Y381" s="7">
        <f t="shared" si="46"/>
        <v>0</v>
      </c>
      <c r="Z381" s="7">
        <f t="shared" si="46"/>
        <v>0</v>
      </c>
      <c r="AA381" s="7">
        <f t="shared" si="46"/>
        <v>0</v>
      </c>
      <c r="AB381" s="7">
        <f t="shared" si="46"/>
        <v>0</v>
      </c>
      <c r="AC381" s="7">
        <f t="shared" si="46"/>
        <v>0</v>
      </c>
      <c r="AD381" s="7">
        <f t="shared" si="46"/>
        <v>0</v>
      </c>
      <c r="AE381" s="7">
        <f t="shared" si="46"/>
        <v>0</v>
      </c>
      <c r="AF381" s="7">
        <f t="shared" si="46"/>
        <v>0</v>
      </c>
      <c r="AG381" s="7">
        <f t="shared" si="46"/>
        <v>0</v>
      </c>
      <c r="AH381" s="7">
        <f t="shared" si="46"/>
        <v>0</v>
      </c>
      <c r="AI381" s="7">
        <f t="shared" si="46"/>
        <v>0</v>
      </c>
      <c r="AJ381" s="7">
        <f t="shared" si="46"/>
        <v>0</v>
      </c>
      <c r="AK381" s="7">
        <f t="shared" si="46"/>
        <v>0</v>
      </c>
      <c r="AL381" s="7">
        <f t="shared" si="46"/>
        <v>0</v>
      </c>
      <c r="AM381" s="7">
        <f t="shared" si="46"/>
        <v>0</v>
      </c>
      <c r="AN381" s="7">
        <f t="shared" si="46"/>
        <v>0</v>
      </c>
      <c r="AO381" s="7">
        <f t="shared" si="46"/>
        <v>0</v>
      </c>
      <c r="AP381" s="7">
        <f t="shared" si="46"/>
        <v>0</v>
      </c>
      <c r="AQ381" s="7">
        <f t="shared" si="46"/>
        <v>0</v>
      </c>
      <c r="AR381" s="7">
        <f t="shared" si="46"/>
        <v>0</v>
      </c>
      <c r="AS381" s="7">
        <f t="shared" si="46"/>
        <v>0</v>
      </c>
      <c r="AT381" s="7">
        <f t="shared" si="46"/>
        <v>0</v>
      </c>
      <c r="AU381" s="7">
        <f t="shared" si="46"/>
        <v>0</v>
      </c>
      <c r="AV381" s="7">
        <f t="shared" si="46"/>
        <v>0</v>
      </c>
      <c r="AW381" s="7">
        <f t="shared" si="46"/>
        <v>0</v>
      </c>
    </row>
    <row r="382" spans="1:49" ht="14.5" hidden="1" outlineLevel="1" x14ac:dyDescent="0.35">
      <c r="A382" t="s">
        <v>12</v>
      </c>
      <c r="B382" t="s">
        <v>10</v>
      </c>
      <c r="C382" t="s">
        <v>139</v>
      </c>
      <c r="D382" t="s">
        <v>85</v>
      </c>
      <c r="E382" t="s">
        <v>101</v>
      </c>
      <c r="F382" s="11">
        <v>42</v>
      </c>
      <c r="G382" s="11">
        <v>192</v>
      </c>
      <c r="H382" s="11">
        <v>0</v>
      </c>
      <c r="I382" s="11">
        <v>192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</row>
    <row r="383" spans="1:49" ht="14.5" collapsed="1" x14ac:dyDescent="0.35">
      <c r="A383" s="6" t="s">
        <v>12</v>
      </c>
      <c r="B383" s="6" t="s">
        <v>10</v>
      </c>
      <c r="C383" s="6" t="s">
        <v>140</v>
      </c>
      <c r="D383" s="6" t="s">
        <v>72</v>
      </c>
      <c r="E383" s="6" t="s">
        <v>73</v>
      </c>
      <c r="F383" s="7">
        <f t="shared" ref="F383:AW383" si="47">SUM(F384)</f>
        <v>17.600000000000001</v>
      </c>
      <c r="G383" s="7">
        <f t="shared" si="47"/>
        <v>76.599999999999994</v>
      </c>
      <c r="H383" s="7">
        <f t="shared" si="47"/>
        <v>0</v>
      </c>
      <c r="I383" s="7">
        <f t="shared" si="47"/>
        <v>76.599999999999994</v>
      </c>
      <c r="J383" s="7">
        <f t="shared" si="47"/>
        <v>0</v>
      </c>
      <c r="K383" s="7">
        <f t="shared" si="47"/>
        <v>0</v>
      </c>
      <c r="L383" s="7">
        <f t="shared" si="47"/>
        <v>0</v>
      </c>
      <c r="M383" s="7">
        <f t="shared" si="47"/>
        <v>0</v>
      </c>
      <c r="N383" s="7">
        <f t="shared" si="47"/>
        <v>0</v>
      </c>
      <c r="O383" s="7">
        <f t="shared" si="47"/>
        <v>0</v>
      </c>
      <c r="P383" s="7">
        <f t="shared" si="47"/>
        <v>0</v>
      </c>
      <c r="Q383" s="7">
        <f t="shared" si="47"/>
        <v>0</v>
      </c>
      <c r="R383" s="7">
        <f t="shared" si="47"/>
        <v>0</v>
      </c>
      <c r="S383" s="7">
        <f t="shared" si="47"/>
        <v>0</v>
      </c>
      <c r="T383" s="7">
        <f t="shared" si="47"/>
        <v>0</v>
      </c>
      <c r="U383" s="7">
        <f t="shared" si="47"/>
        <v>0</v>
      </c>
      <c r="V383" s="7">
        <f t="shared" si="47"/>
        <v>0</v>
      </c>
      <c r="W383" s="7">
        <f t="shared" si="47"/>
        <v>0</v>
      </c>
      <c r="X383" s="7">
        <f t="shared" si="47"/>
        <v>0</v>
      </c>
      <c r="Y383" s="7">
        <f t="shared" si="47"/>
        <v>0</v>
      </c>
      <c r="Z383" s="7">
        <f t="shared" si="47"/>
        <v>0</v>
      </c>
      <c r="AA383" s="7">
        <f t="shared" si="47"/>
        <v>0</v>
      </c>
      <c r="AB383" s="7">
        <f t="shared" si="47"/>
        <v>0</v>
      </c>
      <c r="AC383" s="7">
        <f t="shared" si="47"/>
        <v>0</v>
      </c>
      <c r="AD383" s="7">
        <f t="shared" si="47"/>
        <v>0</v>
      </c>
      <c r="AE383" s="7">
        <f t="shared" si="47"/>
        <v>0</v>
      </c>
      <c r="AF383" s="7">
        <f t="shared" si="47"/>
        <v>0</v>
      </c>
      <c r="AG383" s="7">
        <f t="shared" si="47"/>
        <v>0</v>
      </c>
      <c r="AH383" s="7">
        <f t="shared" si="47"/>
        <v>0</v>
      </c>
      <c r="AI383" s="7">
        <f t="shared" si="47"/>
        <v>0</v>
      </c>
      <c r="AJ383" s="7">
        <f t="shared" si="47"/>
        <v>0</v>
      </c>
      <c r="AK383" s="7">
        <f t="shared" si="47"/>
        <v>0</v>
      </c>
      <c r="AL383" s="7">
        <f t="shared" si="47"/>
        <v>0</v>
      </c>
      <c r="AM383" s="7">
        <f t="shared" si="47"/>
        <v>0</v>
      </c>
      <c r="AN383" s="7">
        <f t="shared" si="47"/>
        <v>0</v>
      </c>
      <c r="AO383" s="7">
        <f t="shared" si="47"/>
        <v>0</v>
      </c>
      <c r="AP383" s="7">
        <f t="shared" si="47"/>
        <v>0</v>
      </c>
      <c r="AQ383" s="7">
        <f t="shared" si="47"/>
        <v>0</v>
      </c>
      <c r="AR383" s="7">
        <f t="shared" si="47"/>
        <v>0</v>
      </c>
      <c r="AS383" s="7">
        <f t="shared" si="47"/>
        <v>0</v>
      </c>
      <c r="AT383" s="7">
        <f t="shared" si="47"/>
        <v>0</v>
      </c>
      <c r="AU383" s="7">
        <f t="shared" si="47"/>
        <v>0</v>
      </c>
      <c r="AV383" s="7">
        <f t="shared" si="47"/>
        <v>0</v>
      </c>
      <c r="AW383" s="7">
        <f t="shared" si="47"/>
        <v>0</v>
      </c>
    </row>
    <row r="384" spans="1:49" ht="14.5" hidden="1" outlineLevel="1" x14ac:dyDescent="0.35">
      <c r="A384" t="s">
        <v>12</v>
      </c>
      <c r="B384" t="s">
        <v>10</v>
      </c>
      <c r="C384" t="s">
        <v>140</v>
      </c>
      <c r="D384" t="s">
        <v>85</v>
      </c>
      <c r="E384" t="s">
        <v>78</v>
      </c>
      <c r="F384" s="11">
        <v>17.600000000000001</v>
      </c>
      <c r="G384" s="11">
        <v>76.599999999999994</v>
      </c>
      <c r="H384" s="11">
        <v>0</v>
      </c>
      <c r="I384" s="11">
        <v>76.599999999999994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</row>
    <row r="385" spans="1:49" ht="14.5" collapsed="1" x14ac:dyDescent="0.35">
      <c r="A385" s="6" t="s">
        <v>12</v>
      </c>
      <c r="B385" s="6" t="s">
        <v>10</v>
      </c>
      <c r="C385" s="6" t="s">
        <v>141</v>
      </c>
      <c r="D385" s="6" t="s">
        <v>72</v>
      </c>
      <c r="E385" s="6" t="s">
        <v>73</v>
      </c>
      <c r="F385" s="7">
        <f t="shared" ref="F385:AW385" si="48">SUM(F386)</f>
        <v>5.5</v>
      </c>
      <c r="G385" s="7">
        <f t="shared" si="48"/>
        <v>22.2</v>
      </c>
      <c r="H385" s="7">
        <f t="shared" si="48"/>
        <v>0</v>
      </c>
      <c r="I385" s="7">
        <f t="shared" si="48"/>
        <v>22.2</v>
      </c>
      <c r="J385" s="7">
        <f t="shared" si="48"/>
        <v>0</v>
      </c>
      <c r="K385" s="7">
        <f t="shared" si="48"/>
        <v>0</v>
      </c>
      <c r="L385" s="7">
        <f t="shared" si="48"/>
        <v>0</v>
      </c>
      <c r="M385" s="7">
        <f t="shared" si="48"/>
        <v>0</v>
      </c>
      <c r="N385" s="7">
        <f t="shared" si="48"/>
        <v>0</v>
      </c>
      <c r="O385" s="7">
        <f t="shared" si="48"/>
        <v>0</v>
      </c>
      <c r="P385" s="7">
        <f t="shared" si="48"/>
        <v>0</v>
      </c>
      <c r="Q385" s="7">
        <f t="shared" si="48"/>
        <v>0</v>
      </c>
      <c r="R385" s="7">
        <f t="shared" si="48"/>
        <v>0</v>
      </c>
      <c r="S385" s="7">
        <f t="shared" si="48"/>
        <v>0</v>
      </c>
      <c r="T385" s="7">
        <f t="shared" si="48"/>
        <v>0</v>
      </c>
      <c r="U385" s="7">
        <f t="shared" si="48"/>
        <v>0</v>
      </c>
      <c r="V385" s="7">
        <f t="shared" si="48"/>
        <v>0</v>
      </c>
      <c r="W385" s="7">
        <f t="shared" si="48"/>
        <v>0</v>
      </c>
      <c r="X385" s="7">
        <f t="shared" si="48"/>
        <v>0</v>
      </c>
      <c r="Y385" s="7">
        <f t="shared" si="48"/>
        <v>0</v>
      </c>
      <c r="Z385" s="7">
        <f t="shared" si="48"/>
        <v>0</v>
      </c>
      <c r="AA385" s="7">
        <f t="shared" si="48"/>
        <v>0</v>
      </c>
      <c r="AB385" s="7">
        <f t="shared" si="48"/>
        <v>0</v>
      </c>
      <c r="AC385" s="7">
        <f t="shared" si="48"/>
        <v>0</v>
      </c>
      <c r="AD385" s="7">
        <f t="shared" si="48"/>
        <v>0</v>
      </c>
      <c r="AE385" s="7">
        <f t="shared" si="48"/>
        <v>0</v>
      </c>
      <c r="AF385" s="7">
        <f t="shared" si="48"/>
        <v>0</v>
      </c>
      <c r="AG385" s="7">
        <f t="shared" si="48"/>
        <v>0</v>
      </c>
      <c r="AH385" s="7">
        <f t="shared" si="48"/>
        <v>0</v>
      </c>
      <c r="AI385" s="7">
        <f t="shared" si="48"/>
        <v>0</v>
      </c>
      <c r="AJ385" s="7">
        <f t="shared" si="48"/>
        <v>0</v>
      </c>
      <c r="AK385" s="7">
        <f t="shared" si="48"/>
        <v>0</v>
      </c>
      <c r="AL385" s="7">
        <f t="shared" si="48"/>
        <v>0</v>
      </c>
      <c r="AM385" s="7">
        <f t="shared" si="48"/>
        <v>0</v>
      </c>
      <c r="AN385" s="7">
        <f t="shared" si="48"/>
        <v>0</v>
      </c>
      <c r="AO385" s="7">
        <f t="shared" si="48"/>
        <v>0</v>
      </c>
      <c r="AP385" s="7">
        <f t="shared" si="48"/>
        <v>0</v>
      </c>
      <c r="AQ385" s="7">
        <f t="shared" si="48"/>
        <v>0</v>
      </c>
      <c r="AR385" s="7">
        <f t="shared" si="48"/>
        <v>0</v>
      </c>
      <c r="AS385" s="7">
        <f t="shared" si="48"/>
        <v>0</v>
      </c>
      <c r="AT385" s="7">
        <f t="shared" si="48"/>
        <v>0</v>
      </c>
      <c r="AU385" s="7">
        <f t="shared" si="48"/>
        <v>0</v>
      </c>
      <c r="AV385" s="7">
        <f t="shared" si="48"/>
        <v>0</v>
      </c>
      <c r="AW385" s="7">
        <f t="shared" si="48"/>
        <v>0</v>
      </c>
    </row>
    <row r="386" spans="1:49" ht="14.5" hidden="1" outlineLevel="1" x14ac:dyDescent="0.35">
      <c r="A386" t="s">
        <v>12</v>
      </c>
      <c r="B386" t="s">
        <v>10</v>
      </c>
      <c r="C386" t="s">
        <v>141</v>
      </c>
      <c r="D386" t="s">
        <v>85</v>
      </c>
      <c r="E386" t="s">
        <v>78</v>
      </c>
      <c r="F386" s="11">
        <v>5.5</v>
      </c>
      <c r="G386" s="11">
        <v>22.2</v>
      </c>
      <c r="H386" s="11">
        <v>0</v>
      </c>
      <c r="I386" s="11">
        <v>22.2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</row>
    <row r="387" spans="1:49" ht="14.5" collapsed="1" x14ac:dyDescent="0.35">
      <c r="A387" s="6" t="s">
        <v>12</v>
      </c>
      <c r="B387" s="6" t="s">
        <v>10</v>
      </c>
      <c r="C387" s="6" t="s">
        <v>142</v>
      </c>
      <c r="D387" s="6" t="s">
        <v>72</v>
      </c>
      <c r="E387" s="6" t="s">
        <v>73</v>
      </c>
      <c r="F387" s="7">
        <f t="shared" ref="F387:AW387" si="49">SUM(F388)</f>
        <v>12.1</v>
      </c>
      <c r="G387" s="7">
        <f t="shared" si="49"/>
        <v>51.7</v>
      </c>
      <c r="H387" s="7">
        <f t="shared" si="49"/>
        <v>0</v>
      </c>
      <c r="I387" s="7">
        <f t="shared" si="49"/>
        <v>51.7</v>
      </c>
      <c r="J387" s="7">
        <f t="shared" si="49"/>
        <v>0</v>
      </c>
      <c r="K387" s="7">
        <f t="shared" si="49"/>
        <v>0</v>
      </c>
      <c r="L387" s="7">
        <f t="shared" si="49"/>
        <v>0</v>
      </c>
      <c r="M387" s="7">
        <f t="shared" si="49"/>
        <v>0</v>
      </c>
      <c r="N387" s="7">
        <f t="shared" si="49"/>
        <v>0</v>
      </c>
      <c r="O387" s="7">
        <f t="shared" si="49"/>
        <v>0</v>
      </c>
      <c r="P387" s="7">
        <f t="shared" si="49"/>
        <v>0</v>
      </c>
      <c r="Q387" s="7">
        <f t="shared" si="49"/>
        <v>0</v>
      </c>
      <c r="R387" s="7">
        <f t="shared" si="49"/>
        <v>0</v>
      </c>
      <c r="S387" s="7">
        <f t="shared" si="49"/>
        <v>0</v>
      </c>
      <c r="T387" s="7">
        <f t="shared" si="49"/>
        <v>0</v>
      </c>
      <c r="U387" s="7">
        <f t="shared" si="49"/>
        <v>0</v>
      </c>
      <c r="V387" s="7">
        <f t="shared" si="49"/>
        <v>0</v>
      </c>
      <c r="W387" s="7">
        <f t="shared" si="49"/>
        <v>0</v>
      </c>
      <c r="X387" s="7">
        <f t="shared" si="49"/>
        <v>0</v>
      </c>
      <c r="Y387" s="7">
        <f t="shared" si="49"/>
        <v>0</v>
      </c>
      <c r="Z387" s="7">
        <f t="shared" si="49"/>
        <v>0</v>
      </c>
      <c r="AA387" s="7">
        <f t="shared" si="49"/>
        <v>0</v>
      </c>
      <c r="AB387" s="7">
        <f t="shared" si="49"/>
        <v>0</v>
      </c>
      <c r="AC387" s="7">
        <f t="shared" si="49"/>
        <v>0</v>
      </c>
      <c r="AD387" s="7">
        <f t="shared" si="49"/>
        <v>0</v>
      </c>
      <c r="AE387" s="7">
        <f t="shared" si="49"/>
        <v>0</v>
      </c>
      <c r="AF387" s="7">
        <f t="shared" si="49"/>
        <v>0</v>
      </c>
      <c r="AG387" s="7">
        <f t="shared" si="49"/>
        <v>0</v>
      </c>
      <c r="AH387" s="7">
        <f t="shared" si="49"/>
        <v>0</v>
      </c>
      <c r="AI387" s="7">
        <f t="shared" si="49"/>
        <v>0</v>
      </c>
      <c r="AJ387" s="7">
        <f t="shared" si="49"/>
        <v>0</v>
      </c>
      <c r="AK387" s="7">
        <f t="shared" si="49"/>
        <v>0</v>
      </c>
      <c r="AL387" s="7">
        <f t="shared" si="49"/>
        <v>0</v>
      </c>
      <c r="AM387" s="7">
        <f t="shared" si="49"/>
        <v>0</v>
      </c>
      <c r="AN387" s="7">
        <f t="shared" si="49"/>
        <v>0</v>
      </c>
      <c r="AO387" s="7">
        <f t="shared" si="49"/>
        <v>0</v>
      </c>
      <c r="AP387" s="7">
        <f t="shared" si="49"/>
        <v>0</v>
      </c>
      <c r="AQ387" s="7">
        <f t="shared" si="49"/>
        <v>0</v>
      </c>
      <c r="AR387" s="7">
        <f t="shared" si="49"/>
        <v>0</v>
      </c>
      <c r="AS387" s="7">
        <f t="shared" si="49"/>
        <v>0</v>
      </c>
      <c r="AT387" s="7">
        <f t="shared" si="49"/>
        <v>0</v>
      </c>
      <c r="AU387" s="7">
        <f t="shared" si="49"/>
        <v>0</v>
      </c>
      <c r="AV387" s="7">
        <f t="shared" si="49"/>
        <v>0</v>
      </c>
      <c r="AW387" s="7">
        <f t="shared" si="49"/>
        <v>0</v>
      </c>
    </row>
    <row r="388" spans="1:49" ht="14.5" hidden="1" outlineLevel="1" x14ac:dyDescent="0.35">
      <c r="A388" t="s">
        <v>12</v>
      </c>
      <c r="B388" t="s">
        <v>10</v>
      </c>
      <c r="C388" t="s">
        <v>142</v>
      </c>
      <c r="D388" t="s">
        <v>85</v>
      </c>
      <c r="E388" t="s">
        <v>78</v>
      </c>
      <c r="F388" s="11">
        <v>12.1</v>
      </c>
      <c r="G388" s="11">
        <v>51.7</v>
      </c>
      <c r="H388" s="11">
        <v>0</v>
      </c>
      <c r="I388" s="11">
        <v>51.7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</row>
    <row r="389" spans="1:49" ht="14.5" collapsed="1" x14ac:dyDescent="0.35">
      <c r="A389" s="6" t="s">
        <v>12</v>
      </c>
      <c r="B389" s="6" t="s">
        <v>10</v>
      </c>
      <c r="C389" s="6" t="s">
        <v>143</v>
      </c>
      <c r="D389" s="6" t="s">
        <v>72</v>
      </c>
      <c r="E389" s="6" t="s">
        <v>73</v>
      </c>
      <c r="F389" s="7">
        <f t="shared" ref="F389:AW389" si="50">SUM(F390)</f>
        <v>45</v>
      </c>
      <c r="G389" s="7">
        <f t="shared" si="50"/>
        <v>45</v>
      </c>
      <c r="H389" s="7">
        <f t="shared" si="50"/>
        <v>0</v>
      </c>
      <c r="I389" s="7">
        <f t="shared" si="50"/>
        <v>45</v>
      </c>
      <c r="J389" s="7">
        <f t="shared" si="50"/>
        <v>0</v>
      </c>
      <c r="K389" s="7">
        <f t="shared" si="50"/>
        <v>0</v>
      </c>
      <c r="L389" s="7">
        <f t="shared" si="50"/>
        <v>0</v>
      </c>
      <c r="M389" s="7">
        <f t="shared" si="50"/>
        <v>0</v>
      </c>
      <c r="N389" s="7">
        <f t="shared" si="50"/>
        <v>0</v>
      </c>
      <c r="O389" s="7">
        <f t="shared" si="50"/>
        <v>0</v>
      </c>
      <c r="P389" s="7">
        <f t="shared" si="50"/>
        <v>0</v>
      </c>
      <c r="Q389" s="7">
        <f t="shared" si="50"/>
        <v>0</v>
      </c>
      <c r="R389" s="7">
        <f t="shared" si="50"/>
        <v>0</v>
      </c>
      <c r="S389" s="7">
        <f t="shared" si="50"/>
        <v>0</v>
      </c>
      <c r="T389" s="7">
        <f t="shared" si="50"/>
        <v>0</v>
      </c>
      <c r="U389" s="7">
        <f t="shared" si="50"/>
        <v>0</v>
      </c>
      <c r="V389" s="7">
        <f t="shared" si="50"/>
        <v>0</v>
      </c>
      <c r="W389" s="7">
        <f t="shared" si="50"/>
        <v>0</v>
      </c>
      <c r="X389" s="7">
        <f t="shared" si="50"/>
        <v>0</v>
      </c>
      <c r="Y389" s="7">
        <f t="shared" si="50"/>
        <v>0</v>
      </c>
      <c r="Z389" s="7">
        <f t="shared" si="50"/>
        <v>0</v>
      </c>
      <c r="AA389" s="7">
        <f t="shared" si="50"/>
        <v>0</v>
      </c>
      <c r="AB389" s="7">
        <f t="shared" si="50"/>
        <v>0</v>
      </c>
      <c r="AC389" s="7">
        <f t="shared" si="50"/>
        <v>0</v>
      </c>
      <c r="AD389" s="7">
        <f t="shared" si="50"/>
        <v>0</v>
      </c>
      <c r="AE389" s="7">
        <f t="shared" si="50"/>
        <v>0</v>
      </c>
      <c r="AF389" s="7">
        <f t="shared" si="50"/>
        <v>0</v>
      </c>
      <c r="AG389" s="7">
        <f t="shared" si="50"/>
        <v>0</v>
      </c>
      <c r="AH389" s="7">
        <f t="shared" si="50"/>
        <v>0</v>
      </c>
      <c r="AI389" s="7">
        <f t="shared" si="50"/>
        <v>0</v>
      </c>
      <c r="AJ389" s="7">
        <f t="shared" si="50"/>
        <v>0</v>
      </c>
      <c r="AK389" s="7">
        <f t="shared" si="50"/>
        <v>0</v>
      </c>
      <c r="AL389" s="7">
        <f t="shared" si="50"/>
        <v>0</v>
      </c>
      <c r="AM389" s="7">
        <f t="shared" si="50"/>
        <v>0</v>
      </c>
      <c r="AN389" s="7">
        <f t="shared" si="50"/>
        <v>0</v>
      </c>
      <c r="AO389" s="7">
        <f t="shared" si="50"/>
        <v>0</v>
      </c>
      <c r="AP389" s="7">
        <f t="shared" si="50"/>
        <v>0</v>
      </c>
      <c r="AQ389" s="7">
        <f t="shared" si="50"/>
        <v>0</v>
      </c>
      <c r="AR389" s="7">
        <f t="shared" si="50"/>
        <v>0</v>
      </c>
      <c r="AS389" s="7">
        <f t="shared" si="50"/>
        <v>0</v>
      </c>
      <c r="AT389" s="7">
        <f t="shared" si="50"/>
        <v>0</v>
      </c>
      <c r="AU389" s="7">
        <f t="shared" si="50"/>
        <v>0</v>
      </c>
      <c r="AV389" s="7">
        <f t="shared" si="50"/>
        <v>0</v>
      </c>
      <c r="AW389" s="7">
        <f t="shared" si="50"/>
        <v>0</v>
      </c>
    </row>
    <row r="390" spans="1:49" ht="14.5" hidden="1" outlineLevel="1" x14ac:dyDescent="0.35">
      <c r="A390" t="s">
        <v>12</v>
      </c>
      <c r="B390" t="s">
        <v>10</v>
      </c>
      <c r="C390" t="s">
        <v>143</v>
      </c>
      <c r="D390" t="s">
        <v>85</v>
      </c>
      <c r="E390" t="s">
        <v>102</v>
      </c>
      <c r="F390" s="11">
        <v>45</v>
      </c>
      <c r="G390" s="11">
        <v>45</v>
      </c>
      <c r="H390" s="11">
        <v>0</v>
      </c>
      <c r="I390" s="11">
        <v>45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</row>
    <row r="391" spans="1:49" ht="14.5" collapsed="1" x14ac:dyDescent="0.35">
      <c r="A391" s="6" t="s">
        <v>12</v>
      </c>
      <c r="B391" s="6" t="s">
        <v>14</v>
      </c>
      <c r="C391" s="6" t="s">
        <v>13</v>
      </c>
      <c r="D391" s="6" t="s">
        <v>72</v>
      </c>
      <c r="E391" s="6" t="s">
        <v>73</v>
      </c>
      <c r="F391" s="7">
        <f t="shared" ref="F391:AW391" si="51">SUM(F392,F395,F396,F397,F398,F400,F402,F403,F404,F407,F410,F413,F416)</f>
        <v>390</v>
      </c>
      <c r="G391" s="7">
        <f t="shared" si="51"/>
        <v>1340</v>
      </c>
      <c r="H391" s="7">
        <f t="shared" si="51"/>
        <v>1420.5</v>
      </c>
      <c r="I391" s="7">
        <f t="shared" si="51"/>
        <v>-80.5</v>
      </c>
      <c r="J391" s="7">
        <f t="shared" si="51"/>
        <v>76</v>
      </c>
      <c r="K391" s="7">
        <f t="shared" si="51"/>
        <v>17</v>
      </c>
      <c r="L391" s="7">
        <f t="shared" si="51"/>
        <v>38</v>
      </c>
      <c r="M391" s="7">
        <f t="shared" si="51"/>
        <v>33</v>
      </c>
      <c r="N391" s="7">
        <f t="shared" si="51"/>
        <v>30</v>
      </c>
      <c r="O391" s="7">
        <f t="shared" si="51"/>
        <v>30</v>
      </c>
      <c r="P391" s="7">
        <f t="shared" si="51"/>
        <v>25</v>
      </c>
      <c r="Q391" s="7">
        <f t="shared" si="51"/>
        <v>11.5</v>
      </c>
      <c r="R391" s="7">
        <f t="shared" si="51"/>
        <v>29</v>
      </c>
      <c r="S391" s="13">
        <f t="shared" si="51"/>
        <v>69</v>
      </c>
      <c r="T391" s="13">
        <f t="shared" si="51"/>
        <v>86</v>
      </c>
      <c r="U391" s="13">
        <f t="shared" si="51"/>
        <v>82</v>
      </c>
      <c r="V391" s="7">
        <f t="shared" si="51"/>
        <v>15</v>
      </c>
      <c r="W391" s="7">
        <f t="shared" si="51"/>
        <v>30</v>
      </c>
      <c r="X391" s="7">
        <f t="shared" si="51"/>
        <v>35</v>
      </c>
      <c r="Y391" s="7">
        <f t="shared" si="51"/>
        <v>35</v>
      </c>
      <c r="Z391" s="7">
        <f t="shared" si="51"/>
        <v>0</v>
      </c>
      <c r="AA391" s="7">
        <f t="shared" si="51"/>
        <v>0</v>
      </c>
      <c r="AB391" s="7">
        <f t="shared" si="51"/>
        <v>16</v>
      </c>
      <c r="AC391" s="7">
        <f t="shared" si="51"/>
        <v>24</v>
      </c>
      <c r="AD391" s="7">
        <f t="shared" si="51"/>
        <v>24</v>
      </c>
      <c r="AE391" s="7">
        <f t="shared" si="51"/>
        <v>48</v>
      </c>
      <c r="AF391" s="13">
        <f t="shared" si="51"/>
        <v>132</v>
      </c>
      <c r="AG391" s="13">
        <f t="shared" si="51"/>
        <v>125.5</v>
      </c>
      <c r="AH391" s="13">
        <f t="shared" si="51"/>
        <v>103.5</v>
      </c>
      <c r="AI391" s="7">
        <f t="shared" si="51"/>
        <v>14</v>
      </c>
      <c r="AJ391" s="7">
        <f t="shared" si="51"/>
        <v>0</v>
      </c>
      <c r="AK391" s="7">
        <f t="shared" si="51"/>
        <v>0</v>
      </c>
      <c r="AL391" s="7">
        <f t="shared" si="51"/>
        <v>0</v>
      </c>
      <c r="AM391" s="7">
        <f t="shared" si="51"/>
        <v>0</v>
      </c>
      <c r="AN391" s="7">
        <f t="shared" si="51"/>
        <v>0</v>
      </c>
      <c r="AO391" s="7">
        <f t="shared" si="51"/>
        <v>0</v>
      </c>
      <c r="AP391" s="7">
        <f t="shared" si="51"/>
        <v>0</v>
      </c>
      <c r="AQ391" s="7">
        <f t="shared" si="51"/>
        <v>0</v>
      </c>
      <c r="AR391" s="7">
        <f t="shared" si="51"/>
        <v>0</v>
      </c>
      <c r="AS391" s="7">
        <f t="shared" si="51"/>
        <v>0</v>
      </c>
      <c r="AT391" s="7">
        <f t="shared" si="51"/>
        <v>0</v>
      </c>
      <c r="AU391" s="7">
        <f t="shared" si="51"/>
        <v>0</v>
      </c>
      <c r="AV391" s="7">
        <f t="shared" si="51"/>
        <v>0</v>
      </c>
      <c r="AW391" s="7">
        <f t="shared" si="51"/>
        <v>0</v>
      </c>
    </row>
    <row r="392" spans="1:49" ht="14.5" hidden="1" outlineLevel="1" x14ac:dyDescent="0.35">
      <c r="A392" t="s">
        <v>12</v>
      </c>
      <c r="B392" t="s">
        <v>14</v>
      </c>
      <c r="C392" t="s">
        <v>13</v>
      </c>
      <c r="D392" t="s">
        <v>85</v>
      </c>
      <c r="E392" t="s">
        <v>78</v>
      </c>
      <c r="F392" s="11">
        <v>34</v>
      </c>
      <c r="G392" s="11">
        <v>222</v>
      </c>
      <c r="H392" s="11">
        <v>212</v>
      </c>
      <c r="I392" s="11">
        <v>10</v>
      </c>
      <c r="J392" s="11">
        <v>16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14</v>
      </c>
      <c r="T392" s="11">
        <v>16</v>
      </c>
      <c r="U392" s="11">
        <v>16</v>
      </c>
      <c r="V392" s="11">
        <v>4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18</v>
      </c>
      <c r="AF392" s="11">
        <v>36</v>
      </c>
      <c r="AG392" s="11">
        <v>36</v>
      </c>
      <c r="AH392" s="11">
        <v>32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</row>
    <row r="393" spans="1:49" ht="14.5" hidden="1" outlineLevel="1" x14ac:dyDescent="0.35">
      <c r="A393" s="14" t="s">
        <v>12</v>
      </c>
      <c r="B393" s="14" t="s">
        <v>14</v>
      </c>
      <c r="C393" s="14" t="s">
        <v>13</v>
      </c>
      <c r="D393" s="14" t="s">
        <v>99</v>
      </c>
      <c r="E393" s="15" t="s">
        <v>78</v>
      </c>
      <c r="F393" s="16"/>
      <c r="G393" s="16"/>
      <c r="H393" s="16"/>
      <c r="I393" s="16"/>
      <c r="J393" s="16">
        <v>-16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-16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-19</v>
      </c>
      <c r="AH393" s="16">
        <v>-7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</row>
    <row r="394" spans="1:49" ht="14.5" hidden="1" outlineLevel="1" x14ac:dyDescent="0.35">
      <c r="A394" s="8" t="s">
        <v>12</v>
      </c>
      <c r="B394" s="8" t="s">
        <v>14</v>
      </c>
      <c r="C394" s="8" t="s">
        <v>13</v>
      </c>
      <c r="D394" s="8" t="s">
        <v>74</v>
      </c>
      <c r="E394" s="9" t="s">
        <v>78</v>
      </c>
      <c r="F394" s="10"/>
      <c r="G394" s="10"/>
      <c r="H394" s="10"/>
      <c r="I394" s="10"/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1.3461540000000001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13.1</v>
      </c>
      <c r="AE394" s="10">
        <v>7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</row>
    <row r="395" spans="1:49" ht="14.5" hidden="1" outlineLevel="1" x14ac:dyDescent="0.35">
      <c r="A395" t="s">
        <v>12</v>
      </c>
      <c r="B395" t="s">
        <v>14</v>
      </c>
      <c r="C395" t="s">
        <v>13</v>
      </c>
      <c r="D395" t="s">
        <v>85</v>
      </c>
      <c r="E395" t="s">
        <v>79</v>
      </c>
      <c r="F395" s="11">
        <v>10</v>
      </c>
      <c r="G395" s="11">
        <v>10</v>
      </c>
      <c r="H395" s="11">
        <v>5</v>
      </c>
      <c r="I395" s="11">
        <v>5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</row>
    <row r="396" spans="1:49" ht="14.5" hidden="1" outlineLevel="1" x14ac:dyDescent="0.35">
      <c r="A396" t="s">
        <v>12</v>
      </c>
      <c r="B396" t="s">
        <v>14</v>
      </c>
      <c r="C396" t="s">
        <v>13</v>
      </c>
      <c r="D396" t="s">
        <v>85</v>
      </c>
      <c r="E396" t="s">
        <v>87</v>
      </c>
      <c r="F396" s="11">
        <v>0</v>
      </c>
      <c r="G396" s="11">
        <v>0</v>
      </c>
      <c r="H396" s="11">
        <v>16</v>
      </c>
      <c r="I396" s="11">
        <v>-16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</row>
    <row r="397" spans="1:49" ht="14.5" hidden="1" outlineLevel="1" x14ac:dyDescent="0.35">
      <c r="A397" t="s">
        <v>12</v>
      </c>
      <c r="B397" t="s">
        <v>14</v>
      </c>
      <c r="C397" t="s">
        <v>13</v>
      </c>
      <c r="D397" t="s">
        <v>85</v>
      </c>
      <c r="E397" t="s">
        <v>88</v>
      </c>
      <c r="F397" s="11">
        <v>0</v>
      </c>
      <c r="G397" s="11">
        <v>0</v>
      </c>
      <c r="H397" s="11">
        <v>19</v>
      </c>
      <c r="I397" s="11">
        <v>-19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</row>
    <row r="398" spans="1:49" ht="14.5" hidden="1" outlineLevel="1" x14ac:dyDescent="0.35">
      <c r="A398" t="s">
        <v>12</v>
      </c>
      <c r="B398" t="s">
        <v>14</v>
      </c>
      <c r="C398" t="s">
        <v>13</v>
      </c>
      <c r="D398" t="s">
        <v>85</v>
      </c>
      <c r="E398" t="s">
        <v>40</v>
      </c>
      <c r="F398" s="11">
        <v>32</v>
      </c>
      <c r="G398" s="11">
        <v>162</v>
      </c>
      <c r="H398" s="11">
        <v>140</v>
      </c>
      <c r="I398" s="11">
        <v>22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10</v>
      </c>
      <c r="T398" s="11">
        <v>15</v>
      </c>
      <c r="U398" s="11">
        <v>10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50</v>
      </c>
      <c r="AG398" s="11">
        <v>30</v>
      </c>
      <c r="AH398" s="11">
        <v>15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</row>
    <row r="399" spans="1:49" ht="14.5" hidden="1" outlineLevel="1" x14ac:dyDescent="0.35">
      <c r="A399" s="14" t="s">
        <v>12</v>
      </c>
      <c r="B399" s="14" t="s">
        <v>14</v>
      </c>
      <c r="C399" s="14" t="s">
        <v>13</v>
      </c>
      <c r="D399" s="14" t="s">
        <v>99</v>
      </c>
      <c r="E399" s="15" t="s">
        <v>40</v>
      </c>
      <c r="F399" s="16"/>
      <c r="G399" s="16"/>
      <c r="H399" s="16"/>
      <c r="I399" s="16"/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-8</v>
      </c>
      <c r="T399" s="16">
        <v>-15</v>
      </c>
      <c r="U399" s="16">
        <v>-10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-50</v>
      </c>
      <c r="AG399" s="16">
        <v>-30</v>
      </c>
      <c r="AH399" s="16">
        <v>-15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</row>
    <row r="400" spans="1:49" ht="14.5" hidden="1" outlineLevel="1" x14ac:dyDescent="0.35">
      <c r="A400" t="s">
        <v>12</v>
      </c>
      <c r="B400" t="s">
        <v>14</v>
      </c>
      <c r="C400" t="s">
        <v>13</v>
      </c>
      <c r="D400" t="s">
        <v>85</v>
      </c>
      <c r="E400" t="s">
        <v>101</v>
      </c>
      <c r="F400" s="11">
        <v>230</v>
      </c>
      <c r="G400" s="11">
        <v>674</v>
      </c>
      <c r="H400" s="11">
        <v>671.5</v>
      </c>
      <c r="I400" s="11">
        <v>2.5</v>
      </c>
      <c r="J400" s="11">
        <v>28</v>
      </c>
      <c r="K400" s="11">
        <v>0</v>
      </c>
      <c r="L400" s="11">
        <v>30</v>
      </c>
      <c r="M400" s="11">
        <v>25</v>
      </c>
      <c r="N400" s="11">
        <v>30</v>
      </c>
      <c r="O400" s="11">
        <v>30</v>
      </c>
      <c r="P400" s="11">
        <v>20</v>
      </c>
      <c r="Q400" s="11">
        <v>6.5</v>
      </c>
      <c r="R400" s="11">
        <v>24</v>
      </c>
      <c r="S400" s="11">
        <v>24</v>
      </c>
      <c r="T400" s="11">
        <v>24</v>
      </c>
      <c r="U400" s="11">
        <v>28</v>
      </c>
      <c r="V400" s="11">
        <v>0</v>
      </c>
      <c r="W400" s="11">
        <v>24</v>
      </c>
      <c r="X400" s="11">
        <v>30</v>
      </c>
      <c r="Y400" s="11">
        <v>30</v>
      </c>
      <c r="Z400" s="11">
        <v>0</v>
      </c>
      <c r="AA400" s="11">
        <v>0</v>
      </c>
      <c r="AB400" s="11">
        <v>16</v>
      </c>
      <c r="AC400" s="11">
        <v>24</v>
      </c>
      <c r="AD400" s="11">
        <v>24</v>
      </c>
      <c r="AE400" s="11">
        <v>30</v>
      </c>
      <c r="AF400" s="11">
        <v>30</v>
      </c>
      <c r="AG400" s="11">
        <v>30</v>
      </c>
      <c r="AH400" s="11">
        <v>30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</row>
    <row r="401" spans="1:49" ht="14.5" hidden="1" outlineLevel="1" x14ac:dyDescent="0.35">
      <c r="A401" s="14" t="s">
        <v>12</v>
      </c>
      <c r="B401" s="14" t="s">
        <v>14</v>
      </c>
      <c r="C401" s="14" t="s">
        <v>13</v>
      </c>
      <c r="D401" s="14" t="s">
        <v>99</v>
      </c>
      <c r="E401" s="15" t="s">
        <v>101</v>
      </c>
      <c r="F401" s="16"/>
      <c r="G401" s="16"/>
      <c r="H401" s="16"/>
      <c r="I401" s="16"/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-11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0</v>
      </c>
      <c r="AW401" s="16">
        <v>0</v>
      </c>
    </row>
    <row r="402" spans="1:49" ht="14.5" hidden="1" outlineLevel="1" x14ac:dyDescent="0.35">
      <c r="A402" t="s">
        <v>12</v>
      </c>
      <c r="B402" t="s">
        <v>14</v>
      </c>
      <c r="C402" t="s">
        <v>13</v>
      </c>
      <c r="D402" t="s">
        <v>85</v>
      </c>
      <c r="E402" t="s">
        <v>97</v>
      </c>
      <c r="F402" s="11">
        <v>0</v>
      </c>
      <c r="G402" s="11">
        <v>0</v>
      </c>
      <c r="H402" s="11">
        <v>9</v>
      </c>
      <c r="I402" s="11">
        <v>-9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</row>
    <row r="403" spans="1:49" ht="14.5" hidden="1" outlineLevel="1" x14ac:dyDescent="0.35">
      <c r="A403" t="s">
        <v>12</v>
      </c>
      <c r="B403" t="s">
        <v>14</v>
      </c>
      <c r="C403" t="s">
        <v>13</v>
      </c>
      <c r="D403" t="s">
        <v>85</v>
      </c>
      <c r="E403" t="s">
        <v>90</v>
      </c>
      <c r="F403" s="11">
        <v>0</v>
      </c>
      <c r="G403" s="11">
        <v>0</v>
      </c>
      <c r="H403" s="11">
        <v>16</v>
      </c>
      <c r="I403" s="11">
        <v>-16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</row>
    <row r="404" spans="1:49" ht="14.5" hidden="1" outlineLevel="1" x14ac:dyDescent="0.35">
      <c r="A404" t="s">
        <v>12</v>
      </c>
      <c r="B404" t="s">
        <v>14</v>
      </c>
      <c r="C404" t="s">
        <v>13</v>
      </c>
      <c r="D404" t="s">
        <v>85</v>
      </c>
      <c r="E404" t="s">
        <v>82</v>
      </c>
      <c r="F404" s="11">
        <v>0</v>
      </c>
      <c r="G404" s="11">
        <v>0</v>
      </c>
      <c r="H404" s="11">
        <v>77</v>
      </c>
      <c r="I404" s="11">
        <v>-77</v>
      </c>
      <c r="J404" s="11">
        <v>8</v>
      </c>
      <c r="K404" s="11">
        <v>8</v>
      </c>
      <c r="L404" s="11">
        <v>8</v>
      </c>
      <c r="M404" s="11">
        <v>8</v>
      </c>
      <c r="N404" s="11">
        <v>0</v>
      </c>
      <c r="O404" s="11">
        <v>0</v>
      </c>
      <c r="P404" s="11">
        <v>5</v>
      </c>
      <c r="Q404" s="11">
        <v>5</v>
      </c>
      <c r="R404" s="11">
        <v>5</v>
      </c>
      <c r="S404" s="11">
        <v>5</v>
      </c>
      <c r="T404" s="11">
        <v>5</v>
      </c>
      <c r="U404" s="11">
        <v>5</v>
      </c>
      <c r="V404" s="11">
        <v>0</v>
      </c>
      <c r="W404" s="11">
        <v>5</v>
      </c>
      <c r="X404" s="11">
        <v>5</v>
      </c>
      <c r="Y404" s="11">
        <v>5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</row>
    <row r="405" spans="1:49" ht="14.5" hidden="1" outlineLevel="1" x14ac:dyDescent="0.35">
      <c r="A405" s="14" t="s">
        <v>12</v>
      </c>
      <c r="B405" s="14" t="s">
        <v>14</v>
      </c>
      <c r="C405" s="14" t="s">
        <v>13</v>
      </c>
      <c r="D405" s="14" t="s">
        <v>99</v>
      </c>
      <c r="E405" s="15" t="s">
        <v>82</v>
      </c>
      <c r="F405" s="16"/>
      <c r="G405" s="16"/>
      <c r="H405" s="16"/>
      <c r="I405" s="16"/>
      <c r="J405" s="16">
        <v>-8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-5</v>
      </c>
      <c r="T405" s="16">
        <v>-5</v>
      </c>
      <c r="U405" s="16">
        <v>-5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</row>
    <row r="406" spans="1:49" ht="14.5" hidden="1" outlineLevel="1" x14ac:dyDescent="0.35">
      <c r="A406" s="8" t="s">
        <v>12</v>
      </c>
      <c r="B406" s="8" t="s">
        <v>14</v>
      </c>
      <c r="C406" s="8" t="s">
        <v>13</v>
      </c>
      <c r="D406" s="8" t="s">
        <v>74</v>
      </c>
      <c r="E406" s="9" t="s">
        <v>82</v>
      </c>
      <c r="F406" s="10"/>
      <c r="G406" s="10"/>
      <c r="H406" s="10"/>
      <c r="I406" s="10"/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3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</row>
    <row r="407" spans="1:49" ht="14.5" hidden="1" outlineLevel="1" x14ac:dyDescent="0.35">
      <c r="A407" t="s">
        <v>12</v>
      </c>
      <c r="B407" t="s">
        <v>14</v>
      </c>
      <c r="C407" t="s">
        <v>13</v>
      </c>
      <c r="D407" t="s">
        <v>85</v>
      </c>
      <c r="E407" t="s">
        <v>98</v>
      </c>
      <c r="F407" s="11">
        <v>56</v>
      </c>
      <c r="G407" s="11">
        <v>113</v>
      </c>
      <c r="H407" s="11">
        <v>63</v>
      </c>
      <c r="I407" s="11">
        <v>50</v>
      </c>
      <c r="J407" s="11">
        <v>6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9</v>
      </c>
      <c r="T407" s="11">
        <v>11</v>
      </c>
      <c r="U407" s="11">
        <v>7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9</v>
      </c>
      <c r="AG407" s="11">
        <v>10.5</v>
      </c>
      <c r="AH407" s="11">
        <v>7.5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</row>
    <row r="408" spans="1:49" ht="14.5" hidden="1" outlineLevel="1" x14ac:dyDescent="0.35">
      <c r="A408" s="14" t="s">
        <v>12</v>
      </c>
      <c r="B408" s="14" t="s">
        <v>14</v>
      </c>
      <c r="C408" s="14" t="s">
        <v>13</v>
      </c>
      <c r="D408" s="14" t="s">
        <v>99</v>
      </c>
      <c r="E408" s="15" t="s">
        <v>98</v>
      </c>
      <c r="F408" s="16"/>
      <c r="G408" s="16"/>
      <c r="H408" s="16"/>
      <c r="I408" s="16"/>
      <c r="J408" s="16">
        <v>-6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-9</v>
      </c>
      <c r="T408" s="16">
        <v>-11</v>
      </c>
      <c r="U408" s="16">
        <v>-7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-9</v>
      </c>
      <c r="AG408" s="16">
        <v>-10.5</v>
      </c>
      <c r="AH408" s="16">
        <v>-7.5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</row>
    <row r="409" spans="1:49" ht="14.5" hidden="1" outlineLevel="1" x14ac:dyDescent="0.35">
      <c r="A409" s="8" t="s">
        <v>12</v>
      </c>
      <c r="B409" s="8" t="s">
        <v>14</v>
      </c>
      <c r="C409" s="8" t="s">
        <v>13</v>
      </c>
      <c r="D409" s="8" t="s">
        <v>74</v>
      </c>
      <c r="E409" s="9" t="s">
        <v>98</v>
      </c>
      <c r="F409" s="10"/>
      <c r="G409" s="10"/>
      <c r="H409" s="10"/>
      <c r="I409" s="10"/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25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</row>
    <row r="410" spans="1:49" ht="14.5" hidden="1" outlineLevel="1" x14ac:dyDescent="0.35">
      <c r="A410" t="s">
        <v>12</v>
      </c>
      <c r="B410" t="s">
        <v>14</v>
      </c>
      <c r="C410" t="s">
        <v>13</v>
      </c>
      <c r="D410" t="s">
        <v>85</v>
      </c>
      <c r="E410" t="s">
        <v>43</v>
      </c>
      <c r="F410" s="11">
        <v>14</v>
      </c>
      <c r="G410" s="11">
        <v>111</v>
      </c>
      <c r="H410" s="11">
        <v>107</v>
      </c>
      <c r="I410" s="11">
        <v>4</v>
      </c>
      <c r="J410" s="11">
        <v>16</v>
      </c>
      <c r="K410" s="11">
        <v>9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9</v>
      </c>
      <c r="U410" s="11">
        <v>13</v>
      </c>
      <c r="V410" s="11">
        <v>11</v>
      </c>
      <c r="W410" s="11">
        <v>1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11</v>
      </c>
      <c r="AH410" s="11">
        <v>18</v>
      </c>
      <c r="AI410" s="11">
        <v>14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</row>
    <row r="411" spans="1:49" ht="14.5" hidden="1" outlineLevel="1" x14ac:dyDescent="0.35">
      <c r="A411" s="14" t="s">
        <v>12</v>
      </c>
      <c r="B411" s="14" t="s">
        <v>14</v>
      </c>
      <c r="C411" s="14" t="s">
        <v>13</v>
      </c>
      <c r="D411" s="14" t="s">
        <v>99</v>
      </c>
      <c r="E411" s="15" t="s">
        <v>43</v>
      </c>
      <c r="F411" s="16"/>
      <c r="G411" s="16"/>
      <c r="H411" s="16"/>
      <c r="I411" s="16"/>
      <c r="J411" s="16">
        <v>-4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-9</v>
      </c>
      <c r="U411" s="16">
        <v>-1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  <c r="AG411" s="16">
        <v>-11</v>
      </c>
      <c r="AH411" s="16">
        <v>-18</v>
      </c>
      <c r="AI411" s="16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0</v>
      </c>
    </row>
    <row r="412" spans="1:49" ht="14.5" hidden="1" outlineLevel="1" x14ac:dyDescent="0.35">
      <c r="A412" s="8" t="s">
        <v>12</v>
      </c>
      <c r="B412" s="8" t="s">
        <v>14</v>
      </c>
      <c r="C412" s="8" t="s">
        <v>13</v>
      </c>
      <c r="D412" s="8" t="s">
        <v>74</v>
      </c>
      <c r="E412" s="9" t="s">
        <v>43</v>
      </c>
      <c r="F412" s="10"/>
      <c r="G412" s="10"/>
      <c r="H412" s="10"/>
      <c r="I412" s="10"/>
      <c r="J412" s="10">
        <v>0</v>
      </c>
      <c r="K412" s="10">
        <v>15</v>
      </c>
      <c r="L412" s="10">
        <v>2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1</v>
      </c>
      <c r="S412" s="10">
        <v>0</v>
      </c>
      <c r="T412" s="10">
        <v>0</v>
      </c>
      <c r="U412" s="10">
        <v>0</v>
      </c>
      <c r="V412" s="10">
        <v>20</v>
      </c>
      <c r="W412" s="10">
        <v>10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</row>
    <row r="413" spans="1:49" ht="14.5" hidden="1" outlineLevel="1" x14ac:dyDescent="0.35">
      <c r="A413" t="s">
        <v>12</v>
      </c>
      <c r="B413" t="s">
        <v>14</v>
      </c>
      <c r="C413" t="s">
        <v>13</v>
      </c>
      <c r="D413" t="s">
        <v>85</v>
      </c>
      <c r="E413" t="s">
        <v>102</v>
      </c>
      <c r="F413" s="11">
        <v>14</v>
      </c>
      <c r="G413" s="11">
        <v>48</v>
      </c>
      <c r="H413" s="11">
        <v>65</v>
      </c>
      <c r="I413" s="11">
        <v>-17</v>
      </c>
      <c r="J413" s="11">
        <v>2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7</v>
      </c>
      <c r="T413" s="11">
        <v>6</v>
      </c>
      <c r="U413" s="11">
        <v>3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7</v>
      </c>
      <c r="AG413" s="11">
        <v>8</v>
      </c>
      <c r="AH413" s="11">
        <v>1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</row>
    <row r="414" spans="1:49" ht="14.5" hidden="1" outlineLevel="1" x14ac:dyDescent="0.35">
      <c r="A414" s="14" t="s">
        <v>12</v>
      </c>
      <c r="B414" s="14" t="s">
        <v>14</v>
      </c>
      <c r="C414" s="14" t="s">
        <v>13</v>
      </c>
      <c r="D414" s="14" t="s">
        <v>99</v>
      </c>
      <c r="E414" s="15" t="s">
        <v>102</v>
      </c>
      <c r="F414" s="16"/>
      <c r="G414" s="16"/>
      <c r="H414" s="16"/>
      <c r="I414" s="16"/>
      <c r="J414" s="16">
        <v>-2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-7</v>
      </c>
      <c r="T414" s="16">
        <v>-6</v>
      </c>
      <c r="U414" s="16">
        <v>-3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-7</v>
      </c>
      <c r="AG414" s="16">
        <v>0</v>
      </c>
      <c r="AH414" s="16">
        <v>-1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</row>
    <row r="415" spans="1:49" ht="14.5" hidden="1" outlineLevel="1" x14ac:dyDescent="0.35">
      <c r="A415" s="8" t="s">
        <v>12</v>
      </c>
      <c r="B415" s="8" t="s">
        <v>14</v>
      </c>
      <c r="C415" s="8" t="s">
        <v>13</v>
      </c>
      <c r="D415" s="8" t="s">
        <v>74</v>
      </c>
      <c r="E415" s="9" t="s">
        <v>102</v>
      </c>
      <c r="F415" s="10"/>
      <c r="G415" s="10"/>
      <c r="H415" s="10"/>
      <c r="I415" s="10"/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15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10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35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</row>
    <row r="416" spans="1:49" ht="14.5" hidden="1" outlineLevel="1" x14ac:dyDescent="0.35">
      <c r="A416" t="s">
        <v>12</v>
      </c>
      <c r="B416" t="s">
        <v>14</v>
      </c>
      <c r="C416" t="s">
        <v>13</v>
      </c>
      <c r="D416" t="s">
        <v>85</v>
      </c>
      <c r="E416" t="s">
        <v>91</v>
      </c>
      <c r="F416" s="11">
        <v>0</v>
      </c>
      <c r="G416" s="11">
        <v>0</v>
      </c>
      <c r="H416" s="11">
        <v>20</v>
      </c>
      <c r="I416" s="11">
        <v>-20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</row>
    <row r="417" spans="1:49" ht="14.5" hidden="1" outlineLevel="1" x14ac:dyDescent="0.35">
      <c r="A417" s="8" t="s">
        <v>12</v>
      </c>
      <c r="B417" s="8" t="s">
        <v>14</v>
      </c>
      <c r="C417" s="8" t="s">
        <v>13</v>
      </c>
      <c r="D417" s="8" t="s">
        <v>74</v>
      </c>
      <c r="E417" s="9" t="s">
        <v>122</v>
      </c>
      <c r="F417" s="10"/>
      <c r="G417" s="10"/>
      <c r="H417" s="10"/>
      <c r="I417" s="10"/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21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</row>
    <row r="418" spans="1:49" ht="14.5" hidden="1" outlineLevel="1" x14ac:dyDescent="0.35">
      <c r="A418" s="8" t="s">
        <v>12</v>
      </c>
      <c r="B418" s="8" t="s">
        <v>14</v>
      </c>
      <c r="C418" s="8" t="s">
        <v>13</v>
      </c>
      <c r="D418" s="8" t="s">
        <v>74</v>
      </c>
      <c r="E418" s="9" t="s">
        <v>103</v>
      </c>
      <c r="F418" s="10"/>
      <c r="G418" s="10"/>
      <c r="H418" s="10"/>
      <c r="I418" s="10"/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21</v>
      </c>
      <c r="AD418" s="10">
        <v>14.9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</row>
    <row r="419" spans="1:49" ht="14.5" collapsed="1" x14ac:dyDescent="0.35">
      <c r="A419" s="6" t="s">
        <v>12</v>
      </c>
      <c r="B419" s="6" t="s">
        <v>14</v>
      </c>
      <c r="C419" s="6" t="s">
        <v>26</v>
      </c>
      <c r="D419" s="6" t="s">
        <v>72</v>
      </c>
      <c r="E419" s="6" t="s">
        <v>73</v>
      </c>
      <c r="F419" s="7">
        <f t="shared" ref="F419:AW419" si="52">SUM(F420,F423,F425,F426,F428,F430,F431,F434,F435,F437,F439,F440)</f>
        <v>468.9</v>
      </c>
      <c r="G419" s="7">
        <f t="shared" si="52"/>
        <v>1999.9</v>
      </c>
      <c r="H419" s="7">
        <f t="shared" si="52"/>
        <v>1457</v>
      </c>
      <c r="I419" s="7">
        <f t="shared" si="52"/>
        <v>542.9</v>
      </c>
      <c r="J419" s="7">
        <f t="shared" si="52"/>
        <v>65.5</v>
      </c>
      <c r="K419" s="7">
        <f t="shared" si="52"/>
        <v>16</v>
      </c>
      <c r="L419" s="7">
        <f t="shared" si="52"/>
        <v>39</v>
      </c>
      <c r="M419" s="7">
        <f t="shared" si="52"/>
        <v>35</v>
      </c>
      <c r="N419" s="7">
        <f t="shared" si="52"/>
        <v>35.1</v>
      </c>
      <c r="O419" s="7">
        <f t="shared" si="52"/>
        <v>20</v>
      </c>
      <c r="P419" s="7">
        <f t="shared" si="52"/>
        <v>19.3</v>
      </c>
      <c r="Q419" s="7">
        <f t="shared" si="52"/>
        <v>28.1</v>
      </c>
      <c r="R419" s="7">
        <f t="shared" si="52"/>
        <v>19.2</v>
      </c>
      <c r="S419" s="7">
        <f t="shared" si="52"/>
        <v>34.4</v>
      </c>
      <c r="T419" s="7">
        <f t="shared" si="52"/>
        <v>38</v>
      </c>
      <c r="U419" s="7">
        <f t="shared" si="52"/>
        <v>40</v>
      </c>
      <c r="V419" s="7">
        <f t="shared" si="52"/>
        <v>0</v>
      </c>
      <c r="W419" s="12">
        <f t="shared" si="52"/>
        <v>43</v>
      </c>
      <c r="X419" s="13">
        <f t="shared" si="52"/>
        <v>50</v>
      </c>
      <c r="Y419" s="13">
        <f t="shared" si="52"/>
        <v>53</v>
      </c>
      <c r="Z419" s="7">
        <f t="shared" si="52"/>
        <v>0</v>
      </c>
      <c r="AA419" s="7">
        <f t="shared" si="52"/>
        <v>0</v>
      </c>
      <c r="AB419" s="7">
        <f t="shared" si="52"/>
        <v>49.7</v>
      </c>
      <c r="AC419" s="7">
        <f t="shared" si="52"/>
        <v>53.2</v>
      </c>
      <c r="AD419" s="12">
        <f t="shared" si="52"/>
        <v>58</v>
      </c>
      <c r="AE419" s="7">
        <f t="shared" si="52"/>
        <v>55</v>
      </c>
      <c r="AF419" s="7">
        <f t="shared" si="52"/>
        <v>43</v>
      </c>
      <c r="AG419" s="7">
        <f t="shared" si="52"/>
        <v>39</v>
      </c>
      <c r="AH419" s="7">
        <f t="shared" si="52"/>
        <v>45</v>
      </c>
      <c r="AI419" s="7">
        <f t="shared" si="52"/>
        <v>21.9</v>
      </c>
      <c r="AJ419" s="7">
        <f t="shared" si="52"/>
        <v>6.3</v>
      </c>
      <c r="AK419" s="7">
        <f t="shared" si="52"/>
        <v>8.6999999999999993</v>
      </c>
      <c r="AL419" s="7">
        <f t="shared" si="52"/>
        <v>16</v>
      </c>
      <c r="AM419" s="7">
        <f t="shared" si="52"/>
        <v>16</v>
      </c>
      <c r="AN419" s="7">
        <f t="shared" si="52"/>
        <v>16</v>
      </c>
      <c r="AO419" s="7">
        <f t="shared" si="52"/>
        <v>16</v>
      </c>
      <c r="AP419" s="7">
        <f t="shared" si="52"/>
        <v>5.0999999999999996</v>
      </c>
      <c r="AQ419" s="7">
        <f t="shared" si="52"/>
        <v>0</v>
      </c>
      <c r="AR419" s="7">
        <f t="shared" si="52"/>
        <v>0</v>
      </c>
      <c r="AS419" s="7">
        <f t="shared" si="52"/>
        <v>0</v>
      </c>
      <c r="AT419" s="7">
        <f t="shared" si="52"/>
        <v>0</v>
      </c>
      <c r="AU419" s="7">
        <f t="shared" si="52"/>
        <v>0</v>
      </c>
      <c r="AV419" s="7">
        <f t="shared" si="52"/>
        <v>0</v>
      </c>
      <c r="AW419" s="7">
        <f t="shared" si="52"/>
        <v>0</v>
      </c>
    </row>
    <row r="420" spans="1:49" ht="14.5" hidden="1" outlineLevel="1" x14ac:dyDescent="0.35">
      <c r="A420" t="s">
        <v>12</v>
      </c>
      <c r="B420" t="s">
        <v>14</v>
      </c>
      <c r="C420" t="s">
        <v>26</v>
      </c>
      <c r="D420" t="s">
        <v>85</v>
      </c>
      <c r="E420" t="s">
        <v>86</v>
      </c>
      <c r="F420" s="11">
        <v>20</v>
      </c>
      <c r="G420" s="11">
        <v>62</v>
      </c>
      <c r="H420" s="11">
        <v>42</v>
      </c>
      <c r="I420" s="11">
        <v>20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5</v>
      </c>
      <c r="Q420" s="11">
        <v>8</v>
      </c>
      <c r="R420" s="11">
        <v>2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5</v>
      </c>
      <c r="Y420" s="11">
        <v>6</v>
      </c>
      <c r="Z420" s="11">
        <v>0</v>
      </c>
      <c r="AA420" s="11">
        <v>0</v>
      </c>
      <c r="AB420" s="11">
        <v>3</v>
      </c>
      <c r="AC420" s="11">
        <v>6</v>
      </c>
      <c r="AD420" s="11">
        <v>5</v>
      </c>
      <c r="AE420" s="11">
        <v>2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</row>
    <row r="421" spans="1:49" ht="14.5" hidden="1" outlineLevel="1" x14ac:dyDescent="0.35">
      <c r="A421" s="14" t="s">
        <v>12</v>
      </c>
      <c r="B421" s="14" t="s">
        <v>14</v>
      </c>
      <c r="C421" s="14" t="s">
        <v>26</v>
      </c>
      <c r="D421" s="14" t="s">
        <v>99</v>
      </c>
      <c r="E421" s="15" t="s">
        <v>86</v>
      </c>
      <c r="F421" s="16"/>
      <c r="G421" s="16"/>
      <c r="H421" s="16"/>
      <c r="I421" s="16"/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-5</v>
      </c>
      <c r="Y421" s="16">
        <v>-6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</row>
    <row r="422" spans="1:49" ht="14.5" hidden="1" outlineLevel="1" x14ac:dyDescent="0.35">
      <c r="A422" s="8" t="s">
        <v>12</v>
      </c>
      <c r="B422" s="8" t="s">
        <v>14</v>
      </c>
      <c r="C422" s="8" t="s">
        <v>26</v>
      </c>
      <c r="D422" s="8" t="s">
        <v>74</v>
      </c>
      <c r="E422" s="9" t="s">
        <v>86</v>
      </c>
      <c r="F422" s="10"/>
      <c r="G422" s="10"/>
      <c r="H422" s="10"/>
      <c r="I422" s="10"/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5</v>
      </c>
      <c r="AK422" s="10">
        <v>21</v>
      </c>
      <c r="AL422" s="10">
        <v>6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</row>
    <row r="423" spans="1:49" ht="14.5" hidden="1" outlineLevel="1" x14ac:dyDescent="0.35">
      <c r="A423" t="s">
        <v>12</v>
      </c>
      <c r="B423" t="s">
        <v>14</v>
      </c>
      <c r="C423" t="s">
        <v>26</v>
      </c>
      <c r="D423" t="s">
        <v>85</v>
      </c>
      <c r="E423" t="s">
        <v>80</v>
      </c>
      <c r="F423" s="11">
        <v>15</v>
      </c>
      <c r="G423" s="11">
        <v>520</v>
      </c>
      <c r="H423" s="11">
        <v>0</v>
      </c>
      <c r="I423" s="11">
        <v>520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</row>
    <row r="424" spans="1:49" ht="14.5" hidden="1" outlineLevel="1" x14ac:dyDescent="0.35">
      <c r="A424" s="8" t="s">
        <v>12</v>
      </c>
      <c r="B424" s="8" t="s">
        <v>14</v>
      </c>
      <c r="C424" s="8" t="s">
        <v>26</v>
      </c>
      <c r="D424" s="8" t="s">
        <v>74</v>
      </c>
      <c r="E424" s="9" t="s">
        <v>80</v>
      </c>
      <c r="F424" s="10"/>
      <c r="G424" s="10"/>
      <c r="H424" s="10"/>
      <c r="I424" s="10"/>
      <c r="J424" s="10">
        <v>0</v>
      </c>
      <c r="K424" s="10">
        <v>0</v>
      </c>
      <c r="L424" s="10">
        <v>1</v>
      </c>
      <c r="M424" s="10">
        <v>0</v>
      </c>
      <c r="N424" s="10">
        <v>0</v>
      </c>
      <c r="O424" s="10">
        <v>20</v>
      </c>
      <c r="P424" s="10">
        <v>0</v>
      </c>
      <c r="Q424" s="10">
        <v>11.9</v>
      </c>
      <c r="R424" s="10">
        <v>15</v>
      </c>
      <c r="S424" s="10">
        <v>0.60000000000000098</v>
      </c>
      <c r="T424" s="10">
        <v>0</v>
      </c>
      <c r="U424" s="10">
        <v>0</v>
      </c>
      <c r="V424" s="10">
        <v>15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5.3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</row>
    <row r="425" spans="1:49" ht="14.5" hidden="1" outlineLevel="1" x14ac:dyDescent="0.35">
      <c r="A425" t="s">
        <v>12</v>
      </c>
      <c r="B425" t="s">
        <v>14</v>
      </c>
      <c r="C425" t="s">
        <v>26</v>
      </c>
      <c r="D425" t="s">
        <v>85</v>
      </c>
      <c r="E425" t="s">
        <v>88</v>
      </c>
      <c r="F425" s="11">
        <v>0</v>
      </c>
      <c r="G425" s="11">
        <v>0</v>
      </c>
      <c r="H425" s="11">
        <v>32</v>
      </c>
      <c r="I425" s="11">
        <v>-32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</row>
    <row r="426" spans="1:49" ht="14.5" hidden="1" outlineLevel="1" x14ac:dyDescent="0.35">
      <c r="A426" t="s">
        <v>12</v>
      </c>
      <c r="B426" t="s">
        <v>14</v>
      </c>
      <c r="C426" t="s">
        <v>26</v>
      </c>
      <c r="D426" t="s">
        <v>85</v>
      </c>
      <c r="E426" t="s">
        <v>40</v>
      </c>
      <c r="F426" s="11">
        <v>0</v>
      </c>
      <c r="G426" s="11">
        <v>28</v>
      </c>
      <c r="H426" s="11">
        <v>28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8</v>
      </c>
      <c r="AH426" s="11">
        <v>10</v>
      </c>
      <c r="AI426" s="11">
        <v>10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</row>
    <row r="427" spans="1:49" ht="14.5" hidden="1" outlineLevel="1" x14ac:dyDescent="0.35">
      <c r="A427" s="8" t="s">
        <v>12</v>
      </c>
      <c r="B427" s="8" t="s">
        <v>14</v>
      </c>
      <c r="C427" s="8" t="s">
        <v>26</v>
      </c>
      <c r="D427" s="8" t="s">
        <v>74</v>
      </c>
      <c r="E427" s="9" t="s">
        <v>40</v>
      </c>
      <c r="F427" s="10"/>
      <c r="G427" s="10"/>
      <c r="H427" s="10"/>
      <c r="I427" s="10"/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12</v>
      </c>
      <c r="AG427" s="10">
        <v>16</v>
      </c>
      <c r="AH427" s="10">
        <v>10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</row>
    <row r="428" spans="1:49" ht="14.5" hidden="1" outlineLevel="1" x14ac:dyDescent="0.35">
      <c r="A428" t="s">
        <v>12</v>
      </c>
      <c r="B428" t="s">
        <v>14</v>
      </c>
      <c r="C428" t="s">
        <v>26</v>
      </c>
      <c r="D428" t="s">
        <v>85</v>
      </c>
      <c r="E428" t="s">
        <v>97</v>
      </c>
      <c r="F428" s="11">
        <v>135</v>
      </c>
      <c r="G428" s="11">
        <v>380</v>
      </c>
      <c r="H428" s="11">
        <v>471</v>
      </c>
      <c r="I428" s="11">
        <v>-91</v>
      </c>
      <c r="J428" s="11">
        <v>10.5</v>
      </c>
      <c r="K428" s="11">
        <v>0</v>
      </c>
      <c r="L428" s="11">
        <v>20</v>
      </c>
      <c r="M428" s="11">
        <v>20</v>
      </c>
      <c r="N428" s="11">
        <v>20</v>
      </c>
      <c r="O428" s="11">
        <v>0</v>
      </c>
      <c r="P428" s="11">
        <v>0</v>
      </c>
      <c r="Q428" s="11">
        <v>5</v>
      </c>
      <c r="R428" s="11">
        <v>5</v>
      </c>
      <c r="S428" s="11">
        <v>20</v>
      </c>
      <c r="T428" s="11">
        <v>20</v>
      </c>
      <c r="U428" s="11">
        <v>20</v>
      </c>
      <c r="V428" s="11">
        <v>0</v>
      </c>
      <c r="W428" s="11">
        <v>15</v>
      </c>
      <c r="X428" s="11">
        <v>15</v>
      </c>
      <c r="Y428" s="11">
        <v>15</v>
      </c>
      <c r="Z428" s="11">
        <v>0</v>
      </c>
      <c r="AA428" s="11">
        <v>0</v>
      </c>
      <c r="AB428" s="11">
        <v>10</v>
      </c>
      <c r="AC428" s="11">
        <v>10</v>
      </c>
      <c r="AD428" s="11">
        <v>10</v>
      </c>
      <c r="AE428" s="11">
        <v>10</v>
      </c>
      <c r="AF428" s="11">
        <v>10</v>
      </c>
      <c r="AG428" s="11">
        <v>5</v>
      </c>
      <c r="AH428" s="11">
        <v>5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</row>
    <row r="429" spans="1:49" ht="14.5" hidden="1" outlineLevel="1" x14ac:dyDescent="0.35">
      <c r="A429" s="14" t="s">
        <v>12</v>
      </c>
      <c r="B429" s="14" t="s">
        <v>14</v>
      </c>
      <c r="C429" s="14" t="s">
        <v>26</v>
      </c>
      <c r="D429" s="14" t="s">
        <v>99</v>
      </c>
      <c r="E429" s="15" t="s">
        <v>97</v>
      </c>
      <c r="F429" s="16"/>
      <c r="G429" s="16"/>
      <c r="H429" s="16"/>
      <c r="I429" s="16"/>
      <c r="J429" s="16">
        <v>-2.5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</row>
    <row r="430" spans="1:49" ht="14.5" hidden="1" outlineLevel="1" x14ac:dyDescent="0.35">
      <c r="A430" t="s">
        <v>12</v>
      </c>
      <c r="B430" t="s">
        <v>14</v>
      </c>
      <c r="C430" t="s">
        <v>26</v>
      </c>
      <c r="D430" t="s">
        <v>85</v>
      </c>
      <c r="E430" t="s">
        <v>90</v>
      </c>
      <c r="F430" s="11">
        <v>0</v>
      </c>
      <c r="G430" s="11">
        <v>0</v>
      </c>
      <c r="H430" s="11">
        <v>3</v>
      </c>
      <c r="I430" s="11">
        <v>-3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</row>
    <row r="431" spans="1:49" ht="14.5" hidden="1" outlineLevel="1" x14ac:dyDescent="0.35">
      <c r="A431" t="s">
        <v>12</v>
      </c>
      <c r="B431" t="s">
        <v>14</v>
      </c>
      <c r="C431" t="s">
        <v>26</v>
      </c>
      <c r="D431" t="s">
        <v>85</v>
      </c>
      <c r="E431" t="s">
        <v>82</v>
      </c>
      <c r="F431" s="11">
        <v>86</v>
      </c>
      <c r="G431" s="11">
        <v>274</v>
      </c>
      <c r="H431" s="11">
        <v>126.5</v>
      </c>
      <c r="I431" s="11">
        <v>147.5</v>
      </c>
      <c r="J431" s="11">
        <v>1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15</v>
      </c>
      <c r="AC431" s="11">
        <v>15</v>
      </c>
      <c r="AD431" s="11">
        <v>15</v>
      </c>
      <c r="AE431" s="11">
        <v>15</v>
      </c>
      <c r="AF431" s="11">
        <v>15</v>
      </c>
      <c r="AG431" s="11">
        <v>16</v>
      </c>
      <c r="AH431" s="11">
        <v>20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</row>
    <row r="432" spans="1:49" ht="14.5" hidden="1" outlineLevel="1" x14ac:dyDescent="0.35">
      <c r="A432" s="14" t="s">
        <v>12</v>
      </c>
      <c r="B432" s="14" t="s">
        <v>14</v>
      </c>
      <c r="C432" s="14" t="s">
        <v>26</v>
      </c>
      <c r="D432" s="14" t="s">
        <v>99</v>
      </c>
      <c r="E432" s="15" t="s">
        <v>82</v>
      </c>
      <c r="F432" s="16"/>
      <c r="G432" s="16"/>
      <c r="H432" s="16"/>
      <c r="I432" s="16"/>
      <c r="J432" s="16">
        <v>-1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-3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</row>
    <row r="433" spans="1:49" ht="14.5" hidden="1" outlineLevel="1" x14ac:dyDescent="0.35">
      <c r="A433" s="8" t="s">
        <v>12</v>
      </c>
      <c r="B433" s="8" t="s">
        <v>14</v>
      </c>
      <c r="C433" s="8" t="s">
        <v>26</v>
      </c>
      <c r="D433" s="8" t="s">
        <v>74</v>
      </c>
      <c r="E433" s="9" t="s">
        <v>82</v>
      </c>
      <c r="F433" s="10"/>
      <c r="G433" s="10"/>
      <c r="H433" s="10"/>
      <c r="I433" s="10"/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5</v>
      </c>
      <c r="T433" s="10">
        <v>2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</row>
    <row r="434" spans="1:49" ht="14.5" hidden="1" outlineLevel="1" x14ac:dyDescent="0.35">
      <c r="A434" t="s">
        <v>12</v>
      </c>
      <c r="B434" t="s">
        <v>14</v>
      </c>
      <c r="C434" t="s">
        <v>26</v>
      </c>
      <c r="D434" t="s">
        <v>85</v>
      </c>
      <c r="E434" t="s">
        <v>113</v>
      </c>
      <c r="F434" s="11">
        <v>132.5</v>
      </c>
      <c r="G434" s="11">
        <v>263.5</v>
      </c>
      <c r="H434" s="11">
        <v>274.5</v>
      </c>
      <c r="I434" s="11">
        <v>-11</v>
      </c>
      <c r="J434" s="11">
        <v>32</v>
      </c>
      <c r="K434" s="11">
        <v>0</v>
      </c>
      <c r="L434" s="11">
        <v>0</v>
      </c>
      <c r="M434" s="11">
        <v>0</v>
      </c>
      <c r="N434" s="11">
        <v>0</v>
      </c>
      <c r="O434" s="11">
        <v>12</v>
      </c>
      <c r="P434" s="11">
        <v>12</v>
      </c>
      <c r="Q434" s="11">
        <v>15</v>
      </c>
      <c r="R434" s="11">
        <v>12</v>
      </c>
      <c r="S434" s="11">
        <v>6</v>
      </c>
      <c r="T434" s="11">
        <v>10</v>
      </c>
      <c r="U434" s="11">
        <v>12</v>
      </c>
      <c r="V434" s="11">
        <v>0</v>
      </c>
      <c r="W434" s="11">
        <v>10</v>
      </c>
      <c r="X434" s="11">
        <v>12</v>
      </c>
      <c r="Y434" s="11">
        <v>14</v>
      </c>
      <c r="Z434" s="11">
        <v>0</v>
      </c>
      <c r="AA434" s="11">
        <v>0</v>
      </c>
      <c r="AB434" s="11">
        <v>8</v>
      </c>
      <c r="AC434" s="11">
        <v>8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</row>
    <row r="435" spans="1:49" ht="14.5" hidden="1" outlineLevel="1" x14ac:dyDescent="0.35">
      <c r="A435" t="s">
        <v>12</v>
      </c>
      <c r="B435" t="s">
        <v>14</v>
      </c>
      <c r="C435" t="s">
        <v>26</v>
      </c>
      <c r="D435" t="s">
        <v>85</v>
      </c>
      <c r="E435" t="s">
        <v>125</v>
      </c>
      <c r="F435" s="11">
        <v>58</v>
      </c>
      <c r="G435" s="11">
        <v>200</v>
      </c>
      <c r="H435" s="11">
        <v>182</v>
      </c>
      <c r="I435" s="11">
        <v>18</v>
      </c>
      <c r="J435" s="11">
        <v>10</v>
      </c>
      <c r="K435" s="11">
        <v>4</v>
      </c>
      <c r="L435" s="11">
        <v>8</v>
      </c>
      <c r="M435" s="11">
        <v>8</v>
      </c>
      <c r="N435" s="11">
        <v>8</v>
      </c>
      <c r="O435" s="11">
        <v>0</v>
      </c>
      <c r="P435" s="11">
        <v>0</v>
      </c>
      <c r="Q435" s="11">
        <v>0</v>
      </c>
      <c r="R435" s="11">
        <v>0</v>
      </c>
      <c r="S435" s="11">
        <v>8</v>
      </c>
      <c r="T435" s="11">
        <v>8</v>
      </c>
      <c r="U435" s="11">
        <v>8</v>
      </c>
      <c r="V435" s="11">
        <v>0</v>
      </c>
      <c r="W435" s="11">
        <v>8</v>
      </c>
      <c r="X435" s="11">
        <v>8</v>
      </c>
      <c r="Y435" s="11">
        <v>8</v>
      </c>
      <c r="Z435" s="11">
        <v>0</v>
      </c>
      <c r="AA435" s="11">
        <v>0</v>
      </c>
      <c r="AB435" s="11">
        <v>0</v>
      </c>
      <c r="AC435" s="11">
        <v>8</v>
      </c>
      <c r="AD435" s="11">
        <v>20</v>
      </c>
      <c r="AE435" s="11">
        <v>20</v>
      </c>
      <c r="AF435" s="11">
        <v>10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</row>
    <row r="436" spans="1:49" ht="14.5" hidden="1" outlineLevel="1" x14ac:dyDescent="0.35">
      <c r="A436" s="14" t="s">
        <v>12</v>
      </c>
      <c r="B436" s="14" t="s">
        <v>14</v>
      </c>
      <c r="C436" s="14" t="s">
        <v>26</v>
      </c>
      <c r="D436" s="14" t="s">
        <v>99</v>
      </c>
      <c r="E436" s="15" t="s">
        <v>125</v>
      </c>
      <c r="F436" s="16"/>
      <c r="G436" s="16"/>
      <c r="H436" s="16"/>
      <c r="I436" s="16"/>
      <c r="J436" s="16">
        <v>-10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-3</v>
      </c>
      <c r="X436" s="16">
        <v>-5</v>
      </c>
      <c r="Y436" s="16">
        <v>-7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</row>
    <row r="437" spans="1:49" ht="14.5" hidden="1" outlineLevel="1" x14ac:dyDescent="0.35">
      <c r="A437" t="s">
        <v>12</v>
      </c>
      <c r="B437" t="s">
        <v>14</v>
      </c>
      <c r="C437" t="s">
        <v>26</v>
      </c>
      <c r="D437" t="s">
        <v>85</v>
      </c>
      <c r="E437" t="s">
        <v>126</v>
      </c>
      <c r="F437" s="11">
        <v>12</v>
      </c>
      <c r="G437" s="11">
        <v>108</v>
      </c>
      <c r="H437" s="11">
        <v>96</v>
      </c>
      <c r="I437" s="11">
        <v>12</v>
      </c>
      <c r="J437" s="11">
        <v>4</v>
      </c>
      <c r="K437" s="11">
        <v>4</v>
      </c>
      <c r="L437" s="11">
        <v>6</v>
      </c>
      <c r="M437" s="11">
        <v>6</v>
      </c>
      <c r="N437" s="11">
        <v>6</v>
      </c>
      <c r="O437" s="11">
        <v>6</v>
      </c>
      <c r="P437" s="11">
        <v>2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2</v>
      </c>
      <c r="AC437" s="11">
        <v>6</v>
      </c>
      <c r="AD437" s="11">
        <v>8</v>
      </c>
      <c r="AE437" s="11">
        <v>8</v>
      </c>
      <c r="AF437" s="11">
        <v>8</v>
      </c>
      <c r="AG437" s="11">
        <v>10</v>
      </c>
      <c r="AH437" s="11">
        <v>10</v>
      </c>
      <c r="AI437" s="11">
        <v>10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</row>
    <row r="438" spans="1:49" ht="14.5" hidden="1" outlineLevel="1" x14ac:dyDescent="0.35">
      <c r="A438" s="14" t="s">
        <v>12</v>
      </c>
      <c r="B438" s="14" t="s">
        <v>14</v>
      </c>
      <c r="C438" s="14" t="s">
        <v>26</v>
      </c>
      <c r="D438" s="14" t="s">
        <v>99</v>
      </c>
      <c r="E438" s="15" t="s">
        <v>126</v>
      </c>
      <c r="F438" s="16"/>
      <c r="G438" s="16"/>
      <c r="H438" s="16"/>
      <c r="I438" s="16"/>
      <c r="J438" s="16">
        <v>-4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</row>
    <row r="439" spans="1:49" ht="14.5" hidden="1" outlineLevel="1" x14ac:dyDescent="0.35">
      <c r="A439" t="s">
        <v>12</v>
      </c>
      <c r="B439" t="s">
        <v>14</v>
      </c>
      <c r="C439" t="s">
        <v>26</v>
      </c>
      <c r="D439" t="s">
        <v>85</v>
      </c>
      <c r="E439" t="s">
        <v>91</v>
      </c>
      <c r="F439" s="11">
        <v>0</v>
      </c>
      <c r="G439" s="11">
        <v>0</v>
      </c>
      <c r="H439" s="11">
        <v>48</v>
      </c>
      <c r="I439" s="11">
        <v>-48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</row>
    <row r="440" spans="1:49" ht="14.5" hidden="1" outlineLevel="1" x14ac:dyDescent="0.35">
      <c r="A440" t="s">
        <v>12</v>
      </c>
      <c r="B440" t="s">
        <v>14</v>
      </c>
      <c r="C440" t="s">
        <v>26</v>
      </c>
      <c r="D440" t="s">
        <v>85</v>
      </c>
      <c r="E440" t="s">
        <v>120</v>
      </c>
      <c r="F440" s="11">
        <v>10.4</v>
      </c>
      <c r="G440" s="11">
        <v>164.4</v>
      </c>
      <c r="H440" s="11">
        <v>154</v>
      </c>
      <c r="I440" s="11">
        <v>10.4</v>
      </c>
      <c r="J440" s="11">
        <v>8</v>
      </c>
      <c r="K440" s="11">
        <v>8</v>
      </c>
      <c r="L440" s="11">
        <v>5</v>
      </c>
      <c r="M440" s="11">
        <v>1</v>
      </c>
      <c r="N440" s="11">
        <v>1.1000000000000001</v>
      </c>
      <c r="O440" s="11">
        <v>2</v>
      </c>
      <c r="P440" s="11">
        <v>0.3</v>
      </c>
      <c r="Q440" s="11">
        <v>0.1</v>
      </c>
      <c r="R440" s="11">
        <v>0.2</v>
      </c>
      <c r="S440" s="11">
        <v>0.4</v>
      </c>
      <c r="T440" s="11">
        <v>0</v>
      </c>
      <c r="U440" s="11">
        <v>0</v>
      </c>
      <c r="V440" s="11">
        <v>0</v>
      </c>
      <c r="W440" s="11">
        <v>10</v>
      </c>
      <c r="X440" s="11">
        <v>10</v>
      </c>
      <c r="Y440" s="11">
        <v>10</v>
      </c>
      <c r="Z440" s="11">
        <v>0</v>
      </c>
      <c r="AA440" s="11">
        <v>0</v>
      </c>
      <c r="AB440" s="11">
        <v>11.7</v>
      </c>
      <c r="AC440" s="11">
        <v>0.2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1.9</v>
      </c>
      <c r="AJ440" s="11">
        <v>6.3</v>
      </c>
      <c r="AK440" s="11">
        <v>8.6999999999999993</v>
      </c>
      <c r="AL440" s="11">
        <v>16</v>
      </c>
      <c r="AM440" s="11">
        <v>16</v>
      </c>
      <c r="AN440" s="11">
        <v>16</v>
      </c>
      <c r="AO440" s="11">
        <v>16</v>
      </c>
      <c r="AP440" s="11">
        <v>5.0999999999999996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</row>
    <row r="441" spans="1:49" ht="14.5" hidden="1" outlineLevel="1" x14ac:dyDescent="0.35">
      <c r="A441" s="14" t="s">
        <v>12</v>
      </c>
      <c r="B441" s="14" t="s">
        <v>14</v>
      </c>
      <c r="C441" s="14" t="s">
        <v>26</v>
      </c>
      <c r="D441" s="14" t="s">
        <v>99</v>
      </c>
      <c r="E441" s="15" t="s">
        <v>120</v>
      </c>
      <c r="F441" s="16"/>
      <c r="G441" s="16"/>
      <c r="H441" s="16"/>
      <c r="I441" s="16"/>
      <c r="J441" s="16">
        <v>-8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</row>
    <row r="442" spans="1:49" ht="14.5" hidden="1" outlineLevel="1" x14ac:dyDescent="0.35">
      <c r="A442" s="8" t="s">
        <v>12</v>
      </c>
      <c r="B442" s="8" t="s">
        <v>14</v>
      </c>
      <c r="C442" s="8" t="s">
        <v>26</v>
      </c>
      <c r="D442" s="8" t="s">
        <v>74</v>
      </c>
      <c r="E442" s="9" t="s">
        <v>79</v>
      </c>
      <c r="F442" s="10"/>
      <c r="G442" s="10"/>
      <c r="H442" s="10"/>
      <c r="I442" s="10"/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6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</row>
    <row r="443" spans="1:49" ht="14.5" hidden="1" outlineLevel="1" x14ac:dyDescent="0.35">
      <c r="A443" s="8" t="s">
        <v>12</v>
      </c>
      <c r="B443" s="8" t="s">
        <v>14</v>
      </c>
      <c r="C443" s="8" t="s">
        <v>26</v>
      </c>
      <c r="D443" s="8" t="s">
        <v>74</v>
      </c>
      <c r="E443" s="9" t="s">
        <v>98</v>
      </c>
      <c r="F443" s="10"/>
      <c r="G443" s="10"/>
      <c r="H443" s="10"/>
      <c r="I443" s="10"/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1.8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</row>
    <row r="444" spans="1:49" ht="14.5" collapsed="1" x14ac:dyDescent="0.35">
      <c r="A444" s="6" t="s">
        <v>29</v>
      </c>
      <c r="B444" s="6" t="s">
        <v>14</v>
      </c>
      <c r="C444" s="6" t="s">
        <v>31</v>
      </c>
      <c r="D444" s="6" t="s">
        <v>72</v>
      </c>
      <c r="E444" s="6" t="s">
        <v>73</v>
      </c>
      <c r="F444" s="7">
        <f t="shared" ref="F444:AW444" si="53">SUM(F445,F446)</f>
        <v>369</v>
      </c>
      <c r="G444" s="7">
        <f t="shared" si="53"/>
        <v>1314</v>
      </c>
      <c r="H444" s="7">
        <f t="shared" si="53"/>
        <v>1165.5</v>
      </c>
      <c r="I444" s="7">
        <f t="shared" si="53"/>
        <v>148.5</v>
      </c>
      <c r="J444" s="7">
        <f t="shared" si="53"/>
        <v>24</v>
      </c>
      <c r="K444" s="7">
        <f t="shared" si="53"/>
        <v>18</v>
      </c>
      <c r="L444" s="7">
        <f t="shared" si="53"/>
        <v>18</v>
      </c>
      <c r="M444" s="7">
        <f t="shared" si="53"/>
        <v>15</v>
      </c>
      <c r="N444" s="7">
        <f t="shared" si="53"/>
        <v>25</v>
      </c>
      <c r="O444" s="7">
        <f t="shared" si="53"/>
        <v>35</v>
      </c>
      <c r="P444" s="13">
        <f t="shared" si="53"/>
        <v>50</v>
      </c>
      <c r="Q444" s="7">
        <f t="shared" si="53"/>
        <v>40</v>
      </c>
      <c r="R444" s="7">
        <f t="shared" si="53"/>
        <v>40</v>
      </c>
      <c r="S444" s="7">
        <f t="shared" si="53"/>
        <v>15</v>
      </c>
      <c r="T444" s="7">
        <f t="shared" si="53"/>
        <v>15</v>
      </c>
      <c r="U444" s="7">
        <f t="shared" si="53"/>
        <v>15</v>
      </c>
      <c r="V444" s="7">
        <f t="shared" si="53"/>
        <v>25</v>
      </c>
      <c r="W444" s="7">
        <f t="shared" si="53"/>
        <v>15</v>
      </c>
      <c r="X444" s="7">
        <f t="shared" si="53"/>
        <v>15</v>
      </c>
      <c r="Y444" s="7">
        <f t="shared" si="53"/>
        <v>15</v>
      </c>
      <c r="Z444" s="7">
        <f t="shared" si="53"/>
        <v>0</v>
      </c>
      <c r="AA444" s="7">
        <f t="shared" si="53"/>
        <v>0</v>
      </c>
      <c r="AB444" s="7">
        <f t="shared" si="53"/>
        <v>20</v>
      </c>
      <c r="AC444" s="7">
        <f t="shared" si="53"/>
        <v>40</v>
      </c>
      <c r="AD444" s="7">
        <f t="shared" si="53"/>
        <v>55</v>
      </c>
      <c r="AE444" s="7">
        <f t="shared" si="53"/>
        <v>50</v>
      </c>
      <c r="AF444" s="7">
        <f t="shared" si="53"/>
        <v>50</v>
      </c>
      <c r="AG444" s="7">
        <f t="shared" si="53"/>
        <v>55</v>
      </c>
      <c r="AH444" s="7">
        <f t="shared" si="53"/>
        <v>50</v>
      </c>
      <c r="AI444" s="7">
        <f t="shared" si="53"/>
        <v>25</v>
      </c>
      <c r="AJ444" s="7">
        <f t="shared" si="53"/>
        <v>25</v>
      </c>
      <c r="AK444" s="7">
        <f t="shared" si="53"/>
        <v>25</v>
      </c>
      <c r="AL444" s="7">
        <f t="shared" si="53"/>
        <v>25</v>
      </c>
      <c r="AM444" s="7">
        <f t="shared" si="53"/>
        <v>25</v>
      </c>
      <c r="AN444" s="7">
        <f t="shared" si="53"/>
        <v>25</v>
      </c>
      <c r="AO444" s="7">
        <f t="shared" si="53"/>
        <v>25</v>
      </c>
      <c r="AP444" s="7">
        <f t="shared" si="53"/>
        <v>25</v>
      </c>
      <c r="AQ444" s="7">
        <f t="shared" si="53"/>
        <v>10</v>
      </c>
      <c r="AR444" s="7">
        <f t="shared" si="53"/>
        <v>10</v>
      </c>
      <c r="AS444" s="7">
        <f t="shared" si="53"/>
        <v>5</v>
      </c>
      <c r="AT444" s="7">
        <f t="shared" si="53"/>
        <v>0</v>
      </c>
      <c r="AU444" s="7">
        <f t="shared" si="53"/>
        <v>0</v>
      </c>
      <c r="AV444" s="7">
        <f t="shared" si="53"/>
        <v>0</v>
      </c>
      <c r="AW444" s="7">
        <f t="shared" si="53"/>
        <v>0</v>
      </c>
    </row>
    <row r="445" spans="1:49" ht="14.5" hidden="1" outlineLevel="1" x14ac:dyDescent="0.35">
      <c r="A445" t="s">
        <v>29</v>
      </c>
      <c r="B445" t="s">
        <v>14</v>
      </c>
      <c r="C445" t="s">
        <v>31</v>
      </c>
      <c r="D445" t="s">
        <v>85</v>
      </c>
      <c r="E445" t="s">
        <v>95</v>
      </c>
      <c r="F445" s="11">
        <v>51</v>
      </c>
      <c r="G445" s="11">
        <v>456</v>
      </c>
      <c r="H445" s="11">
        <v>405</v>
      </c>
      <c r="I445" s="11">
        <v>51</v>
      </c>
      <c r="J445" s="11">
        <v>10</v>
      </c>
      <c r="K445" s="11">
        <v>10</v>
      </c>
      <c r="L445" s="11">
        <v>10</v>
      </c>
      <c r="M445" s="11">
        <v>10</v>
      </c>
      <c r="N445" s="11">
        <v>20</v>
      </c>
      <c r="O445" s="11">
        <v>30</v>
      </c>
      <c r="P445" s="11">
        <v>30</v>
      </c>
      <c r="Q445" s="11">
        <v>20</v>
      </c>
      <c r="R445" s="11">
        <v>20</v>
      </c>
      <c r="S445" s="11">
        <v>10</v>
      </c>
      <c r="T445" s="11">
        <v>10</v>
      </c>
      <c r="U445" s="11">
        <v>10</v>
      </c>
      <c r="V445" s="11">
        <v>10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5</v>
      </c>
      <c r="AJ445" s="11">
        <v>25</v>
      </c>
      <c r="AK445" s="11">
        <v>25</v>
      </c>
      <c r="AL445" s="11">
        <v>25</v>
      </c>
      <c r="AM445" s="11">
        <v>25</v>
      </c>
      <c r="AN445" s="11">
        <v>25</v>
      </c>
      <c r="AO445" s="11">
        <v>25</v>
      </c>
      <c r="AP445" s="11">
        <v>25</v>
      </c>
      <c r="AQ445" s="11">
        <v>10</v>
      </c>
      <c r="AR445" s="11">
        <v>10</v>
      </c>
      <c r="AS445" s="11">
        <v>5</v>
      </c>
      <c r="AT445" s="11">
        <v>0</v>
      </c>
      <c r="AU445" s="11">
        <v>0</v>
      </c>
      <c r="AV445" s="11">
        <v>0</v>
      </c>
      <c r="AW445" s="11">
        <v>0</v>
      </c>
    </row>
    <row r="446" spans="1:49" ht="14.5" hidden="1" outlineLevel="1" x14ac:dyDescent="0.35">
      <c r="A446" t="s">
        <v>29</v>
      </c>
      <c r="B446" t="s">
        <v>14</v>
      </c>
      <c r="C446" t="s">
        <v>31</v>
      </c>
      <c r="D446" t="s">
        <v>85</v>
      </c>
      <c r="E446" t="s">
        <v>75</v>
      </c>
      <c r="F446" s="11">
        <v>318</v>
      </c>
      <c r="G446" s="11">
        <v>858</v>
      </c>
      <c r="H446" s="11">
        <v>760.5</v>
      </c>
      <c r="I446" s="11">
        <v>97.5</v>
      </c>
      <c r="J446" s="11">
        <v>14</v>
      </c>
      <c r="K446" s="11">
        <v>8</v>
      </c>
      <c r="L446" s="11">
        <v>8</v>
      </c>
      <c r="M446" s="11">
        <v>5</v>
      </c>
      <c r="N446" s="11">
        <v>5</v>
      </c>
      <c r="O446" s="11">
        <v>5</v>
      </c>
      <c r="P446" s="11">
        <v>20</v>
      </c>
      <c r="Q446" s="11">
        <v>20</v>
      </c>
      <c r="R446" s="11">
        <v>20</v>
      </c>
      <c r="S446" s="11">
        <v>5</v>
      </c>
      <c r="T446" s="11">
        <v>5</v>
      </c>
      <c r="U446" s="11">
        <v>5</v>
      </c>
      <c r="V446" s="11">
        <v>15</v>
      </c>
      <c r="W446" s="11">
        <v>15</v>
      </c>
      <c r="X446" s="11">
        <v>15</v>
      </c>
      <c r="Y446" s="11">
        <v>15</v>
      </c>
      <c r="Z446" s="11">
        <v>0</v>
      </c>
      <c r="AA446" s="11">
        <v>0</v>
      </c>
      <c r="AB446" s="11">
        <v>20</v>
      </c>
      <c r="AC446" s="11">
        <v>40</v>
      </c>
      <c r="AD446" s="11">
        <v>55</v>
      </c>
      <c r="AE446" s="11">
        <v>50</v>
      </c>
      <c r="AF446" s="11">
        <v>50</v>
      </c>
      <c r="AG446" s="11">
        <v>55</v>
      </c>
      <c r="AH446" s="11">
        <v>50</v>
      </c>
      <c r="AI446" s="11">
        <v>20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</row>
    <row r="447" spans="1:49" ht="14.5" hidden="1" outlineLevel="1" x14ac:dyDescent="0.35">
      <c r="A447" s="14" t="s">
        <v>29</v>
      </c>
      <c r="B447" s="14" t="s">
        <v>14</v>
      </c>
      <c r="C447" s="14" t="s">
        <v>31</v>
      </c>
      <c r="D447" s="14" t="s">
        <v>99</v>
      </c>
      <c r="E447" s="15" t="s">
        <v>75</v>
      </c>
      <c r="F447" s="16"/>
      <c r="G447" s="16"/>
      <c r="H447" s="16"/>
      <c r="I447" s="16"/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-10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</row>
    <row r="448" spans="1:49" ht="14.5" collapsed="1" x14ac:dyDescent="0.35">
      <c r="A448" s="6" t="s">
        <v>29</v>
      </c>
      <c r="B448" s="6" t="s">
        <v>14</v>
      </c>
      <c r="C448" s="6" t="s">
        <v>144</v>
      </c>
      <c r="D448" s="6" t="s">
        <v>72</v>
      </c>
      <c r="E448" s="6" t="s">
        <v>73</v>
      </c>
      <c r="F448" s="7">
        <f t="shared" ref="F448:AW448" si="54">SUM(F449,F450)</f>
        <v>308</v>
      </c>
      <c r="G448" s="7">
        <f t="shared" si="54"/>
        <v>1088</v>
      </c>
      <c r="H448" s="7">
        <f t="shared" si="54"/>
        <v>935.5</v>
      </c>
      <c r="I448" s="7">
        <f t="shared" si="54"/>
        <v>152.5</v>
      </c>
      <c r="J448" s="7">
        <f t="shared" si="54"/>
        <v>7</v>
      </c>
      <c r="K448" s="7">
        <f t="shared" si="54"/>
        <v>0</v>
      </c>
      <c r="L448" s="7">
        <f t="shared" si="54"/>
        <v>0</v>
      </c>
      <c r="M448" s="7">
        <f t="shared" si="54"/>
        <v>5</v>
      </c>
      <c r="N448" s="7">
        <f t="shared" si="54"/>
        <v>5</v>
      </c>
      <c r="O448" s="7">
        <f t="shared" si="54"/>
        <v>5</v>
      </c>
      <c r="P448" s="7">
        <f t="shared" si="54"/>
        <v>20</v>
      </c>
      <c r="Q448" s="7">
        <f t="shared" si="54"/>
        <v>20</v>
      </c>
      <c r="R448" s="7">
        <f t="shared" si="54"/>
        <v>20</v>
      </c>
      <c r="S448" s="7">
        <f t="shared" si="54"/>
        <v>5</v>
      </c>
      <c r="T448" s="7">
        <f t="shared" si="54"/>
        <v>5</v>
      </c>
      <c r="U448" s="7">
        <f t="shared" si="54"/>
        <v>5</v>
      </c>
      <c r="V448" s="7">
        <f t="shared" si="54"/>
        <v>15</v>
      </c>
      <c r="W448" s="7">
        <f t="shared" si="54"/>
        <v>15</v>
      </c>
      <c r="X448" s="7">
        <f t="shared" si="54"/>
        <v>15</v>
      </c>
      <c r="Y448" s="7">
        <f t="shared" si="54"/>
        <v>15</v>
      </c>
      <c r="Z448" s="7">
        <f t="shared" si="54"/>
        <v>0</v>
      </c>
      <c r="AA448" s="7">
        <f t="shared" si="54"/>
        <v>0</v>
      </c>
      <c r="AB448" s="7">
        <f t="shared" si="54"/>
        <v>20</v>
      </c>
      <c r="AC448" s="7">
        <f t="shared" si="54"/>
        <v>40</v>
      </c>
      <c r="AD448" s="7">
        <f t="shared" si="54"/>
        <v>55</v>
      </c>
      <c r="AE448" s="7">
        <f t="shared" si="54"/>
        <v>55</v>
      </c>
      <c r="AF448" s="7">
        <f t="shared" si="54"/>
        <v>55</v>
      </c>
      <c r="AG448" s="7">
        <f t="shared" si="54"/>
        <v>55</v>
      </c>
      <c r="AH448" s="7">
        <f t="shared" si="54"/>
        <v>50</v>
      </c>
      <c r="AI448" s="7">
        <f t="shared" si="54"/>
        <v>25</v>
      </c>
      <c r="AJ448" s="7">
        <f t="shared" si="54"/>
        <v>25</v>
      </c>
      <c r="AK448" s="7">
        <f t="shared" si="54"/>
        <v>25</v>
      </c>
      <c r="AL448" s="7">
        <f t="shared" si="54"/>
        <v>25</v>
      </c>
      <c r="AM448" s="7">
        <f t="shared" si="54"/>
        <v>25</v>
      </c>
      <c r="AN448" s="7">
        <f t="shared" si="54"/>
        <v>25</v>
      </c>
      <c r="AO448" s="7">
        <f t="shared" si="54"/>
        <v>25</v>
      </c>
      <c r="AP448" s="7">
        <f t="shared" si="54"/>
        <v>25</v>
      </c>
      <c r="AQ448" s="7">
        <f t="shared" si="54"/>
        <v>10</v>
      </c>
      <c r="AR448" s="7">
        <f t="shared" si="54"/>
        <v>10</v>
      </c>
      <c r="AS448" s="7">
        <f t="shared" si="54"/>
        <v>0</v>
      </c>
      <c r="AT448" s="7">
        <f t="shared" si="54"/>
        <v>0</v>
      </c>
      <c r="AU448" s="7">
        <f t="shared" si="54"/>
        <v>0</v>
      </c>
      <c r="AV448" s="7">
        <f t="shared" si="54"/>
        <v>0</v>
      </c>
      <c r="AW448" s="7">
        <f t="shared" si="54"/>
        <v>0</v>
      </c>
    </row>
    <row r="449" spans="1:49" ht="14.5" hidden="1" outlineLevel="1" x14ac:dyDescent="0.35">
      <c r="A449" t="s">
        <v>29</v>
      </c>
      <c r="B449" t="s">
        <v>14</v>
      </c>
      <c r="C449" t="s">
        <v>144</v>
      </c>
      <c r="D449" t="s">
        <v>85</v>
      </c>
      <c r="E449" t="s">
        <v>95</v>
      </c>
      <c r="F449" s="11">
        <v>0</v>
      </c>
      <c r="G449" s="11">
        <v>200</v>
      </c>
      <c r="H449" s="11">
        <v>200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5</v>
      </c>
      <c r="AJ449" s="11">
        <v>25</v>
      </c>
      <c r="AK449" s="11">
        <v>25</v>
      </c>
      <c r="AL449" s="11">
        <v>25</v>
      </c>
      <c r="AM449" s="11">
        <v>25</v>
      </c>
      <c r="AN449" s="11">
        <v>25</v>
      </c>
      <c r="AO449" s="11">
        <v>25</v>
      </c>
      <c r="AP449" s="11">
        <v>25</v>
      </c>
      <c r="AQ449" s="11">
        <v>10</v>
      </c>
      <c r="AR449" s="11">
        <v>10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</row>
    <row r="450" spans="1:49" ht="14.5" hidden="1" outlineLevel="1" x14ac:dyDescent="0.35">
      <c r="A450" t="s">
        <v>29</v>
      </c>
      <c r="B450" t="s">
        <v>14</v>
      </c>
      <c r="C450" t="s">
        <v>144</v>
      </c>
      <c r="D450" t="s">
        <v>85</v>
      </c>
      <c r="E450" t="s">
        <v>75</v>
      </c>
      <c r="F450" s="11">
        <v>308</v>
      </c>
      <c r="G450" s="11">
        <v>888</v>
      </c>
      <c r="H450" s="11">
        <v>735.5</v>
      </c>
      <c r="I450" s="11">
        <v>152.5</v>
      </c>
      <c r="J450" s="11">
        <v>7</v>
      </c>
      <c r="K450" s="11">
        <v>0</v>
      </c>
      <c r="L450" s="11">
        <v>0</v>
      </c>
      <c r="M450" s="11">
        <v>5</v>
      </c>
      <c r="N450" s="11">
        <v>5</v>
      </c>
      <c r="O450" s="11">
        <v>5</v>
      </c>
      <c r="P450" s="11">
        <v>20</v>
      </c>
      <c r="Q450" s="11">
        <v>20</v>
      </c>
      <c r="R450" s="11">
        <v>20</v>
      </c>
      <c r="S450" s="11">
        <v>5</v>
      </c>
      <c r="T450" s="11">
        <v>5</v>
      </c>
      <c r="U450" s="11">
        <v>5</v>
      </c>
      <c r="V450" s="11">
        <v>15</v>
      </c>
      <c r="W450" s="11">
        <v>15</v>
      </c>
      <c r="X450" s="11">
        <v>15</v>
      </c>
      <c r="Y450" s="11">
        <v>15</v>
      </c>
      <c r="Z450" s="11">
        <v>0</v>
      </c>
      <c r="AA450" s="11">
        <v>0</v>
      </c>
      <c r="AB450" s="11">
        <v>20</v>
      </c>
      <c r="AC450" s="11">
        <v>40</v>
      </c>
      <c r="AD450" s="11">
        <v>55</v>
      </c>
      <c r="AE450" s="11">
        <v>55</v>
      </c>
      <c r="AF450" s="11">
        <v>55</v>
      </c>
      <c r="AG450" s="11">
        <v>55</v>
      </c>
      <c r="AH450" s="11">
        <v>50</v>
      </c>
      <c r="AI450" s="11">
        <v>20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</row>
    <row r="451" spans="1:49" ht="14.5" hidden="1" outlineLevel="1" x14ac:dyDescent="0.35">
      <c r="A451" s="8" t="s">
        <v>29</v>
      </c>
      <c r="B451" s="8" t="s">
        <v>14</v>
      </c>
      <c r="C451" s="8" t="s">
        <v>144</v>
      </c>
      <c r="D451" s="8" t="s">
        <v>74</v>
      </c>
      <c r="E451" s="9" t="s">
        <v>75</v>
      </c>
      <c r="F451" s="10"/>
      <c r="G451" s="10"/>
      <c r="H451" s="10"/>
      <c r="I451" s="10"/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20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</row>
    <row r="452" spans="1:49" ht="14.5" collapsed="1" x14ac:dyDescent="0.35">
      <c r="A452" s="6" t="s">
        <v>12</v>
      </c>
      <c r="B452" s="6" t="s">
        <v>14</v>
      </c>
      <c r="C452" s="6" t="s">
        <v>145</v>
      </c>
      <c r="D452" s="6" t="s">
        <v>72</v>
      </c>
      <c r="E452" s="6" t="s">
        <v>73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</row>
    <row r="453" spans="1:49" ht="14.5" hidden="1" outlineLevel="1" x14ac:dyDescent="0.35">
      <c r="A453" s="8" t="s">
        <v>12</v>
      </c>
      <c r="B453" s="8" t="s">
        <v>14</v>
      </c>
      <c r="C453" s="8" t="s">
        <v>145</v>
      </c>
      <c r="D453" s="8" t="s">
        <v>74</v>
      </c>
      <c r="E453" s="9" t="s">
        <v>122</v>
      </c>
      <c r="F453" s="10"/>
      <c r="G453" s="10"/>
      <c r="H453" s="10"/>
      <c r="I453" s="10"/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31</v>
      </c>
      <c r="AD453" s="10">
        <v>20.5</v>
      </c>
      <c r="AE453" s="10">
        <v>22.5</v>
      </c>
      <c r="AF453" s="10">
        <v>26.5</v>
      </c>
      <c r="AG453" s="10">
        <v>3.5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V453" s="10">
        <v>0</v>
      </c>
      <c r="AW453" s="10">
        <v>0</v>
      </c>
    </row>
    <row r="454" spans="1:49" ht="14.5" hidden="1" outlineLevel="1" x14ac:dyDescent="0.35">
      <c r="A454" s="8" t="s">
        <v>12</v>
      </c>
      <c r="B454" s="8" t="s">
        <v>14</v>
      </c>
      <c r="C454" s="8" t="s">
        <v>145</v>
      </c>
      <c r="D454" s="8" t="s">
        <v>74</v>
      </c>
      <c r="E454" s="9" t="s">
        <v>78</v>
      </c>
      <c r="F454" s="10"/>
      <c r="G454" s="10"/>
      <c r="H454" s="10"/>
      <c r="I454" s="10"/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20.9</v>
      </c>
      <c r="AG454" s="10">
        <v>29.5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</row>
    <row r="455" spans="1:49" ht="14.5" hidden="1" outlineLevel="1" x14ac:dyDescent="0.35">
      <c r="A455" s="8" t="s">
        <v>12</v>
      </c>
      <c r="B455" s="8" t="s">
        <v>14</v>
      </c>
      <c r="C455" s="8" t="s">
        <v>145</v>
      </c>
      <c r="D455" s="8" t="s">
        <v>74</v>
      </c>
      <c r="E455" s="9" t="s">
        <v>80</v>
      </c>
      <c r="F455" s="10"/>
      <c r="G455" s="10"/>
      <c r="H455" s="10"/>
      <c r="I455" s="10"/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24</v>
      </c>
      <c r="AD455" s="10">
        <v>0</v>
      </c>
      <c r="AE455" s="10">
        <v>0</v>
      </c>
      <c r="AF455" s="10">
        <v>0</v>
      </c>
      <c r="AG455" s="10">
        <v>0</v>
      </c>
      <c r="AH455" s="10">
        <v>17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</row>
    <row r="456" spans="1:49" ht="14.5" hidden="1" outlineLevel="1" x14ac:dyDescent="0.35">
      <c r="A456" s="8" t="s">
        <v>12</v>
      </c>
      <c r="B456" s="8" t="s">
        <v>14</v>
      </c>
      <c r="C456" s="8" t="s">
        <v>145</v>
      </c>
      <c r="D456" s="8" t="s">
        <v>74</v>
      </c>
      <c r="E456" s="9" t="s">
        <v>100</v>
      </c>
      <c r="F456" s="10"/>
      <c r="G456" s="10"/>
      <c r="H456" s="10"/>
      <c r="I456" s="10"/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34.5</v>
      </c>
      <c r="AE456" s="10">
        <v>28</v>
      </c>
      <c r="AF456" s="10">
        <v>7.6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</row>
    <row r="457" spans="1:49" ht="14.5" hidden="1" outlineLevel="1" x14ac:dyDescent="0.35">
      <c r="A457" s="8" t="s">
        <v>12</v>
      </c>
      <c r="B457" s="8" t="s">
        <v>14</v>
      </c>
      <c r="C457" s="8" t="s">
        <v>145</v>
      </c>
      <c r="D457" s="8" t="s">
        <v>74</v>
      </c>
      <c r="E457" s="9" t="s">
        <v>103</v>
      </c>
      <c r="F457" s="10"/>
      <c r="G457" s="10"/>
      <c r="H457" s="10"/>
      <c r="I457" s="10"/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4.5</v>
      </c>
      <c r="AF457" s="10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</row>
    <row r="458" spans="1:49" ht="14.5" collapsed="1" x14ac:dyDescent="0.35">
      <c r="A458" s="6" t="s">
        <v>12</v>
      </c>
      <c r="B458" s="6" t="s">
        <v>14</v>
      </c>
      <c r="C458" s="6" t="s">
        <v>146</v>
      </c>
      <c r="D458" s="6" t="s">
        <v>72</v>
      </c>
      <c r="E458" s="6" t="s">
        <v>73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</row>
    <row r="459" spans="1:49" ht="14.5" hidden="1" outlineLevel="1" x14ac:dyDescent="0.35">
      <c r="A459" s="8" t="s">
        <v>12</v>
      </c>
      <c r="B459" s="8" t="s">
        <v>14</v>
      </c>
      <c r="C459" s="8" t="s">
        <v>146</v>
      </c>
      <c r="D459" s="8" t="s">
        <v>74</v>
      </c>
      <c r="E459" s="9" t="s">
        <v>80</v>
      </c>
      <c r="F459" s="10"/>
      <c r="G459" s="10"/>
      <c r="H459" s="10"/>
      <c r="I459" s="10"/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17</v>
      </c>
      <c r="AD459" s="10">
        <v>48</v>
      </c>
      <c r="AE459" s="10">
        <v>45</v>
      </c>
      <c r="AF459" s="10">
        <v>47</v>
      </c>
      <c r="AG459" s="10">
        <v>38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</row>
    <row r="460" spans="1:49" ht="14.5" hidden="1" outlineLevel="1" x14ac:dyDescent="0.35">
      <c r="A460" s="8" t="s">
        <v>12</v>
      </c>
      <c r="B460" s="8" t="s">
        <v>14</v>
      </c>
      <c r="C460" s="8" t="s">
        <v>146</v>
      </c>
      <c r="D460" s="8" t="s">
        <v>74</v>
      </c>
      <c r="E460" s="9" t="s">
        <v>100</v>
      </c>
      <c r="F460" s="10"/>
      <c r="G460" s="10"/>
      <c r="H460" s="10"/>
      <c r="I460" s="10"/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4.5</v>
      </c>
      <c r="AE460" s="10">
        <v>0</v>
      </c>
      <c r="AF460" s="10">
        <v>8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0">
        <v>0</v>
      </c>
      <c r="AT460" s="10">
        <v>0</v>
      </c>
      <c r="AU460" s="10">
        <v>0</v>
      </c>
      <c r="AV460" s="10">
        <v>0</v>
      </c>
      <c r="AW460" s="10">
        <v>0</v>
      </c>
    </row>
    <row r="461" spans="1:49" ht="14.5" hidden="1" outlineLevel="1" x14ac:dyDescent="0.35">
      <c r="A461" s="8" t="s">
        <v>12</v>
      </c>
      <c r="B461" s="8" t="s">
        <v>14</v>
      </c>
      <c r="C461" s="8" t="s">
        <v>146</v>
      </c>
      <c r="D461" s="8" t="s">
        <v>74</v>
      </c>
      <c r="E461" s="9" t="s">
        <v>103</v>
      </c>
      <c r="F461" s="10"/>
      <c r="G461" s="10"/>
      <c r="H461" s="10"/>
      <c r="I461" s="10"/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10</v>
      </c>
      <c r="AF461" s="10">
        <v>0</v>
      </c>
      <c r="AG461" s="10">
        <v>0</v>
      </c>
      <c r="AH461" s="10">
        <v>55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</row>
    <row r="462" spans="1:49" ht="14.5" collapsed="1" x14ac:dyDescent="0.35">
      <c r="A462" s="6" t="s">
        <v>12</v>
      </c>
      <c r="B462" s="6" t="s">
        <v>14</v>
      </c>
      <c r="C462" s="6" t="s">
        <v>147</v>
      </c>
      <c r="D462" s="6" t="s">
        <v>72</v>
      </c>
      <c r="E462" s="6" t="s">
        <v>73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</row>
    <row r="463" spans="1:49" ht="14.5" hidden="1" outlineLevel="1" x14ac:dyDescent="0.35">
      <c r="A463" s="8" t="s">
        <v>12</v>
      </c>
      <c r="B463" s="8" t="s">
        <v>14</v>
      </c>
      <c r="C463" s="8" t="s">
        <v>147</v>
      </c>
      <c r="D463" s="8" t="s">
        <v>74</v>
      </c>
      <c r="E463" s="9" t="s">
        <v>100</v>
      </c>
      <c r="F463" s="10"/>
      <c r="G463" s="10"/>
      <c r="H463" s="10"/>
      <c r="I463" s="10"/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14.4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</row>
    <row r="464" spans="1:49" ht="14.5" hidden="1" outlineLevel="1" x14ac:dyDescent="0.35">
      <c r="A464" s="8" t="s">
        <v>12</v>
      </c>
      <c r="B464" s="8" t="s">
        <v>14</v>
      </c>
      <c r="C464" s="8" t="s">
        <v>147</v>
      </c>
      <c r="D464" s="8" t="s">
        <v>74</v>
      </c>
      <c r="E464" s="9" t="s">
        <v>40</v>
      </c>
      <c r="F464" s="10"/>
      <c r="G464" s="10"/>
      <c r="H464" s="10"/>
      <c r="I464" s="10"/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12.5</v>
      </c>
      <c r="AG464" s="10">
        <v>29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</row>
    <row r="465" spans="1:49" ht="14.5" hidden="1" outlineLevel="1" x14ac:dyDescent="0.35">
      <c r="A465" s="8" t="s">
        <v>12</v>
      </c>
      <c r="B465" s="8" t="s">
        <v>14</v>
      </c>
      <c r="C465" s="8" t="s">
        <v>147</v>
      </c>
      <c r="D465" s="8" t="s">
        <v>74</v>
      </c>
      <c r="E465" s="9" t="s">
        <v>101</v>
      </c>
      <c r="F465" s="10"/>
      <c r="G465" s="10"/>
      <c r="H465" s="10"/>
      <c r="I465" s="10"/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11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</row>
    <row r="466" spans="1:49" ht="14.5" hidden="1" outlineLevel="1" x14ac:dyDescent="0.35">
      <c r="A466" s="8" t="s">
        <v>12</v>
      </c>
      <c r="B466" s="8" t="s">
        <v>14</v>
      </c>
      <c r="C466" s="8" t="s">
        <v>147</v>
      </c>
      <c r="D466" s="8" t="s">
        <v>74</v>
      </c>
      <c r="E466" s="9" t="s">
        <v>81</v>
      </c>
      <c r="F466" s="10"/>
      <c r="G466" s="10"/>
      <c r="H466" s="10"/>
      <c r="I466" s="10"/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29</v>
      </c>
      <c r="AF466" s="10">
        <v>17.100000000000001</v>
      </c>
      <c r="AG466" s="10">
        <v>0</v>
      </c>
      <c r="AH466" s="10">
        <v>6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</row>
    <row r="467" spans="1:49" ht="14.5" hidden="1" outlineLevel="1" x14ac:dyDescent="0.35">
      <c r="A467" s="8" t="s">
        <v>12</v>
      </c>
      <c r="B467" s="8" t="s">
        <v>14</v>
      </c>
      <c r="C467" s="8" t="s">
        <v>147</v>
      </c>
      <c r="D467" s="8" t="s">
        <v>74</v>
      </c>
      <c r="E467" s="9" t="s">
        <v>103</v>
      </c>
      <c r="F467" s="10"/>
      <c r="G467" s="10"/>
      <c r="H467" s="10"/>
      <c r="I467" s="10"/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23.6</v>
      </c>
      <c r="AE467" s="10">
        <v>26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</row>
    <row r="468" spans="1:49" ht="14.5" hidden="1" outlineLevel="1" x14ac:dyDescent="0.35">
      <c r="A468" s="8" t="s">
        <v>12</v>
      </c>
      <c r="B468" s="8" t="s">
        <v>14</v>
      </c>
      <c r="C468" s="8" t="s">
        <v>147</v>
      </c>
      <c r="D468" s="8" t="s">
        <v>74</v>
      </c>
      <c r="E468" s="9" t="s">
        <v>46</v>
      </c>
      <c r="F468" s="10"/>
      <c r="G468" s="10"/>
      <c r="H468" s="10"/>
      <c r="I468" s="10"/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12.5</v>
      </c>
      <c r="AD468" s="10">
        <v>31.4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</row>
    <row r="469" spans="1:49" ht="14.5" hidden="1" outlineLevel="1" x14ac:dyDescent="0.35">
      <c r="A469" s="8" t="s">
        <v>12</v>
      </c>
      <c r="B469" s="8" t="s">
        <v>14</v>
      </c>
      <c r="C469" s="8" t="s">
        <v>147</v>
      </c>
      <c r="D469" s="8" t="s">
        <v>74</v>
      </c>
      <c r="E469" s="9" t="s">
        <v>148</v>
      </c>
      <c r="F469" s="10"/>
      <c r="G469" s="10"/>
      <c r="H469" s="10"/>
      <c r="I469" s="10"/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12.5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</row>
    <row r="470" spans="1:49" ht="14.5" collapsed="1" x14ac:dyDescent="0.35">
      <c r="A470" s="6" t="s">
        <v>12</v>
      </c>
      <c r="B470" s="6" t="s">
        <v>14</v>
      </c>
      <c r="C470" s="6" t="s">
        <v>149</v>
      </c>
      <c r="D470" s="6" t="s">
        <v>72</v>
      </c>
      <c r="E470" s="6" t="s">
        <v>73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</row>
    <row r="471" spans="1:49" ht="14.5" hidden="1" outlineLevel="1" x14ac:dyDescent="0.35">
      <c r="A471" s="8" t="s">
        <v>12</v>
      </c>
      <c r="B471" s="8" t="s">
        <v>14</v>
      </c>
      <c r="C471" s="8" t="s">
        <v>149</v>
      </c>
      <c r="D471" s="8" t="s">
        <v>74</v>
      </c>
      <c r="E471" s="9" t="s">
        <v>81</v>
      </c>
      <c r="F471" s="10"/>
      <c r="G471" s="10"/>
      <c r="H471" s="10"/>
      <c r="I471" s="10"/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8.9</v>
      </c>
      <c r="AG471" s="10">
        <v>2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0">
        <v>0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V471" s="10">
        <v>0</v>
      </c>
      <c r="AW471" s="10">
        <v>0</v>
      </c>
    </row>
    <row r="472" spans="1:49" ht="14.5" hidden="1" outlineLevel="1" x14ac:dyDescent="0.35">
      <c r="A472" s="8" t="s">
        <v>12</v>
      </c>
      <c r="B472" s="8" t="s">
        <v>14</v>
      </c>
      <c r="C472" s="8" t="s">
        <v>149</v>
      </c>
      <c r="D472" s="8" t="s">
        <v>74</v>
      </c>
      <c r="E472" s="9" t="s">
        <v>103</v>
      </c>
      <c r="F472" s="10"/>
      <c r="G472" s="10"/>
      <c r="H472" s="10"/>
      <c r="I472" s="10"/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55</v>
      </c>
      <c r="AF472" s="10">
        <v>46.1</v>
      </c>
      <c r="AG472" s="10">
        <v>53</v>
      </c>
      <c r="AH472" s="10">
        <v>55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V472" s="10">
        <v>0</v>
      </c>
      <c r="AW472" s="10">
        <v>0</v>
      </c>
    </row>
    <row r="473" spans="1:49" ht="14.5" hidden="1" outlineLevel="1" x14ac:dyDescent="0.35">
      <c r="A473" s="8" t="s">
        <v>12</v>
      </c>
      <c r="B473" s="8" t="s">
        <v>14</v>
      </c>
      <c r="C473" s="8" t="s">
        <v>149</v>
      </c>
      <c r="D473" s="8" t="s">
        <v>74</v>
      </c>
      <c r="E473" s="9" t="s">
        <v>46</v>
      </c>
      <c r="F473" s="10"/>
      <c r="G473" s="10"/>
      <c r="H473" s="10"/>
      <c r="I473" s="10"/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1.1000000000000001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</row>
    <row r="474" spans="1:49" ht="14.5" hidden="1" outlineLevel="1" x14ac:dyDescent="0.35">
      <c r="A474" s="8" t="s">
        <v>12</v>
      </c>
      <c r="B474" s="8" t="s">
        <v>14</v>
      </c>
      <c r="C474" s="8" t="s">
        <v>149</v>
      </c>
      <c r="D474" s="8" t="s">
        <v>74</v>
      </c>
      <c r="E474" s="9" t="s">
        <v>98</v>
      </c>
      <c r="F474" s="10"/>
      <c r="G474" s="10"/>
      <c r="H474" s="10"/>
      <c r="I474" s="10"/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9.1999999999999993</v>
      </c>
      <c r="AD474" s="10">
        <v>50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</row>
    <row r="475" spans="1:49" ht="14.5" collapsed="1" x14ac:dyDescent="0.35">
      <c r="A475" s="6" t="s">
        <v>12</v>
      </c>
      <c r="B475" s="6" t="s">
        <v>14</v>
      </c>
      <c r="C475" s="6" t="s">
        <v>150</v>
      </c>
      <c r="D475" s="6" t="s">
        <v>72</v>
      </c>
      <c r="E475" s="6" t="s">
        <v>73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</row>
    <row r="476" spans="1:49" ht="14.5" hidden="1" outlineLevel="1" x14ac:dyDescent="0.35">
      <c r="A476" s="8" t="s">
        <v>12</v>
      </c>
      <c r="B476" s="8" t="s">
        <v>14</v>
      </c>
      <c r="C476" s="8" t="s">
        <v>150</v>
      </c>
      <c r="D476" s="8" t="s">
        <v>74</v>
      </c>
      <c r="E476" s="9" t="s">
        <v>103</v>
      </c>
      <c r="F476" s="10"/>
      <c r="G476" s="10"/>
      <c r="H476" s="10"/>
      <c r="I476" s="10"/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29.5</v>
      </c>
      <c r="AF476" s="10">
        <v>55</v>
      </c>
      <c r="AG476" s="10">
        <v>55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0">
        <v>0</v>
      </c>
      <c r="AT476" s="10">
        <v>0</v>
      </c>
      <c r="AU476" s="10">
        <v>0</v>
      </c>
      <c r="AV476" s="10">
        <v>0</v>
      </c>
      <c r="AW476" s="10">
        <v>0</v>
      </c>
    </row>
    <row r="477" spans="1:49" ht="14.5" collapsed="1" x14ac:dyDescent="0.35">
      <c r="A477" s="6" t="s">
        <v>12</v>
      </c>
      <c r="B477" s="6" t="s">
        <v>14</v>
      </c>
      <c r="C477" s="6" t="s">
        <v>151</v>
      </c>
      <c r="D477" s="6" t="s">
        <v>72</v>
      </c>
      <c r="E477" s="6" t="s">
        <v>73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</row>
    <row r="478" spans="1:49" ht="14.5" hidden="1" outlineLevel="1" x14ac:dyDescent="0.35">
      <c r="A478" s="8" t="s">
        <v>12</v>
      </c>
      <c r="B478" s="8" t="s">
        <v>14</v>
      </c>
      <c r="C478" s="8" t="s">
        <v>151</v>
      </c>
      <c r="D478" s="8" t="s">
        <v>74</v>
      </c>
      <c r="E478" s="9" t="s">
        <v>103</v>
      </c>
      <c r="F478" s="10"/>
      <c r="G478" s="10"/>
      <c r="H478" s="10"/>
      <c r="I478" s="10"/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33.9</v>
      </c>
      <c r="AG478" s="10">
        <v>22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</row>
    <row r="479" spans="1:49" ht="14.5" hidden="1" outlineLevel="1" x14ac:dyDescent="0.35">
      <c r="A479" s="8" t="s">
        <v>12</v>
      </c>
      <c r="B479" s="8" t="s">
        <v>14</v>
      </c>
      <c r="C479" s="8" t="s">
        <v>151</v>
      </c>
      <c r="D479" s="8" t="s">
        <v>74</v>
      </c>
      <c r="E479" s="9" t="s">
        <v>46</v>
      </c>
      <c r="F479" s="10"/>
      <c r="G479" s="10"/>
      <c r="H479" s="10"/>
      <c r="I479" s="10"/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24</v>
      </c>
      <c r="AF479" s="10">
        <v>21.1</v>
      </c>
      <c r="AG479" s="10">
        <v>0</v>
      </c>
      <c r="AH479" s="10">
        <v>25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</row>
    <row r="480" spans="1:49" ht="14.5" hidden="1" outlineLevel="1" x14ac:dyDescent="0.35">
      <c r="A480" s="8" t="s">
        <v>12</v>
      </c>
      <c r="B480" s="8" t="s">
        <v>14</v>
      </c>
      <c r="C480" s="8" t="s">
        <v>151</v>
      </c>
      <c r="D480" s="8" t="s">
        <v>74</v>
      </c>
      <c r="E480" s="9" t="s">
        <v>98</v>
      </c>
      <c r="F480" s="10"/>
      <c r="G480" s="10"/>
      <c r="H480" s="10"/>
      <c r="I480" s="10"/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11</v>
      </c>
      <c r="AF480" s="10">
        <v>0</v>
      </c>
      <c r="AG480" s="10">
        <v>10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v>0</v>
      </c>
      <c r="AT480" s="10">
        <v>0</v>
      </c>
      <c r="AU480" s="10">
        <v>0</v>
      </c>
      <c r="AV480" s="10">
        <v>0</v>
      </c>
      <c r="AW480" s="10">
        <v>0</v>
      </c>
    </row>
    <row r="481" spans="1:49" ht="14.5" collapsed="1" x14ac:dyDescent="0.35">
      <c r="A481" s="6" t="s">
        <v>12</v>
      </c>
      <c r="B481" s="6" t="s">
        <v>14</v>
      </c>
      <c r="C481" s="6" t="s">
        <v>152</v>
      </c>
      <c r="D481" s="6" t="s">
        <v>72</v>
      </c>
      <c r="E481" s="6" t="s">
        <v>73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</row>
    <row r="482" spans="1:49" ht="14.5" hidden="1" outlineLevel="1" x14ac:dyDescent="0.35">
      <c r="A482" s="8" t="s">
        <v>12</v>
      </c>
      <c r="B482" s="8" t="s">
        <v>14</v>
      </c>
      <c r="C482" s="8" t="s">
        <v>152</v>
      </c>
      <c r="D482" s="8" t="s">
        <v>74</v>
      </c>
      <c r="E482" s="9" t="s">
        <v>46</v>
      </c>
      <c r="F482" s="10"/>
      <c r="G482" s="10"/>
      <c r="H482" s="10"/>
      <c r="I482" s="10"/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54.9</v>
      </c>
      <c r="AG482" s="10">
        <v>34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</row>
    <row r="483" spans="1:49" ht="14.5" hidden="1" outlineLevel="1" x14ac:dyDescent="0.35">
      <c r="A483" s="8" t="s">
        <v>12</v>
      </c>
      <c r="B483" s="8" t="s">
        <v>14</v>
      </c>
      <c r="C483" s="8" t="s">
        <v>152</v>
      </c>
      <c r="D483" s="8" t="s">
        <v>74</v>
      </c>
      <c r="E483" s="9" t="s">
        <v>98</v>
      </c>
      <c r="F483" s="10"/>
      <c r="G483" s="10"/>
      <c r="H483" s="10"/>
      <c r="I483" s="10"/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55</v>
      </c>
      <c r="AF483" s="10">
        <v>0.100000000000001</v>
      </c>
      <c r="AG483" s="10">
        <v>0</v>
      </c>
      <c r="AH483" s="10">
        <v>55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</row>
    <row r="484" spans="1:49" ht="14.5" collapsed="1" x14ac:dyDescent="0.35">
      <c r="A484" s="6" t="s">
        <v>12</v>
      </c>
      <c r="B484" s="6" t="s">
        <v>14</v>
      </c>
      <c r="C484" s="6" t="s">
        <v>153</v>
      </c>
      <c r="D484" s="6" t="s">
        <v>72</v>
      </c>
      <c r="E484" s="6" t="s">
        <v>73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</row>
    <row r="485" spans="1:49" ht="14.5" hidden="1" outlineLevel="1" x14ac:dyDescent="0.35">
      <c r="A485" s="8" t="s">
        <v>12</v>
      </c>
      <c r="B485" s="8" t="s">
        <v>14</v>
      </c>
      <c r="C485" s="8" t="s">
        <v>153</v>
      </c>
      <c r="D485" s="8" t="s">
        <v>74</v>
      </c>
      <c r="E485" s="9" t="s">
        <v>98</v>
      </c>
      <c r="F485" s="10"/>
      <c r="G485" s="10"/>
      <c r="H485" s="10"/>
      <c r="I485" s="10"/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55</v>
      </c>
      <c r="AG485" s="10">
        <v>24</v>
      </c>
      <c r="AH485" s="10">
        <v>5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</row>
    <row r="486" spans="1:49" ht="14.5" hidden="1" outlineLevel="1" x14ac:dyDescent="0.35">
      <c r="A486" s="8" t="s">
        <v>12</v>
      </c>
      <c r="B486" s="8" t="s">
        <v>14</v>
      </c>
      <c r="C486" s="8" t="s">
        <v>153</v>
      </c>
      <c r="D486" s="8" t="s">
        <v>74</v>
      </c>
      <c r="E486" s="9" t="s">
        <v>43</v>
      </c>
      <c r="F486" s="10"/>
      <c r="G486" s="10"/>
      <c r="H486" s="10"/>
      <c r="I486" s="10"/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23.5</v>
      </c>
      <c r="AF486" s="10">
        <v>0</v>
      </c>
      <c r="AG486" s="10">
        <v>20</v>
      </c>
      <c r="AH486" s="10">
        <v>7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</row>
    <row r="487" spans="1:49" ht="14.5" collapsed="1" x14ac:dyDescent="0.35">
      <c r="A487" s="6" t="s">
        <v>12</v>
      </c>
      <c r="B487" s="6" t="s">
        <v>14</v>
      </c>
      <c r="C487" s="6" t="s">
        <v>154</v>
      </c>
      <c r="D487" s="6" t="s">
        <v>72</v>
      </c>
      <c r="E487" s="6" t="s">
        <v>73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</row>
    <row r="488" spans="1:49" ht="14.5" hidden="1" outlineLevel="1" x14ac:dyDescent="0.35">
      <c r="A488" s="8" t="s">
        <v>12</v>
      </c>
      <c r="B488" s="8" t="s">
        <v>14</v>
      </c>
      <c r="C488" s="8" t="s">
        <v>154</v>
      </c>
      <c r="D488" s="8" t="s">
        <v>74</v>
      </c>
      <c r="E488" s="9" t="s">
        <v>98</v>
      </c>
      <c r="F488" s="10"/>
      <c r="G488" s="10"/>
      <c r="H488" s="10"/>
      <c r="I488" s="10"/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41.9</v>
      </c>
      <c r="AG488" s="10">
        <v>55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</row>
    <row r="489" spans="1:49" ht="14.5" hidden="1" outlineLevel="1" x14ac:dyDescent="0.35">
      <c r="A489" s="8" t="s">
        <v>12</v>
      </c>
      <c r="B489" s="8" t="s">
        <v>14</v>
      </c>
      <c r="C489" s="8" t="s">
        <v>154</v>
      </c>
      <c r="D489" s="8" t="s">
        <v>74</v>
      </c>
      <c r="E489" s="9" t="s">
        <v>43</v>
      </c>
      <c r="F489" s="10"/>
      <c r="G489" s="10"/>
      <c r="H489" s="10"/>
      <c r="I489" s="10"/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13.1</v>
      </c>
      <c r="AG489" s="10">
        <v>0</v>
      </c>
      <c r="AH489" s="10">
        <v>8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</row>
    <row r="490" spans="1:49" ht="14.5" collapsed="1" x14ac:dyDescent="0.35">
      <c r="A490" s="6" t="s">
        <v>12</v>
      </c>
      <c r="B490" s="6" t="s">
        <v>14</v>
      </c>
      <c r="C490" s="6" t="s">
        <v>155</v>
      </c>
      <c r="D490" s="6" t="s">
        <v>72</v>
      </c>
      <c r="E490" s="6" t="s">
        <v>73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</row>
    <row r="491" spans="1:49" ht="14.5" hidden="1" outlineLevel="1" x14ac:dyDescent="0.35">
      <c r="A491" s="8" t="s">
        <v>12</v>
      </c>
      <c r="B491" s="8" t="s">
        <v>14</v>
      </c>
      <c r="C491" s="8" t="s">
        <v>155</v>
      </c>
      <c r="D491" s="8" t="s">
        <v>74</v>
      </c>
      <c r="E491" s="9" t="s">
        <v>43</v>
      </c>
      <c r="F491" s="10"/>
      <c r="G491" s="10"/>
      <c r="H491" s="10"/>
      <c r="I491" s="10"/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32.9</v>
      </c>
      <c r="AG491" s="10">
        <v>51</v>
      </c>
      <c r="AH491" s="10">
        <v>20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0">
        <v>0</v>
      </c>
      <c r="AT491" s="10">
        <v>0</v>
      </c>
      <c r="AU491" s="10">
        <v>0</v>
      </c>
      <c r="AV491" s="10">
        <v>0</v>
      </c>
      <c r="AW491" s="10">
        <v>0</v>
      </c>
    </row>
    <row r="492" spans="1:49" ht="14.5" hidden="1" outlineLevel="1" x14ac:dyDescent="0.35">
      <c r="A492" s="8" t="s">
        <v>12</v>
      </c>
      <c r="B492" s="8" t="s">
        <v>14</v>
      </c>
      <c r="C492" s="8" t="s">
        <v>155</v>
      </c>
      <c r="D492" s="8" t="s">
        <v>74</v>
      </c>
      <c r="E492" s="9" t="s">
        <v>102</v>
      </c>
      <c r="F492" s="10"/>
      <c r="G492" s="10"/>
      <c r="H492" s="10"/>
      <c r="I492" s="10"/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22.1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</row>
    <row r="493" spans="1:49" ht="14.5" collapsed="1" x14ac:dyDescent="0.35">
      <c r="A493" s="6" t="s">
        <v>12</v>
      </c>
      <c r="B493" s="6" t="s">
        <v>14</v>
      </c>
      <c r="C493" s="6" t="s">
        <v>156</v>
      </c>
      <c r="D493" s="6" t="s">
        <v>72</v>
      </c>
      <c r="E493" s="6" t="s">
        <v>73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</row>
    <row r="494" spans="1:49" ht="14.5" hidden="1" outlineLevel="1" x14ac:dyDescent="0.35">
      <c r="A494" s="8" t="s">
        <v>12</v>
      </c>
      <c r="B494" s="8" t="s">
        <v>14</v>
      </c>
      <c r="C494" s="8" t="s">
        <v>156</v>
      </c>
      <c r="D494" s="8" t="s">
        <v>74</v>
      </c>
      <c r="E494" s="9" t="s">
        <v>102</v>
      </c>
      <c r="F494" s="10"/>
      <c r="G494" s="10"/>
      <c r="H494" s="10"/>
      <c r="I494" s="10"/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22.9</v>
      </c>
      <c r="AG494" s="10">
        <v>40</v>
      </c>
      <c r="AH494" s="10">
        <v>12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</row>
    <row r="495" spans="1:49" ht="14.5" hidden="1" outlineLevel="1" x14ac:dyDescent="0.35">
      <c r="A495" s="8" t="s">
        <v>12</v>
      </c>
      <c r="B495" s="8" t="s">
        <v>14</v>
      </c>
      <c r="C495" s="8" t="s">
        <v>156</v>
      </c>
      <c r="D495" s="8" t="s">
        <v>74</v>
      </c>
      <c r="E495" s="9" t="s">
        <v>83</v>
      </c>
      <c r="F495" s="10"/>
      <c r="G495" s="10"/>
      <c r="H495" s="10"/>
      <c r="I495" s="10"/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32.1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</row>
    <row r="496" spans="1:49" ht="14.5" collapsed="1" x14ac:dyDescent="0.35">
      <c r="A496" s="6" t="s">
        <v>12</v>
      </c>
      <c r="B496" s="6" t="s">
        <v>14</v>
      </c>
      <c r="C496" s="6" t="s">
        <v>157</v>
      </c>
      <c r="D496" s="6" t="s">
        <v>72</v>
      </c>
      <c r="E496" s="6" t="s">
        <v>73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</row>
    <row r="497" spans="1:49" ht="14.5" hidden="1" outlineLevel="1" x14ac:dyDescent="0.35">
      <c r="A497" s="8" t="s">
        <v>12</v>
      </c>
      <c r="B497" s="8" t="s">
        <v>14</v>
      </c>
      <c r="C497" s="8" t="s">
        <v>157</v>
      </c>
      <c r="D497" s="8" t="s">
        <v>74</v>
      </c>
      <c r="E497" s="9" t="s">
        <v>83</v>
      </c>
      <c r="F497" s="10"/>
      <c r="G497" s="10"/>
      <c r="H497" s="10"/>
      <c r="I497" s="10"/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7.9</v>
      </c>
      <c r="AG497" s="10">
        <v>40</v>
      </c>
      <c r="AH497" s="10">
        <v>29.5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</row>
    <row r="498" spans="1:49" ht="14.5" collapsed="1" x14ac:dyDescent="0.35">
      <c r="A498" s="6" t="s">
        <v>12</v>
      </c>
      <c r="B498" s="6" t="s">
        <v>14</v>
      </c>
      <c r="C498" s="6" t="s">
        <v>17</v>
      </c>
      <c r="D498" s="6" t="s">
        <v>72</v>
      </c>
      <c r="E498" s="6" t="s">
        <v>73</v>
      </c>
      <c r="F498" s="7">
        <f t="shared" ref="F498:AW498" si="55">SUM(F499,F501,F502,F503,F505,F508,F511,F512,F513,F514)</f>
        <v>354</v>
      </c>
      <c r="G498" s="7">
        <f t="shared" si="55"/>
        <v>998</v>
      </c>
      <c r="H498" s="7">
        <f t="shared" si="55"/>
        <v>1275</v>
      </c>
      <c r="I498" s="7">
        <f t="shared" si="55"/>
        <v>-277</v>
      </c>
      <c r="J498" s="7">
        <f t="shared" si="55"/>
        <v>25</v>
      </c>
      <c r="K498" s="7">
        <f t="shared" si="55"/>
        <v>3</v>
      </c>
      <c r="L498" s="7">
        <f t="shared" si="55"/>
        <v>5</v>
      </c>
      <c r="M498" s="7">
        <f t="shared" si="55"/>
        <v>3</v>
      </c>
      <c r="N498" s="7">
        <f t="shared" si="55"/>
        <v>3</v>
      </c>
      <c r="O498" s="7">
        <f t="shared" si="55"/>
        <v>13</v>
      </c>
      <c r="P498" s="7">
        <f t="shared" si="55"/>
        <v>13</v>
      </c>
      <c r="Q498" s="12">
        <f t="shared" si="55"/>
        <v>45</v>
      </c>
      <c r="R498" s="13">
        <f t="shared" si="55"/>
        <v>46</v>
      </c>
      <c r="S498" s="7">
        <f t="shared" si="55"/>
        <v>15</v>
      </c>
      <c r="T498" s="7">
        <f t="shared" si="55"/>
        <v>15</v>
      </c>
      <c r="U498" s="7">
        <f t="shared" si="55"/>
        <v>10</v>
      </c>
      <c r="V498" s="7">
        <f t="shared" si="55"/>
        <v>8</v>
      </c>
      <c r="W498" s="7">
        <f t="shared" si="55"/>
        <v>6</v>
      </c>
      <c r="X498" s="7">
        <f t="shared" si="55"/>
        <v>22</v>
      </c>
      <c r="Y498" s="7">
        <f t="shared" si="55"/>
        <v>18</v>
      </c>
      <c r="Z498" s="7">
        <f t="shared" si="55"/>
        <v>0</v>
      </c>
      <c r="AA498" s="7">
        <f t="shared" si="55"/>
        <v>0</v>
      </c>
      <c r="AB498" s="7">
        <f t="shared" si="55"/>
        <v>6</v>
      </c>
      <c r="AC498" s="7">
        <f t="shared" si="55"/>
        <v>34.5</v>
      </c>
      <c r="AD498" s="7">
        <f t="shared" si="55"/>
        <v>35</v>
      </c>
      <c r="AE498" s="13">
        <f t="shared" si="55"/>
        <v>68</v>
      </c>
      <c r="AF498" s="13">
        <f t="shared" si="55"/>
        <v>90</v>
      </c>
      <c r="AG498" s="13">
        <f t="shared" si="55"/>
        <v>75.5</v>
      </c>
      <c r="AH498" s="13">
        <f t="shared" si="55"/>
        <v>67</v>
      </c>
      <c r="AI498" s="7">
        <f t="shared" si="55"/>
        <v>28</v>
      </c>
      <c r="AJ498" s="7">
        <f t="shared" si="55"/>
        <v>3</v>
      </c>
      <c r="AK498" s="7">
        <f t="shared" si="55"/>
        <v>3</v>
      </c>
      <c r="AL498" s="7">
        <f t="shared" si="55"/>
        <v>3</v>
      </c>
      <c r="AM498" s="7">
        <f t="shared" si="55"/>
        <v>0</v>
      </c>
      <c r="AN498" s="7">
        <f t="shared" si="55"/>
        <v>0</v>
      </c>
      <c r="AO498" s="7">
        <f t="shared" si="55"/>
        <v>0</v>
      </c>
      <c r="AP498" s="7">
        <f t="shared" si="55"/>
        <v>0</v>
      </c>
      <c r="AQ498" s="7">
        <f t="shared" si="55"/>
        <v>0</v>
      </c>
      <c r="AR498" s="7">
        <f t="shared" si="55"/>
        <v>0</v>
      </c>
      <c r="AS498" s="7">
        <f t="shared" si="55"/>
        <v>0</v>
      </c>
      <c r="AT498" s="7">
        <f t="shared" si="55"/>
        <v>0</v>
      </c>
      <c r="AU498" s="7">
        <f t="shared" si="55"/>
        <v>0</v>
      </c>
      <c r="AV498" s="7">
        <f t="shared" si="55"/>
        <v>0</v>
      </c>
      <c r="AW498" s="7">
        <f t="shared" si="55"/>
        <v>0</v>
      </c>
    </row>
    <row r="499" spans="1:49" ht="14.5" hidden="1" outlineLevel="1" x14ac:dyDescent="0.35">
      <c r="A499" t="s">
        <v>12</v>
      </c>
      <c r="B499" t="s">
        <v>14</v>
      </c>
      <c r="C499" t="s">
        <v>17</v>
      </c>
      <c r="D499" t="s">
        <v>85</v>
      </c>
      <c r="E499" t="s">
        <v>158</v>
      </c>
      <c r="F499" s="11">
        <v>11</v>
      </c>
      <c r="G499" s="11">
        <v>46</v>
      </c>
      <c r="H499" s="11">
        <v>120</v>
      </c>
      <c r="I499" s="11">
        <v>-74</v>
      </c>
      <c r="J499" s="11">
        <v>8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2</v>
      </c>
      <c r="R499" s="11">
        <v>3</v>
      </c>
      <c r="S499" s="11">
        <v>3</v>
      </c>
      <c r="T499" s="11">
        <v>3</v>
      </c>
      <c r="U499" s="11">
        <v>3</v>
      </c>
      <c r="V499" s="11">
        <v>0</v>
      </c>
      <c r="W499" s="11">
        <v>3</v>
      </c>
      <c r="X499" s="11">
        <v>3</v>
      </c>
      <c r="Y499" s="11">
        <v>3</v>
      </c>
      <c r="Z499" s="11">
        <v>0</v>
      </c>
      <c r="AA499" s="11">
        <v>0</v>
      </c>
      <c r="AB499" s="11">
        <v>3</v>
      </c>
      <c r="AC499" s="11">
        <v>3</v>
      </c>
      <c r="AD499" s="11">
        <v>3</v>
      </c>
      <c r="AE499" s="11">
        <v>3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</row>
    <row r="500" spans="1:49" ht="14.5" hidden="1" outlineLevel="1" x14ac:dyDescent="0.35">
      <c r="A500" s="14" t="s">
        <v>12</v>
      </c>
      <c r="B500" s="14" t="s">
        <v>14</v>
      </c>
      <c r="C500" s="14" t="s">
        <v>17</v>
      </c>
      <c r="D500" s="14" t="s">
        <v>99</v>
      </c>
      <c r="E500" s="15" t="s">
        <v>158</v>
      </c>
      <c r="F500" s="16"/>
      <c r="G500" s="16"/>
      <c r="H500" s="16"/>
      <c r="I500" s="16"/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-3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  <c r="AR500" s="16">
        <v>0</v>
      </c>
      <c r="AS500" s="16">
        <v>0</v>
      </c>
      <c r="AT500" s="16">
        <v>0</v>
      </c>
      <c r="AU500" s="16">
        <v>0</v>
      </c>
      <c r="AV500" s="16">
        <v>0</v>
      </c>
      <c r="AW500" s="16">
        <v>0</v>
      </c>
    </row>
    <row r="501" spans="1:49" ht="14.5" hidden="1" outlineLevel="1" x14ac:dyDescent="0.35">
      <c r="A501" t="s">
        <v>12</v>
      </c>
      <c r="B501" t="s">
        <v>14</v>
      </c>
      <c r="C501" t="s">
        <v>17</v>
      </c>
      <c r="D501" t="s">
        <v>85</v>
      </c>
      <c r="E501" t="s">
        <v>87</v>
      </c>
      <c r="F501" s="11">
        <v>40</v>
      </c>
      <c r="G501" s="11">
        <v>40</v>
      </c>
      <c r="H501" s="11">
        <v>60</v>
      </c>
      <c r="I501" s="11">
        <v>-20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</row>
    <row r="502" spans="1:49" ht="14.5" hidden="1" outlineLevel="1" x14ac:dyDescent="0.35">
      <c r="A502" t="s">
        <v>12</v>
      </c>
      <c r="B502" t="s">
        <v>14</v>
      </c>
      <c r="C502" t="s">
        <v>17</v>
      </c>
      <c r="D502" t="s">
        <v>85</v>
      </c>
      <c r="E502" t="s">
        <v>88</v>
      </c>
      <c r="F502" s="11">
        <v>20</v>
      </c>
      <c r="G502" s="11">
        <v>20</v>
      </c>
      <c r="H502" s="11">
        <v>32</v>
      </c>
      <c r="I502" s="11">
        <v>-12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</row>
    <row r="503" spans="1:49" ht="14.5" hidden="1" outlineLevel="1" x14ac:dyDescent="0.35">
      <c r="A503" t="s">
        <v>12</v>
      </c>
      <c r="B503" t="s">
        <v>14</v>
      </c>
      <c r="C503" t="s">
        <v>17</v>
      </c>
      <c r="D503" t="s">
        <v>85</v>
      </c>
      <c r="E503" t="s">
        <v>89</v>
      </c>
      <c r="F503" s="11">
        <v>0</v>
      </c>
      <c r="G503" s="11">
        <v>20</v>
      </c>
      <c r="H503" s="11">
        <v>20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10</v>
      </c>
      <c r="R503" s="11">
        <v>10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0</v>
      </c>
      <c r="AU503" s="11">
        <v>0</v>
      </c>
      <c r="AV503" s="11">
        <v>0</v>
      </c>
      <c r="AW503" s="11">
        <v>0</v>
      </c>
    </row>
    <row r="504" spans="1:49" ht="14.5" hidden="1" outlineLevel="1" x14ac:dyDescent="0.35">
      <c r="A504" s="14" t="s">
        <v>12</v>
      </c>
      <c r="B504" s="14" t="s">
        <v>14</v>
      </c>
      <c r="C504" s="14" t="s">
        <v>17</v>
      </c>
      <c r="D504" s="14" t="s">
        <v>99</v>
      </c>
      <c r="E504" s="15" t="s">
        <v>89</v>
      </c>
      <c r="F504" s="16"/>
      <c r="G504" s="16"/>
      <c r="H504" s="16"/>
      <c r="I504" s="16"/>
      <c r="J504" s="16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-2</v>
      </c>
      <c r="R504" s="16">
        <v>-3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  <c r="AR504" s="16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</row>
    <row r="505" spans="1:49" ht="14.5" hidden="1" outlineLevel="1" x14ac:dyDescent="0.35">
      <c r="A505" t="s">
        <v>12</v>
      </c>
      <c r="B505" t="s">
        <v>14</v>
      </c>
      <c r="C505" t="s">
        <v>17</v>
      </c>
      <c r="D505" t="s">
        <v>85</v>
      </c>
      <c r="E505" t="s">
        <v>40</v>
      </c>
      <c r="F505" s="11">
        <v>0</v>
      </c>
      <c r="G505" s="11">
        <v>28</v>
      </c>
      <c r="H505" s="11">
        <v>28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8</v>
      </c>
      <c r="AH505" s="11">
        <v>10</v>
      </c>
      <c r="AI505" s="11">
        <v>10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</row>
    <row r="506" spans="1:49" ht="14.5" hidden="1" outlineLevel="1" x14ac:dyDescent="0.35">
      <c r="A506" s="14" t="s">
        <v>12</v>
      </c>
      <c r="B506" s="14" t="s">
        <v>14</v>
      </c>
      <c r="C506" s="14" t="s">
        <v>17</v>
      </c>
      <c r="D506" s="14" t="s">
        <v>99</v>
      </c>
      <c r="E506" s="15" t="s">
        <v>40</v>
      </c>
      <c r="F506" s="16"/>
      <c r="G506" s="16"/>
      <c r="H506" s="16"/>
      <c r="I506" s="16"/>
      <c r="J506" s="16">
        <v>0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6">
        <v>0</v>
      </c>
      <c r="AG506" s="16">
        <v>-8</v>
      </c>
      <c r="AH506" s="16">
        <v>-10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>
        <v>0</v>
      </c>
      <c r="AU506" s="16">
        <v>0</v>
      </c>
      <c r="AV506" s="16">
        <v>0</v>
      </c>
      <c r="AW506" s="16">
        <v>0</v>
      </c>
    </row>
    <row r="507" spans="1:49" ht="14.5" hidden="1" outlineLevel="1" x14ac:dyDescent="0.35">
      <c r="A507" s="8" t="s">
        <v>12</v>
      </c>
      <c r="B507" s="8" t="s">
        <v>14</v>
      </c>
      <c r="C507" s="8" t="s">
        <v>17</v>
      </c>
      <c r="D507" s="8" t="s">
        <v>74</v>
      </c>
      <c r="E507" s="9" t="s">
        <v>40</v>
      </c>
      <c r="F507" s="10"/>
      <c r="G507" s="10"/>
      <c r="H507" s="10"/>
      <c r="I507" s="10"/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8</v>
      </c>
      <c r="T507" s="10">
        <v>15</v>
      </c>
      <c r="U507" s="10">
        <v>10</v>
      </c>
      <c r="V507" s="10">
        <v>0</v>
      </c>
      <c r="W507" s="10">
        <v>5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</row>
    <row r="508" spans="1:49" ht="14.5" hidden="1" outlineLevel="1" x14ac:dyDescent="0.35">
      <c r="A508" t="s">
        <v>12</v>
      </c>
      <c r="B508" t="s">
        <v>14</v>
      </c>
      <c r="C508" t="s">
        <v>17</v>
      </c>
      <c r="D508" t="s">
        <v>85</v>
      </c>
      <c r="E508" t="s">
        <v>46</v>
      </c>
      <c r="F508" s="11">
        <v>223</v>
      </c>
      <c r="G508" s="11">
        <v>590</v>
      </c>
      <c r="H508" s="11">
        <v>637</v>
      </c>
      <c r="I508" s="11">
        <v>-47</v>
      </c>
      <c r="J508" s="11">
        <v>17</v>
      </c>
      <c r="K508" s="11">
        <v>3</v>
      </c>
      <c r="L508" s="11">
        <v>5</v>
      </c>
      <c r="M508" s="11">
        <v>3</v>
      </c>
      <c r="N508" s="11">
        <v>3</v>
      </c>
      <c r="O508" s="11">
        <v>3</v>
      </c>
      <c r="P508" s="11">
        <v>3</v>
      </c>
      <c r="Q508" s="11">
        <v>3</v>
      </c>
      <c r="R508" s="11">
        <v>3</v>
      </c>
      <c r="S508" s="11">
        <v>12</v>
      </c>
      <c r="T508" s="11">
        <v>12</v>
      </c>
      <c r="U508" s="11">
        <v>7</v>
      </c>
      <c r="V508" s="11">
        <v>8</v>
      </c>
      <c r="W508" s="11">
        <v>3</v>
      </c>
      <c r="X508" s="11">
        <v>15</v>
      </c>
      <c r="Y508" s="11">
        <v>15</v>
      </c>
      <c r="Z508" s="11">
        <v>0</v>
      </c>
      <c r="AA508" s="11">
        <v>0</v>
      </c>
      <c r="AB508" s="11">
        <v>3</v>
      </c>
      <c r="AC508" s="11">
        <v>31.5</v>
      </c>
      <c r="AD508" s="11">
        <v>22</v>
      </c>
      <c r="AE508" s="11">
        <v>45</v>
      </c>
      <c r="AF508" s="11">
        <v>40</v>
      </c>
      <c r="AG508" s="11">
        <v>37.5</v>
      </c>
      <c r="AH508" s="11">
        <v>57</v>
      </c>
      <c r="AI508" s="11">
        <v>18</v>
      </c>
      <c r="AJ508" s="11">
        <v>3</v>
      </c>
      <c r="AK508" s="11">
        <v>3</v>
      </c>
      <c r="AL508" s="11">
        <v>3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</row>
    <row r="509" spans="1:49" ht="14.5" hidden="1" outlineLevel="1" x14ac:dyDescent="0.35">
      <c r="A509" s="14" t="s">
        <v>12</v>
      </c>
      <c r="B509" s="14" t="s">
        <v>14</v>
      </c>
      <c r="C509" s="14" t="s">
        <v>17</v>
      </c>
      <c r="D509" s="14" t="s">
        <v>99</v>
      </c>
      <c r="E509" s="15" t="s">
        <v>46</v>
      </c>
      <c r="F509" s="16"/>
      <c r="G509" s="16"/>
      <c r="H509" s="16"/>
      <c r="I509" s="16"/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-3</v>
      </c>
      <c r="R509" s="16">
        <v>-3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-35</v>
      </c>
      <c r="AG509" s="16">
        <v>0</v>
      </c>
      <c r="AH509" s="16">
        <v>-2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</row>
    <row r="510" spans="1:49" ht="14.5" hidden="1" outlineLevel="1" x14ac:dyDescent="0.35">
      <c r="A510" s="8" t="s">
        <v>12</v>
      </c>
      <c r="B510" s="8" t="s">
        <v>14</v>
      </c>
      <c r="C510" s="8" t="s">
        <v>17</v>
      </c>
      <c r="D510" s="8" t="s">
        <v>74</v>
      </c>
      <c r="E510" s="9" t="s">
        <v>46</v>
      </c>
      <c r="F510" s="10"/>
      <c r="G510" s="10"/>
      <c r="H510" s="10"/>
      <c r="I510" s="10"/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1.5</v>
      </c>
      <c r="P510" s="10">
        <v>1.5</v>
      </c>
      <c r="Q510" s="10">
        <v>0</v>
      </c>
      <c r="R510" s="10">
        <v>0</v>
      </c>
      <c r="S510" s="10">
        <v>3.8846150000000002</v>
      </c>
      <c r="T510" s="10">
        <v>9.8846150000000002</v>
      </c>
      <c r="U510" s="10">
        <v>1.5</v>
      </c>
      <c r="V510" s="10">
        <v>1.5</v>
      </c>
      <c r="W510" s="10">
        <v>1.5</v>
      </c>
      <c r="X510" s="10">
        <v>3.8846150000000002</v>
      </c>
      <c r="Y510" s="10">
        <v>1.5</v>
      </c>
      <c r="Z510" s="10">
        <v>0</v>
      </c>
      <c r="AA510" s="10">
        <v>0</v>
      </c>
      <c r="AB510" s="10">
        <v>1.5</v>
      </c>
      <c r="AC510" s="10">
        <v>0</v>
      </c>
      <c r="AD510" s="10">
        <v>7</v>
      </c>
      <c r="AE510" s="10">
        <v>0</v>
      </c>
      <c r="AF510" s="10">
        <v>0</v>
      </c>
      <c r="AG510" s="10">
        <v>0</v>
      </c>
      <c r="AH510" s="10">
        <v>0</v>
      </c>
      <c r="AI510" s="10">
        <v>7.5</v>
      </c>
      <c r="AJ510" s="10">
        <v>1.5</v>
      </c>
      <c r="AK510" s="10">
        <v>1.5</v>
      </c>
      <c r="AL510" s="10">
        <v>1.5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</row>
    <row r="511" spans="1:49" ht="14.5" hidden="1" outlineLevel="1" x14ac:dyDescent="0.35">
      <c r="A511" t="s">
        <v>12</v>
      </c>
      <c r="B511" t="s">
        <v>14</v>
      </c>
      <c r="C511" t="s">
        <v>17</v>
      </c>
      <c r="D511" t="s">
        <v>85</v>
      </c>
      <c r="E511" t="s">
        <v>90</v>
      </c>
      <c r="F511" s="11">
        <v>0</v>
      </c>
      <c r="G511" s="11">
        <v>0</v>
      </c>
      <c r="H511" s="11">
        <v>98</v>
      </c>
      <c r="I511" s="11">
        <v>-98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</row>
    <row r="512" spans="1:49" ht="14.5" hidden="1" outlineLevel="1" x14ac:dyDescent="0.35">
      <c r="A512" t="s">
        <v>12</v>
      </c>
      <c r="B512" t="s">
        <v>14</v>
      </c>
      <c r="C512" t="s">
        <v>17</v>
      </c>
      <c r="D512" t="s">
        <v>85</v>
      </c>
      <c r="E512" t="s">
        <v>91</v>
      </c>
      <c r="F512" s="11">
        <v>60</v>
      </c>
      <c r="G512" s="11">
        <v>60</v>
      </c>
      <c r="H512" s="11">
        <v>86</v>
      </c>
      <c r="I512" s="11">
        <v>-26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  <c r="AU512" s="11">
        <v>0</v>
      </c>
      <c r="AV512" s="11">
        <v>0</v>
      </c>
      <c r="AW512" s="11">
        <v>0</v>
      </c>
    </row>
    <row r="513" spans="1:49" ht="14.5" hidden="1" outlineLevel="1" x14ac:dyDescent="0.35">
      <c r="A513" t="s">
        <v>12</v>
      </c>
      <c r="B513" t="s">
        <v>14</v>
      </c>
      <c r="C513" t="s">
        <v>17</v>
      </c>
      <c r="D513" t="s">
        <v>85</v>
      </c>
      <c r="E513" t="s">
        <v>92</v>
      </c>
      <c r="F513" s="11">
        <v>0</v>
      </c>
      <c r="G513" s="11">
        <v>80</v>
      </c>
      <c r="H513" s="11">
        <v>80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10</v>
      </c>
      <c r="P513" s="11">
        <v>10</v>
      </c>
      <c r="Q513" s="11">
        <v>30</v>
      </c>
      <c r="R513" s="11">
        <v>30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</row>
    <row r="514" spans="1:49" ht="14.5" hidden="1" outlineLevel="1" x14ac:dyDescent="0.35">
      <c r="A514" t="s">
        <v>12</v>
      </c>
      <c r="B514" t="s">
        <v>14</v>
      </c>
      <c r="C514" t="s">
        <v>17</v>
      </c>
      <c r="D514" t="s">
        <v>85</v>
      </c>
      <c r="E514" t="s">
        <v>148</v>
      </c>
      <c r="F514" s="11">
        <v>0</v>
      </c>
      <c r="G514" s="11">
        <v>114</v>
      </c>
      <c r="H514" s="11">
        <v>114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4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10</v>
      </c>
      <c r="AE514" s="11">
        <v>20</v>
      </c>
      <c r="AF514" s="11">
        <v>50</v>
      </c>
      <c r="AG514" s="11">
        <v>30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</row>
    <row r="515" spans="1:49" ht="14.5" hidden="1" outlineLevel="1" x14ac:dyDescent="0.35">
      <c r="A515" s="14" t="s">
        <v>12</v>
      </c>
      <c r="B515" s="14" t="s">
        <v>14</v>
      </c>
      <c r="C515" s="14" t="s">
        <v>17</v>
      </c>
      <c r="D515" s="14" t="s">
        <v>99</v>
      </c>
      <c r="E515" s="15" t="s">
        <v>148</v>
      </c>
      <c r="F515" s="16"/>
      <c r="G515" s="16"/>
      <c r="H515" s="16"/>
      <c r="I515" s="16"/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-10</v>
      </c>
      <c r="AF515" s="16">
        <v>0</v>
      </c>
      <c r="AG515" s="16">
        <v>-12.5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  <c r="AR515" s="16">
        <v>0</v>
      </c>
      <c r="AS515" s="16">
        <v>0</v>
      </c>
      <c r="AT515" s="16">
        <v>0</v>
      </c>
      <c r="AU515" s="16">
        <v>0</v>
      </c>
      <c r="AV515" s="16">
        <v>0</v>
      </c>
      <c r="AW515" s="16">
        <v>0</v>
      </c>
    </row>
    <row r="516" spans="1:49" ht="14.5" hidden="1" outlineLevel="1" x14ac:dyDescent="0.35">
      <c r="A516" s="8" t="s">
        <v>12</v>
      </c>
      <c r="B516" s="8" t="s">
        <v>14</v>
      </c>
      <c r="C516" s="8" t="s">
        <v>17</v>
      </c>
      <c r="D516" s="8" t="s">
        <v>74</v>
      </c>
      <c r="E516" s="9" t="s">
        <v>122</v>
      </c>
      <c r="F516" s="10"/>
      <c r="G516" s="10"/>
      <c r="H516" s="10"/>
      <c r="I516" s="10"/>
      <c r="J516" s="10">
        <v>0</v>
      </c>
      <c r="K516" s="10">
        <v>5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</row>
    <row r="517" spans="1:49" ht="14.5" hidden="1" outlineLevel="1" x14ac:dyDescent="0.35">
      <c r="A517" s="8" t="s">
        <v>12</v>
      </c>
      <c r="B517" s="8" t="s">
        <v>14</v>
      </c>
      <c r="C517" s="8" t="s">
        <v>17</v>
      </c>
      <c r="D517" s="8" t="s">
        <v>74</v>
      </c>
      <c r="E517" s="9" t="s">
        <v>78</v>
      </c>
      <c r="F517" s="10"/>
      <c r="G517" s="10"/>
      <c r="H517" s="10"/>
      <c r="I517" s="10"/>
      <c r="J517" s="10">
        <v>2.230769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  <c r="AQ517" s="10">
        <v>0</v>
      </c>
      <c r="AR517" s="10">
        <v>0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</row>
    <row r="518" spans="1:49" ht="14.5" hidden="1" outlineLevel="1" x14ac:dyDescent="0.35">
      <c r="A518" s="8" t="s">
        <v>12</v>
      </c>
      <c r="B518" s="8" t="s">
        <v>14</v>
      </c>
      <c r="C518" s="8" t="s">
        <v>17</v>
      </c>
      <c r="D518" s="8" t="s">
        <v>74</v>
      </c>
      <c r="E518" s="9" t="s">
        <v>80</v>
      </c>
      <c r="F518" s="10"/>
      <c r="G518" s="10"/>
      <c r="H518" s="10"/>
      <c r="I518" s="10"/>
      <c r="J518" s="10">
        <v>0</v>
      </c>
      <c r="K518" s="10">
        <v>0</v>
      </c>
      <c r="L518" s="10">
        <v>0</v>
      </c>
      <c r="M518" s="10">
        <v>28</v>
      </c>
      <c r="N518" s="10">
        <v>16</v>
      </c>
      <c r="O518" s="10">
        <v>0</v>
      </c>
      <c r="P518" s="10">
        <v>20</v>
      </c>
      <c r="Q518" s="10">
        <v>0</v>
      </c>
      <c r="R518" s="10">
        <v>0</v>
      </c>
      <c r="S518" s="10">
        <v>0</v>
      </c>
      <c r="T518" s="10">
        <v>0</v>
      </c>
      <c r="U518" s="10">
        <v>15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</row>
    <row r="519" spans="1:49" ht="14.5" hidden="1" outlineLevel="1" x14ac:dyDescent="0.35">
      <c r="A519" s="8" t="s">
        <v>12</v>
      </c>
      <c r="B519" s="8" t="s">
        <v>14</v>
      </c>
      <c r="C519" s="8" t="s">
        <v>17</v>
      </c>
      <c r="D519" s="8" t="s">
        <v>74</v>
      </c>
      <c r="E519" s="9" t="s">
        <v>81</v>
      </c>
      <c r="F519" s="10"/>
      <c r="G519" s="10"/>
      <c r="H519" s="10"/>
      <c r="I519" s="10"/>
      <c r="J519" s="10">
        <v>0</v>
      </c>
      <c r="K519" s="10">
        <v>0</v>
      </c>
      <c r="L519" s="10">
        <v>24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</row>
    <row r="520" spans="1:49" ht="14.5" hidden="1" outlineLevel="1" x14ac:dyDescent="0.35">
      <c r="A520" s="8" t="s">
        <v>12</v>
      </c>
      <c r="B520" s="8" t="s">
        <v>14</v>
      </c>
      <c r="C520" s="8" t="s">
        <v>17</v>
      </c>
      <c r="D520" s="8" t="s">
        <v>74</v>
      </c>
      <c r="E520" s="9" t="s">
        <v>103</v>
      </c>
      <c r="F520" s="10"/>
      <c r="G520" s="10"/>
      <c r="H520" s="10"/>
      <c r="I520" s="10"/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20</v>
      </c>
      <c r="AC520" s="10">
        <v>20.5</v>
      </c>
      <c r="AD520" s="10">
        <v>13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</row>
    <row r="521" spans="1:49" ht="14.5" hidden="1" outlineLevel="1" x14ac:dyDescent="0.35">
      <c r="A521" s="8" t="s">
        <v>12</v>
      </c>
      <c r="B521" s="8" t="s">
        <v>14</v>
      </c>
      <c r="C521" s="8" t="s">
        <v>17</v>
      </c>
      <c r="D521" s="8" t="s">
        <v>74</v>
      </c>
      <c r="E521" s="9" t="s">
        <v>98</v>
      </c>
      <c r="F521" s="10"/>
      <c r="G521" s="10"/>
      <c r="H521" s="10"/>
      <c r="I521" s="10"/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2.3461539999999999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</row>
    <row r="522" spans="1:49" ht="14.5" hidden="1" outlineLevel="1" x14ac:dyDescent="0.35">
      <c r="A522" s="8" t="s">
        <v>12</v>
      </c>
      <c r="B522" s="8" t="s">
        <v>14</v>
      </c>
      <c r="C522" s="8" t="s">
        <v>17</v>
      </c>
      <c r="D522" s="8" t="s">
        <v>74</v>
      </c>
      <c r="E522" s="9" t="s">
        <v>125</v>
      </c>
      <c r="F522" s="10"/>
      <c r="G522" s="10"/>
      <c r="H522" s="10"/>
      <c r="I522" s="10"/>
      <c r="J522" s="10">
        <v>10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</row>
    <row r="523" spans="1:49" ht="14.5" collapsed="1" x14ac:dyDescent="0.35">
      <c r="A523" s="6" t="s">
        <v>12</v>
      </c>
      <c r="B523" s="6" t="s">
        <v>14</v>
      </c>
      <c r="C523" s="6" t="s">
        <v>159</v>
      </c>
      <c r="D523" s="6" t="s">
        <v>72</v>
      </c>
      <c r="E523" s="6" t="s">
        <v>73</v>
      </c>
      <c r="F523" s="7">
        <f t="shared" ref="F523:AW523" si="56">SUM(F524,F527,F528,F529,F532,F533)</f>
        <v>80.900000000000006</v>
      </c>
      <c r="G523" s="7">
        <f t="shared" si="56"/>
        <v>223.6</v>
      </c>
      <c r="H523" s="7">
        <f t="shared" si="56"/>
        <v>304.8</v>
      </c>
      <c r="I523" s="7">
        <f t="shared" si="56"/>
        <v>-81.2</v>
      </c>
      <c r="J523" s="7">
        <f t="shared" si="56"/>
        <v>1.3846150000000002</v>
      </c>
      <c r="K523" s="7">
        <f t="shared" si="56"/>
        <v>1.3846150000000002</v>
      </c>
      <c r="L523" s="7">
        <f t="shared" si="56"/>
        <v>1.3846150000000002</v>
      </c>
      <c r="M523" s="7">
        <f t="shared" si="56"/>
        <v>1.3846150000000002</v>
      </c>
      <c r="N523" s="7">
        <f t="shared" si="56"/>
        <v>1.3846150000000002</v>
      </c>
      <c r="O523" s="7">
        <f t="shared" si="56"/>
        <v>1.3846150000000002</v>
      </c>
      <c r="P523" s="7">
        <f t="shared" si="56"/>
        <v>1.3846150000000002</v>
      </c>
      <c r="Q523" s="7">
        <f t="shared" si="56"/>
        <v>1.3846150000000002</v>
      </c>
      <c r="R523" s="7">
        <f t="shared" si="56"/>
        <v>1.3846150000000002</v>
      </c>
      <c r="S523" s="7">
        <f t="shared" si="56"/>
        <v>1.3846150000000002</v>
      </c>
      <c r="T523" s="7">
        <f t="shared" si="56"/>
        <v>1.3846150000000002</v>
      </c>
      <c r="U523" s="7">
        <f t="shared" si="56"/>
        <v>1.3846150000000002</v>
      </c>
      <c r="V523" s="7">
        <f t="shared" si="56"/>
        <v>1.3846150000000002</v>
      </c>
      <c r="W523" s="7">
        <f t="shared" si="56"/>
        <v>1.3846150000000002</v>
      </c>
      <c r="X523" s="7">
        <f t="shared" si="56"/>
        <v>1.3846150000000002</v>
      </c>
      <c r="Y523" s="7">
        <f t="shared" si="56"/>
        <v>1.3846150000000002</v>
      </c>
      <c r="Z523" s="7">
        <f t="shared" si="56"/>
        <v>0.88461500000000004</v>
      </c>
      <c r="AA523" s="7">
        <f t="shared" si="56"/>
        <v>0.88461500000000004</v>
      </c>
      <c r="AB523" s="7">
        <f t="shared" si="56"/>
        <v>3.5</v>
      </c>
      <c r="AC523" s="7">
        <f t="shared" si="56"/>
        <v>12.5</v>
      </c>
      <c r="AD523" s="7">
        <f t="shared" si="56"/>
        <v>29</v>
      </c>
      <c r="AE523" s="7">
        <f t="shared" si="56"/>
        <v>22.5</v>
      </c>
      <c r="AF523" s="7">
        <f t="shared" si="56"/>
        <v>29.4</v>
      </c>
      <c r="AG523" s="7">
        <f t="shared" si="56"/>
        <v>18</v>
      </c>
      <c r="AH523" s="7">
        <f t="shared" si="56"/>
        <v>2</v>
      </c>
      <c r="AI523" s="7">
        <f t="shared" si="56"/>
        <v>2</v>
      </c>
      <c r="AJ523" s="7">
        <f t="shared" si="56"/>
        <v>0</v>
      </c>
      <c r="AK523" s="7">
        <f t="shared" si="56"/>
        <v>0</v>
      </c>
      <c r="AL523" s="7">
        <f t="shared" si="56"/>
        <v>0</v>
      </c>
      <c r="AM523" s="7">
        <f t="shared" si="56"/>
        <v>0</v>
      </c>
      <c r="AN523" s="7">
        <f t="shared" si="56"/>
        <v>0</v>
      </c>
      <c r="AO523" s="7">
        <f t="shared" si="56"/>
        <v>0</v>
      </c>
      <c r="AP523" s="7">
        <f t="shared" si="56"/>
        <v>0</v>
      </c>
      <c r="AQ523" s="7">
        <f t="shared" si="56"/>
        <v>0</v>
      </c>
      <c r="AR523" s="7">
        <f t="shared" si="56"/>
        <v>0</v>
      </c>
      <c r="AS523" s="7">
        <f t="shared" si="56"/>
        <v>0</v>
      </c>
      <c r="AT523" s="7">
        <f t="shared" si="56"/>
        <v>0</v>
      </c>
      <c r="AU523" s="7">
        <f t="shared" si="56"/>
        <v>0</v>
      </c>
      <c r="AV523" s="7">
        <f t="shared" si="56"/>
        <v>0</v>
      </c>
      <c r="AW523" s="7">
        <f t="shared" si="56"/>
        <v>0</v>
      </c>
    </row>
    <row r="524" spans="1:49" ht="14.5" hidden="1" outlineLevel="1" x14ac:dyDescent="0.35">
      <c r="A524" t="s">
        <v>12</v>
      </c>
      <c r="B524" t="s">
        <v>14</v>
      </c>
      <c r="C524" t="s">
        <v>159</v>
      </c>
      <c r="D524" t="s">
        <v>85</v>
      </c>
      <c r="E524" t="s">
        <v>78</v>
      </c>
      <c r="F524" s="11">
        <v>9.9</v>
      </c>
      <c r="G524" s="11">
        <v>42.6</v>
      </c>
      <c r="H524" s="11">
        <v>32.799999999999997</v>
      </c>
      <c r="I524" s="11">
        <v>9.8000000000000007</v>
      </c>
      <c r="J524" s="11">
        <v>0.88461500000000004</v>
      </c>
      <c r="K524" s="11">
        <v>0.88461500000000004</v>
      </c>
      <c r="L524" s="11">
        <v>0.88461500000000004</v>
      </c>
      <c r="M524" s="11">
        <v>0.88461500000000004</v>
      </c>
      <c r="N524" s="11">
        <v>0.88461500000000004</v>
      </c>
      <c r="O524" s="11">
        <v>0.88461500000000004</v>
      </c>
      <c r="P524" s="11">
        <v>0.88461500000000004</v>
      </c>
      <c r="Q524" s="11">
        <v>0.88461500000000004</v>
      </c>
      <c r="R524" s="11">
        <v>0.88461500000000004</v>
      </c>
      <c r="S524" s="11">
        <v>0.88461500000000004</v>
      </c>
      <c r="T524" s="11">
        <v>0.88461500000000004</v>
      </c>
      <c r="U524" s="11">
        <v>0.88461500000000004</v>
      </c>
      <c r="V524" s="11">
        <v>0.88461500000000004</v>
      </c>
      <c r="W524" s="11">
        <v>0.88461500000000004</v>
      </c>
      <c r="X524" s="11">
        <v>0.88461500000000004</v>
      </c>
      <c r="Y524" s="11">
        <v>0.88461500000000004</v>
      </c>
      <c r="Z524" s="11">
        <v>0.88461500000000004</v>
      </c>
      <c r="AA524" s="11">
        <v>0.88461500000000004</v>
      </c>
      <c r="AB524" s="11">
        <v>2</v>
      </c>
      <c r="AC524" s="11">
        <v>2</v>
      </c>
      <c r="AD524" s="11">
        <v>2</v>
      </c>
      <c r="AE524" s="11">
        <v>2.5</v>
      </c>
      <c r="AF524" s="11">
        <v>2.4</v>
      </c>
      <c r="AG524" s="11">
        <v>2</v>
      </c>
      <c r="AH524" s="11">
        <v>2</v>
      </c>
      <c r="AI524" s="11">
        <v>2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</row>
    <row r="525" spans="1:49" ht="14.5" hidden="1" outlineLevel="1" x14ac:dyDescent="0.35">
      <c r="A525" s="14" t="s">
        <v>12</v>
      </c>
      <c r="B525" s="14" t="s">
        <v>14</v>
      </c>
      <c r="C525" s="14" t="s">
        <v>159</v>
      </c>
      <c r="D525" s="14" t="s">
        <v>99</v>
      </c>
      <c r="E525" s="15" t="s">
        <v>78</v>
      </c>
      <c r="F525" s="16"/>
      <c r="G525" s="16"/>
      <c r="H525" s="16"/>
      <c r="I525" s="16"/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-2</v>
      </c>
      <c r="AE525" s="16">
        <v>-2.5</v>
      </c>
      <c r="AF525" s="16">
        <v>-2.4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>
        <v>0</v>
      </c>
      <c r="AU525" s="16">
        <v>0</v>
      </c>
      <c r="AV525" s="16">
        <v>0</v>
      </c>
      <c r="AW525" s="16">
        <v>0</v>
      </c>
    </row>
    <row r="526" spans="1:49" ht="14.5" hidden="1" outlineLevel="1" x14ac:dyDescent="0.35">
      <c r="A526" s="8" t="s">
        <v>12</v>
      </c>
      <c r="B526" s="8" t="s">
        <v>14</v>
      </c>
      <c r="C526" s="8" t="s">
        <v>159</v>
      </c>
      <c r="D526" s="8" t="s">
        <v>74</v>
      </c>
      <c r="E526" s="9" t="s">
        <v>78</v>
      </c>
      <c r="F526" s="10"/>
      <c r="G526" s="10"/>
      <c r="H526" s="10"/>
      <c r="I526" s="10"/>
      <c r="J526" s="10">
        <v>18.615385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16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2</v>
      </c>
      <c r="AH526" s="10">
        <v>16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</row>
    <row r="527" spans="1:49" ht="14.5" hidden="1" outlineLevel="1" x14ac:dyDescent="0.35">
      <c r="A527" t="s">
        <v>12</v>
      </c>
      <c r="B527" t="s">
        <v>14</v>
      </c>
      <c r="C527" t="s">
        <v>159</v>
      </c>
      <c r="D527" t="s">
        <v>85</v>
      </c>
      <c r="E527" t="s">
        <v>87</v>
      </c>
      <c r="F527" s="11">
        <v>3</v>
      </c>
      <c r="G527" s="11">
        <v>3</v>
      </c>
      <c r="H527" s="11">
        <v>8</v>
      </c>
      <c r="I527" s="11">
        <v>-5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</row>
    <row r="528" spans="1:49" ht="14.5" hidden="1" outlineLevel="1" x14ac:dyDescent="0.35">
      <c r="A528" t="s">
        <v>12</v>
      </c>
      <c r="B528" t="s">
        <v>14</v>
      </c>
      <c r="C528" t="s">
        <v>159</v>
      </c>
      <c r="D528" t="s">
        <v>85</v>
      </c>
      <c r="E528" t="s">
        <v>88</v>
      </c>
      <c r="F528" s="11">
        <v>0</v>
      </c>
      <c r="G528" s="11">
        <v>0</v>
      </c>
      <c r="H528" s="11">
        <v>12</v>
      </c>
      <c r="I528" s="11">
        <v>-12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</row>
    <row r="529" spans="1:49" ht="14.5" hidden="1" outlineLevel="1" x14ac:dyDescent="0.35">
      <c r="A529" t="s">
        <v>12</v>
      </c>
      <c r="B529" t="s">
        <v>14</v>
      </c>
      <c r="C529" t="s">
        <v>159</v>
      </c>
      <c r="D529" t="s">
        <v>85</v>
      </c>
      <c r="E529" t="s">
        <v>46</v>
      </c>
      <c r="F529" s="11">
        <v>60</v>
      </c>
      <c r="G529" s="11">
        <v>170</v>
      </c>
      <c r="H529" s="11">
        <v>170.5</v>
      </c>
      <c r="I529" s="11">
        <v>-0.5</v>
      </c>
      <c r="J529" s="11">
        <v>0.5</v>
      </c>
      <c r="K529" s="11">
        <v>0.5</v>
      </c>
      <c r="L529" s="11">
        <v>0.5</v>
      </c>
      <c r="M529" s="11">
        <v>0.5</v>
      </c>
      <c r="N529" s="11">
        <v>0.5</v>
      </c>
      <c r="O529" s="11">
        <v>0.5</v>
      </c>
      <c r="P529" s="11">
        <v>0.5</v>
      </c>
      <c r="Q529" s="11">
        <v>0.5</v>
      </c>
      <c r="R529" s="11">
        <v>0.5</v>
      </c>
      <c r="S529" s="11">
        <v>0.5</v>
      </c>
      <c r="T529" s="11">
        <v>0.5</v>
      </c>
      <c r="U529" s="11">
        <v>0.5</v>
      </c>
      <c r="V529" s="11">
        <v>0.5</v>
      </c>
      <c r="W529" s="11">
        <v>0.5</v>
      </c>
      <c r="X529" s="11">
        <v>0.5</v>
      </c>
      <c r="Y529" s="11">
        <v>0.5</v>
      </c>
      <c r="Z529" s="11">
        <v>0</v>
      </c>
      <c r="AA529" s="11">
        <v>0</v>
      </c>
      <c r="AB529" s="11">
        <v>1.5</v>
      </c>
      <c r="AC529" s="11">
        <v>10.5</v>
      </c>
      <c r="AD529" s="11">
        <v>27</v>
      </c>
      <c r="AE529" s="11">
        <v>20</v>
      </c>
      <c r="AF529" s="11">
        <v>27</v>
      </c>
      <c r="AG529" s="11">
        <v>16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</row>
    <row r="530" spans="1:49" ht="14.5" hidden="1" outlineLevel="1" x14ac:dyDescent="0.35">
      <c r="A530" s="14" t="s">
        <v>12</v>
      </c>
      <c r="B530" s="14" t="s">
        <v>14</v>
      </c>
      <c r="C530" s="14" t="s">
        <v>159</v>
      </c>
      <c r="D530" s="14" t="s">
        <v>99</v>
      </c>
      <c r="E530" s="15" t="s">
        <v>46</v>
      </c>
      <c r="F530" s="16"/>
      <c r="G530" s="16"/>
      <c r="H530" s="16"/>
      <c r="I530" s="16"/>
      <c r="J530" s="16">
        <v>0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-7</v>
      </c>
      <c r="AE530" s="16">
        <v>0</v>
      </c>
      <c r="AF530" s="16">
        <v>-7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>
        <v>0</v>
      </c>
      <c r="AU530" s="16">
        <v>0</v>
      </c>
      <c r="AV530" s="16">
        <v>0</v>
      </c>
      <c r="AW530" s="16">
        <v>0</v>
      </c>
    </row>
    <row r="531" spans="1:49" ht="14.5" hidden="1" outlineLevel="1" x14ac:dyDescent="0.35">
      <c r="A531" s="8" t="s">
        <v>12</v>
      </c>
      <c r="B531" s="8" t="s">
        <v>14</v>
      </c>
      <c r="C531" s="8" t="s">
        <v>159</v>
      </c>
      <c r="D531" s="8" t="s">
        <v>74</v>
      </c>
      <c r="E531" s="9" t="s">
        <v>46</v>
      </c>
      <c r="F531" s="10"/>
      <c r="G531" s="10"/>
      <c r="H531" s="10"/>
      <c r="I531" s="10"/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4.5</v>
      </c>
      <c r="R531" s="10">
        <v>4.5</v>
      </c>
      <c r="S531" s="10">
        <v>18.615385</v>
      </c>
      <c r="T531" s="10">
        <v>18.615385</v>
      </c>
      <c r="U531" s="10">
        <v>0</v>
      </c>
      <c r="V531" s="10">
        <v>0</v>
      </c>
      <c r="W531" s="10">
        <v>0</v>
      </c>
      <c r="X531" s="10">
        <v>18.615385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2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</row>
    <row r="532" spans="1:49" ht="14.5" hidden="1" outlineLevel="1" x14ac:dyDescent="0.35">
      <c r="A532" t="s">
        <v>12</v>
      </c>
      <c r="B532" t="s">
        <v>14</v>
      </c>
      <c r="C532" t="s">
        <v>159</v>
      </c>
      <c r="D532" t="s">
        <v>85</v>
      </c>
      <c r="E532" t="s">
        <v>90</v>
      </c>
      <c r="F532" s="11">
        <v>8</v>
      </c>
      <c r="G532" s="11">
        <v>8</v>
      </c>
      <c r="H532" s="11">
        <v>60</v>
      </c>
      <c r="I532" s="11">
        <v>-52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</row>
    <row r="533" spans="1:49" ht="14.5" hidden="1" outlineLevel="1" x14ac:dyDescent="0.35">
      <c r="A533" t="s">
        <v>12</v>
      </c>
      <c r="B533" t="s">
        <v>14</v>
      </c>
      <c r="C533" t="s">
        <v>159</v>
      </c>
      <c r="D533" t="s">
        <v>85</v>
      </c>
      <c r="E533" t="s">
        <v>91</v>
      </c>
      <c r="F533" s="11">
        <v>0</v>
      </c>
      <c r="G533" s="11">
        <v>0</v>
      </c>
      <c r="H533" s="11">
        <v>21.5</v>
      </c>
      <c r="I533" s="11">
        <v>-21.5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</row>
    <row r="534" spans="1:49" ht="14.5" hidden="1" outlineLevel="1" x14ac:dyDescent="0.35">
      <c r="A534" s="8" t="s">
        <v>12</v>
      </c>
      <c r="B534" s="8" t="s">
        <v>14</v>
      </c>
      <c r="C534" s="8" t="s">
        <v>159</v>
      </c>
      <c r="D534" s="8" t="s">
        <v>74</v>
      </c>
      <c r="E534" s="9" t="s">
        <v>98</v>
      </c>
      <c r="F534" s="10"/>
      <c r="G534" s="10"/>
      <c r="H534" s="10"/>
      <c r="I534" s="10"/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7.5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</row>
    <row r="535" spans="1:49" ht="14.5" collapsed="1" x14ac:dyDescent="0.35">
      <c r="A535" s="6" t="s">
        <v>12</v>
      </c>
      <c r="B535" s="6" t="s">
        <v>14</v>
      </c>
      <c r="C535" s="6" t="s">
        <v>24</v>
      </c>
      <c r="D535" s="6" t="s">
        <v>72</v>
      </c>
      <c r="E535" s="6" t="s">
        <v>73</v>
      </c>
      <c r="F535" s="7">
        <f t="shared" ref="F535:AW535" si="57">SUM(F536,F539,F540,F543,F544,F545,F547,F549,F552,F554)</f>
        <v>456.8</v>
      </c>
      <c r="G535" s="7">
        <f t="shared" si="57"/>
        <v>1185.0999999999999</v>
      </c>
      <c r="H535" s="7">
        <f t="shared" si="57"/>
        <v>1444.8</v>
      </c>
      <c r="I535" s="7">
        <f t="shared" si="57"/>
        <v>-259.7</v>
      </c>
      <c r="J535" s="7">
        <f t="shared" si="57"/>
        <v>38.846153999999999</v>
      </c>
      <c r="K535" s="7">
        <f t="shared" si="57"/>
        <v>33.346153999999999</v>
      </c>
      <c r="L535" s="7">
        <f t="shared" si="57"/>
        <v>12.346154</v>
      </c>
      <c r="M535" s="7">
        <f t="shared" si="57"/>
        <v>10.346154</v>
      </c>
      <c r="N535" s="7">
        <f t="shared" si="57"/>
        <v>16.346153999999999</v>
      </c>
      <c r="O535" s="7">
        <f t="shared" si="57"/>
        <v>16.346153999999999</v>
      </c>
      <c r="P535" s="7">
        <f t="shared" si="57"/>
        <v>31.346153999999999</v>
      </c>
      <c r="Q535" s="13">
        <f t="shared" si="57"/>
        <v>46.346153999999999</v>
      </c>
      <c r="R535" s="7">
        <f t="shared" si="57"/>
        <v>21.346153999999999</v>
      </c>
      <c r="S535" s="7">
        <f t="shared" si="57"/>
        <v>31.346153999999999</v>
      </c>
      <c r="T535" s="7">
        <f t="shared" si="57"/>
        <v>31.346153999999999</v>
      </c>
      <c r="U535" s="7">
        <f t="shared" si="57"/>
        <v>31.346153999999999</v>
      </c>
      <c r="V535" s="7">
        <f t="shared" si="57"/>
        <v>26.346153999999999</v>
      </c>
      <c r="W535" s="7">
        <f t="shared" si="57"/>
        <v>21.346153999999999</v>
      </c>
      <c r="X535" s="7">
        <f t="shared" si="57"/>
        <v>11.346154</v>
      </c>
      <c r="Y535" s="7">
        <f t="shared" si="57"/>
        <v>6.3461540000000003</v>
      </c>
      <c r="Z535" s="7">
        <f t="shared" si="57"/>
        <v>1.3461540000000001</v>
      </c>
      <c r="AA535" s="7">
        <f t="shared" si="57"/>
        <v>1.3461540000000001</v>
      </c>
      <c r="AB535" s="7">
        <f t="shared" si="57"/>
        <v>37.5</v>
      </c>
      <c r="AC535" s="7">
        <f t="shared" si="57"/>
        <v>52.5</v>
      </c>
      <c r="AD535" s="12">
        <f t="shared" si="57"/>
        <v>63.1</v>
      </c>
      <c r="AE535" s="13">
        <f t="shared" si="57"/>
        <v>68.5</v>
      </c>
      <c r="AF535" s="12">
        <f t="shared" si="57"/>
        <v>63.5</v>
      </c>
      <c r="AG535" s="13">
        <f t="shared" si="57"/>
        <v>69.5</v>
      </c>
      <c r="AH535" s="7">
        <f t="shared" si="57"/>
        <v>53.5</v>
      </c>
      <c r="AI535" s="7">
        <f t="shared" si="57"/>
        <v>33.5</v>
      </c>
      <c r="AJ535" s="12">
        <f t="shared" si="57"/>
        <v>45</v>
      </c>
      <c r="AK535" s="13">
        <f t="shared" si="57"/>
        <v>61</v>
      </c>
      <c r="AL535" s="13">
        <f t="shared" si="57"/>
        <v>46</v>
      </c>
      <c r="AM535" s="7">
        <f t="shared" si="57"/>
        <v>12</v>
      </c>
      <c r="AN535" s="7">
        <f t="shared" si="57"/>
        <v>0</v>
      </c>
      <c r="AO535" s="7">
        <f t="shared" si="57"/>
        <v>0</v>
      </c>
      <c r="AP535" s="7">
        <f t="shared" si="57"/>
        <v>0</v>
      </c>
      <c r="AQ535" s="7">
        <f t="shared" si="57"/>
        <v>0</v>
      </c>
      <c r="AR535" s="7">
        <f t="shared" si="57"/>
        <v>0</v>
      </c>
      <c r="AS535" s="7">
        <f t="shared" si="57"/>
        <v>0</v>
      </c>
      <c r="AT535" s="7">
        <f t="shared" si="57"/>
        <v>0</v>
      </c>
      <c r="AU535" s="7">
        <f t="shared" si="57"/>
        <v>0</v>
      </c>
      <c r="AV535" s="7">
        <f t="shared" si="57"/>
        <v>0</v>
      </c>
      <c r="AW535" s="7">
        <f t="shared" si="57"/>
        <v>0</v>
      </c>
    </row>
    <row r="536" spans="1:49" ht="14.5" hidden="1" outlineLevel="1" x14ac:dyDescent="0.35">
      <c r="A536" t="s">
        <v>12</v>
      </c>
      <c r="B536" t="s">
        <v>14</v>
      </c>
      <c r="C536" t="s">
        <v>24</v>
      </c>
      <c r="D536" t="s">
        <v>85</v>
      </c>
      <c r="E536" t="s">
        <v>86</v>
      </c>
      <c r="F536" s="11">
        <v>0</v>
      </c>
      <c r="G536" s="11">
        <v>88</v>
      </c>
      <c r="H536" s="11">
        <v>100</v>
      </c>
      <c r="I536" s="11">
        <v>-12</v>
      </c>
      <c r="J536" s="11">
        <v>0</v>
      </c>
      <c r="K536" s="11">
        <v>2</v>
      </c>
      <c r="L536" s="11">
        <v>0</v>
      </c>
      <c r="M536" s="11">
        <v>4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10</v>
      </c>
      <c r="AJ536" s="11">
        <v>25</v>
      </c>
      <c r="AK536" s="11">
        <v>37</v>
      </c>
      <c r="AL536" s="11">
        <v>22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</row>
    <row r="537" spans="1:49" ht="14.5" hidden="1" outlineLevel="1" x14ac:dyDescent="0.35">
      <c r="A537" s="14" t="s">
        <v>12</v>
      </c>
      <c r="B537" s="14" t="s">
        <v>14</v>
      </c>
      <c r="C537" s="14" t="s">
        <v>24</v>
      </c>
      <c r="D537" s="14" t="s">
        <v>99</v>
      </c>
      <c r="E537" s="15" t="s">
        <v>86</v>
      </c>
      <c r="F537" s="16"/>
      <c r="G537" s="16"/>
      <c r="H537" s="16"/>
      <c r="I537" s="16"/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-5</v>
      </c>
      <c r="AK537" s="16">
        <v>-21</v>
      </c>
      <c r="AL537" s="16">
        <v>-6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0</v>
      </c>
    </row>
    <row r="538" spans="1:49" ht="14.5" hidden="1" outlineLevel="1" x14ac:dyDescent="0.35">
      <c r="A538" s="8" t="s">
        <v>12</v>
      </c>
      <c r="B538" s="8" t="s">
        <v>14</v>
      </c>
      <c r="C538" s="8" t="s">
        <v>24</v>
      </c>
      <c r="D538" s="8" t="s">
        <v>74</v>
      </c>
      <c r="E538" s="9" t="s">
        <v>86</v>
      </c>
      <c r="F538" s="10"/>
      <c r="G538" s="10"/>
      <c r="H538" s="10"/>
      <c r="I538" s="10"/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5</v>
      </c>
      <c r="Y538" s="10">
        <v>6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</row>
    <row r="539" spans="1:49" ht="14.5" hidden="1" outlineLevel="1" x14ac:dyDescent="0.35">
      <c r="A539" t="s">
        <v>12</v>
      </c>
      <c r="B539" t="s">
        <v>14</v>
      </c>
      <c r="C539" t="s">
        <v>24</v>
      </c>
      <c r="D539" t="s">
        <v>85</v>
      </c>
      <c r="E539" t="s">
        <v>127</v>
      </c>
      <c r="F539" s="11">
        <v>0</v>
      </c>
      <c r="G539" s="11">
        <v>110</v>
      </c>
      <c r="H539" s="11">
        <v>110.5</v>
      </c>
      <c r="I539" s="11">
        <v>-0.5</v>
      </c>
      <c r="J539" s="11">
        <v>0</v>
      </c>
      <c r="K539" s="11">
        <v>0</v>
      </c>
      <c r="L539" s="11">
        <v>5</v>
      </c>
      <c r="M539" s="11">
        <v>5</v>
      </c>
      <c r="N539" s="11">
        <v>5</v>
      </c>
      <c r="O539" s="11">
        <v>5</v>
      </c>
      <c r="P539" s="11">
        <v>5</v>
      </c>
      <c r="Q539" s="11">
        <v>5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20</v>
      </c>
      <c r="AK539" s="11">
        <v>24</v>
      </c>
      <c r="AL539" s="11">
        <v>24</v>
      </c>
      <c r="AM539" s="11">
        <v>12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</row>
    <row r="540" spans="1:49" ht="14.5" hidden="1" outlineLevel="1" x14ac:dyDescent="0.35">
      <c r="A540" t="s">
        <v>12</v>
      </c>
      <c r="B540" t="s">
        <v>14</v>
      </c>
      <c r="C540" t="s">
        <v>24</v>
      </c>
      <c r="D540" t="s">
        <v>85</v>
      </c>
      <c r="E540" t="s">
        <v>78</v>
      </c>
      <c r="F540" s="11">
        <v>14.3</v>
      </c>
      <c r="G540" s="11">
        <v>64.599999999999994</v>
      </c>
      <c r="H540" s="11">
        <v>49.8</v>
      </c>
      <c r="I540" s="11">
        <v>14.8</v>
      </c>
      <c r="J540" s="11">
        <v>1.3461540000000001</v>
      </c>
      <c r="K540" s="11">
        <v>1.3461540000000001</v>
      </c>
      <c r="L540" s="11">
        <v>1.3461540000000001</v>
      </c>
      <c r="M540" s="11">
        <v>1.3461540000000001</v>
      </c>
      <c r="N540" s="11">
        <v>1.3461540000000001</v>
      </c>
      <c r="O540" s="11">
        <v>1.3461540000000001</v>
      </c>
      <c r="P540" s="11">
        <v>1.3461540000000001</v>
      </c>
      <c r="Q540" s="11">
        <v>1.3461540000000001</v>
      </c>
      <c r="R540" s="11">
        <v>1.3461540000000001</v>
      </c>
      <c r="S540" s="11">
        <v>1.3461540000000001</v>
      </c>
      <c r="T540" s="11">
        <v>1.3461540000000001</v>
      </c>
      <c r="U540" s="11">
        <v>1.3461540000000001</v>
      </c>
      <c r="V540" s="11">
        <v>1.3461540000000001</v>
      </c>
      <c r="W540" s="11">
        <v>1.3461540000000001</v>
      </c>
      <c r="X540" s="11">
        <v>1.3461540000000001</v>
      </c>
      <c r="Y540" s="11">
        <v>1.3461540000000001</v>
      </c>
      <c r="Z540" s="11">
        <v>1.3461540000000001</v>
      </c>
      <c r="AA540" s="11">
        <v>1.3461540000000001</v>
      </c>
      <c r="AB540" s="11">
        <v>2.5</v>
      </c>
      <c r="AC540" s="11">
        <v>2.5</v>
      </c>
      <c r="AD540" s="11">
        <v>3.1</v>
      </c>
      <c r="AE540" s="11">
        <v>3.5</v>
      </c>
      <c r="AF540" s="11">
        <v>3.5</v>
      </c>
      <c r="AG540" s="11">
        <v>3.5</v>
      </c>
      <c r="AH540" s="11">
        <v>3.5</v>
      </c>
      <c r="AI540" s="11">
        <v>3.5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</row>
    <row r="541" spans="1:49" ht="14.5" hidden="1" outlineLevel="1" x14ac:dyDescent="0.35">
      <c r="A541" s="14" t="s">
        <v>12</v>
      </c>
      <c r="B541" s="14" t="s">
        <v>14</v>
      </c>
      <c r="C541" s="14" t="s">
        <v>24</v>
      </c>
      <c r="D541" s="14" t="s">
        <v>99</v>
      </c>
      <c r="E541" s="15" t="s">
        <v>78</v>
      </c>
      <c r="F541" s="16"/>
      <c r="G541" s="16"/>
      <c r="H541" s="16"/>
      <c r="I541" s="16"/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-1.3461540000000001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-3.1</v>
      </c>
      <c r="AE541" s="16">
        <v>-3.5</v>
      </c>
      <c r="AF541" s="16">
        <v>-3.5</v>
      </c>
      <c r="AG541" s="16">
        <v>-3.5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</row>
    <row r="542" spans="1:49" ht="14.5" hidden="1" outlineLevel="1" x14ac:dyDescent="0.35">
      <c r="A542" s="8" t="s">
        <v>12</v>
      </c>
      <c r="B542" s="8" t="s">
        <v>14</v>
      </c>
      <c r="C542" s="8" t="s">
        <v>24</v>
      </c>
      <c r="D542" s="8" t="s">
        <v>74</v>
      </c>
      <c r="E542" s="9" t="s">
        <v>78</v>
      </c>
      <c r="F542" s="10"/>
      <c r="G542" s="10"/>
      <c r="H542" s="10"/>
      <c r="I542" s="10"/>
      <c r="J542" s="10">
        <v>1.1538459999999999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1.5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</row>
    <row r="543" spans="1:49" ht="14.5" hidden="1" outlineLevel="1" x14ac:dyDescent="0.35">
      <c r="A543" t="s">
        <v>12</v>
      </c>
      <c r="B543" t="s">
        <v>14</v>
      </c>
      <c r="C543" t="s">
        <v>24</v>
      </c>
      <c r="D543" t="s">
        <v>85</v>
      </c>
      <c r="E543" t="s">
        <v>87</v>
      </c>
      <c r="F543" s="11">
        <v>7</v>
      </c>
      <c r="G543" s="11">
        <v>7</v>
      </c>
      <c r="H543" s="11">
        <v>7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</row>
    <row r="544" spans="1:49" ht="14.5" hidden="1" outlineLevel="1" x14ac:dyDescent="0.35">
      <c r="A544" t="s">
        <v>12</v>
      </c>
      <c r="B544" t="s">
        <v>14</v>
      </c>
      <c r="C544" t="s">
        <v>24</v>
      </c>
      <c r="D544" t="s">
        <v>85</v>
      </c>
      <c r="E544" t="s">
        <v>88</v>
      </c>
      <c r="F544" s="11">
        <v>0</v>
      </c>
      <c r="G544" s="11">
        <v>0</v>
      </c>
      <c r="H544" s="11">
        <v>34</v>
      </c>
      <c r="I544" s="11">
        <v>-34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</row>
    <row r="545" spans="1:49" ht="14.5" hidden="1" outlineLevel="1" x14ac:dyDescent="0.35">
      <c r="A545" t="s">
        <v>12</v>
      </c>
      <c r="B545" t="s">
        <v>14</v>
      </c>
      <c r="C545" t="s">
        <v>24</v>
      </c>
      <c r="D545" t="s">
        <v>85</v>
      </c>
      <c r="E545" t="s">
        <v>89</v>
      </c>
      <c r="F545" s="11">
        <v>0</v>
      </c>
      <c r="G545" s="11">
        <v>0</v>
      </c>
      <c r="H545" s="11">
        <v>10</v>
      </c>
      <c r="I545" s="11">
        <v>-10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5</v>
      </c>
      <c r="R545" s="11">
        <v>5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</row>
    <row r="546" spans="1:49" ht="14.5" hidden="1" outlineLevel="1" x14ac:dyDescent="0.35">
      <c r="A546" s="14" t="s">
        <v>12</v>
      </c>
      <c r="B546" s="14" t="s">
        <v>14</v>
      </c>
      <c r="C546" s="14" t="s">
        <v>24</v>
      </c>
      <c r="D546" s="14" t="s">
        <v>99</v>
      </c>
      <c r="E546" s="15" t="s">
        <v>89</v>
      </c>
      <c r="F546" s="16"/>
      <c r="G546" s="16"/>
      <c r="H546" s="16"/>
      <c r="I546" s="16"/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-5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</row>
    <row r="547" spans="1:49" ht="14.5" hidden="1" outlineLevel="1" x14ac:dyDescent="0.35">
      <c r="A547" t="s">
        <v>12</v>
      </c>
      <c r="B547" t="s">
        <v>14</v>
      </c>
      <c r="C547" t="s">
        <v>24</v>
      </c>
      <c r="D547" t="s">
        <v>85</v>
      </c>
      <c r="E547" t="s">
        <v>40</v>
      </c>
      <c r="F547" s="11">
        <v>0</v>
      </c>
      <c r="G547" s="11">
        <v>0</v>
      </c>
      <c r="H547" s="11">
        <v>56</v>
      </c>
      <c r="I547" s="11">
        <v>-56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16</v>
      </c>
      <c r="AH547" s="11">
        <v>20</v>
      </c>
      <c r="AI547" s="11">
        <v>20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</row>
    <row r="548" spans="1:49" ht="14.5" hidden="1" outlineLevel="1" x14ac:dyDescent="0.35">
      <c r="A548" s="14" t="s">
        <v>12</v>
      </c>
      <c r="B548" s="14" t="s">
        <v>14</v>
      </c>
      <c r="C548" s="14" t="s">
        <v>24</v>
      </c>
      <c r="D548" s="14" t="s">
        <v>99</v>
      </c>
      <c r="E548" s="15" t="s">
        <v>40</v>
      </c>
      <c r="F548" s="16"/>
      <c r="G548" s="16"/>
      <c r="H548" s="16"/>
      <c r="I548" s="16"/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-11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</row>
    <row r="549" spans="1:49" ht="14.5" hidden="1" outlineLevel="1" x14ac:dyDescent="0.35">
      <c r="A549" t="s">
        <v>12</v>
      </c>
      <c r="B549" t="s">
        <v>14</v>
      </c>
      <c r="C549" t="s">
        <v>24</v>
      </c>
      <c r="D549" t="s">
        <v>85</v>
      </c>
      <c r="E549" t="s">
        <v>103</v>
      </c>
      <c r="F549" s="11">
        <v>421</v>
      </c>
      <c r="G549" s="11">
        <v>901</v>
      </c>
      <c r="H549" s="11">
        <v>1028</v>
      </c>
      <c r="I549" s="11">
        <v>-127</v>
      </c>
      <c r="J549" s="11">
        <v>37.5</v>
      </c>
      <c r="K549" s="11">
        <v>30</v>
      </c>
      <c r="L549" s="11">
        <v>6</v>
      </c>
      <c r="M549" s="11">
        <v>0</v>
      </c>
      <c r="N549" s="11">
        <v>10</v>
      </c>
      <c r="O549" s="11">
        <v>10</v>
      </c>
      <c r="P549" s="11">
        <v>25</v>
      </c>
      <c r="Q549" s="11">
        <v>35</v>
      </c>
      <c r="R549" s="11">
        <v>15</v>
      </c>
      <c r="S549" s="11">
        <v>30</v>
      </c>
      <c r="T549" s="11">
        <v>30</v>
      </c>
      <c r="U549" s="11">
        <v>30</v>
      </c>
      <c r="V549" s="11">
        <v>25</v>
      </c>
      <c r="W549" s="11">
        <v>20</v>
      </c>
      <c r="X549" s="11">
        <v>10</v>
      </c>
      <c r="Y549" s="11">
        <v>5</v>
      </c>
      <c r="Z549" s="11">
        <v>0</v>
      </c>
      <c r="AA549" s="11">
        <v>0</v>
      </c>
      <c r="AB549" s="11">
        <v>35</v>
      </c>
      <c r="AC549" s="11">
        <v>50</v>
      </c>
      <c r="AD549" s="11">
        <v>60</v>
      </c>
      <c r="AE549" s="11">
        <v>65</v>
      </c>
      <c r="AF549" s="11">
        <v>60</v>
      </c>
      <c r="AG549" s="11">
        <v>50</v>
      </c>
      <c r="AH549" s="11">
        <v>30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</row>
    <row r="550" spans="1:49" ht="14.5" hidden="1" outlineLevel="1" x14ac:dyDescent="0.35">
      <c r="A550" s="14" t="s">
        <v>12</v>
      </c>
      <c r="B550" s="14" t="s">
        <v>14</v>
      </c>
      <c r="C550" s="14" t="s">
        <v>24</v>
      </c>
      <c r="D550" s="14" t="s">
        <v>99</v>
      </c>
      <c r="E550" s="15" t="s">
        <v>103</v>
      </c>
      <c r="F550" s="16"/>
      <c r="G550" s="16"/>
      <c r="H550" s="16"/>
      <c r="I550" s="16"/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-5</v>
      </c>
      <c r="AE550" s="16">
        <v>-10</v>
      </c>
      <c r="AF550" s="16">
        <v>-5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  <c r="AR550" s="16">
        <v>0</v>
      </c>
      <c r="AS550" s="16">
        <v>0</v>
      </c>
      <c r="AT550" s="16">
        <v>0</v>
      </c>
      <c r="AU550" s="16">
        <v>0</v>
      </c>
      <c r="AV550" s="16">
        <v>0</v>
      </c>
      <c r="AW550" s="16">
        <v>0</v>
      </c>
    </row>
    <row r="551" spans="1:49" ht="14.5" hidden="1" outlineLevel="1" x14ac:dyDescent="0.35">
      <c r="A551" s="8" t="s">
        <v>12</v>
      </c>
      <c r="B551" s="8" t="s">
        <v>14</v>
      </c>
      <c r="C551" s="8" t="s">
        <v>24</v>
      </c>
      <c r="D551" s="8" t="s">
        <v>74</v>
      </c>
      <c r="E551" s="9" t="s">
        <v>103</v>
      </c>
      <c r="F551" s="10"/>
      <c r="G551" s="10"/>
      <c r="H551" s="10"/>
      <c r="I551" s="10"/>
      <c r="J551" s="10">
        <v>0</v>
      </c>
      <c r="K551" s="10">
        <v>0</v>
      </c>
      <c r="L551" s="10">
        <v>0</v>
      </c>
      <c r="M551" s="10">
        <v>15</v>
      </c>
      <c r="N551" s="10">
        <v>15</v>
      </c>
      <c r="O551" s="10">
        <v>10</v>
      </c>
      <c r="P551" s="10">
        <v>8.6538459999999997</v>
      </c>
      <c r="Q551" s="10">
        <v>0</v>
      </c>
      <c r="R551" s="10">
        <v>15</v>
      </c>
      <c r="S551" s="10">
        <v>8.6538459999999997</v>
      </c>
      <c r="T551" s="10">
        <v>8.6538459999999997</v>
      </c>
      <c r="U551" s="10">
        <v>8.6538459999999997</v>
      </c>
      <c r="V551" s="10">
        <v>13.653846</v>
      </c>
      <c r="W551" s="10">
        <v>10</v>
      </c>
      <c r="X551" s="10">
        <v>10</v>
      </c>
      <c r="Y551" s="10">
        <v>5</v>
      </c>
      <c r="Z551" s="10">
        <v>0</v>
      </c>
      <c r="AA551" s="10">
        <v>0</v>
      </c>
      <c r="AB551" s="10">
        <v>17.5</v>
      </c>
      <c r="AC551" s="10">
        <v>2.5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</row>
    <row r="552" spans="1:49" ht="14.5" hidden="1" outlineLevel="1" x14ac:dyDescent="0.35">
      <c r="A552" t="s">
        <v>12</v>
      </c>
      <c r="B552" t="s">
        <v>14</v>
      </c>
      <c r="C552" t="s">
        <v>24</v>
      </c>
      <c r="D552" t="s">
        <v>85</v>
      </c>
      <c r="E552" t="s">
        <v>125</v>
      </c>
      <c r="F552" s="11">
        <v>14.5</v>
      </c>
      <c r="G552" s="11">
        <v>14.5</v>
      </c>
      <c r="H552" s="11">
        <v>14.5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</row>
    <row r="553" spans="1:49" ht="14.5" hidden="1" outlineLevel="1" x14ac:dyDescent="0.35">
      <c r="A553" s="8" t="s">
        <v>12</v>
      </c>
      <c r="B553" s="8" t="s">
        <v>14</v>
      </c>
      <c r="C553" s="8" t="s">
        <v>24</v>
      </c>
      <c r="D553" s="8" t="s">
        <v>74</v>
      </c>
      <c r="E553" s="9" t="s">
        <v>125</v>
      </c>
      <c r="F553" s="10"/>
      <c r="G553" s="10"/>
      <c r="H553" s="10"/>
      <c r="I553" s="10"/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3</v>
      </c>
      <c r="X553" s="10">
        <v>5</v>
      </c>
      <c r="Y553" s="10">
        <v>7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</row>
    <row r="554" spans="1:49" ht="14.5" hidden="1" outlineLevel="1" x14ac:dyDescent="0.35">
      <c r="A554" t="s">
        <v>12</v>
      </c>
      <c r="B554" t="s">
        <v>14</v>
      </c>
      <c r="C554" t="s">
        <v>24</v>
      </c>
      <c r="D554" t="s">
        <v>85</v>
      </c>
      <c r="E554" t="s">
        <v>91</v>
      </c>
      <c r="F554" s="11">
        <v>0</v>
      </c>
      <c r="G554" s="11">
        <v>0</v>
      </c>
      <c r="H554" s="11">
        <v>35</v>
      </c>
      <c r="I554" s="11">
        <v>-35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</row>
    <row r="555" spans="1:49" ht="14.5" hidden="1" outlineLevel="1" x14ac:dyDescent="0.35">
      <c r="A555" s="8" t="s">
        <v>12</v>
      </c>
      <c r="B555" s="8" t="s">
        <v>14</v>
      </c>
      <c r="C555" s="8" t="s">
        <v>24</v>
      </c>
      <c r="D555" s="8" t="s">
        <v>74</v>
      </c>
      <c r="E555" s="9" t="s">
        <v>122</v>
      </c>
      <c r="F555" s="10"/>
      <c r="G555" s="10"/>
      <c r="H555" s="10"/>
      <c r="I555" s="10"/>
      <c r="J555" s="10">
        <v>0</v>
      </c>
      <c r="K555" s="10">
        <v>0</v>
      </c>
      <c r="L555" s="10">
        <v>5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</row>
    <row r="556" spans="1:49" ht="14.5" collapsed="1" x14ac:dyDescent="0.35">
      <c r="A556" s="6" t="s">
        <v>12</v>
      </c>
      <c r="B556" s="6" t="s">
        <v>14</v>
      </c>
      <c r="C556" s="6" t="s">
        <v>160</v>
      </c>
      <c r="D556" s="6" t="s">
        <v>72</v>
      </c>
      <c r="E556" s="6" t="s">
        <v>73</v>
      </c>
      <c r="F556" s="7">
        <f t="shared" ref="F556:AW556" si="58">SUM(F557)</f>
        <v>0</v>
      </c>
      <c r="G556" s="7">
        <f t="shared" si="58"/>
        <v>0</v>
      </c>
      <c r="H556" s="7">
        <f t="shared" si="58"/>
        <v>8.3000000000000007</v>
      </c>
      <c r="I556" s="7">
        <f t="shared" si="58"/>
        <v>-8.3000000000000007</v>
      </c>
      <c r="J556" s="7">
        <f t="shared" si="58"/>
        <v>0</v>
      </c>
      <c r="K556" s="7">
        <f t="shared" si="58"/>
        <v>0</v>
      </c>
      <c r="L556" s="7">
        <f t="shared" si="58"/>
        <v>0</v>
      </c>
      <c r="M556" s="7">
        <f t="shared" si="58"/>
        <v>0</v>
      </c>
      <c r="N556" s="7">
        <f t="shared" si="58"/>
        <v>0</v>
      </c>
      <c r="O556" s="7">
        <f t="shared" si="58"/>
        <v>0</v>
      </c>
      <c r="P556" s="7">
        <f t="shared" si="58"/>
        <v>0</v>
      </c>
      <c r="Q556" s="7">
        <f t="shared" si="58"/>
        <v>0</v>
      </c>
      <c r="R556" s="7">
        <f t="shared" si="58"/>
        <v>0</v>
      </c>
      <c r="S556" s="7">
        <f t="shared" si="58"/>
        <v>0</v>
      </c>
      <c r="T556" s="7">
        <f t="shared" si="58"/>
        <v>0</v>
      </c>
      <c r="U556" s="7">
        <f t="shared" si="58"/>
        <v>0</v>
      </c>
      <c r="V556" s="7">
        <f t="shared" si="58"/>
        <v>0</v>
      </c>
      <c r="W556" s="7">
        <f t="shared" si="58"/>
        <v>0</v>
      </c>
      <c r="X556" s="7">
        <f t="shared" si="58"/>
        <v>0</v>
      </c>
      <c r="Y556" s="7">
        <f t="shared" si="58"/>
        <v>0</v>
      </c>
      <c r="Z556" s="7">
        <f t="shared" si="58"/>
        <v>0</v>
      </c>
      <c r="AA556" s="7">
        <f t="shared" si="58"/>
        <v>0</v>
      </c>
      <c r="AB556" s="7">
        <f t="shared" si="58"/>
        <v>0</v>
      </c>
      <c r="AC556" s="7">
        <f t="shared" si="58"/>
        <v>0</v>
      </c>
      <c r="AD556" s="7">
        <f t="shared" si="58"/>
        <v>0</v>
      </c>
      <c r="AE556" s="7">
        <f t="shared" si="58"/>
        <v>0</v>
      </c>
      <c r="AF556" s="7">
        <f t="shared" si="58"/>
        <v>0</v>
      </c>
      <c r="AG556" s="7">
        <f t="shared" si="58"/>
        <v>0</v>
      </c>
      <c r="AH556" s="7">
        <f t="shared" si="58"/>
        <v>0</v>
      </c>
      <c r="AI556" s="7">
        <f t="shared" si="58"/>
        <v>0</v>
      </c>
      <c r="AJ556" s="7">
        <f t="shared" si="58"/>
        <v>0</v>
      </c>
      <c r="AK556" s="7">
        <f t="shared" si="58"/>
        <v>0</v>
      </c>
      <c r="AL556" s="7">
        <f t="shared" si="58"/>
        <v>0</v>
      </c>
      <c r="AM556" s="7">
        <f t="shared" si="58"/>
        <v>0</v>
      </c>
      <c r="AN556" s="7">
        <f t="shared" si="58"/>
        <v>0</v>
      </c>
      <c r="AO556" s="7">
        <f t="shared" si="58"/>
        <v>0</v>
      </c>
      <c r="AP556" s="7">
        <f t="shared" si="58"/>
        <v>0</v>
      </c>
      <c r="AQ556" s="7">
        <f t="shared" si="58"/>
        <v>0</v>
      </c>
      <c r="AR556" s="7">
        <f t="shared" si="58"/>
        <v>0</v>
      </c>
      <c r="AS556" s="7">
        <f t="shared" si="58"/>
        <v>0</v>
      </c>
      <c r="AT556" s="7">
        <f t="shared" si="58"/>
        <v>0</v>
      </c>
      <c r="AU556" s="7">
        <f t="shared" si="58"/>
        <v>0</v>
      </c>
      <c r="AV556" s="7">
        <f t="shared" si="58"/>
        <v>0</v>
      </c>
      <c r="AW556" s="7">
        <f t="shared" si="58"/>
        <v>0</v>
      </c>
    </row>
    <row r="557" spans="1:49" ht="14.5" hidden="1" outlineLevel="1" x14ac:dyDescent="0.35">
      <c r="A557" t="s">
        <v>12</v>
      </c>
      <c r="B557" t="s">
        <v>14</v>
      </c>
      <c r="C557" t="s">
        <v>160</v>
      </c>
      <c r="D557" t="s">
        <v>85</v>
      </c>
      <c r="E557" t="s">
        <v>77</v>
      </c>
      <c r="F557" s="11">
        <v>0</v>
      </c>
      <c r="G557" s="11">
        <v>0</v>
      </c>
      <c r="H557" s="11">
        <v>8.3000000000000007</v>
      </c>
      <c r="I557" s="11">
        <v>-8.3000000000000007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</row>
    <row r="558" spans="1:49" ht="14.5" collapsed="1" x14ac:dyDescent="0.35">
      <c r="A558" s="6" t="s">
        <v>12</v>
      </c>
      <c r="B558" s="6" t="s">
        <v>14</v>
      </c>
      <c r="C558" s="6" t="s">
        <v>161</v>
      </c>
      <c r="D558" s="6" t="s">
        <v>72</v>
      </c>
      <c r="E558" s="6" t="s">
        <v>73</v>
      </c>
      <c r="F558" s="7">
        <f t="shared" ref="F558:AW558" si="59">SUM(F559)</f>
        <v>10</v>
      </c>
      <c r="G558" s="7">
        <f t="shared" si="59"/>
        <v>10</v>
      </c>
      <c r="H558" s="7">
        <f t="shared" si="59"/>
        <v>0</v>
      </c>
      <c r="I558" s="7">
        <f t="shared" si="59"/>
        <v>10</v>
      </c>
      <c r="J558" s="7">
        <f t="shared" si="59"/>
        <v>0</v>
      </c>
      <c r="K558" s="7">
        <f t="shared" si="59"/>
        <v>0</v>
      </c>
      <c r="L558" s="7">
        <f t="shared" si="59"/>
        <v>0</v>
      </c>
      <c r="M558" s="7">
        <f t="shared" si="59"/>
        <v>0</v>
      </c>
      <c r="N558" s="7">
        <f t="shared" si="59"/>
        <v>0</v>
      </c>
      <c r="O558" s="7">
        <f t="shared" si="59"/>
        <v>0</v>
      </c>
      <c r="P558" s="7">
        <f t="shared" si="59"/>
        <v>0</v>
      </c>
      <c r="Q558" s="7">
        <f t="shared" si="59"/>
        <v>0</v>
      </c>
      <c r="R558" s="7">
        <f t="shared" si="59"/>
        <v>0</v>
      </c>
      <c r="S558" s="7">
        <f t="shared" si="59"/>
        <v>0</v>
      </c>
      <c r="T558" s="7">
        <f t="shared" si="59"/>
        <v>0</v>
      </c>
      <c r="U558" s="7">
        <f t="shared" si="59"/>
        <v>0</v>
      </c>
      <c r="V558" s="7">
        <f t="shared" si="59"/>
        <v>0</v>
      </c>
      <c r="W558" s="7">
        <f t="shared" si="59"/>
        <v>0</v>
      </c>
      <c r="X558" s="7">
        <f t="shared" si="59"/>
        <v>0</v>
      </c>
      <c r="Y558" s="7">
        <f t="shared" si="59"/>
        <v>0</v>
      </c>
      <c r="Z558" s="7">
        <f t="shared" si="59"/>
        <v>0</v>
      </c>
      <c r="AA558" s="7">
        <f t="shared" si="59"/>
        <v>0</v>
      </c>
      <c r="AB558" s="7">
        <f t="shared" si="59"/>
        <v>0</v>
      </c>
      <c r="AC558" s="7">
        <f t="shared" si="59"/>
        <v>0</v>
      </c>
      <c r="AD558" s="7">
        <f t="shared" si="59"/>
        <v>0</v>
      </c>
      <c r="AE558" s="7">
        <f t="shared" si="59"/>
        <v>0</v>
      </c>
      <c r="AF558" s="7">
        <f t="shared" si="59"/>
        <v>0</v>
      </c>
      <c r="AG558" s="7">
        <f t="shared" si="59"/>
        <v>0</v>
      </c>
      <c r="AH558" s="7">
        <f t="shared" si="59"/>
        <v>0</v>
      </c>
      <c r="AI558" s="7">
        <f t="shared" si="59"/>
        <v>0</v>
      </c>
      <c r="AJ558" s="7">
        <f t="shared" si="59"/>
        <v>0</v>
      </c>
      <c r="AK558" s="7">
        <f t="shared" si="59"/>
        <v>0</v>
      </c>
      <c r="AL558" s="7">
        <f t="shared" si="59"/>
        <v>0</v>
      </c>
      <c r="AM558" s="7">
        <f t="shared" si="59"/>
        <v>0</v>
      </c>
      <c r="AN558" s="7">
        <f t="shared" si="59"/>
        <v>0</v>
      </c>
      <c r="AO558" s="7">
        <f t="shared" si="59"/>
        <v>0</v>
      </c>
      <c r="AP558" s="7">
        <f t="shared" si="59"/>
        <v>0</v>
      </c>
      <c r="AQ558" s="7">
        <f t="shared" si="59"/>
        <v>0</v>
      </c>
      <c r="AR558" s="7">
        <f t="shared" si="59"/>
        <v>0</v>
      </c>
      <c r="AS558" s="7">
        <f t="shared" si="59"/>
        <v>0</v>
      </c>
      <c r="AT558" s="7">
        <f t="shared" si="59"/>
        <v>0</v>
      </c>
      <c r="AU558" s="7">
        <f t="shared" si="59"/>
        <v>0</v>
      </c>
      <c r="AV558" s="7">
        <f t="shared" si="59"/>
        <v>0</v>
      </c>
      <c r="AW558" s="7">
        <f t="shared" si="59"/>
        <v>0</v>
      </c>
    </row>
    <row r="559" spans="1:49" ht="14.5" hidden="1" outlineLevel="1" x14ac:dyDescent="0.35">
      <c r="A559" t="s">
        <v>12</v>
      </c>
      <c r="B559" t="s">
        <v>14</v>
      </c>
      <c r="C559" t="s">
        <v>161</v>
      </c>
      <c r="D559" t="s">
        <v>85</v>
      </c>
      <c r="E559" t="s">
        <v>91</v>
      </c>
      <c r="F559" s="11">
        <v>10</v>
      </c>
      <c r="G559" s="11">
        <v>10</v>
      </c>
      <c r="H559" s="11">
        <v>0</v>
      </c>
      <c r="I559" s="11">
        <v>10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</row>
    <row r="560" spans="1:49" ht="14.5" collapsed="1" x14ac:dyDescent="0.35">
      <c r="A560" s="6" t="s">
        <v>12</v>
      </c>
      <c r="B560" s="6" t="s">
        <v>14</v>
      </c>
      <c r="C560" s="6" t="s">
        <v>27</v>
      </c>
      <c r="D560" s="6" t="s">
        <v>72</v>
      </c>
      <c r="E560" s="6" t="s">
        <v>73</v>
      </c>
      <c r="F560" s="7">
        <f t="shared" ref="F560:AW560" si="60">SUM(F561,F563,F565,F567,F568,F569,F571,F574,F575,F577,F578)</f>
        <v>409.8</v>
      </c>
      <c r="G560" s="7">
        <f t="shared" si="60"/>
        <v>1057.9000000000001</v>
      </c>
      <c r="H560" s="7">
        <f t="shared" si="60"/>
        <v>1115.0999999999999</v>
      </c>
      <c r="I560" s="7">
        <f t="shared" si="60"/>
        <v>-57.2</v>
      </c>
      <c r="J560" s="7">
        <f t="shared" si="60"/>
        <v>26.821429000000002</v>
      </c>
      <c r="K560" s="7">
        <f t="shared" si="60"/>
        <v>5.8214290000000002</v>
      </c>
      <c r="L560" s="7">
        <f t="shared" si="60"/>
        <v>4.8214290000000002</v>
      </c>
      <c r="M560" s="7">
        <f t="shared" si="60"/>
        <v>11</v>
      </c>
      <c r="N560" s="7">
        <f t="shared" si="60"/>
        <v>13</v>
      </c>
      <c r="O560" s="7">
        <f t="shared" si="60"/>
        <v>20</v>
      </c>
      <c r="P560" s="7">
        <f t="shared" si="60"/>
        <v>11</v>
      </c>
      <c r="Q560" s="7">
        <f t="shared" si="60"/>
        <v>16</v>
      </c>
      <c r="R560" s="7">
        <f t="shared" si="60"/>
        <v>11</v>
      </c>
      <c r="S560" s="7">
        <f t="shared" si="60"/>
        <v>10</v>
      </c>
      <c r="T560" s="7">
        <f t="shared" si="60"/>
        <v>35</v>
      </c>
      <c r="U560" s="13">
        <f t="shared" si="60"/>
        <v>46</v>
      </c>
      <c r="V560" s="13">
        <f t="shared" si="60"/>
        <v>46</v>
      </c>
      <c r="W560" s="12">
        <f t="shared" si="60"/>
        <v>45</v>
      </c>
      <c r="X560" s="7">
        <f t="shared" si="60"/>
        <v>31</v>
      </c>
      <c r="Y560" s="7">
        <f t="shared" si="60"/>
        <v>11</v>
      </c>
      <c r="Z560" s="7">
        <f t="shared" si="60"/>
        <v>9.8214290000000002</v>
      </c>
      <c r="AA560" s="7">
        <f t="shared" si="60"/>
        <v>4.8214290000000002</v>
      </c>
      <c r="AB560" s="7">
        <f t="shared" si="60"/>
        <v>30</v>
      </c>
      <c r="AC560" s="7">
        <f t="shared" si="60"/>
        <v>38</v>
      </c>
      <c r="AD560" s="7">
        <f t="shared" si="60"/>
        <v>51</v>
      </c>
      <c r="AE560" s="12">
        <f t="shared" si="60"/>
        <v>60</v>
      </c>
      <c r="AF560" s="12">
        <f t="shared" si="60"/>
        <v>60</v>
      </c>
      <c r="AG560" s="7">
        <f t="shared" si="60"/>
        <v>48</v>
      </c>
      <c r="AH560" s="7">
        <f t="shared" si="60"/>
        <v>27</v>
      </c>
      <c r="AI560" s="7">
        <f t="shared" si="60"/>
        <v>8</v>
      </c>
      <c r="AJ560" s="7">
        <f t="shared" si="60"/>
        <v>0</v>
      </c>
      <c r="AK560" s="7">
        <f t="shared" si="60"/>
        <v>0</v>
      </c>
      <c r="AL560" s="7">
        <f t="shared" si="60"/>
        <v>0</v>
      </c>
      <c r="AM560" s="7">
        <f t="shared" si="60"/>
        <v>0</v>
      </c>
      <c r="AN560" s="7">
        <f t="shared" si="60"/>
        <v>0</v>
      </c>
      <c r="AO560" s="7">
        <f t="shared" si="60"/>
        <v>0</v>
      </c>
      <c r="AP560" s="7">
        <f t="shared" si="60"/>
        <v>0</v>
      </c>
      <c r="AQ560" s="7">
        <f t="shared" si="60"/>
        <v>0</v>
      </c>
      <c r="AR560" s="7">
        <f t="shared" si="60"/>
        <v>0</v>
      </c>
      <c r="AS560" s="7">
        <f t="shared" si="60"/>
        <v>0</v>
      </c>
      <c r="AT560" s="7">
        <f t="shared" si="60"/>
        <v>0</v>
      </c>
      <c r="AU560" s="7">
        <f t="shared" si="60"/>
        <v>0</v>
      </c>
      <c r="AV560" s="7">
        <f t="shared" si="60"/>
        <v>0</v>
      </c>
      <c r="AW560" s="7">
        <f t="shared" si="60"/>
        <v>0</v>
      </c>
    </row>
    <row r="561" spans="1:49" ht="14.5" hidden="1" outlineLevel="1" x14ac:dyDescent="0.35">
      <c r="A561" t="s">
        <v>12</v>
      </c>
      <c r="B561" t="s">
        <v>14</v>
      </c>
      <c r="C561" t="s">
        <v>27</v>
      </c>
      <c r="D561" t="s">
        <v>85</v>
      </c>
      <c r="E561" t="s">
        <v>78</v>
      </c>
      <c r="F561" s="11">
        <v>18.5</v>
      </c>
      <c r="G561" s="11">
        <v>19.5</v>
      </c>
      <c r="H561" s="11">
        <v>8</v>
      </c>
      <c r="I561" s="11">
        <v>11.5</v>
      </c>
      <c r="J561" s="11">
        <v>0</v>
      </c>
      <c r="K561" s="11">
        <v>1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</row>
    <row r="562" spans="1:49" ht="14.5" hidden="1" outlineLevel="1" x14ac:dyDescent="0.35">
      <c r="A562" s="8" t="s">
        <v>12</v>
      </c>
      <c r="B562" s="8" t="s">
        <v>14</v>
      </c>
      <c r="C562" s="8" t="s">
        <v>27</v>
      </c>
      <c r="D562" s="8" t="s">
        <v>74</v>
      </c>
      <c r="E562" s="9" t="s">
        <v>78</v>
      </c>
      <c r="F562" s="10"/>
      <c r="G562" s="10"/>
      <c r="H562" s="10"/>
      <c r="I562" s="10"/>
      <c r="J562" s="10">
        <v>0</v>
      </c>
      <c r="K562" s="10">
        <v>0</v>
      </c>
      <c r="L562" s="10">
        <v>6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5.5</v>
      </c>
      <c r="AI562" s="10">
        <v>2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</row>
    <row r="563" spans="1:49" ht="14.5" hidden="1" outlineLevel="1" x14ac:dyDescent="0.35">
      <c r="A563" t="s">
        <v>12</v>
      </c>
      <c r="B563" t="s">
        <v>14</v>
      </c>
      <c r="C563" t="s">
        <v>27</v>
      </c>
      <c r="D563" t="s">
        <v>85</v>
      </c>
      <c r="E563" t="s">
        <v>79</v>
      </c>
      <c r="F563" s="11">
        <v>85.3</v>
      </c>
      <c r="G563" s="11">
        <v>251.4</v>
      </c>
      <c r="H563" s="11">
        <v>229.1</v>
      </c>
      <c r="I563" s="11">
        <v>22.3</v>
      </c>
      <c r="J563" s="11">
        <v>4.8214290000000002</v>
      </c>
      <c r="K563" s="11">
        <v>4.8214290000000002</v>
      </c>
      <c r="L563" s="11">
        <v>4.8214290000000002</v>
      </c>
      <c r="M563" s="11">
        <v>6</v>
      </c>
      <c r="N563" s="11">
        <v>6</v>
      </c>
      <c r="O563" s="11">
        <v>6</v>
      </c>
      <c r="P563" s="11">
        <v>6</v>
      </c>
      <c r="Q563" s="11">
        <v>6</v>
      </c>
      <c r="R563" s="11">
        <v>6</v>
      </c>
      <c r="S563" s="11">
        <v>6</v>
      </c>
      <c r="T563" s="11">
        <v>6</v>
      </c>
      <c r="U563" s="11">
        <v>6</v>
      </c>
      <c r="V563" s="11">
        <v>6</v>
      </c>
      <c r="W563" s="11">
        <v>6</v>
      </c>
      <c r="X563" s="11">
        <v>6</v>
      </c>
      <c r="Y563" s="11">
        <v>6</v>
      </c>
      <c r="Z563" s="11">
        <v>4.8214290000000002</v>
      </c>
      <c r="AA563" s="11">
        <v>4.8214290000000002</v>
      </c>
      <c r="AB563" s="11">
        <v>8</v>
      </c>
      <c r="AC563" s="11">
        <v>8</v>
      </c>
      <c r="AD563" s="11">
        <v>8</v>
      </c>
      <c r="AE563" s="11">
        <v>8</v>
      </c>
      <c r="AF563" s="11">
        <v>8</v>
      </c>
      <c r="AG563" s="11">
        <v>8</v>
      </c>
      <c r="AH563" s="11">
        <v>8</v>
      </c>
      <c r="AI563" s="11">
        <v>8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</row>
    <row r="564" spans="1:49" ht="14.5" hidden="1" outlineLevel="1" x14ac:dyDescent="0.35">
      <c r="A564" s="14" t="s">
        <v>12</v>
      </c>
      <c r="B564" s="14" t="s">
        <v>14</v>
      </c>
      <c r="C564" s="14" t="s">
        <v>27</v>
      </c>
      <c r="D564" s="14" t="s">
        <v>99</v>
      </c>
      <c r="E564" s="15" t="s">
        <v>79</v>
      </c>
      <c r="F564" s="16"/>
      <c r="G564" s="16"/>
      <c r="H564" s="16"/>
      <c r="I564" s="16"/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-6</v>
      </c>
      <c r="V564" s="16">
        <v>-6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-5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>
        <v>0</v>
      </c>
      <c r="AU564" s="16">
        <v>0</v>
      </c>
      <c r="AV564" s="16">
        <v>0</v>
      </c>
      <c r="AW564" s="16">
        <v>0</v>
      </c>
    </row>
    <row r="565" spans="1:49" ht="14.5" hidden="1" outlineLevel="1" x14ac:dyDescent="0.35">
      <c r="A565" t="s">
        <v>12</v>
      </c>
      <c r="B565" t="s">
        <v>14</v>
      </c>
      <c r="C565" t="s">
        <v>27</v>
      </c>
      <c r="D565" t="s">
        <v>85</v>
      </c>
      <c r="E565" t="s">
        <v>100</v>
      </c>
      <c r="F565" s="11">
        <v>230</v>
      </c>
      <c r="G565" s="11">
        <v>671</v>
      </c>
      <c r="H565" s="11">
        <v>705</v>
      </c>
      <c r="I565" s="11">
        <v>-34</v>
      </c>
      <c r="J565" s="11">
        <v>0</v>
      </c>
      <c r="K565" s="11">
        <v>0</v>
      </c>
      <c r="L565" s="11">
        <v>0</v>
      </c>
      <c r="M565" s="11">
        <v>5</v>
      </c>
      <c r="N565" s="11">
        <v>7</v>
      </c>
      <c r="O565" s="11">
        <v>14</v>
      </c>
      <c r="P565" s="11">
        <v>5</v>
      </c>
      <c r="Q565" s="11">
        <v>0</v>
      </c>
      <c r="R565" s="11">
        <v>0</v>
      </c>
      <c r="S565" s="11">
        <v>4</v>
      </c>
      <c r="T565" s="11">
        <v>29</v>
      </c>
      <c r="U565" s="11">
        <v>40</v>
      </c>
      <c r="V565" s="11">
        <v>40</v>
      </c>
      <c r="W565" s="11">
        <v>24</v>
      </c>
      <c r="X565" s="11">
        <v>25</v>
      </c>
      <c r="Y565" s="11">
        <v>5</v>
      </c>
      <c r="Z565" s="11">
        <v>5</v>
      </c>
      <c r="AA565" s="11">
        <v>0</v>
      </c>
      <c r="AB565" s="11">
        <v>22</v>
      </c>
      <c r="AC565" s="11">
        <v>30</v>
      </c>
      <c r="AD565" s="11">
        <v>43</v>
      </c>
      <c r="AE565" s="11">
        <v>52</v>
      </c>
      <c r="AF565" s="11">
        <v>45</v>
      </c>
      <c r="AG565" s="11">
        <v>27</v>
      </c>
      <c r="AH565" s="11">
        <v>19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</row>
    <row r="566" spans="1:49" ht="14.5" hidden="1" outlineLevel="1" x14ac:dyDescent="0.35">
      <c r="A566" s="8" t="s">
        <v>12</v>
      </c>
      <c r="B566" s="8" t="s">
        <v>14</v>
      </c>
      <c r="C566" s="8" t="s">
        <v>27</v>
      </c>
      <c r="D566" s="8" t="s">
        <v>74</v>
      </c>
      <c r="E566" s="9" t="s">
        <v>100</v>
      </c>
      <c r="F566" s="10"/>
      <c r="G566" s="10"/>
      <c r="H566" s="10"/>
      <c r="I566" s="10"/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17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</row>
    <row r="567" spans="1:49" ht="14.5" hidden="1" outlineLevel="1" x14ac:dyDescent="0.35">
      <c r="A567" t="s">
        <v>12</v>
      </c>
      <c r="B567" t="s">
        <v>14</v>
      </c>
      <c r="C567" t="s">
        <v>27</v>
      </c>
      <c r="D567" t="s">
        <v>85</v>
      </c>
      <c r="E567" t="s">
        <v>87</v>
      </c>
      <c r="F567" s="11">
        <v>0</v>
      </c>
      <c r="G567" s="11">
        <v>0</v>
      </c>
      <c r="H567" s="11">
        <v>8</v>
      </c>
      <c r="I567" s="11">
        <v>-8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</row>
    <row r="568" spans="1:49" ht="14.5" hidden="1" outlineLevel="1" x14ac:dyDescent="0.35">
      <c r="A568" t="s">
        <v>12</v>
      </c>
      <c r="B568" t="s">
        <v>14</v>
      </c>
      <c r="C568" t="s">
        <v>27</v>
      </c>
      <c r="D568" t="s">
        <v>85</v>
      </c>
      <c r="E568" t="s">
        <v>88</v>
      </c>
      <c r="F568" s="11">
        <v>5</v>
      </c>
      <c r="G568" s="11">
        <v>5</v>
      </c>
      <c r="H568" s="11">
        <v>22</v>
      </c>
      <c r="I568" s="11">
        <v>-17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</row>
    <row r="569" spans="1:49" ht="14.5" hidden="1" outlineLevel="1" x14ac:dyDescent="0.35">
      <c r="A569" t="s">
        <v>12</v>
      </c>
      <c r="B569" t="s">
        <v>14</v>
      </c>
      <c r="C569" t="s">
        <v>27</v>
      </c>
      <c r="D569" t="s">
        <v>85</v>
      </c>
      <c r="E569" t="s">
        <v>89</v>
      </c>
      <c r="F569" s="11">
        <v>0</v>
      </c>
      <c r="G569" s="11">
        <v>5</v>
      </c>
      <c r="H569" s="11">
        <v>15</v>
      </c>
      <c r="I569" s="11">
        <v>-10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10</v>
      </c>
      <c r="R569" s="11">
        <v>5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</row>
    <row r="570" spans="1:49" ht="14.5" hidden="1" outlineLevel="1" x14ac:dyDescent="0.35">
      <c r="A570" s="8" t="s">
        <v>12</v>
      </c>
      <c r="B570" s="8" t="s">
        <v>14</v>
      </c>
      <c r="C570" s="8" t="s">
        <v>27</v>
      </c>
      <c r="D570" s="8" t="s">
        <v>74</v>
      </c>
      <c r="E570" s="9" t="s">
        <v>89</v>
      </c>
      <c r="F570" s="10"/>
      <c r="G570" s="10"/>
      <c r="H570" s="10"/>
      <c r="I570" s="10"/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12</v>
      </c>
      <c r="R570" s="10">
        <v>13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</row>
    <row r="571" spans="1:49" ht="14.5" hidden="1" outlineLevel="1" x14ac:dyDescent="0.35">
      <c r="A571" t="s">
        <v>12</v>
      </c>
      <c r="B571" t="s">
        <v>14</v>
      </c>
      <c r="C571" t="s">
        <v>27</v>
      </c>
      <c r="D571" t="s">
        <v>85</v>
      </c>
      <c r="E571" t="s">
        <v>40</v>
      </c>
      <c r="F571" s="11">
        <v>0</v>
      </c>
      <c r="G571" s="11">
        <v>35</v>
      </c>
      <c r="H571" s="11">
        <v>35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15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7</v>
      </c>
      <c r="AG571" s="11">
        <v>13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</row>
    <row r="572" spans="1:49" ht="14.5" hidden="1" outlineLevel="1" x14ac:dyDescent="0.35">
      <c r="A572" s="14" t="s">
        <v>12</v>
      </c>
      <c r="B572" s="14" t="s">
        <v>14</v>
      </c>
      <c r="C572" s="14" t="s">
        <v>27</v>
      </c>
      <c r="D572" s="14" t="s">
        <v>99</v>
      </c>
      <c r="E572" s="15" t="s">
        <v>40</v>
      </c>
      <c r="F572" s="16"/>
      <c r="G572" s="16"/>
      <c r="H572" s="16"/>
      <c r="I572" s="16"/>
      <c r="J572" s="16">
        <v>0</v>
      </c>
      <c r="K572" s="16">
        <v>0</v>
      </c>
      <c r="L572" s="16">
        <v>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-5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-5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>
        <v>0</v>
      </c>
      <c r="AU572" s="16">
        <v>0</v>
      </c>
      <c r="AV572" s="16">
        <v>0</v>
      </c>
      <c r="AW572" s="16">
        <v>0</v>
      </c>
    </row>
    <row r="573" spans="1:49" ht="14.5" hidden="1" outlineLevel="1" x14ac:dyDescent="0.35">
      <c r="A573" s="8" t="s">
        <v>12</v>
      </c>
      <c r="B573" s="8" t="s">
        <v>14</v>
      </c>
      <c r="C573" s="8" t="s">
        <v>27</v>
      </c>
      <c r="D573" s="8" t="s">
        <v>74</v>
      </c>
      <c r="E573" s="9" t="s">
        <v>40</v>
      </c>
      <c r="F573" s="10"/>
      <c r="G573" s="10"/>
      <c r="H573" s="10"/>
      <c r="I573" s="10"/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15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</row>
    <row r="574" spans="1:49" ht="14.5" hidden="1" outlineLevel="1" x14ac:dyDescent="0.35">
      <c r="A574" t="s">
        <v>12</v>
      </c>
      <c r="B574" t="s">
        <v>14</v>
      </c>
      <c r="C574" t="s">
        <v>27</v>
      </c>
      <c r="D574" t="s">
        <v>85</v>
      </c>
      <c r="E574" t="s">
        <v>90</v>
      </c>
      <c r="F574" s="11">
        <v>0</v>
      </c>
      <c r="G574" s="11">
        <v>0</v>
      </c>
      <c r="H574" s="11">
        <v>25</v>
      </c>
      <c r="I574" s="11">
        <v>-25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</row>
    <row r="575" spans="1:49" ht="14.5" hidden="1" outlineLevel="1" x14ac:dyDescent="0.35">
      <c r="A575" t="s">
        <v>12</v>
      </c>
      <c r="B575" t="s">
        <v>14</v>
      </c>
      <c r="C575" t="s">
        <v>27</v>
      </c>
      <c r="D575" t="s">
        <v>85</v>
      </c>
      <c r="E575" t="s">
        <v>98</v>
      </c>
      <c r="F575" s="11">
        <v>41</v>
      </c>
      <c r="G575" s="11">
        <v>41</v>
      </c>
      <c r="H575" s="11">
        <v>33</v>
      </c>
      <c r="I575" s="11">
        <v>8</v>
      </c>
      <c r="J575" s="11">
        <v>22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</row>
    <row r="576" spans="1:49" ht="14.5" hidden="1" outlineLevel="1" x14ac:dyDescent="0.35">
      <c r="A576" s="8" t="s">
        <v>12</v>
      </c>
      <c r="B576" s="8" t="s">
        <v>14</v>
      </c>
      <c r="C576" s="8" t="s">
        <v>27</v>
      </c>
      <c r="D576" s="8" t="s">
        <v>74</v>
      </c>
      <c r="E576" s="9" t="s">
        <v>98</v>
      </c>
      <c r="F576" s="10"/>
      <c r="G576" s="10"/>
      <c r="H576" s="10"/>
      <c r="I576" s="10"/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22.653846000000001</v>
      </c>
      <c r="Q576" s="10">
        <v>0</v>
      </c>
      <c r="R576" s="10">
        <v>0</v>
      </c>
      <c r="S576" s="10">
        <v>9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25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7</v>
      </c>
      <c r="AH576" s="10">
        <v>7.5</v>
      </c>
      <c r="AI576" s="10">
        <v>40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</row>
    <row r="577" spans="1:49" ht="14.5" hidden="1" outlineLevel="1" x14ac:dyDescent="0.35">
      <c r="A577" t="s">
        <v>12</v>
      </c>
      <c r="B577" t="s">
        <v>14</v>
      </c>
      <c r="C577" t="s">
        <v>27</v>
      </c>
      <c r="D577" t="s">
        <v>85</v>
      </c>
      <c r="E577" t="s">
        <v>102</v>
      </c>
      <c r="F577" s="11">
        <v>0</v>
      </c>
      <c r="G577" s="11">
        <v>0</v>
      </c>
      <c r="H577" s="11">
        <v>2</v>
      </c>
      <c r="I577" s="11">
        <v>-2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</row>
    <row r="578" spans="1:49" ht="14.5" hidden="1" outlineLevel="1" x14ac:dyDescent="0.35">
      <c r="A578" t="s">
        <v>12</v>
      </c>
      <c r="B578" t="s">
        <v>14</v>
      </c>
      <c r="C578" t="s">
        <v>27</v>
      </c>
      <c r="D578" t="s">
        <v>85</v>
      </c>
      <c r="E578" t="s">
        <v>91</v>
      </c>
      <c r="F578" s="11">
        <v>30</v>
      </c>
      <c r="G578" s="11">
        <v>30</v>
      </c>
      <c r="H578" s="11">
        <v>33</v>
      </c>
      <c r="I578" s="11">
        <v>-3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</row>
    <row r="579" spans="1:49" ht="14.5" hidden="1" outlineLevel="1" x14ac:dyDescent="0.35">
      <c r="A579" s="8" t="s">
        <v>12</v>
      </c>
      <c r="B579" s="8" t="s">
        <v>14</v>
      </c>
      <c r="C579" s="8" t="s">
        <v>27</v>
      </c>
      <c r="D579" s="8" t="s">
        <v>74</v>
      </c>
      <c r="E579" s="9" t="s">
        <v>80</v>
      </c>
      <c r="F579" s="10"/>
      <c r="G579" s="10"/>
      <c r="H579" s="10"/>
      <c r="I579" s="10"/>
      <c r="J579" s="10">
        <v>0</v>
      </c>
      <c r="K579" s="10">
        <v>20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</row>
    <row r="580" spans="1:49" ht="14.5" hidden="1" outlineLevel="1" x14ac:dyDescent="0.35">
      <c r="A580" s="8" t="s">
        <v>12</v>
      </c>
      <c r="B580" s="8" t="s">
        <v>14</v>
      </c>
      <c r="C580" s="8" t="s">
        <v>27</v>
      </c>
      <c r="D580" s="8" t="s">
        <v>74</v>
      </c>
      <c r="E580" s="9" t="s">
        <v>81</v>
      </c>
      <c r="F580" s="10"/>
      <c r="G580" s="10"/>
      <c r="H580" s="10"/>
      <c r="I580" s="10"/>
      <c r="J580" s="10">
        <v>13.178571</v>
      </c>
      <c r="K580" s="10">
        <v>0</v>
      </c>
      <c r="L580" s="10">
        <v>4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</row>
    <row r="581" spans="1:49" ht="14.5" hidden="1" outlineLevel="1" x14ac:dyDescent="0.35">
      <c r="A581" s="8" t="s">
        <v>12</v>
      </c>
      <c r="B581" s="8" t="s">
        <v>14</v>
      </c>
      <c r="C581" s="8" t="s">
        <v>27</v>
      </c>
      <c r="D581" s="8" t="s">
        <v>74</v>
      </c>
      <c r="E581" s="9" t="s">
        <v>103</v>
      </c>
      <c r="F581" s="10"/>
      <c r="G581" s="10"/>
      <c r="H581" s="10"/>
      <c r="I581" s="10"/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6.3461540000000003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4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</row>
    <row r="582" spans="1:49" ht="14.5" collapsed="1" x14ac:dyDescent="0.35">
      <c r="A582" s="6" t="s">
        <v>12</v>
      </c>
      <c r="B582" s="6" t="s">
        <v>14</v>
      </c>
      <c r="C582" s="6" t="s">
        <v>21</v>
      </c>
      <c r="D582" s="6" t="s">
        <v>72</v>
      </c>
      <c r="E582" s="6" t="s">
        <v>73</v>
      </c>
      <c r="F582" s="7">
        <f t="shared" ref="F582:AW582" si="61">SUM(F583,F584,F585,F586,F588,F590,F593,F594,F597,F598,F599,F600)</f>
        <v>265.5</v>
      </c>
      <c r="G582" s="7">
        <f t="shared" si="61"/>
        <v>1041.5</v>
      </c>
      <c r="H582" s="7">
        <f t="shared" si="61"/>
        <v>1310.5</v>
      </c>
      <c r="I582" s="7">
        <f t="shared" si="61"/>
        <v>-269</v>
      </c>
      <c r="J582" s="7">
        <f t="shared" si="61"/>
        <v>71</v>
      </c>
      <c r="K582" s="13">
        <f t="shared" si="61"/>
        <v>64</v>
      </c>
      <c r="L582" s="13">
        <f t="shared" si="61"/>
        <v>65</v>
      </c>
      <c r="M582" s="7">
        <f t="shared" si="61"/>
        <v>18</v>
      </c>
      <c r="N582" s="7">
        <f t="shared" si="61"/>
        <v>12</v>
      </c>
      <c r="O582" s="7">
        <f t="shared" si="61"/>
        <v>16</v>
      </c>
      <c r="P582" s="7">
        <f t="shared" si="61"/>
        <v>37</v>
      </c>
      <c r="Q582" s="7">
        <f t="shared" si="61"/>
        <v>36</v>
      </c>
      <c r="R582" s="13">
        <f t="shared" si="61"/>
        <v>46</v>
      </c>
      <c r="S582" s="7">
        <f t="shared" si="61"/>
        <v>22</v>
      </c>
      <c r="T582" s="7">
        <f t="shared" si="61"/>
        <v>22</v>
      </c>
      <c r="U582" s="13">
        <f t="shared" si="61"/>
        <v>67</v>
      </c>
      <c r="V582" s="13">
        <f t="shared" si="61"/>
        <v>64</v>
      </c>
      <c r="W582" s="13">
        <f t="shared" si="61"/>
        <v>67</v>
      </c>
      <c r="X582" s="7">
        <f t="shared" si="61"/>
        <v>22</v>
      </c>
      <c r="Y582" s="7">
        <f t="shared" si="61"/>
        <v>37</v>
      </c>
      <c r="Z582" s="7">
        <f t="shared" si="61"/>
        <v>17</v>
      </c>
      <c r="AA582" s="7">
        <f t="shared" si="61"/>
        <v>15</v>
      </c>
      <c r="AB582" s="7">
        <f t="shared" si="61"/>
        <v>25.5</v>
      </c>
      <c r="AC582" s="7">
        <f t="shared" si="61"/>
        <v>32.5</v>
      </c>
      <c r="AD582" s="7">
        <f t="shared" si="61"/>
        <v>22.5</v>
      </c>
      <c r="AE582" s="7">
        <f t="shared" si="61"/>
        <v>35.5</v>
      </c>
      <c r="AF582" s="7">
        <f t="shared" si="61"/>
        <v>29.5</v>
      </c>
      <c r="AG582" s="7">
        <f t="shared" si="61"/>
        <v>31.5</v>
      </c>
      <c r="AH582" s="7">
        <f t="shared" si="61"/>
        <v>40.5</v>
      </c>
      <c r="AI582" s="7">
        <f t="shared" si="61"/>
        <v>2.5</v>
      </c>
      <c r="AJ582" s="7">
        <f t="shared" si="61"/>
        <v>0</v>
      </c>
      <c r="AK582" s="7">
        <f t="shared" si="61"/>
        <v>0</v>
      </c>
      <c r="AL582" s="7">
        <f t="shared" si="61"/>
        <v>0</v>
      </c>
      <c r="AM582" s="7">
        <f t="shared" si="61"/>
        <v>0</v>
      </c>
      <c r="AN582" s="7">
        <f t="shared" si="61"/>
        <v>0</v>
      </c>
      <c r="AO582" s="7">
        <f t="shared" si="61"/>
        <v>0</v>
      </c>
      <c r="AP582" s="7">
        <f t="shared" si="61"/>
        <v>0</v>
      </c>
      <c r="AQ582" s="7">
        <f t="shared" si="61"/>
        <v>0</v>
      </c>
      <c r="AR582" s="7">
        <f t="shared" si="61"/>
        <v>0</v>
      </c>
      <c r="AS582" s="7">
        <f t="shared" si="61"/>
        <v>0</v>
      </c>
      <c r="AT582" s="7">
        <f t="shared" si="61"/>
        <v>0</v>
      </c>
      <c r="AU582" s="7">
        <f t="shared" si="61"/>
        <v>0</v>
      </c>
      <c r="AV582" s="7">
        <f t="shared" si="61"/>
        <v>0</v>
      </c>
      <c r="AW582" s="7">
        <f t="shared" si="61"/>
        <v>0</v>
      </c>
    </row>
    <row r="583" spans="1:49" ht="14.5" hidden="1" outlineLevel="1" x14ac:dyDescent="0.35">
      <c r="A583" t="s">
        <v>12</v>
      </c>
      <c r="B583" t="s">
        <v>14</v>
      </c>
      <c r="C583" t="s">
        <v>21</v>
      </c>
      <c r="D583" t="s">
        <v>85</v>
      </c>
      <c r="E583" t="s">
        <v>124</v>
      </c>
      <c r="F583" s="11">
        <v>0</v>
      </c>
      <c r="G583" s="11">
        <v>0</v>
      </c>
      <c r="H583" s="11">
        <v>5</v>
      </c>
      <c r="I583" s="11">
        <v>-5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</row>
    <row r="584" spans="1:49" ht="14.5" hidden="1" outlineLevel="1" x14ac:dyDescent="0.35">
      <c r="A584" t="s">
        <v>12</v>
      </c>
      <c r="B584" t="s">
        <v>14</v>
      </c>
      <c r="C584" t="s">
        <v>21</v>
      </c>
      <c r="D584" t="s">
        <v>85</v>
      </c>
      <c r="E584" t="s">
        <v>87</v>
      </c>
      <c r="F584" s="11">
        <v>16</v>
      </c>
      <c r="G584" s="11">
        <v>16</v>
      </c>
      <c r="H584" s="11">
        <v>19</v>
      </c>
      <c r="I584" s="11">
        <v>-3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0</v>
      </c>
      <c r="AV584" s="11">
        <v>0</v>
      </c>
      <c r="AW584" s="11">
        <v>0</v>
      </c>
    </row>
    <row r="585" spans="1:49" ht="14.5" hidden="1" outlineLevel="1" x14ac:dyDescent="0.35">
      <c r="A585" t="s">
        <v>12</v>
      </c>
      <c r="B585" t="s">
        <v>14</v>
      </c>
      <c r="C585" t="s">
        <v>21</v>
      </c>
      <c r="D585" t="s">
        <v>85</v>
      </c>
      <c r="E585" t="s">
        <v>88</v>
      </c>
      <c r="F585" s="11">
        <v>10</v>
      </c>
      <c r="G585" s="11">
        <v>10</v>
      </c>
      <c r="H585" s="11">
        <v>26.5</v>
      </c>
      <c r="I585" s="11">
        <v>-16.5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</row>
    <row r="586" spans="1:49" ht="14.5" hidden="1" outlineLevel="1" x14ac:dyDescent="0.35">
      <c r="A586" t="s">
        <v>12</v>
      </c>
      <c r="B586" t="s">
        <v>14</v>
      </c>
      <c r="C586" t="s">
        <v>21</v>
      </c>
      <c r="D586" t="s">
        <v>85</v>
      </c>
      <c r="E586" t="s">
        <v>89</v>
      </c>
      <c r="F586" s="11">
        <v>0</v>
      </c>
      <c r="G586" s="11">
        <v>10</v>
      </c>
      <c r="H586" s="11">
        <v>10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5</v>
      </c>
      <c r="R586" s="11">
        <v>5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</row>
    <row r="587" spans="1:49" ht="14.5" hidden="1" outlineLevel="1" x14ac:dyDescent="0.35">
      <c r="A587" s="14" t="s">
        <v>12</v>
      </c>
      <c r="B587" s="14" t="s">
        <v>14</v>
      </c>
      <c r="C587" s="14" t="s">
        <v>21</v>
      </c>
      <c r="D587" s="14" t="s">
        <v>99</v>
      </c>
      <c r="E587" s="15" t="s">
        <v>89</v>
      </c>
      <c r="F587" s="16"/>
      <c r="G587" s="16"/>
      <c r="H587" s="16"/>
      <c r="I587" s="16"/>
      <c r="J587" s="16">
        <v>0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-5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0</v>
      </c>
    </row>
    <row r="588" spans="1:49" ht="14.5" hidden="1" outlineLevel="1" x14ac:dyDescent="0.35">
      <c r="A588" t="s">
        <v>12</v>
      </c>
      <c r="B588" t="s">
        <v>14</v>
      </c>
      <c r="C588" t="s">
        <v>21</v>
      </c>
      <c r="D588" t="s">
        <v>85</v>
      </c>
      <c r="E588" t="s">
        <v>40</v>
      </c>
      <c r="F588" s="11">
        <v>0</v>
      </c>
      <c r="G588" s="11">
        <v>28</v>
      </c>
      <c r="H588" s="11">
        <v>50</v>
      </c>
      <c r="I588" s="11">
        <v>-22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10</v>
      </c>
      <c r="AG588" s="11">
        <v>15</v>
      </c>
      <c r="AH588" s="11">
        <v>25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</row>
    <row r="589" spans="1:49" ht="14.5" hidden="1" outlineLevel="1" x14ac:dyDescent="0.35">
      <c r="A589" s="8" t="s">
        <v>12</v>
      </c>
      <c r="B589" s="8" t="s">
        <v>14</v>
      </c>
      <c r="C589" s="8" t="s">
        <v>21</v>
      </c>
      <c r="D589" s="8" t="s">
        <v>74</v>
      </c>
      <c r="E589" s="9" t="s">
        <v>40</v>
      </c>
      <c r="F589" s="10"/>
      <c r="G589" s="10"/>
      <c r="H589" s="10"/>
      <c r="I589" s="10"/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0.5</v>
      </c>
      <c r="AG589" s="10">
        <v>0</v>
      </c>
      <c r="AH589" s="10">
        <v>0</v>
      </c>
      <c r="AI589" s="10">
        <v>10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</row>
    <row r="590" spans="1:49" ht="14.5" hidden="1" outlineLevel="1" x14ac:dyDescent="0.35">
      <c r="A590" t="s">
        <v>12</v>
      </c>
      <c r="B590" t="s">
        <v>14</v>
      </c>
      <c r="C590" t="s">
        <v>21</v>
      </c>
      <c r="D590" t="s">
        <v>85</v>
      </c>
      <c r="E590" t="s">
        <v>81</v>
      </c>
      <c r="F590" s="11">
        <v>166.5</v>
      </c>
      <c r="G590" s="11">
        <v>534.5</v>
      </c>
      <c r="H590" s="11">
        <v>768.5</v>
      </c>
      <c r="I590" s="11">
        <v>-234</v>
      </c>
      <c r="J590" s="11">
        <v>50</v>
      </c>
      <c r="K590" s="11">
        <v>49</v>
      </c>
      <c r="L590" s="11">
        <v>50</v>
      </c>
      <c r="M590" s="11">
        <v>8</v>
      </c>
      <c r="N590" s="11">
        <v>2</v>
      </c>
      <c r="O590" s="11">
        <v>6</v>
      </c>
      <c r="P590" s="11">
        <v>32</v>
      </c>
      <c r="Q590" s="11">
        <v>14</v>
      </c>
      <c r="R590" s="11">
        <v>32</v>
      </c>
      <c r="S590" s="11">
        <v>12</v>
      </c>
      <c r="T590" s="11">
        <v>2</v>
      </c>
      <c r="U590" s="11">
        <v>47</v>
      </c>
      <c r="V590" s="11">
        <v>44</v>
      </c>
      <c r="W590" s="11">
        <v>47</v>
      </c>
      <c r="X590" s="11">
        <v>2</v>
      </c>
      <c r="Y590" s="11">
        <v>17</v>
      </c>
      <c r="Z590" s="11">
        <v>2</v>
      </c>
      <c r="AA590" s="11">
        <v>0</v>
      </c>
      <c r="AB590" s="11">
        <v>25.5</v>
      </c>
      <c r="AC590" s="11">
        <v>32.5</v>
      </c>
      <c r="AD590" s="11">
        <v>22.5</v>
      </c>
      <c r="AE590" s="11">
        <v>35.5</v>
      </c>
      <c r="AF590" s="11">
        <v>19.5</v>
      </c>
      <c r="AG590" s="11">
        <v>16.5</v>
      </c>
      <c r="AH590" s="11">
        <v>15.5</v>
      </c>
      <c r="AI590" s="11">
        <v>2.5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</row>
    <row r="591" spans="1:49" ht="14.5" hidden="1" outlineLevel="1" x14ac:dyDescent="0.35">
      <c r="A591" s="14" t="s">
        <v>12</v>
      </c>
      <c r="B591" s="14" t="s">
        <v>14</v>
      </c>
      <c r="C591" s="14" t="s">
        <v>21</v>
      </c>
      <c r="D591" s="14" t="s">
        <v>99</v>
      </c>
      <c r="E591" s="15" t="s">
        <v>81</v>
      </c>
      <c r="F591" s="16"/>
      <c r="G591" s="16"/>
      <c r="H591" s="16"/>
      <c r="I591" s="16"/>
      <c r="J591" s="16">
        <v>-31</v>
      </c>
      <c r="K591" s="16">
        <v>-9</v>
      </c>
      <c r="L591" s="16">
        <v>-10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-27</v>
      </c>
      <c r="V591" s="16">
        <v>-4</v>
      </c>
      <c r="W591" s="16">
        <v>-7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  <c r="AR591" s="16">
        <v>0</v>
      </c>
      <c r="AS591" s="16">
        <v>0</v>
      </c>
      <c r="AT591" s="16">
        <v>0</v>
      </c>
      <c r="AU591" s="16">
        <v>0</v>
      </c>
      <c r="AV591" s="16">
        <v>0</v>
      </c>
      <c r="AW591" s="16">
        <v>0</v>
      </c>
    </row>
    <row r="592" spans="1:49" ht="14.5" hidden="1" outlineLevel="1" x14ac:dyDescent="0.35">
      <c r="A592" s="8" t="s">
        <v>12</v>
      </c>
      <c r="B592" s="8" t="s">
        <v>14</v>
      </c>
      <c r="C592" s="8" t="s">
        <v>21</v>
      </c>
      <c r="D592" s="8" t="s">
        <v>74</v>
      </c>
      <c r="E592" s="9" t="s">
        <v>81</v>
      </c>
      <c r="F592" s="10"/>
      <c r="G592" s="10"/>
      <c r="H592" s="10"/>
      <c r="I592" s="10"/>
      <c r="J592" s="10">
        <v>0</v>
      </c>
      <c r="K592" s="10">
        <v>0</v>
      </c>
      <c r="L592" s="10">
        <v>0</v>
      </c>
      <c r="M592" s="10">
        <v>2</v>
      </c>
      <c r="N592" s="10">
        <v>22</v>
      </c>
      <c r="O592" s="10">
        <v>24</v>
      </c>
      <c r="P592" s="10">
        <v>3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2</v>
      </c>
      <c r="AD592" s="10">
        <v>1</v>
      </c>
      <c r="AE592" s="10">
        <v>0</v>
      </c>
      <c r="AF592" s="10">
        <v>25</v>
      </c>
      <c r="AG592" s="10">
        <v>14</v>
      </c>
      <c r="AH592" s="10">
        <v>0</v>
      </c>
      <c r="AI592" s="10">
        <v>2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</row>
    <row r="593" spans="1:49" ht="14.5" hidden="1" outlineLevel="1" x14ac:dyDescent="0.35">
      <c r="A593" t="s">
        <v>12</v>
      </c>
      <c r="B593" t="s">
        <v>14</v>
      </c>
      <c r="C593" t="s">
        <v>21</v>
      </c>
      <c r="D593" t="s">
        <v>85</v>
      </c>
      <c r="E593" t="s">
        <v>90</v>
      </c>
      <c r="F593" s="11">
        <v>0</v>
      </c>
      <c r="G593" s="11">
        <v>0</v>
      </c>
      <c r="H593" s="11">
        <v>38.5</v>
      </c>
      <c r="I593" s="11">
        <v>-38.5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</row>
    <row r="594" spans="1:49" ht="14.5" hidden="1" outlineLevel="1" x14ac:dyDescent="0.35">
      <c r="A594" t="s">
        <v>12</v>
      </c>
      <c r="B594" t="s">
        <v>14</v>
      </c>
      <c r="C594" t="s">
        <v>21</v>
      </c>
      <c r="D594" t="s">
        <v>85</v>
      </c>
      <c r="E594" t="s">
        <v>43</v>
      </c>
      <c r="F594" s="11">
        <v>40</v>
      </c>
      <c r="G594" s="11">
        <v>394</v>
      </c>
      <c r="H594" s="11">
        <v>304.5</v>
      </c>
      <c r="I594" s="11">
        <v>89.5</v>
      </c>
      <c r="J594" s="11">
        <v>21</v>
      </c>
      <c r="K594" s="11">
        <v>15</v>
      </c>
      <c r="L594" s="11">
        <v>15</v>
      </c>
      <c r="M594" s="11">
        <v>10</v>
      </c>
      <c r="N594" s="11">
        <v>10</v>
      </c>
      <c r="O594" s="11">
        <v>10</v>
      </c>
      <c r="P594" s="11">
        <v>5</v>
      </c>
      <c r="Q594" s="11">
        <v>5</v>
      </c>
      <c r="R594" s="11">
        <v>5</v>
      </c>
      <c r="S594" s="11">
        <v>10</v>
      </c>
      <c r="T594" s="11">
        <v>20</v>
      </c>
      <c r="U594" s="11">
        <v>20</v>
      </c>
      <c r="V594" s="11">
        <v>20</v>
      </c>
      <c r="W594" s="11">
        <v>20</v>
      </c>
      <c r="X594" s="11">
        <v>20</v>
      </c>
      <c r="Y594" s="11">
        <v>20</v>
      </c>
      <c r="Z594" s="11">
        <v>15</v>
      </c>
      <c r="AA594" s="11">
        <v>15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</row>
    <row r="595" spans="1:49" ht="14.5" hidden="1" outlineLevel="1" x14ac:dyDescent="0.35">
      <c r="A595" s="14" t="s">
        <v>12</v>
      </c>
      <c r="B595" s="14" t="s">
        <v>14</v>
      </c>
      <c r="C595" s="14" t="s">
        <v>21</v>
      </c>
      <c r="D595" s="14" t="s">
        <v>99</v>
      </c>
      <c r="E595" s="15" t="s">
        <v>43</v>
      </c>
      <c r="F595" s="16"/>
      <c r="G595" s="16"/>
      <c r="H595" s="16"/>
      <c r="I595" s="16"/>
      <c r="J595" s="16">
        <v>0</v>
      </c>
      <c r="K595" s="16">
        <v>-15</v>
      </c>
      <c r="L595" s="16">
        <v>-15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-1</v>
      </c>
      <c r="S595" s="16">
        <v>0</v>
      </c>
      <c r="T595" s="16">
        <v>0</v>
      </c>
      <c r="U595" s="16">
        <v>0</v>
      </c>
      <c r="V595" s="16">
        <v>-20</v>
      </c>
      <c r="W595" s="16">
        <v>-20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  <c r="AR595" s="16">
        <v>0</v>
      </c>
      <c r="AS595" s="16">
        <v>0</v>
      </c>
      <c r="AT595" s="16">
        <v>0</v>
      </c>
      <c r="AU595" s="16">
        <v>0</v>
      </c>
      <c r="AV595" s="16">
        <v>0</v>
      </c>
      <c r="AW595" s="16">
        <v>0</v>
      </c>
    </row>
    <row r="596" spans="1:49" ht="14.5" hidden="1" outlineLevel="1" x14ac:dyDescent="0.35">
      <c r="A596" s="8" t="s">
        <v>12</v>
      </c>
      <c r="B596" s="8" t="s">
        <v>14</v>
      </c>
      <c r="C596" s="8" t="s">
        <v>21</v>
      </c>
      <c r="D596" s="8" t="s">
        <v>74</v>
      </c>
      <c r="E596" s="9" t="s">
        <v>43</v>
      </c>
      <c r="F596" s="10"/>
      <c r="G596" s="10"/>
      <c r="H596" s="10"/>
      <c r="I596" s="10"/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9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27</v>
      </c>
      <c r="AE596" s="10">
        <v>11.5</v>
      </c>
      <c r="AF596" s="10">
        <v>0</v>
      </c>
      <c r="AG596" s="10">
        <v>9.5</v>
      </c>
      <c r="AH596" s="10">
        <v>14.5</v>
      </c>
      <c r="AI596" s="10">
        <v>37.5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</row>
    <row r="597" spans="1:49" ht="14.5" hidden="1" outlineLevel="1" x14ac:dyDescent="0.35">
      <c r="A597" t="s">
        <v>12</v>
      </c>
      <c r="B597" t="s">
        <v>14</v>
      </c>
      <c r="C597" t="s">
        <v>21</v>
      </c>
      <c r="D597" t="s">
        <v>85</v>
      </c>
      <c r="E597" t="s">
        <v>96</v>
      </c>
      <c r="F597" s="11">
        <v>16</v>
      </c>
      <c r="G597" s="11">
        <v>16</v>
      </c>
      <c r="H597" s="11">
        <v>16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</row>
    <row r="598" spans="1:49" ht="14.5" hidden="1" outlineLevel="1" x14ac:dyDescent="0.35">
      <c r="A598" t="s">
        <v>12</v>
      </c>
      <c r="B598" t="s">
        <v>14</v>
      </c>
      <c r="C598" t="s">
        <v>21</v>
      </c>
      <c r="D598" t="s">
        <v>85</v>
      </c>
      <c r="E598" t="s">
        <v>91</v>
      </c>
      <c r="F598" s="11">
        <v>16</v>
      </c>
      <c r="G598" s="11">
        <v>16</v>
      </c>
      <c r="H598" s="11">
        <v>29.5</v>
      </c>
      <c r="I598" s="11">
        <v>-13.5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</row>
    <row r="599" spans="1:49" ht="14.5" hidden="1" outlineLevel="1" x14ac:dyDescent="0.35">
      <c r="A599" t="s">
        <v>12</v>
      </c>
      <c r="B599" t="s">
        <v>14</v>
      </c>
      <c r="C599" t="s">
        <v>21</v>
      </c>
      <c r="D599" t="s">
        <v>85</v>
      </c>
      <c r="E599" t="s">
        <v>92</v>
      </c>
      <c r="F599" s="11">
        <v>0</v>
      </c>
      <c r="G599" s="11">
        <v>16</v>
      </c>
      <c r="H599" s="11">
        <v>16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12</v>
      </c>
      <c r="R599" s="11">
        <v>4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</row>
    <row r="600" spans="1:49" ht="14.5" hidden="1" outlineLevel="1" x14ac:dyDescent="0.35">
      <c r="A600" t="s">
        <v>12</v>
      </c>
      <c r="B600" t="s">
        <v>14</v>
      </c>
      <c r="C600" t="s">
        <v>21</v>
      </c>
      <c r="D600" t="s">
        <v>85</v>
      </c>
      <c r="E600" t="s">
        <v>83</v>
      </c>
      <c r="F600" s="11">
        <v>1</v>
      </c>
      <c r="G600" s="11">
        <v>1</v>
      </c>
      <c r="H600" s="11">
        <v>27</v>
      </c>
      <c r="I600" s="11">
        <v>-26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</row>
    <row r="601" spans="1:49" ht="14.5" hidden="1" outlineLevel="1" x14ac:dyDescent="0.35">
      <c r="A601" s="8" t="s">
        <v>12</v>
      </c>
      <c r="B601" s="8" t="s">
        <v>14</v>
      </c>
      <c r="C601" s="8" t="s">
        <v>21</v>
      </c>
      <c r="D601" s="8" t="s">
        <v>74</v>
      </c>
      <c r="E601" s="9" t="s">
        <v>83</v>
      </c>
      <c r="F601" s="10"/>
      <c r="G601" s="10"/>
      <c r="H601" s="10"/>
      <c r="I601" s="10"/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8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</row>
    <row r="602" spans="1:49" ht="14.5" hidden="1" outlineLevel="1" x14ac:dyDescent="0.35">
      <c r="A602" s="8" t="s">
        <v>12</v>
      </c>
      <c r="B602" s="8" t="s">
        <v>14</v>
      </c>
      <c r="C602" s="8" t="s">
        <v>21</v>
      </c>
      <c r="D602" s="8" t="s">
        <v>74</v>
      </c>
      <c r="E602" s="9" t="s">
        <v>103</v>
      </c>
      <c r="F602" s="10"/>
      <c r="G602" s="10"/>
      <c r="H602" s="10"/>
      <c r="I602" s="10"/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8.5</v>
      </c>
      <c r="AD602" s="10">
        <v>4.5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</row>
    <row r="603" spans="1:49" ht="14.5" hidden="1" outlineLevel="1" x14ac:dyDescent="0.35">
      <c r="A603" s="8" t="s">
        <v>12</v>
      </c>
      <c r="B603" s="8" t="s">
        <v>14</v>
      </c>
      <c r="C603" s="8" t="s">
        <v>21</v>
      </c>
      <c r="D603" s="8" t="s">
        <v>74</v>
      </c>
      <c r="E603" s="9" t="s">
        <v>98</v>
      </c>
      <c r="F603" s="10"/>
      <c r="G603" s="10"/>
      <c r="H603" s="10"/>
      <c r="I603" s="10"/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12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</row>
    <row r="604" spans="1:49" ht="14.5" collapsed="1" x14ac:dyDescent="0.35">
      <c r="A604" s="6" t="s">
        <v>29</v>
      </c>
      <c r="B604" s="6" t="s">
        <v>14</v>
      </c>
      <c r="C604" s="6" t="s">
        <v>32</v>
      </c>
      <c r="D604" s="6" t="s">
        <v>72</v>
      </c>
      <c r="E604" s="6" t="s">
        <v>73</v>
      </c>
      <c r="F604" s="7">
        <f t="shared" ref="F604:AW604" si="62">SUM(F605,F606)</f>
        <v>310</v>
      </c>
      <c r="G604" s="7">
        <f t="shared" si="62"/>
        <v>1255</v>
      </c>
      <c r="H604" s="7">
        <f t="shared" si="62"/>
        <v>1178</v>
      </c>
      <c r="I604" s="7">
        <f t="shared" si="62"/>
        <v>77</v>
      </c>
      <c r="J604" s="7">
        <f t="shared" si="62"/>
        <v>20</v>
      </c>
      <c r="K604" s="7">
        <f t="shared" si="62"/>
        <v>18</v>
      </c>
      <c r="L604" s="7">
        <f t="shared" si="62"/>
        <v>18</v>
      </c>
      <c r="M604" s="7">
        <f t="shared" si="62"/>
        <v>18</v>
      </c>
      <c r="N604" s="7">
        <f t="shared" si="62"/>
        <v>25</v>
      </c>
      <c r="O604" s="7">
        <f t="shared" si="62"/>
        <v>35</v>
      </c>
      <c r="P604" s="13">
        <f t="shared" si="62"/>
        <v>50</v>
      </c>
      <c r="Q604" s="7">
        <f t="shared" si="62"/>
        <v>40</v>
      </c>
      <c r="R604" s="7">
        <f t="shared" si="62"/>
        <v>40</v>
      </c>
      <c r="S604" s="7">
        <f t="shared" si="62"/>
        <v>15</v>
      </c>
      <c r="T604" s="7">
        <f t="shared" si="62"/>
        <v>15</v>
      </c>
      <c r="U604" s="7">
        <f t="shared" si="62"/>
        <v>15</v>
      </c>
      <c r="V604" s="7">
        <f t="shared" si="62"/>
        <v>15</v>
      </c>
      <c r="W604" s="7">
        <f t="shared" si="62"/>
        <v>5</v>
      </c>
      <c r="X604" s="7">
        <f t="shared" si="62"/>
        <v>5</v>
      </c>
      <c r="Y604" s="7">
        <f t="shared" si="62"/>
        <v>5</v>
      </c>
      <c r="Z604" s="7">
        <f t="shared" si="62"/>
        <v>0</v>
      </c>
      <c r="AA604" s="7">
        <f t="shared" si="62"/>
        <v>0</v>
      </c>
      <c r="AB604" s="7">
        <f t="shared" si="62"/>
        <v>30</v>
      </c>
      <c r="AC604" s="7">
        <f t="shared" si="62"/>
        <v>40</v>
      </c>
      <c r="AD604" s="7">
        <f t="shared" si="62"/>
        <v>55</v>
      </c>
      <c r="AE604" s="7">
        <f t="shared" si="62"/>
        <v>55</v>
      </c>
      <c r="AF604" s="7">
        <f t="shared" si="62"/>
        <v>55</v>
      </c>
      <c r="AG604" s="7">
        <f t="shared" si="62"/>
        <v>55</v>
      </c>
      <c r="AH604" s="7">
        <f t="shared" si="62"/>
        <v>50</v>
      </c>
      <c r="AI604" s="7">
        <f t="shared" si="62"/>
        <v>25</v>
      </c>
      <c r="AJ604" s="7">
        <f t="shared" si="62"/>
        <v>25</v>
      </c>
      <c r="AK604" s="7">
        <f t="shared" si="62"/>
        <v>25</v>
      </c>
      <c r="AL604" s="7">
        <f t="shared" si="62"/>
        <v>25</v>
      </c>
      <c r="AM604" s="7">
        <f t="shared" si="62"/>
        <v>25</v>
      </c>
      <c r="AN604" s="7">
        <f t="shared" si="62"/>
        <v>25</v>
      </c>
      <c r="AO604" s="7">
        <f t="shared" si="62"/>
        <v>25</v>
      </c>
      <c r="AP604" s="7">
        <f t="shared" si="62"/>
        <v>25</v>
      </c>
      <c r="AQ604" s="7">
        <f t="shared" si="62"/>
        <v>10</v>
      </c>
      <c r="AR604" s="7">
        <f t="shared" si="62"/>
        <v>10</v>
      </c>
      <c r="AS604" s="7">
        <f t="shared" si="62"/>
        <v>5</v>
      </c>
      <c r="AT604" s="7">
        <f t="shared" si="62"/>
        <v>0</v>
      </c>
      <c r="AU604" s="7">
        <f t="shared" si="62"/>
        <v>0</v>
      </c>
      <c r="AV604" s="7">
        <f t="shared" si="62"/>
        <v>0</v>
      </c>
      <c r="AW604" s="7">
        <f t="shared" si="62"/>
        <v>0</v>
      </c>
    </row>
    <row r="605" spans="1:49" ht="14.5" hidden="1" outlineLevel="1" x14ac:dyDescent="0.35">
      <c r="A605" t="s">
        <v>29</v>
      </c>
      <c r="B605" t="s">
        <v>14</v>
      </c>
      <c r="C605" t="s">
        <v>32</v>
      </c>
      <c r="D605" t="s">
        <v>85</v>
      </c>
      <c r="E605" t="s">
        <v>95</v>
      </c>
      <c r="F605" s="11">
        <v>50</v>
      </c>
      <c r="G605" s="11">
        <v>455</v>
      </c>
      <c r="H605" s="11">
        <v>548</v>
      </c>
      <c r="I605" s="11">
        <v>-93</v>
      </c>
      <c r="J605" s="11">
        <v>10</v>
      </c>
      <c r="K605" s="11">
        <v>10</v>
      </c>
      <c r="L605" s="11">
        <v>10</v>
      </c>
      <c r="M605" s="11">
        <v>10</v>
      </c>
      <c r="N605" s="11">
        <v>20</v>
      </c>
      <c r="O605" s="11">
        <v>30</v>
      </c>
      <c r="P605" s="11">
        <v>30</v>
      </c>
      <c r="Q605" s="11">
        <v>20</v>
      </c>
      <c r="R605" s="11">
        <v>20</v>
      </c>
      <c r="S605" s="11">
        <v>10</v>
      </c>
      <c r="T605" s="11">
        <v>10</v>
      </c>
      <c r="U605" s="11">
        <v>10</v>
      </c>
      <c r="V605" s="11">
        <v>10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5</v>
      </c>
      <c r="AJ605" s="11">
        <v>25</v>
      </c>
      <c r="AK605" s="11">
        <v>25</v>
      </c>
      <c r="AL605" s="11">
        <v>25</v>
      </c>
      <c r="AM605" s="11">
        <v>25</v>
      </c>
      <c r="AN605" s="11">
        <v>25</v>
      </c>
      <c r="AO605" s="11">
        <v>25</v>
      </c>
      <c r="AP605" s="11">
        <v>25</v>
      </c>
      <c r="AQ605" s="11">
        <v>10</v>
      </c>
      <c r="AR605" s="11">
        <v>10</v>
      </c>
      <c r="AS605" s="11">
        <v>5</v>
      </c>
      <c r="AT605" s="11">
        <v>0</v>
      </c>
      <c r="AU605" s="11">
        <v>0</v>
      </c>
      <c r="AV605" s="11">
        <v>0</v>
      </c>
      <c r="AW605" s="11">
        <v>0</v>
      </c>
    </row>
    <row r="606" spans="1:49" ht="14.5" hidden="1" outlineLevel="1" x14ac:dyDescent="0.35">
      <c r="A606" t="s">
        <v>29</v>
      </c>
      <c r="B606" t="s">
        <v>14</v>
      </c>
      <c r="C606" t="s">
        <v>32</v>
      </c>
      <c r="D606" t="s">
        <v>85</v>
      </c>
      <c r="E606" t="s">
        <v>75</v>
      </c>
      <c r="F606" s="11">
        <v>260</v>
      </c>
      <c r="G606" s="11">
        <v>800</v>
      </c>
      <c r="H606" s="11">
        <v>630</v>
      </c>
      <c r="I606" s="11">
        <v>170</v>
      </c>
      <c r="J606" s="11">
        <v>10</v>
      </c>
      <c r="K606" s="11">
        <v>8</v>
      </c>
      <c r="L606" s="11">
        <v>8</v>
      </c>
      <c r="M606" s="11">
        <v>8</v>
      </c>
      <c r="N606" s="11">
        <v>5</v>
      </c>
      <c r="O606" s="11">
        <v>5</v>
      </c>
      <c r="P606" s="11">
        <v>20</v>
      </c>
      <c r="Q606" s="11">
        <v>20</v>
      </c>
      <c r="R606" s="11">
        <v>20</v>
      </c>
      <c r="S606" s="11">
        <v>5</v>
      </c>
      <c r="T606" s="11">
        <v>5</v>
      </c>
      <c r="U606" s="11">
        <v>5</v>
      </c>
      <c r="V606" s="11">
        <v>5</v>
      </c>
      <c r="W606" s="11">
        <v>5</v>
      </c>
      <c r="X606" s="11">
        <v>5</v>
      </c>
      <c r="Y606" s="11">
        <v>5</v>
      </c>
      <c r="Z606" s="11">
        <v>0</v>
      </c>
      <c r="AA606" s="11">
        <v>0</v>
      </c>
      <c r="AB606" s="11">
        <v>30</v>
      </c>
      <c r="AC606" s="11">
        <v>40</v>
      </c>
      <c r="AD606" s="11">
        <v>55</v>
      </c>
      <c r="AE606" s="11">
        <v>55</v>
      </c>
      <c r="AF606" s="11">
        <v>55</v>
      </c>
      <c r="AG606" s="11">
        <v>55</v>
      </c>
      <c r="AH606" s="11">
        <v>50</v>
      </c>
      <c r="AI606" s="11">
        <v>20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</row>
    <row r="607" spans="1:49" ht="14.5" hidden="1" outlineLevel="1" x14ac:dyDescent="0.35">
      <c r="A607" s="14" t="s">
        <v>29</v>
      </c>
      <c r="B607" s="14" t="s">
        <v>14</v>
      </c>
      <c r="C607" s="14" t="s">
        <v>32</v>
      </c>
      <c r="D607" s="14" t="s">
        <v>99</v>
      </c>
      <c r="E607" s="15" t="s">
        <v>75</v>
      </c>
      <c r="F607" s="16"/>
      <c r="G607" s="16"/>
      <c r="H607" s="16"/>
      <c r="I607" s="16"/>
      <c r="J607" s="16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-10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>
        <v>0</v>
      </c>
      <c r="AO607" s="16">
        <v>0</v>
      </c>
      <c r="AP607" s="16">
        <v>0</v>
      </c>
      <c r="AQ607" s="16">
        <v>0</v>
      </c>
      <c r="AR607" s="16">
        <v>0</v>
      </c>
      <c r="AS607" s="16">
        <v>0</v>
      </c>
      <c r="AT607" s="16">
        <v>0</v>
      </c>
      <c r="AU607" s="16">
        <v>0</v>
      </c>
      <c r="AV607" s="16">
        <v>0</v>
      </c>
      <c r="AW607" s="16">
        <v>0</v>
      </c>
    </row>
    <row r="608" spans="1:49" ht="14.5" collapsed="1" x14ac:dyDescent="0.35">
      <c r="A608" s="6" t="s">
        <v>12</v>
      </c>
      <c r="B608" s="6" t="s">
        <v>14</v>
      </c>
      <c r="C608" s="6" t="s">
        <v>30</v>
      </c>
      <c r="D608" s="6" t="s">
        <v>72</v>
      </c>
      <c r="E608" s="6" t="s">
        <v>73</v>
      </c>
      <c r="F608" s="7">
        <f t="shared" ref="F608:AW608" si="63">SUM(F609,F611,F612,F613,F616,F618,F621,F622)</f>
        <v>332.5</v>
      </c>
      <c r="G608" s="7">
        <f t="shared" si="63"/>
        <v>828.5</v>
      </c>
      <c r="H608" s="7">
        <f t="shared" si="63"/>
        <v>1016</v>
      </c>
      <c r="I608" s="7">
        <f t="shared" si="63"/>
        <v>-187.5</v>
      </c>
      <c r="J608" s="7">
        <f t="shared" si="63"/>
        <v>23</v>
      </c>
      <c r="K608" s="7">
        <f t="shared" si="63"/>
        <v>19</v>
      </c>
      <c r="L608" s="7">
        <f t="shared" si="63"/>
        <v>34</v>
      </c>
      <c r="M608" s="7">
        <f t="shared" si="63"/>
        <v>19</v>
      </c>
      <c r="N608" s="7">
        <f t="shared" si="63"/>
        <v>17</v>
      </c>
      <c r="O608" s="7">
        <f t="shared" si="63"/>
        <v>24</v>
      </c>
      <c r="P608" s="13">
        <f t="shared" si="63"/>
        <v>55</v>
      </c>
      <c r="Q608" s="7">
        <f t="shared" si="63"/>
        <v>29</v>
      </c>
      <c r="R608" s="7">
        <f t="shared" si="63"/>
        <v>17</v>
      </c>
      <c r="S608" s="7">
        <f t="shared" si="63"/>
        <v>5</v>
      </c>
      <c r="T608" s="7">
        <f t="shared" si="63"/>
        <v>3</v>
      </c>
      <c r="U608" s="7">
        <f t="shared" si="63"/>
        <v>2</v>
      </c>
      <c r="V608" s="7">
        <f t="shared" si="63"/>
        <v>2</v>
      </c>
      <c r="W608" s="7">
        <f t="shared" si="63"/>
        <v>2</v>
      </c>
      <c r="X608" s="7">
        <f t="shared" si="63"/>
        <v>2</v>
      </c>
      <c r="Y608" s="7">
        <f t="shared" si="63"/>
        <v>17</v>
      </c>
      <c r="Z608" s="7">
        <f t="shared" si="63"/>
        <v>2</v>
      </c>
      <c r="AA608" s="7">
        <f t="shared" si="63"/>
        <v>0</v>
      </c>
      <c r="AB608" s="7">
        <f t="shared" si="63"/>
        <v>9</v>
      </c>
      <c r="AC608" s="7">
        <f t="shared" si="63"/>
        <v>40</v>
      </c>
      <c r="AD608" s="7">
        <f t="shared" si="63"/>
        <v>12</v>
      </c>
      <c r="AE608" s="7">
        <f t="shared" si="63"/>
        <v>14</v>
      </c>
      <c r="AF608" s="7">
        <f t="shared" si="63"/>
        <v>50</v>
      </c>
      <c r="AG608" s="7">
        <f t="shared" si="63"/>
        <v>44</v>
      </c>
      <c r="AH608" s="7">
        <f t="shared" si="63"/>
        <v>40</v>
      </c>
      <c r="AI608" s="7">
        <f t="shared" si="63"/>
        <v>32</v>
      </c>
      <c r="AJ608" s="7">
        <f t="shared" si="63"/>
        <v>30</v>
      </c>
      <c r="AK608" s="7">
        <f t="shared" si="63"/>
        <v>30</v>
      </c>
      <c r="AL608" s="7">
        <f t="shared" si="63"/>
        <v>30</v>
      </c>
      <c r="AM608" s="7">
        <f t="shared" si="63"/>
        <v>0</v>
      </c>
      <c r="AN608" s="7">
        <f t="shared" si="63"/>
        <v>0</v>
      </c>
      <c r="AO608" s="7">
        <f t="shared" si="63"/>
        <v>0</v>
      </c>
      <c r="AP608" s="7">
        <f t="shared" si="63"/>
        <v>0</v>
      </c>
      <c r="AQ608" s="7">
        <f t="shared" si="63"/>
        <v>0</v>
      </c>
      <c r="AR608" s="7">
        <f t="shared" si="63"/>
        <v>0</v>
      </c>
      <c r="AS608" s="7">
        <f t="shared" si="63"/>
        <v>0</v>
      </c>
      <c r="AT608" s="7">
        <f t="shared" si="63"/>
        <v>0</v>
      </c>
      <c r="AU608" s="7">
        <f t="shared" si="63"/>
        <v>0</v>
      </c>
      <c r="AV608" s="7">
        <f t="shared" si="63"/>
        <v>0</v>
      </c>
      <c r="AW608" s="7">
        <f t="shared" si="63"/>
        <v>0</v>
      </c>
    </row>
    <row r="609" spans="1:49" ht="14.5" hidden="1" outlineLevel="1" x14ac:dyDescent="0.35">
      <c r="A609" t="s">
        <v>12</v>
      </c>
      <c r="B609" t="s">
        <v>14</v>
      </c>
      <c r="C609" t="s">
        <v>30</v>
      </c>
      <c r="D609" t="s">
        <v>85</v>
      </c>
      <c r="E609" t="s">
        <v>79</v>
      </c>
      <c r="F609" s="11">
        <v>14</v>
      </c>
      <c r="G609" s="11">
        <v>14</v>
      </c>
      <c r="H609" s="11">
        <v>14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</row>
    <row r="610" spans="1:49" ht="14.5" hidden="1" outlineLevel="1" x14ac:dyDescent="0.35">
      <c r="A610" s="8" t="s">
        <v>12</v>
      </c>
      <c r="B610" s="8" t="s">
        <v>14</v>
      </c>
      <c r="C610" s="8" t="s">
        <v>30</v>
      </c>
      <c r="D610" s="8" t="s">
        <v>74</v>
      </c>
      <c r="E610" s="9" t="s">
        <v>79</v>
      </c>
      <c r="F610" s="10"/>
      <c r="G610" s="10"/>
      <c r="H610" s="10"/>
      <c r="I610" s="10"/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5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</row>
    <row r="611" spans="1:49" ht="14.5" hidden="1" outlineLevel="1" x14ac:dyDescent="0.35">
      <c r="A611" t="s">
        <v>12</v>
      </c>
      <c r="B611" t="s">
        <v>14</v>
      </c>
      <c r="C611" t="s">
        <v>30</v>
      </c>
      <c r="D611" t="s">
        <v>85</v>
      </c>
      <c r="E611" t="s">
        <v>124</v>
      </c>
      <c r="F611" s="11">
        <v>6</v>
      </c>
      <c r="G611" s="11">
        <v>6</v>
      </c>
      <c r="H611" s="11">
        <v>6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</row>
    <row r="612" spans="1:49" ht="14.5" hidden="1" outlineLevel="1" x14ac:dyDescent="0.35">
      <c r="A612" t="s">
        <v>12</v>
      </c>
      <c r="B612" t="s">
        <v>14</v>
      </c>
      <c r="C612" t="s">
        <v>30</v>
      </c>
      <c r="D612" t="s">
        <v>85</v>
      </c>
      <c r="E612" t="s">
        <v>88</v>
      </c>
      <c r="F612" s="11">
        <v>0</v>
      </c>
      <c r="G612" s="11">
        <v>0</v>
      </c>
      <c r="H612" s="11">
        <v>2</v>
      </c>
      <c r="I612" s="11">
        <v>-2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</row>
    <row r="613" spans="1:49" ht="14.5" hidden="1" outlineLevel="1" x14ac:dyDescent="0.35">
      <c r="A613" t="s">
        <v>12</v>
      </c>
      <c r="B613" t="s">
        <v>14</v>
      </c>
      <c r="C613" t="s">
        <v>30</v>
      </c>
      <c r="D613" t="s">
        <v>85</v>
      </c>
      <c r="E613" t="s">
        <v>81</v>
      </c>
      <c r="F613" s="11">
        <v>150.5</v>
      </c>
      <c r="G613" s="11">
        <v>518.5</v>
      </c>
      <c r="H613" s="11">
        <v>396.5</v>
      </c>
      <c r="I613" s="11">
        <v>122</v>
      </c>
      <c r="J613" s="11">
        <v>10</v>
      </c>
      <c r="K613" s="11">
        <v>2</v>
      </c>
      <c r="L613" s="11">
        <v>14</v>
      </c>
      <c r="M613" s="11">
        <v>2</v>
      </c>
      <c r="N613" s="11">
        <v>2</v>
      </c>
      <c r="O613" s="11">
        <v>9</v>
      </c>
      <c r="P613" s="11">
        <v>40</v>
      </c>
      <c r="Q613" s="11">
        <v>14</v>
      </c>
      <c r="R613" s="11">
        <v>2</v>
      </c>
      <c r="S613" s="11">
        <v>2</v>
      </c>
      <c r="T613" s="11">
        <v>2</v>
      </c>
      <c r="U613" s="11">
        <v>2</v>
      </c>
      <c r="V613" s="11">
        <v>2</v>
      </c>
      <c r="W613" s="11">
        <v>2</v>
      </c>
      <c r="X613" s="11">
        <v>2</v>
      </c>
      <c r="Y613" s="11">
        <v>14</v>
      </c>
      <c r="Z613" s="11">
        <v>2</v>
      </c>
      <c r="AA613" s="11">
        <v>0</v>
      </c>
      <c r="AB613" s="11">
        <v>9</v>
      </c>
      <c r="AC613" s="11">
        <v>40</v>
      </c>
      <c r="AD613" s="11">
        <v>12</v>
      </c>
      <c r="AE613" s="11">
        <v>4</v>
      </c>
      <c r="AF613" s="11">
        <v>25</v>
      </c>
      <c r="AG613" s="11">
        <v>14</v>
      </c>
      <c r="AH613" s="11">
        <v>10</v>
      </c>
      <c r="AI613" s="11">
        <v>2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</row>
    <row r="614" spans="1:49" ht="14.5" hidden="1" outlineLevel="1" x14ac:dyDescent="0.35">
      <c r="A614" s="14" t="s">
        <v>12</v>
      </c>
      <c r="B614" s="14" t="s">
        <v>14</v>
      </c>
      <c r="C614" s="14" t="s">
        <v>30</v>
      </c>
      <c r="D614" s="14" t="s">
        <v>99</v>
      </c>
      <c r="E614" s="15" t="s">
        <v>81</v>
      </c>
      <c r="F614" s="16"/>
      <c r="G614" s="16"/>
      <c r="H614" s="16"/>
      <c r="I614" s="16"/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-25</v>
      </c>
      <c r="AG614" s="16">
        <v>-14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>
        <v>0</v>
      </c>
      <c r="AU614" s="16">
        <v>0</v>
      </c>
      <c r="AV614" s="16">
        <v>0</v>
      </c>
      <c r="AW614" s="16">
        <v>0</v>
      </c>
    </row>
    <row r="615" spans="1:49" ht="14.5" hidden="1" outlineLevel="1" x14ac:dyDescent="0.35">
      <c r="A615" s="8" t="s">
        <v>12</v>
      </c>
      <c r="B615" s="8" t="s">
        <v>14</v>
      </c>
      <c r="C615" s="8" t="s">
        <v>30</v>
      </c>
      <c r="D615" s="8" t="s">
        <v>74</v>
      </c>
      <c r="E615" s="9" t="s">
        <v>81</v>
      </c>
      <c r="F615" s="10"/>
      <c r="G615" s="10"/>
      <c r="H615" s="10"/>
      <c r="I615" s="10"/>
      <c r="J615" s="10">
        <v>9</v>
      </c>
      <c r="K615" s="10">
        <v>21</v>
      </c>
      <c r="L615" s="10">
        <v>6</v>
      </c>
      <c r="M615" s="10">
        <v>0</v>
      </c>
      <c r="N615" s="10">
        <v>0</v>
      </c>
      <c r="O615" s="10">
        <v>2</v>
      </c>
      <c r="P615" s="10">
        <v>0</v>
      </c>
      <c r="Q615" s="10">
        <v>2</v>
      </c>
      <c r="R615" s="10">
        <v>2</v>
      </c>
      <c r="S615" s="10">
        <v>2</v>
      </c>
      <c r="T615" s="10">
        <v>2</v>
      </c>
      <c r="U615" s="10">
        <v>28</v>
      </c>
      <c r="V615" s="10">
        <v>26</v>
      </c>
      <c r="W615" s="10">
        <v>28</v>
      </c>
      <c r="X615" s="10">
        <v>25.5</v>
      </c>
      <c r="Y615" s="10">
        <v>5.5</v>
      </c>
      <c r="Z615" s="10">
        <v>2</v>
      </c>
      <c r="AA615" s="10">
        <v>0</v>
      </c>
      <c r="AB615" s="10">
        <v>6</v>
      </c>
      <c r="AC615" s="10">
        <v>0</v>
      </c>
      <c r="AD615" s="10">
        <v>28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</row>
    <row r="616" spans="1:49" ht="14.5" hidden="1" outlineLevel="1" x14ac:dyDescent="0.35">
      <c r="A616" t="s">
        <v>12</v>
      </c>
      <c r="B616" t="s">
        <v>14</v>
      </c>
      <c r="C616" t="s">
        <v>30</v>
      </c>
      <c r="D616" t="s">
        <v>85</v>
      </c>
      <c r="E616" t="s">
        <v>98</v>
      </c>
      <c r="F616" s="11">
        <v>162</v>
      </c>
      <c r="G616" s="11">
        <v>200</v>
      </c>
      <c r="H616" s="11">
        <v>132.5</v>
      </c>
      <c r="I616" s="11">
        <v>67.5</v>
      </c>
      <c r="J616" s="11">
        <v>13</v>
      </c>
      <c r="K616" s="11">
        <v>12</v>
      </c>
      <c r="L616" s="11">
        <v>10</v>
      </c>
      <c r="M616" s="11">
        <v>7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</row>
    <row r="617" spans="1:49" ht="14.5" hidden="1" outlineLevel="1" x14ac:dyDescent="0.35">
      <c r="A617" s="8" t="s">
        <v>12</v>
      </c>
      <c r="B617" s="8" t="s">
        <v>14</v>
      </c>
      <c r="C617" s="8" t="s">
        <v>30</v>
      </c>
      <c r="D617" s="8" t="s">
        <v>74</v>
      </c>
      <c r="E617" s="9" t="s">
        <v>98</v>
      </c>
      <c r="F617" s="10"/>
      <c r="G617" s="10"/>
      <c r="H617" s="10"/>
      <c r="I617" s="10"/>
      <c r="J617" s="10">
        <v>6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11</v>
      </c>
      <c r="U617" s="10">
        <v>7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40</v>
      </c>
      <c r="AC617" s="10">
        <v>7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</row>
    <row r="618" spans="1:49" ht="14.5" hidden="1" outlineLevel="1" x14ac:dyDescent="0.35">
      <c r="A618" t="s">
        <v>12</v>
      </c>
      <c r="B618" t="s">
        <v>14</v>
      </c>
      <c r="C618" t="s">
        <v>30</v>
      </c>
      <c r="D618" t="s">
        <v>85</v>
      </c>
      <c r="E618" t="s">
        <v>102</v>
      </c>
      <c r="F618" s="11">
        <v>0</v>
      </c>
      <c r="G618" s="11">
        <v>0</v>
      </c>
      <c r="H618" s="11">
        <v>342</v>
      </c>
      <c r="I618" s="11">
        <v>-342</v>
      </c>
      <c r="J618" s="11">
        <v>0</v>
      </c>
      <c r="K618" s="11">
        <v>5</v>
      </c>
      <c r="L618" s="11">
        <v>10</v>
      </c>
      <c r="M618" s="11">
        <v>10</v>
      </c>
      <c r="N618" s="11">
        <v>15</v>
      </c>
      <c r="O618" s="11">
        <v>15</v>
      </c>
      <c r="P618" s="11">
        <v>15</v>
      </c>
      <c r="Q618" s="11">
        <v>15</v>
      </c>
      <c r="R618" s="11">
        <v>15</v>
      </c>
      <c r="S618" s="11">
        <v>3</v>
      </c>
      <c r="T618" s="11">
        <v>1</v>
      </c>
      <c r="U618" s="11">
        <v>0</v>
      </c>
      <c r="V618" s="11">
        <v>0</v>
      </c>
      <c r="W618" s="11">
        <v>0</v>
      </c>
      <c r="X618" s="11">
        <v>0</v>
      </c>
      <c r="Y618" s="11">
        <v>3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10</v>
      </c>
      <c r="AF618" s="11">
        <v>25</v>
      </c>
      <c r="AG618" s="11">
        <v>30</v>
      </c>
      <c r="AH618" s="11">
        <v>30</v>
      </c>
      <c r="AI618" s="11">
        <v>30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</row>
    <row r="619" spans="1:49" ht="14.5" hidden="1" outlineLevel="1" x14ac:dyDescent="0.35">
      <c r="A619" s="14" t="s">
        <v>12</v>
      </c>
      <c r="B619" s="14" t="s">
        <v>14</v>
      </c>
      <c r="C619" s="14" t="s">
        <v>30</v>
      </c>
      <c r="D619" s="14" t="s">
        <v>99</v>
      </c>
      <c r="E619" s="15" t="s">
        <v>102</v>
      </c>
      <c r="F619" s="16"/>
      <c r="G619" s="16"/>
      <c r="H619" s="16"/>
      <c r="I619" s="16"/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 s="16">
        <v>0</v>
      </c>
      <c r="P619" s="16">
        <v>-15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0</v>
      </c>
      <c r="AF619" s="16">
        <v>-25</v>
      </c>
      <c r="AG619" s="16">
        <v>-30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>
        <v>0</v>
      </c>
      <c r="AU619" s="16">
        <v>0</v>
      </c>
      <c r="AV619" s="16">
        <v>0</v>
      </c>
      <c r="AW619" s="16">
        <v>0</v>
      </c>
    </row>
    <row r="620" spans="1:49" ht="14.5" hidden="1" outlineLevel="1" x14ac:dyDescent="0.35">
      <c r="A620" s="8" t="s">
        <v>12</v>
      </c>
      <c r="B620" s="8" t="s">
        <v>14</v>
      </c>
      <c r="C620" s="8" t="s">
        <v>30</v>
      </c>
      <c r="D620" s="8" t="s">
        <v>74</v>
      </c>
      <c r="E620" s="9" t="s">
        <v>102</v>
      </c>
      <c r="F620" s="10"/>
      <c r="G620" s="10"/>
      <c r="H620" s="10"/>
      <c r="I620" s="10"/>
      <c r="J620" s="10">
        <v>2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7</v>
      </c>
      <c r="T620" s="10">
        <v>6</v>
      </c>
      <c r="U620" s="10">
        <v>3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15</v>
      </c>
      <c r="AE620" s="10">
        <v>25</v>
      </c>
      <c r="AF620" s="10">
        <v>0</v>
      </c>
      <c r="AG620" s="10">
        <v>0</v>
      </c>
      <c r="AH620" s="10">
        <v>15</v>
      </c>
      <c r="AI620" s="10">
        <v>5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</row>
    <row r="621" spans="1:49" ht="14.5" hidden="1" outlineLevel="1" x14ac:dyDescent="0.35">
      <c r="A621" t="s">
        <v>12</v>
      </c>
      <c r="B621" t="s">
        <v>14</v>
      </c>
      <c r="C621" t="s">
        <v>30</v>
      </c>
      <c r="D621" t="s">
        <v>85</v>
      </c>
      <c r="E621" t="s">
        <v>128</v>
      </c>
      <c r="F621" s="11">
        <v>0</v>
      </c>
      <c r="G621" s="11">
        <v>90</v>
      </c>
      <c r="H621" s="11">
        <v>90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30</v>
      </c>
      <c r="AK621" s="11">
        <v>30</v>
      </c>
      <c r="AL621" s="11">
        <v>30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</row>
    <row r="622" spans="1:49" ht="14.5" hidden="1" outlineLevel="1" x14ac:dyDescent="0.35">
      <c r="A622" t="s">
        <v>12</v>
      </c>
      <c r="B622" t="s">
        <v>14</v>
      </c>
      <c r="C622" t="s">
        <v>30</v>
      </c>
      <c r="D622" t="s">
        <v>85</v>
      </c>
      <c r="E622" t="s">
        <v>91</v>
      </c>
      <c r="F622" s="11">
        <v>0</v>
      </c>
      <c r="G622" s="11">
        <v>0</v>
      </c>
      <c r="H622" s="11">
        <v>33</v>
      </c>
      <c r="I622" s="11">
        <v>-33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0</v>
      </c>
      <c r="AT622" s="11">
        <v>0</v>
      </c>
      <c r="AU622" s="11">
        <v>0</v>
      </c>
      <c r="AV622" s="11">
        <v>0</v>
      </c>
      <c r="AW622" s="11">
        <v>0</v>
      </c>
    </row>
    <row r="623" spans="1:49" ht="14.5" hidden="1" outlineLevel="1" x14ac:dyDescent="0.35">
      <c r="A623" s="8" t="s">
        <v>12</v>
      </c>
      <c r="B623" s="8" t="s">
        <v>14</v>
      </c>
      <c r="C623" s="8" t="s">
        <v>30</v>
      </c>
      <c r="D623" s="8" t="s">
        <v>74</v>
      </c>
      <c r="E623" s="9" t="s">
        <v>78</v>
      </c>
      <c r="F623" s="10"/>
      <c r="G623" s="10"/>
      <c r="H623" s="10"/>
      <c r="I623" s="10"/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7</v>
      </c>
      <c r="AF623" s="10">
        <v>0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</row>
    <row r="624" spans="1:49" ht="14.5" hidden="1" outlineLevel="1" x14ac:dyDescent="0.35">
      <c r="A624" s="8" t="s">
        <v>12</v>
      </c>
      <c r="B624" s="8" t="s">
        <v>14</v>
      </c>
      <c r="C624" s="8" t="s">
        <v>30</v>
      </c>
      <c r="D624" s="8" t="s">
        <v>74</v>
      </c>
      <c r="E624" s="9" t="s">
        <v>100</v>
      </c>
      <c r="F624" s="10"/>
      <c r="G624" s="10"/>
      <c r="H624" s="10"/>
      <c r="I624" s="10"/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8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</row>
    <row r="625" spans="1:49" ht="14.5" hidden="1" outlineLevel="1" x14ac:dyDescent="0.35">
      <c r="A625" s="8" t="s">
        <v>12</v>
      </c>
      <c r="B625" s="8" t="s">
        <v>14</v>
      </c>
      <c r="C625" s="8" t="s">
        <v>30</v>
      </c>
      <c r="D625" s="8" t="s">
        <v>74</v>
      </c>
      <c r="E625" s="9" t="s">
        <v>43</v>
      </c>
      <c r="F625" s="10"/>
      <c r="G625" s="10"/>
      <c r="H625" s="10"/>
      <c r="I625" s="10"/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10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4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</row>
    <row r="626" spans="1:49" ht="14.5" collapsed="1" x14ac:dyDescent="0.35">
      <c r="A626" s="6" t="s">
        <v>12</v>
      </c>
      <c r="B626" s="6" t="s">
        <v>14</v>
      </c>
      <c r="C626" s="6" t="s">
        <v>105</v>
      </c>
      <c r="D626" s="6" t="s">
        <v>72</v>
      </c>
      <c r="E626" s="6" t="s">
        <v>73</v>
      </c>
      <c r="F626" s="7">
        <f t="shared" ref="F626:AW626" si="64">SUM(F627,F628)</f>
        <v>75</v>
      </c>
      <c r="G626" s="7">
        <f t="shared" si="64"/>
        <v>75</v>
      </c>
      <c r="H626" s="7">
        <f t="shared" si="64"/>
        <v>0</v>
      </c>
      <c r="I626" s="7">
        <f t="shared" si="64"/>
        <v>75</v>
      </c>
      <c r="J626" s="7">
        <f t="shared" si="64"/>
        <v>0</v>
      </c>
      <c r="K626" s="7">
        <f t="shared" si="64"/>
        <v>0</v>
      </c>
      <c r="L626" s="7">
        <f t="shared" si="64"/>
        <v>0</v>
      </c>
      <c r="M626" s="7">
        <f t="shared" si="64"/>
        <v>0</v>
      </c>
      <c r="N626" s="7">
        <f t="shared" si="64"/>
        <v>0</v>
      </c>
      <c r="O626" s="7">
        <f t="shared" si="64"/>
        <v>0</v>
      </c>
      <c r="P626" s="7">
        <f t="shared" si="64"/>
        <v>0</v>
      </c>
      <c r="Q626" s="7">
        <f t="shared" si="64"/>
        <v>0</v>
      </c>
      <c r="R626" s="7">
        <f t="shared" si="64"/>
        <v>0</v>
      </c>
      <c r="S626" s="7">
        <f t="shared" si="64"/>
        <v>0</v>
      </c>
      <c r="T626" s="7">
        <f t="shared" si="64"/>
        <v>0</v>
      </c>
      <c r="U626" s="7">
        <f t="shared" si="64"/>
        <v>0</v>
      </c>
      <c r="V626" s="7">
        <f t="shared" si="64"/>
        <v>0</v>
      </c>
      <c r="W626" s="7">
        <f t="shared" si="64"/>
        <v>0</v>
      </c>
      <c r="X626" s="7">
        <f t="shared" si="64"/>
        <v>0</v>
      </c>
      <c r="Y626" s="7">
        <f t="shared" si="64"/>
        <v>0</v>
      </c>
      <c r="Z626" s="7">
        <f t="shared" si="64"/>
        <v>0</v>
      </c>
      <c r="AA626" s="7">
        <f t="shared" si="64"/>
        <v>0</v>
      </c>
      <c r="AB626" s="7">
        <f t="shared" si="64"/>
        <v>0</v>
      </c>
      <c r="AC626" s="7">
        <f t="shared" si="64"/>
        <v>0</v>
      </c>
      <c r="AD626" s="7">
        <f t="shared" si="64"/>
        <v>0</v>
      </c>
      <c r="AE626" s="7">
        <f t="shared" si="64"/>
        <v>0</v>
      </c>
      <c r="AF626" s="7">
        <f t="shared" si="64"/>
        <v>0</v>
      </c>
      <c r="AG626" s="7">
        <f t="shared" si="64"/>
        <v>0</v>
      </c>
      <c r="AH626" s="7">
        <f t="shared" si="64"/>
        <v>0</v>
      </c>
      <c r="AI626" s="7">
        <f t="shared" si="64"/>
        <v>0</v>
      </c>
      <c r="AJ626" s="7">
        <f t="shared" si="64"/>
        <v>0</v>
      </c>
      <c r="AK626" s="7">
        <f t="shared" si="64"/>
        <v>0</v>
      </c>
      <c r="AL626" s="7">
        <f t="shared" si="64"/>
        <v>0</v>
      </c>
      <c r="AM626" s="7">
        <f t="shared" si="64"/>
        <v>0</v>
      </c>
      <c r="AN626" s="7">
        <f t="shared" si="64"/>
        <v>0</v>
      </c>
      <c r="AO626" s="7">
        <f t="shared" si="64"/>
        <v>0</v>
      </c>
      <c r="AP626" s="7">
        <f t="shared" si="64"/>
        <v>0</v>
      </c>
      <c r="AQ626" s="7">
        <f t="shared" si="64"/>
        <v>0</v>
      </c>
      <c r="AR626" s="7">
        <f t="shared" si="64"/>
        <v>0</v>
      </c>
      <c r="AS626" s="7">
        <f t="shared" si="64"/>
        <v>0</v>
      </c>
      <c r="AT626" s="7">
        <f t="shared" si="64"/>
        <v>0</v>
      </c>
      <c r="AU626" s="7">
        <f t="shared" si="64"/>
        <v>0</v>
      </c>
      <c r="AV626" s="7">
        <f t="shared" si="64"/>
        <v>0</v>
      </c>
      <c r="AW626" s="7">
        <f t="shared" si="64"/>
        <v>0</v>
      </c>
    </row>
    <row r="627" spans="1:49" ht="14.5" hidden="1" outlineLevel="1" x14ac:dyDescent="0.35">
      <c r="A627" t="s">
        <v>12</v>
      </c>
      <c r="B627" t="s">
        <v>14</v>
      </c>
      <c r="C627" t="s">
        <v>105</v>
      </c>
      <c r="D627" t="s">
        <v>85</v>
      </c>
      <c r="E627" t="s">
        <v>88</v>
      </c>
      <c r="F627" s="11">
        <v>10</v>
      </c>
      <c r="G627" s="11">
        <v>10</v>
      </c>
      <c r="H627" s="11">
        <v>0</v>
      </c>
      <c r="I627" s="11">
        <v>10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</row>
    <row r="628" spans="1:49" ht="14.5" hidden="1" outlineLevel="1" x14ac:dyDescent="0.35">
      <c r="A628" t="s">
        <v>12</v>
      </c>
      <c r="B628" t="s">
        <v>14</v>
      </c>
      <c r="C628" t="s">
        <v>105</v>
      </c>
      <c r="D628" t="s">
        <v>85</v>
      </c>
      <c r="E628" t="s">
        <v>102</v>
      </c>
      <c r="F628" s="11">
        <v>65</v>
      </c>
      <c r="G628" s="11">
        <v>65</v>
      </c>
      <c r="H628" s="11">
        <v>0</v>
      </c>
      <c r="I628" s="11">
        <v>65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</row>
    <row r="629" spans="1:49" ht="14.5" collapsed="1" x14ac:dyDescent="0.35">
      <c r="A629" s="6" t="s">
        <v>12</v>
      </c>
      <c r="B629" s="6" t="s">
        <v>14</v>
      </c>
      <c r="C629" s="6" t="s">
        <v>107</v>
      </c>
      <c r="D629" s="6" t="s">
        <v>72</v>
      </c>
      <c r="E629" s="6" t="s">
        <v>73</v>
      </c>
      <c r="F629" s="7">
        <f t="shared" ref="F629:AW629" si="65">SUM(F630,F632,F633)</f>
        <v>105.5</v>
      </c>
      <c r="G629" s="7">
        <f t="shared" si="65"/>
        <v>329.5</v>
      </c>
      <c r="H629" s="7">
        <f t="shared" si="65"/>
        <v>268</v>
      </c>
      <c r="I629" s="7">
        <f t="shared" si="65"/>
        <v>61.5</v>
      </c>
      <c r="J629" s="7">
        <f t="shared" si="65"/>
        <v>6</v>
      </c>
      <c r="K629" s="7">
        <f t="shared" si="65"/>
        <v>0</v>
      </c>
      <c r="L629" s="7">
        <f t="shared" si="65"/>
        <v>6</v>
      </c>
      <c r="M629" s="7">
        <f t="shared" si="65"/>
        <v>0</v>
      </c>
      <c r="N629" s="7">
        <f t="shared" si="65"/>
        <v>0</v>
      </c>
      <c r="O629" s="7">
        <f t="shared" si="65"/>
        <v>0</v>
      </c>
      <c r="P629" s="7">
        <f t="shared" si="65"/>
        <v>0</v>
      </c>
      <c r="Q629" s="7">
        <f t="shared" si="65"/>
        <v>0</v>
      </c>
      <c r="R629" s="7">
        <f t="shared" si="65"/>
        <v>0</v>
      </c>
      <c r="S629" s="7">
        <f t="shared" si="65"/>
        <v>0</v>
      </c>
      <c r="T629" s="7">
        <f t="shared" si="65"/>
        <v>0</v>
      </c>
      <c r="U629" s="7">
        <f t="shared" si="65"/>
        <v>0</v>
      </c>
      <c r="V629" s="7">
        <f t="shared" si="65"/>
        <v>0</v>
      </c>
      <c r="W629" s="7">
        <f t="shared" si="65"/>
        <v>0</v>
      </c>
      <c r="X629" s="7">
        <f t="shared" si="65"/>
        <v>0</v>
      </c>
      <c r="Y629" s="7">
        <f t="shared" si="65"/>
        <v>0</v>
      </c>
      <c r="Z629" s="7">
        <f t="shared" si="65"/>
        <v>0</v>
      </c>
      <c r="AA629" s="7">
        <f t="shared" si="65"/>
        <v>0</v>
      </c>
      <c r="AB629" s="7">
        <f t="shared" si="65"/>
        <v>0</v>
      </c>
      <c r="AC629" s="7">
        <f t="shared" si="65"/>
        <v>10</v>
      </c>
      <c r="AD629" s="7">
        <f t="shared" si="65"/>
        <v>23</v>
      </c>
      <c r="AE629" s="7">
        <f t="shared" si="65"/>
        <v>33</v>
      </c>
      <c r="AF629" s="7">
        <f t="shared" si="65"/>
        <v>40</v>
      </c>
      <c r="AG629" s="7">
        <f t="shared" si="65"/>
        <v>50</v>
      </c>
      <c r="AH629" s="12">
        <f t="shared" si="65"/>
        <v>63</v>
      </c>
      <c r="AI629" s="7">
        <f t="shared" si="65"/>
        <v>37</v>
      </c>
      <c r="AJ629" s="7">
        <f t="shared" si="65"/>
        <v>0</v>
      </c>
      <c r="AK629" s="7">
        <f t="shared" si="65"/>
        <v>0</v>
      </c>
      <c r="AL629" s="7">
        <f t="shared" si="65"/>
        <v>0</v>
      </c>
      <c r="AM629" s="7">
        <f t="shared" si="65"/>
        <v>0</v>
      </c>
      <c r="AN629" s="7">
        <f t="shared" si="65"/>
        <v>0</v>
      </c>
      <c r="AO629" s="7">
        <f t="shared" si="65"/>
        <v>0</v>
      </c>
      <c r="AP629" s="7">
        <f t="shared" si="65"/>
        <v>0</v>
      </c>
      <c r="AQ629" s="7">
        <f t="shared" si="65"/>
        <v>0</v>
      </c>
      <c r="AR629" s="7">
        <f t="shared" si="65"/>
        <v>0</v>
      </c>
      <c r="AS629" s="7">
        <f t="shared" si="65"/>
        <v>0</v>
      </c>
      <c r="AT629" s="7">
        <f t="shared" si="65"/>
        <v>0</v>
      </c>
      <c r="AU629" s="7">
        <f t="shared" si="65"/>
        <v>0</v>
      </c>
      <c r="AV629" s="7">
        <f t="shared" si="65"/>
        <v>0</v>
      </c>
      <c r="AW629" s="7">
        <f t="shared" si="65"/>
        <v>0</v>
      </c>
    </row>
    <row r="630" spans="1:49" ht="14.5" hidden="1" outlineLevel="1" x14ac:dyDescent="0.35">
      <c r="A630" t="s">
        <v>12</v>
      </c>
      <c r="B630" t="s">
        <v>14</v>
      </c>
      <c r="C630" t="s">
        <v>107</v>
      </c>
      <c r="D630" t="s">
        <v>85</v>
      </c>
      <c r="E630" t="s">
        <v>78</v>
      </c>
      <c r="F630" s="11">
        <v>30</v>
      </c>
      <c r="G630" s="11">
        <v>118</v>
      </c>
      <c r="H630" s="11">
        <v>88</v>
      </c>
      <c r="I630" s="11">
        <v>30</v>
      </c>
      <c r="J630" s="11">
        <v>6</v>
      </c>
      <c r="K630" s="11">
        <v>0</v>
      </c>
      <c r="L630" s="11">
        <v>6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8</v>
      </c>
      <c r="AE630" s="11">
        <v>8</v>
      </c>
      <c r="AF630" s="11">
        <v>15</v>
      </c>
      <c r="AG630" s="11">
        <v>15</v>
      </c>
      <c r="AH630" s="11">
        <v>28</v>
      </c>
      <c r="AI630" s="11">
        <v>2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</row>
    <row r="631" spans="1:49" ht="14.5" hidden="1" outlineLevel="1" x14ac:dyDescent="0.35">
      <c r="A631" s="14" t="s">
        <v>12</v>
      </c>
      <c r="B631" s="14" t="s">
        <v>14</v>
      </c>
      <c r="C631" s="14" t="s">
        <v>107</v>
      </c>
      <c r="D631" s="14" t="s">
        <v>99</v>
      </c>
      <c r="E631" s="15" t="s">
        <v>78</v>
      </c>
      <c r="F631" s="16"/>
      <c r="G631" s="16"/>
      <c r="H631" s="16"/>
      <c r="I631" s="16"/>
      <c r="J631" s="16">
        <v>-6</v>
      </c>
      <c r="K631" s="16">
        <v>0</v>
      </c>
      <c r="L631" s="16">
        <v>-6</v>
      </c>
      <c r="M631" s="16">
        <v>0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-8</v>
      </c>
      <c r="AE631" s="16">
        <v>-8</v>
      </c>
      <c r="AF631" s="16">
        <v>-15</v>
      </c>
      <c r="AG631" s="16">
        <v>-15</v>
      </c>
      <c r="AH631" s="16">
        <v>-28</v>
      </c>
      <c r="AI631" s="16">
        <v>-2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  <c r="AR631" s="16">
        <v>0</v>
      </c>
      <c r="AS631" s="16">
        <v>0</v>
      </c>
      <c r="AT631" s="16">
        <v>0</v>
      </c>
      <c r="AU631" s="16">
        <v>0</v>
      </c>
      <c r="AV631" s="16">
        <v>0</v>
      </c>
      <c r="AW631" s="16">
        <v>0</v>
      </c>
    </row>
    <row r="632" spans="1:49" ht="14.5" hidden="1" outlineLevel="1" x14ac:dyDescent="0.35">
      <c r="A632" t="s">
        <v>12</v>
      </c>
      <c r="B632" t="s">
        <v>14</v>
      </c>
      <c r="C632" t="s">
        <v>107</v>
      </c>
      <c r="D632" t="s">
        <v>85</v>
      </c>
      <c r="E632" t="s">
        <v>125</v>
      </c>
      <c r="F632" s="11">
        <v>1.5</v>
      </c>
      <c r="G632" s="11">
        <v>1.5</v>
      </c>
      <c r="H632" s="11">
        <v>0</v>
      </c>
      <c r="I632" s="11">
        <v>1.5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0</v>
      </c>
      <c r="AU632" s="11">
        <v>0</v>
      </c>
      <c r="AV632" s="11">
        <v>0</v>
      </c>
      <c r="AW632" s="11">
        <v>0</v>
      </c>
    </row>
    <row r="633" spans="1:49" ht="14.5" hidden="1" outlineLevel="1" x14ac:dyDescent="0.35">
      <c r="A633" t="s">
        <v>12</v>
      </c>
      <c r="B633" t="s">
        <v>14</v>
      </c>
      <c r="C633" t="s">
        <v>107</v>
      </c>
      <c r="D633" t="s">
        <v>85</v>
      </c>
      <c r="E633" t="s">
        <v>102</v>
      </c>
      <c r="F633" s="11">
        <v>74</v>
      </c>
      <c r="G633" s="11">
        <v>210</v>
      </c>
      <c r="H633" s="11">
        <v>180</v>
      </c>
      <c r="I633" s="11">
        <v>30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10</v>
      </c>
      <c r="AD633" s="11">
        <v>15</v>
      </c>
      <c r="AE633" s="11">
        <v>25</v>
      </c>
      <c r="AF633" s="11">
        <v>25</v>
      </c>
      <c r="AG633" s="11">
        <v>35</v>
      </c>
      <c r="AH633" s="11">
        <v>35</v>
      </c>
      <c r="AI633" s="11">
        <v>35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</row>
    <row r="634" spans="1:49" ht="14.5" hidden="1" outlineLevel="1" x14ac:dyDescent="0.35">
      <c r="A634" s="14" t="s">
        <v>12</v>
      </c>
      <c r="B634" s="14" t="s">
        <v>14</v>
      </c>
      <c r="C634" s="14" t="s">
        <v>107</v>
      </c>
      <c r="D634" s="14" t="s">
        <v>99</v>
      </c>
      <c r="E634" s="15" t="s">
        <v>102</v>
      </c>
      <c r="F634" s="16"/>
      <c r="G634" s="16"/>
      <c r="H634" s="16"/>
      <c r="I634" s="16"/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-10</v>
      </c>
      <c r="AD634" s="16">
        <v>-15</v>
      </c>
      <c r="AE634" s="16">
        <v>-25</v>
      </c>
      <c r="AF634" s="16">
        <v>-25</v>
      </c>
      <c r="AG634" s="16">
        <v>-35</v>
      </c>
      <c r="AH634" s="16">
        <v>-35</v>
      </c>
      <c r="AI634" s="16">
        <v>-35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>
        <v>0</v>
      </c>
      <c r="AU634" s="16">
        <v>0</v>
      </c>
      <c r="AV634" s="16">
        <v>0</v>
      </c>
      <c r="AW634" s="16">
        <v>0</v>
      </c>
    </row>
    <row r="635" spans="1:49" ht="14.5" collapsed="1" x14ac:dyDescent="0.35">
      <c r="A635" s="6" t="s">
        <v>12</v>
      </c>
      <c r="B635" s="6" t="s">
        <v>14</v>
      </c>
      <c r="C635" s="6" t="s">
        <v>108</v>
      </c>
      <c r="D635" s="6" t="s">
        <v>72</v>
      </c>
      <c r="E635" s="6" t="s">
        <v>73</v>
      </c>
      <c r="F635" s="7">
        <f t="shared" ref="F635:AW635" si="66">SUM(F636)</f>
        <v>2</v>
      </c>
      <c r="G635" s="7">
        <f t="shared" si="66"/>
        <v>2</v>
      </c>
      <c r="H635" s="7">
        <f t="shared" si="66"/>
        <v>0</v>
      </c>
      <c r="I635" s="7">
        <f t="shared" si="66"/>
        <v>2</v>
      </c>
      <c r="J635" s="7">
        <f t="shared" si="66"/>
        <v>0</v>
      </c>
      <c r="K635" s="7">
        <f t="shared" si="66"/>
        <v>0</v>
      </c>
      <c r="L635" s="7">
        <f t="shared" si="66"/>
        <v>0</v>
      </c>
      <c r="M635" s="7">
        <f t="shared" si="66"/>
        <v>0</v>
      </c>
      <c r="N635" s="7">
        <f t="shared" si="66"/>
        <v>0</v>
      </c>
      <c r="O635" s="7">
        <f t="shared" si="66"/>
        <v>0</v>
      </c>
      <c r="P635" s="7">
        <f t="shared" si="66"/>
        <v>0</v>
      </c>
      <c r="Q635" s="7">
        <f t="shared" si="66"/>
        <v>0</v>
      </c>
      <c r="R635" s="7">
        <f t="shared" si="66"/>
        <v>0</v>
      </c>
      <c r="S635" s="7">
        <f t="shared" si="66"/>
        <v>0</v>
      </c>
      <c r="T635" s="7">
        <f t="shared" si="66"/>
        <v>0</v>
      </c>
      <c r="U635" s="7">
        <f t="shared" si="66"/>
        <v>0</v>
      </c>
      <c r="V635" s="7">
        <f t="shared" si="66"/>
        <v>0</v>
      </c>
      <c r="W635" s="7">
        <f t="shared" si="66"/>
        <v>0</v>
      </c>
      <c r="X635" s="7">
        <f t="shared" si="66"/>
        <v>0</v>
      </c>
      <c r="Y635" s="7">
        <f t="shared" si="66"/>
        <v>0</v>
      </c>
      <c r="Z635" s="7">
        <f t="shared" si="66"/>
        <v>0</v>
      </c>
      <c r="AA635" s="7">
        <f t="shared" si="66"/>
        <v>0</v>
      </c>
      <c r="AB635" s="7">
        <f t="shared" si="66"/>
        <v>0</v>
      </c>
      <c r="AC635" s="7">
        <f t="shared" si="66"/>
        <v>0</v>
      </c>
      <c r="AD635" s="7">
        <f t="shared" si="66"/>
        <v>0</v>
      </c>
      <c r="AE635" s="7">
        <f t="shared" si="66"/>
        <v>0</v>
      </c>
      <c r="AF635" s="7">
        <f t="shared" si="66"/>
        <v>0</v>
      </c>
      <c r="AG635" s="7">
        <f t="shared" si="66"/>
        <v>0</v>
      </c>
      <c r="AH635" s="7">
        <f t="shared" si="66"/>
        <v>0</v>
      </c>
      <c r="AI635" s="7">
        <f t="shared" si="66"/>
        <v>0</v>
      </c>
      <c r="AJ635" s="7">
        <f t="shared" si="66"/>
        <v>0</v>
      </c>
      <c r="AK635" s="7">
        <f t="shared" si="66"/>
        <v>0</v>
      </c>
      <c r="AL635" s="7">
        <f t="shared" si="66"/>
        <v>0</v>
      </c>
      <c r="AM635" s="7">
        <f t="shared" si="66"/>
        <v>0</v>
      </c>
      <c r="AN635" s="7">
        <f t="shared" si="66"/>
        <v>0</v>
      </c>
      <c r="AO635" s="7">
        <f t="shared" si="66"/>
        <v>0</v>
      </c>
      <c r="AP635" s="7">
        <f t="shared" si="66"/>
        <v>0</v>
      </c>
      <c r="AQ635" s="7">
        <f t="shared" si="66"/>
        <v>0</v>
      </c>
      <c r="AR635" s="7">
        <f t="shared" si="66"/>
        <v>0</v>
      </c>
      <c r="AS635" s="7">
        <f t="shared" si="66"/>
        <v>0</v>
      </c>
      <c r="AT635" s="7">
        <f t="shared" si="66"/>
        <v>0</v>
      </c>
      <c r="AU635" s="7">
        <f t="shared" si="66"/>
        <v>0</v>
      </c>
      <c r="AV635" s="7">
        <f t="shared" si="66"/>
        <v>0</v>
      </c>
      <c r="AW635" s="7">
        <f t="shared" si="66"/>
        <v>0</v>
      </c>
    </row>
    <row r="636" spans="1:49" ht="14.5" hidden="1" outlineLevel="1" x14ac:dyDescent="0.35">
      <c r="A636" t="s">
        <v>12</v>
      </c>
      <c r="B636" t="s">
        <v>14</v>
      </c>
      <c r="C636" t="s">
        <v>108</v>
      </c>
      <c r="D636" t="s">
        <v>85</v>
      </c>
      <c r="E636" t="s">
        <v>125</v>
      </c>
      <c r="F636" s="11">
        <v>2</v>
      </c>
      <c r="G636" s="11">
        <v>2</v>
      </c>
      <c r="H636" s="11">
        <v>0</v>
      </c>
      <c r="I636" s="11">
        <v>2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</row>
    <row r="637" spans="1:49" ht="14.5" collapsed="1" x14ac:dyDescent="0.35">
      <c r="A637" s="6" t="s">
        <v>12</v>
      </c>
      <c r="B637" s="6" t="s">
        <v>14</v>
      </c>
      <c r="C637" s="6" t="s">
        <v>109</v>
      </c>
      <c r="D637" s="6" t="s">
        <v>72</v>
      </c>
      <c r="E637" s="6" t="s">
        <v>73</v>
      </c>
      <c r="F637" s="7">
        <f t="shared" ref="F637:AW637" si="67">SUM(F638)</f>
        <v>40</v>
      </c>
      <c r="G637" s="7">
        <f t="shared" si="67"/>
        <v>200</v>
      </c>
      <c r="H637" s="7">
        <f t="shared" si="67"/>
        <v>160</v>
      </c>
      <c r="I637" s="7">
        <f t="shared" si="67"/>
        <v>40</v>
      </c>
      <c r="J637" s="7">
        <f t="shared" si="67"/>
        <v>0</v>
      </c>
      <c r="K637" s="7">
        <f t="shared" si="67"/>
        <v>0</v>
      </c>
      <c r="L637" s="7">
        <f t="shared" si="67"/>
        <v>0</v>
      </c>
      <c r="M637" s="7">
        <f t="shared" si="67"/>
        <v>0</v>
      </c>
      <c r="N637" s="7">
        <f t="shared" si="67"/>
        <v>0</v>
      </c>
      <c r="O637" s="7">
        <f t="shared" si="67"/>
        <v>0</v>
      </c>
      <c r="P637" s="7">
        <f t="shared" si="67"/>
        <v>0</v>
      </c>
      <c r="Q637" s="7">
        <f t="shared" si="67"/>
        <v>0</v>
      </c>
      <c r="R637" s="7">
        <f t="shared" si="67"/>
        <v>0</v>
      </c>
      <c r="S637" s="7">
        <f t="shared" si="67"/>
        <v>0</v>
      </c>
      <c r="T637" s="7">
        <f t="shared" si="67"/>
        <v>0</v>
      </c>
      <c r="U637" s="7">
        <f t="shared" si="67"/>
        <v>0</v>
      </c>
      <c r="V637" s="7">
        <f t="shared" si="67"/>
        <v>0</v>
      </c>
      <c r="W637" s="7">
        <f t="shared" si="67"/>
        <v>0</v>
      </c>
      <c r="X637" s="7">
        <f t="shared" si="67"/>
        <v>0</v>
      </c>
      <c r="Y637" s="7">
        <f t="shared" si="67"/>
        <v>0</v>
      </c>
      <c r="Z637" s="7">
        <f t="shared" si="67"/>
        <v>0</v>
      </c>
      <c r="AA637" s="7">
        <f t="shared" si="67"/>
        <v>0</v>
      </c>
      <c r="AB637" s="7">
        <f t="shared" si="67"/>
        <v>0</v>
      </c>
      <c r="AC637" s="7">
        <f t="shared" si="67"/>
        <v>0</v>
      </c>
      <c r="AD637" s="7">
        <f t="shared" si="67"/>
        <v>0</v>
      </c>
      <c r="AE637" s="7">
        <f t="shared" si="67"/>
        <v>40</v>
      </c>
      <c r="AF637" s="7">
        <f t="shared" si="67"/>
        <v>40</v>
      </c>
      <c r="AG637" s="7">
        <f t="shared" si="67"/>
        <v>40</v>
      </c>
      <c r="AH637" s="7">
        <f t="shared" si="67"/>
        <v>40</v>
      </c>
      <c r="AI637" s="7">
        <f t="shared" si="67"/>
        <v>0</v>
      </c>
      <c r="AJ637" s="7">
        <f t="shared" si="67"/>
        <v>0</v>
      </c>
      <c r="AK637" s="7">
        <f t="shared" si="67"/>
        <v>0</v>
      </c>
      <c r="AL637" s="7">
        <f t="shared" si="67"/>
        <v>0</v>
      </c>
      <c r="AM637" s="7">
        <f t="shared" si="67"/>
        <v>0</v>
      </c>
      <c r="AN637" s="7">
        <f t="shared" si="67"/>
        <v>0</v>
      </c>
      <c r="AO637" s="7">
        <f t="shared" si="67"/>
        <v>0</v>
      </c>
      <c r="AP637" s="7">
        <f t="shared" si="67"/>
        <v>0</v>
      </c>
      <c r="AQ637" s="7">
        <f t="shared" si="67"/>
        <v>0</v>
      </c>
      <c r="AR637" s="7">
        <f t="shared" si="67"/>
        <v>0</v>
      </c>
      <c r="AS637" s="7">
        <f t="shared" si="67"/>
        <v>0</v>
      </c>
      <c r="AT637" s="7">
        <f t="shared" si="67"/>
        <v>0</v>
      </c>
      <c r="AU637" s="7">
        <f t="shared" si="67"/>
        <v>0</v>
      </c>
      <c r="AV637" s="7">
        <f t="shared" si="67"/>
        <v>0</v>
      </c>
      <c r="AW637" s="7">
        <f t="shared" si="67"/>
        <v>0</v>
      </c>
    </row>
    <row r="638" spans="1:49" ht="14.5" hidden="1" outlineLevel="1" x14ac:dyDescent="0.35">
      <c r="A638" t="s">
        <v>12</v>
      </c>
      <c r="B638" t="s">
        <v>14</v>
      </c>
      <c r="C638" t="s">
        <v>109</v>
      </c>
      <c r="D638" t="s">
        <v>85</v>
      </c>
      <c r="E638" t="s">
        <v>83</v>
      </c>
      <c r="F638" s="11">
        <v>40</v>
      </c>
      <c r="G638" s="11">
        <v>200</v>
      </c>
      <c r="H638" s="11">
        <v>160</v>
      </c>
      <c r="I638" s="11">
        <v>40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40</v>
      </c>
      <c r="AF638" s="11">
        <v>40</v>
      </c>
      <c r="AG638" s="11">
        <v>40</v>
      </c>
      <c r="AH638" s="11">
        <v>40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</row>
    <row r="639" spans="1:49" ht="14.5" hidden="1" outlineLevel="1" x14ac:dyDescent="0.35">
      <c r="A639" s="14" t="s">
        <v>12</v>
      </c>
      <c r="B639" s="14" t="s">
        <v>14</v>
      </c>
      <c r="C639" s="14" t="s">
        <v>109</v>
      </c>
      <c r="D639" s="14" t="s">
        <v>99</v>
      </c>
      <c r="E639" s="15" t="s">
        <v>83</v>
      </c>
      <c r="F639" s="16"/>
      <c r="G639" s="16"/>
      <c r="H639" s="16"/>
      <c r="I639" s="16"/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-40</v>
      </c>
      <c r="AF639" s="16">
        <v>-40</v>
      </c>
      <c r="AG639" s="16">
        <v>-40</v>
      </c>
      <c r="AH639" s="16">
        <v>-40</v>
      </c>
      <c r="AI639" s="16">
        <v>0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  <c r="AR639" s="16">
        <v>0</v>
      </c>
      <c r="AS639" s="16">
        <v>0</v>
      </c>
      <c r="AT639" s="16">
        <v>0</v>
      </c>
      <c r="AU639" s="16">
        <v>0</v>
      </c>
      <c r="AV639" s="16">
        <v>0</v>
      </c>
      <c r="AW639" s="16">
        <v>0</v>
      </c>
    </row>
    <row r="640" spans="1:49" ht="14.5" collapsed="1" x14ac:dyDescent="0.35">
      <c r="A640" s="6" t="s">
        <v>12</v>
      </c>
      <c r="B640" s="6" t="s">
        <v>14</v>
      </c>
      <c r="C640" s="6" t="s">
        <v>114</v>
      </c>
      <c r="D640" s="6" t="s">
        <v>72</v>
      </c>
      <c r="E640" s="6" t="s">
        <v>73</v>
      </c>
      <c r="F640" s="7">
        <f t="shared" ref="F640:AW640" si="68">SUM(F641)</f>
        <v>16</v>
      </c>
      <c r="G640" s="7">
        <f t="shared" si="68"/>
        <v>16</v>
      </c>
      <c r="H640" s="7">
        <f t="shared" si="68"/>
        <v>0</v>
      </c>
      <c r="I640" s="7">
        <f t="shared" si="68"/>
        <v>16</v>
      </c>
      <c r="J640" s="7">
        <f t="shared" si="68"/>
        <v>0</v>
      </c>
      <c r="K640" s="7">
        <f t="shared" si="68"/>
        <v>0</v>
      </c>
      <c r="L640" s="7">
        <f t="shared" si="68"/>
        <v>0</v>
      </c>
      <c r="M640" s="7">
        <f t="shared" si="68"/>
        <v>0</v>
      </c>
      <c r="N640" s="7">
        <f t="shared" si="68"/>
        <v>0</v>
      </c>
      <c r="O640" s="7">
        <f t="shared" si="68"/>
        <v>0</v>
      </c>
      <c r="P640" s="7">
        <f t="shared" si="68"/>
        <v>0</v>
      </c>
      <c r="Q640" s="7">
        <f t="shared" si="68"/>
        <v>0</v>
      </c>
      <c r="R640" s="7">
        <f t="shared" si="68"/>
        <v>0</v>
      </c>
      <c r="S640" s="7">
        <f t="shared" si="68"/>
        <v>0</v>
      </c>
      <c r="T640" s="7">
        <f t="shared" si="68"/>
        <v>0</v>
      </c>
      <c r="U640" s="7">
        <f t="shared" si="68"/>
        <v>0</v>
      </c>
      <c r="V640" s="7">
        <f t="shared" si="68"/>
        <v>0</v>
      </c>
      <c r="W640" s="7">
        <f t="shared" si="68"/>
        <v>0</v>
      </c>
      <c r="X640" s="7">
        <f t="shared" si="68"/>
        <v>0</v>
      </c>
      <c r="Y640" s="7">
        <f t="shared" si="68"/>
        <v>0</v>
      </c>
      <c r="Z640" s="7">
        <f t="shared" si="68"/>
        <v>0</v>
      </c>
      <c r="AA640" s="7">
        <f t="shared" si="68"/>
        <v>0</v>
      </c>
      <c r="AB640" s="7">
        <f t="shared" si="68"/>
        <v>0</v>
      </c>
      <c r="AC640" s="7">
        <f t="shared" si="68"/>
        <v>0</v>
      </c>
      <c r="AD640" s="7">
        <f t="shared" si="68"/>
        <v>0</v>
      </c>
      <c r="AE640" s="7">
        <f t="shared" si="68"/>
        <v>0</v>
      </c>
      <c r="AF640" s="7">
        <f t="shared" si="68"/>
        <v>0</v>
      </c>
      <c r="AG640" s="7">
        <f t="shared" si="68"/>
        <v>0</v>
      </c>
      <c r="AH640" s="7">
        <f t="shared" si="68"/>
        <v>0</v>
      </c>
      <c r="AI640" s="7">
        <f t="shared" si="68"/>
        <v>0</v>
      </c>
      <c r="AJ640" s="7">
        <f t="shared" si="68"/>
        <v>0</v>
      </c>
      <c r="AK640" s="7">
        <f t="shared" si="68"/>
        <v>0</v>
      </c>
      <c r="AL640" s="7">
        <f t="shared" si="68"/>
        <v>0</v>
      </c>
      <c r="AM640" s="7">
        <f t="shared" si="68"/>
        <v>0</v>
      </c>
      <c r="AN640" s="7">
        <f t="shared" si="68"/>
        <v>0</v>
      </c>
      <c r="AO640" s="7">
        <f t="shared" si="68"/>
        <v>0</v>
      </c>
      <c r="AP640" s="7">
        <f t="shared" si="68"/>
        <v>0</v>
      </c>
      <c r="AQ640" s="7">
        <f t="shared" si="68"/>
        <v>0</v>
      </c>
      <c r="AR640" s="7">
        <f t="shared" si="68"/>
        <v>0</v>
      </c>
      <c r="AS640" s="7">
        <f t="shared" si="68"/>
        <v>0</v>
      </c>
      <c r="AT640" s="7">
        <f t="shared" si="68"/>
        <v>0</v>
      </c>
      <c r="AU640" s="7">
        <f t="shared" si="68"/>
        <v>0</v>
      </c>
      <c r="AV640" s="7">
        <f t="shared" si="68"/>
        <v>0</v>
      </c>
      <c r="AW640" s="7">
        <f t="shared" si="68"/>
        <v>0</v>
      </c>
    </row>
    <row r="641" spans="1:49" ht="14.5" hidden="1" outlineLevel="1" x14ac:dyDescent="0.35">
      <c r="A641" t="s">
        <v>12</v>
      </c>
      <c r="B641" t="s">
        <v>14</v>
      </c>
      <c r="C641" t="s">
        <v>114</v>
      </c>
      <c r="D641" t="s">
        <v>85</v>
      </c>
      <c r="E641" t="s">
        <v>87</v>
      </c>
      <c r="F641" s="11">
        <v>16</v>
      </c>
      <c r="G641" s="11">
        <v>16</v>
      </c>
      <c r="H641" s="11">
        <v>0</v>
      </c>
      <c r="I641" s="11">
        <v>16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</row>
    <row r="642" spans="1:49" ht="14.5" collapsed="1" x14ac:dyDescent="0.35">
      <c r="A642" s="6" t="s">
        <v>12</v>
      </c>
      <c r="B642" s="6" t="s">
        <v>14</v>
      </c>
      <c r="C642" s="6" t="s">
        <v>115</v>
      </c>
      <c r="D642" s="6" t="s">
        <v>72</v>
      </c>
      <c r="E642" s="6" t="s">
        <v>73</v>
      </c>
      <c r="F642" s="7">
        <f t="shared" ref="F642:AW642" si="69">SUM(F643,F644)</f>
        <v>22</v>
      </c>
      <c r="G642" s="7">
        <f t="shared" si="69"/>
        <v>22</v>
      </c>
      <c r="H642" s="7">
        <f t="shared" si="69"/>
        <v>0</v>
      </c>
      <c r="I642" s="7">
        <f t="shared" si="69"/>
        <v>22</v>
      </c>
      <c r="J642" s="7">
        <f t="shared" si="69"/>
        <v>0</v>
      </c>
      <c r="K642" s="7">
        <f t="shared" si="69"/>
        <v>0</v>
      </c>
      <c r="L642" s="7">
        <f t="shared" si="69"/>
        <v>0</v>
      </c>
      <c r="M642" s="7">
        <f t="shared" si="69"/>
        <v>0</v>
      </c>
      <c r="N642" s="7">
        <f t="shared" si="69"/>
        <v>0</v>
      </c>
      <c r="O642" s="7">
        <f t="shared" si="69"/>
        <v>0</v>
      </c>
      <c r="P642" s="7">
        <f t="shared" si="69"/>
        <v>0</v>
      </c>
      <c r="Q642" s="7">
        <f t="shared" si="69"/>
        <v>0</v>
      </c>
      <c r="R642" s="7">
        <f t="shared" si="69"/>
        <v>0</v>
      </c>
      <c r="S642" s="7">
        <f t="shared" si="69"/>
        <v>0</v>
      </c>
      <c r="T642" s="7">
        <f t="shared" si="69"/>
        <v>0</v>
      </c>
      <c r="U642" s="7">
        <f t="shared" si="69"/>
        <v>0</v>
      </c>
      <c r="V642" s="7">
        <f t="shared" si="69"/>
        <v>0</v>
      </c>
      <c r="W642" s="7">
        <f t="shared" si="69"/>
        <v>0</v>
      </c>
      <c r="X642" s="7">
        <f t="shared" si="69"/>
        <v>0</v>
      </c>
      <c r="Y642" s="7">
        <f t="shared" si="69"/>
        <v>0</v>
      </c>
      <c r="Z642" s="7">
        <f t="shared" si="69"/>
        <v>0</v>
      </c>
      <c r="AA642" s="7">
        <f t="shared" si="69"/>
        <v>0</v>
      </c>
      <c r="AB642" s="7">
        <f t="shared" si="69"/>
        <v>0</v>
      </c>
      <c r="AC642" s="7">
        <f t="shared" si="69"/>
        <v>0</v>
      </c>
      <c r="AD642" s="7">
        <f t="shared" si="69"/>
        <v>0</v>
      </c>
      <c r="AE642" s="7">
        <f t="shared" si="69"/>
        <v>0</v>
      </c>
      <c r="AF642" s="7">
        <f t="shared" si="69"/>
        <v>0</v>
      </c>
      <c r="AG642" s="7">
        <f t="shared" si="69"/>
        <v>0</v>
      </c>
      <c r="AH642" s="7">
        <f t="shared" si="69"/>
        <v>0</v>
      </c>
      <c r="AI642" s="7">
        <f t="shared" si="69"/>
        <v>0</v>
      </c>
      <c r="AJ642" s="7">
        <f t="shared" si="69"/>
        <v>0</v>
      </c>
      <c r="AK642" s="7">
        <f t="shared" si="69"/>
        <v>0</v>
      </c>
      <c r="AL642" s="7">
        <f t="shared" si="69"/>
        <v>0</v>
      </c>
      <c r="AM642" s="7">
        <f t="shared" si="69"/>
        <v>0</v>
      </c>
      <c r="AN642" s="7">
        <f t="shared" si="69"/>
        <v>0</v>
      </c>
      <c r="AO642" s="7">
        <f t="shared" si="69"/>
        <v>0</v>
      </c>
      <c r="AP642" s="7">
        <f t="shared" si="69"/>
        <v>0</v>
      </c>
      <c r="AQ642" s="7">
        <f t="shared" si="69"/>
        <v>0</v>
      </c>
      <c r="AR642" s="7">
        <f t="shared" si="69"/>
        <v>0</v>
      </c>
      <c r="AS642" s="7">
        <f t="shared" si="69"/>
        <v>0</v>
      </c>
      <c r="AT642" s="7">
        <f t="shared" si="69"/>
        <v>0</v>
      </c>
      <c r="AU642" s="7">
        <f t="shared" si="69"/>
        <v>0</v>
      </c>
      <c r="AV642" s="7">
        <f t="shared" si="69"/>
        <v>0</v>
      </c>
      <c r="AW642" s="7">
        <f t="shared" si="69"/>
        <v>0</v>
      </c>
    </row>
    <row r="643" spans="1:49" ht="14.5" hidden="1" outlineLevel="1" x14ac:dyDescent="0.35">
      <c r="A643" t="s">
        <v>12</v>
      </c>
      <c r="B643" t="s">
        <v>14</v>
      </c>
      <c r="C643" t="s">
        <v>115</v>
      </c>
      <c r="D643" t="s">
        <v>85</v>
      </c>
      <c r="E643" t="s">
        <v>87</v>
      </c>
      <c r="F643" s="11">
        <v>18</v>
      </c>
      <c r="G643" s="11">
        <v>18</v>
      </c>
      <c r="H643" s="11">
        <v>0</v>
      </c>
      <c r="I643" s="11">
        <v>18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</row>
    <row r="644" spans="1:49" ht="14.5" hidden="1" outlineLevel="1" x14ac:dyDescent="0.35">
      <c r="A644" t="s">
        <v>12</v>
      </c>
      <c r="B644" t="s">
        <v>14</v>
      </c>
      <c r="C644" t="s">
        <v>115</v>
      </c>
      <c r="D644" t="s">
        <v>85</v>
      </c>
      <c r="E644" t="s">
        <v>113</v>
      </c>
      <c r="F644" s="11">
        <v>4</v>
      </c>
      <c r="G644" s="11">
        <v>4</v>
      </c>
      <c r="H644" s="11">
        <v>0</v>
      </c>
      <c r="I644" s="11">
        <v>4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0</v>
      </c>
      <c r="AT644" s="11">
        <v>0</v>
      </c>
      <c r="AU644" s="11">
        <v>0</v>
      </c>
      <c r="AV644" s="11">
        <v>0</v>
      </c>
      <c r="AW644" s="11">
        <v>0</v>
      </c>
    </row>
    <row r="645" spans="1:49" ht="14.5" collapsed="1" x14ac:dyDescent="0.35">
      <c r="A645" s="6" t="s">
        <v>12</v>
      </c>
      <c r="B645" s="6" t="s">
        <v>14</v>
      </c>
      <c r="C645" s="6" t="s">
        <v>116</v>
      </c>
      <c r="D645" s="6" t="s">
        <v>72</v>
      </c>
      <c r="E645" s="6" t="s">
        <v>73</v>
      </c>
      <c r="F645" s="7">
        <f t="shared" ref="F645:AW645" si="70">SUM(F646,F647)</f>
        <v>7</v>
      </c>
      <c r="G645" s="7">
        <f t="shared" si="70"/>
        <v>7</v>
      </c>
      <c r="H645" s="7">
        <f t="shared" si="70"/>
        <v>0</v>
      </c>
      <c r="I645" s="7">
        <f t="shared" si="70"/>
        <v>7</v>
      </c>
      <c r="J645" s="7">
        <f t="shared" si="70"/>
        <v>0</v>
      </c>
      <c r="K645" s="7">
        <f t="shared" si="70"/>
        <v>0</v>
      </c>
      <c r="L645" s="7">
        <f t="shared" si="70"/>
        <v>0</v>
      </c>
      <c r="M645" s="7">
        <f t="shared" si="70"/>
        <v>0</v>
      </c>
      <c r="N645" s="7">
        <f t="shared" si="70"/>
        <v>0</v>
      </c>
      <c r="O645" s="7">
        <f t="shared" si="70"/>
        <v>0</v>
      </c>
      <c r="P645" s="7">
        <f t="shared" si="70"/>
        <v>0</v>
      </c>
      <c r="Q645" s="7">
        <f t="shared" si="70"/>
        <v>0</v>
      </c>
      <c r="R645" s="7">
        <f t="shared" si="70"/>
        <v>0</v>
      </c>
      <c r="S645" s="7">
        <f t="shared" si="70"/>
        <v>0</v>
      </c>
      <c r="T645" s="7">
        <f t="shared" si="70"/>
        <v>0</v>
      </c>
      <c r="U645" s="7">
        <f t="shared" si="70"/>
        <v>0</v>
      </c>
      <c r="V645" s="7">
        <f t="shared" si="70"/>
        <v>0</v>
      </c>
      <c r="W645" s="7">
        <f t="shared" si="70"/>
        <v>0</v>
      </c>
      <c r="X645" s="7">
        <f t="shared" si="70"/>
        <v>0</v>
      </c>
      <c r="Y645" s="7">
        <f t="shared" si="70"/>
        <v>0</v>
      </c>
      <c r="Z645" s="7">
        <f t="shared" si="70"/>
        <v>0</v>
      </c>
      <c r="AA645" s="7">
        <f t="shared" si="70"/>
        <v>0</v>
      </c>
      <c r="AB645" s="7">
        <f t="shared" si="70"/>
        <v>0</v>
      </c>
      <c r="AC645" s="7">
        <f t="shared" si="70"/>
        <v>0</v>
      </c>
      <c r="AD645" s="7">
        <f t="shared" si="70"/>
        <v>0</v>
      </c>
      <c r="AE645" s="7">
        <f t="shared" si="70"/>
        <v>0</v>
      </c>
      <c r="AF645" s="7">
        <f t="shared" si="70"/>
        <v>0</v>
      </c>
      <c r="AG645" s="7">
        <f t="shared" si="70"/>
        <v>0</v>
      </c>
      <c r="AH645" s="7">
        <f t="shared" si="70"/>
        <v>0</v>
      </c>
      <c r="AI645" s="7">
        <f t="shared" si="70"/>
        <v>0</v>
      </c>
      <c r="AJ645" s="7">
        <f t="shared" si="70"/>
        <v>0</v>
      </c>
      <c r="AK645" s="7">
        <f t="shared" si="70"/>
        <v>0</v>
      </c>
      <c r="AL645" s="7">
        <f t="shared" si="70"/>
        <v>0</v>
      </c>
      <c r="AM645" s="7">
        <f t="shared" si="70"/>
        <v>0</v>
      </c>
      <c r="AN645" s="7">
        <f t="shared" si="70"/>
        <v>0</v>
      </c>
      <c r="AO645" s="7">
        <f t="shared" si="70"/>
        <v>0</v>
      </c>
      <c r="AP645" s="7">
        <f t="shared" si="70"/>
        <v>0</v>
      </c>
      <c r="AQ645" s="7">
        <f t="shared" si="70"/>
        <v>0</v>
      </c>
      <c r="AR645" s="7">
        <f t="shared" si="70"/>
        <v>0</v>
      </c>
      <c r="AS645" s="7">
        <f t="shared" si="70"/>
        <v>0</v>
      </c>
      <c r="AT645" s="7">
        <f t="shared" si="70"/>
        <v>0</v>
      </c>
      <c r="AU645" s="7">
        <f t="shared" si="70"/>
        <v>0</v>
      </c>
      <c r="AV645" s="7">
        <f t="shared" si="70"/>
        <v>0</v>
      </c>
      <c r="AW645" s="7">
        <f t="shared" si="70"/>
        <v>0</v>
      </c>
    </row>
    <row r="646" spans="1:49" ht="14.5" hidden="1" outlineLevel="1" x14ac:dyDescent="0.35">
      <c r="A646" t="s">
        <v>12</v>
      </c>
      <c r="B646" t="s">
        <v>14</v>
      </c>
      <c r="C646" t="s">
        <v>116</v>
      </c>
      <c r="D646" t="s">
        <v>85</v>
      </c>
      <c r="E646" t="s">
        <v>87</v>
      </c>
      <c r="F646" s="11">
        <v>5</v>
      </c>
      <c r="G646" s="11">
        <v>5</v>
      </c>
      <c r="H646" s="11">
        <v>0</v>
      </c>
      <c r="I646" s="11">
        <v>5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</row>
    <row r="647" spans="1:49" ht="14.5" hidden="1" outlineLevel="1" x14ac:dyDescent="0.35">
      <c r="A647" t="s">
        <v>12</v>
      </c>
      <c r="B647" t="s">
        <v>14</v>
      </c>
      <c r="C647" t="s">
        <v>116</v>
      </c>
      <c r="D647" t="s">
        <v>85</v>
      </c>
      <c r="E647" t="s">
        <v>102</v>
      </c>
      <c r="F647" s="11">
        <v>2</v>
      </c>
      <c r="G647" s="11">
        <v>2</v>
      </c>
      <c r="H647" s="11">
        <v>0</v>
      </c>
      <c r="I647" s="11">
        <v>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0</v>
      </c>
      <c r="AT647" s="11">
        <v>0</v>
      </c>
      <c r="AU647" s="11">
        <v>0</v>
      </c>
      <c r="AV647" s="11">
        <v>0</v>
      </c>
      <c r="AW647" s="11">
        <v>0</v>
      </c>
    </row>
    <row r="648" spans="1:49" ht="14.5" collapsed="1" x14ac:dyDescent="0.35">
      <c r="A648" s="6" t="s">
        <v>12</v>
      </c>
      <c r="B648" s="6" t="s">
        <v>14</v>
      </c>
      <c r="C648" s="6" t="s">
        <v>117</v>
      </c>
      <c r="D648" s="6" t="s">
        <v>72</v>
      </c>
      <c r="E648" s="6" t="s">
        <v>73</v>
      </c>
      <c r="F648" s="7">
        <f t="shared" ref="F648:AW648" si="71">SUM(F649,F650)</f>
        <v>36</v>
      </c>
      <c r="G648" s="7">
        <f t="shared" si="71"/>
        <v>36</v>
      </c>
      <c r="H648" s="7">
        <f t="shared" si="71"/>
        <v>0</v>
      </c>
      <c r="I648" s="7">
        <f t="shared" si="71"/>
        <v>36</v>
      </c>
      <c r="J648" s="7">
        <f t="shared" si="71"/>
        <v>0</v>
      </c>
      <c r="K648" s="7">
        <f t="shared" si="71"/>
        <v>0</v>
      </c>
      <c r="L648" s="7">
        <f t="shared" si="71"/>
        <v>0</v>
      </c>
      <c r="M648" s="7">
        <f t="shared" si="71"/>
        <v>0</v>
      </c>
      <c r="N648" s="7">
        <f t="shared" si="71"/>
        <v>0</v>
      </c>
      <c r="O648" s="7">
        <f t="shared" si="71"/>
        <v>0</v>
      </c>
      <c r="P648" s="7">
        <f t="shared" si="71"/>
        <v>0</v>
      </c>
      <c r="Q648" s="7">
        <f t="shared" si="71"/>
        <v>0</v>
      </c>
      <c r="R648" s="7">
        <f t="shared" si="71"/>
        <v>0</v>
      </c>
      <c r="S648" s="7">
        <f t="shared" si="71"/>
        <v>0</v>
      </c>
      <c r="T648" s="7">
        <f t="shared" si="71"/>
        <v>0</v>
      </c>
      <c r="U648" s="7">
        <f t="shared" si="71"/>
        <v>0</v>
      </c>
      <c r="V648" s="7">
        <f t="shared" si="71"/>
        <v>0</v>
      </c>
      <c r="W648" s="7">
        <f t="shared" si="71"/>
        <v>0</v>
      </c>
      <c r="X648" s="7">
        <f t="shared" si="71"/>
        <v>0</v>
      </c>
      <c r="Y648" s="7">
        <f t="shared" si="71"/>
        <v>0</v>
      </c>
      <c r="Z648" s="7">
        <f t="shared" si="71"/>
        <v>0</v>
      </c>
      <c r="AA648" s="7">
        <f t="shared" si="71"/>
        <v>0</v>
      </c>
      <c r="AB648" s="7">
        <f t="shared" si="71"/>
        <v>0</v>
      </c>
      <c r="AC648" s="7">
        <f t="shared" si="71"/>
        <v>0</v>
      </c>
      <c r="AD648" s="7">
        <f t="shared" si="71"/>
        <v>0</v>
      </c>
      <c r="AE648" s="7">
        <f t="shared" si="71"/>
        <v>0</v>
      </c>
      <c r="AF648" s="7">
        <f t="shared" si="71"/>
        <v>0</v>
      </c>
      <c r="AG648" s="7">
        <f t="shared" si="71"/>
        <v>0</v>
      </c>
      <c r="AH648" s="7">
        <f t="shared" si="71"/>
        <v>0</v>
      </c>
      <c r="AI648" s="7">
        <f t="shared" si="71"/>
        <v>0</v>
      </c>
      <c r="AJ648" s="7">
        <f t="shared" si="71"/>
        <v>0</v>
      </c>
      <c r="AK648" s="7">
        <f t="shared" si="71"/>
        <v>0</v>
      </c>
      <c r="AL648" s="7">
        <f t="shared" si="71"/>
        <v>0</v>
      </c>
      <c r="AM648" s="7">
        <f t="shared" si="71"/>
        <v>0</v>
      </c>
      <c r="AN648" s="7">
        <f t="shared" si="71"/>
        <v>0</v>
      </c>
      <c r="AO648" s="7">
        <f t="shared" si="71"/>
        <v>0</v>
      </c>
      <c r="AP648" s="7">
        <f t="shared" si="71"/>
        <v>0</v>
      </c>
      <c r="AQ648" s="7">
        <f t="shared" si="71"/>
        <v>0</v>
      </c>
      <c r="AR648" s="7">
        <f t="shared" si="71"/>
        <v>0</v>
      </c>
      <c r="AS648" s="7">
        <f t="shared" si="71"/>
        <v>0</v>
      </c>
      <c r="AT648" s="7">
        <f t="shared" si="71"/>
        <v>0</v>
      </c>
      <c r="AU648" s="7">
        <f t="shared" si="71"/>
        <v>0</v>
      </c>
      <c r="AV648" s="7">
        <f t="shared" si="71"/>
        <v>0</v>
      </c>
      <c r="AW648" s="7">
        <f t="shared" si="71"/>
        <v>0</v>
      </c>
    </row>
    <row r="649" spans="1:49" ht="14.5" hidden="1" outlineLevel="1" x14ac:dyDescent="0.35">
      <c r="A649" t="s">
        <v>12</v>
      </c>
      <c r="B649" t="s">
        <v>14</v>
      </c>
      <c r="C649" t="s">
        <v>117</v>
      </c>
      <c r="D649" t="s">
        <v>85</v>
      </c>
      <c r="E649" t="s">
        <v>87</v>
      </c>
      <c r="F649" s="11">
        <v>20</v>
      </c>
      <c r="G649" s="11">
        <v>20</v>
      </c>
      <c r="H649" s="11">
        <v>0</v>
      </c>
      <c r="I649" s="11">
        <v>20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</row>
    <row r="650" spans="1:49" ht="14.5" hidden="1" outlineLevel="1" x14ac:dyDescent="0.35">
      <c r="A650" t="s">
        <v>12</v>
      </c>
      <c r="B650" t="s">
        <v>14</v>
      </c>
      <c r="C650" t="s">
        <v>117</v>
      </c>
      <c r="D650" t="s">
        <v>85</v>
      </c>
      <c r="E650" t="s">
        <v>90</v>
      </c>
      <c r="F650" s="11">
        <v>16</v>
      </c>
      <c r="G650" s="11">
        <v>16</v>
      </c>
      <c r="H650" s="11">
        <v>0</v>
      </c>
      <c r="I650" s="11">
        <v>16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</row>
    <row r="651" spans="1:49" ht="14.5" collapsed="1" x14ac:dyDescent="0.35">
      <c r="A651" s="6" t="s">
        <v>12</v>
      </c>
      <c r="B651" s="6" t="s">
        <v>14</v>
      </c>
      <c r="C651" s="6" t="s">
        <v>118</v>
      </c>
      <c r="D651" s="6" t="s">
        <v>72</v>
      </c>
      <c r="E651" s="6" t="s">
        <v>73</v>
      </c>
      <c r="F651" s="7">
        <f t="shared" ref="F651:AW651" si="72">SUM(F652,F653)</f>
        <v>18</v>
      </c>
      <c r="G651" s="7">
        <f t="shared" si="72"/>
        <v>18</v>
      </c>
      <c r="H651" s="7">
        <f t="shared" si="72"/>
        <v>0</v>
      </c>
      <c r="I651" s="7">
        <f t="shared" si="72"/>
        <v>18</v>
      </c>
      <c r="J651" s="7">
        <f t="shared" si="72"/>
        <v>0</v>
      </c>
      <c r="K651" s="7">
        <f t="shared" si="72"/>
        <v>0</v>
      </c>
      <c r="L651" s="7">
        <f t="shared" si="72"/>
        <v>0</v>
      </c>
      <c r="M651" s="7">
        <f t="shared" si="72"/>
        <v>0</v>
      </c>
      <c r="N651" s="7">
        <f t="shared" si="72"/>
        <v>0</v>
      </c>
      <c r="O651" s="7">
        <f t="shared" si="72"/>
        <v>0</v>
      </c>
      <c r="P651" s="7">
        <f t="shared" si="72"/>
        <v>0</v>
      </c>
      <c r="Q651" s="7">
        <f t="shared" si="72"/>
        <v>0</v>
      </c>
      <c r="R651" s="7">
        <f t="shared" si="72"/>
        <v>0</v>
      </c>
      <c r="S651" s="7">
        <f t="shared" si="72"/>
        <v>0</v>
      </c>
      <c r="T651" s="7">
        <f t="shared" si="72"/>
        <v>0</v>
      </c>
      <c r="U651" s="7">
        <f t="shared" si="72"/>
        <v>0</v>
      </c>
      <c r="V651" s="7">
        <f t="shared" si="72"/>
        <v>0</v>
      </c>
      <c r="W651" s="7">
        <f t="shared" si="72"/>
        <v>0</v>
      </c>
      <c r="X651" s="7">
        <f t="shared" si="72"/>
        <v>0</v>
      </c>
      <c r="Y651" s="7">
        <f t="shared" si="72"/>
        <v>0</v>
      </c>
      <c r="Z651" s="7">
        <f t="shared" si="72"/>
        <v>0</v>
      </c>
      <c r="AA651" s="7">
        <f t="shared" si="72"/>
        <v>0</v>
      </c>
      <c r="AB651" s="7">
        <f t="shared" si="72"/>
        <v>0</v>
      </c>
      <c r="AC651" s="7">
        <f t="shared" si="72"/>
        <v>0</v>
      </c>
      <c r="AD651" s="7">
        <f t="shared" si="72"/>
        <v>0</v>
      </c>
      <c r="AE651" s="7">
        <f t="shared" si="72"/>
        <v>0</v>
      </c>
      <c r="AF651" s="7">
        <f t="shared" si="72"/>
        <v>0</v>
      </c>
      <c r="AG651" s="7">
        <f t="shared" si="72"/>
        <v>0</v>
      </c>
      <c r="AH651" s="7">
        <f t="shared" si="72"/>
        <v>0</v>
      </c>
      <c r="AI651" s="7">
        <f t="shared" si="72"/>
        <v>0</v>
      </c>
      <c r="AJ651" s="7">
        <f t="shared" si="72"/>
        <v>0</v>
      </c>
      <c r="AK651" s="7">
        <f t="shared" si="72"/>
        <v>0</v>
      </c>
      <c r="AL651" s="7">
        <f t="shared" si="72"/>
        <v>0</v>
      </c>
      <c r="AM651" s="7">
        <f t="shared" si="72"/>
        <v>0</v>
      </c>
      <c r="AN651" s="7">
        <f t="shared" si="72"/>
        <v>0</v>
      </c>
      <c r="AO651" s="7">
        <f t="shared" si="72"/>
        <v>0</v>
      </c>
      <c r="AP651" s="7">
        <f t="shared" si="72"/>
        <v>0</v>
      </c>
      <c r="AQ651" s="7">
        <f t="shared" si="72"/>
        <v>0</v>
      </c>
      <c r="AR651" s="7">
        <f t="shared" si="72"/>
        <v>0</v>
      </c>
      <c r="AS651" s="7">
        <f t="shared" si="72"/>
        <v>0</v>
      </c>
      <c r="AT651" s="7">
        <f t="shared" si="72"/>
        <v>0</v>
      </c>
      <c r="AU651" s="7">
        <f t="shared" si="72"/>
        <v>0</v>
      </c>
      <c r="AV651" s="7">
        <f t="shared" si="72"/>
        <v>0</v>
      </c>
      <c r="AW651" s="7">
        <f t="shared" si="72"/>
        <v>0</v>
      </c>
    </row>
    <row r="652" spans="1:49" ht="14.5" hidden="1" outlineLevel="1" x14ac:dyDescent="0.35">
      <c r="A652" t="s">
        <v>12</v>
      </c>
      <c r="B652" t="s">
        <v>14</v>
      </c>
      <c r="C652" t="s">
        <v>118</v>
      </c>
      <c r="D652" t="s">
        <v>85</v>
      </c>
      <c r="E652" t="s">
        <v>87</v>
      </c>
      <c r="F652" s="11">
        <v>15</v>
      </c>
      <c r="G652" s="11">
        <v>15</v>
      </c>
      <c r="H652" s="11">
        <v>0</v>
      </c>
      <c r="I652" s="11">
        <v>15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</row>
    <row r="653" spans="1:49" ht="14.5" hidden="1" outlineLevel="1" x14ac:dyDescent="0.35">
      <c r="A653" t="s">
        <v>12</v>
      </c>
      <c r="B653" t="s">
        <v>14</v>
      </c>
      <c r="C653" t="s">
        <v>118</v>
      </c>
      <c r="D653" t="s">
        <v>85</v>
      </c>
      <c r="E653" t="s">
        <v>90</v>
      </c>
      <c r="F653" s="11">
        <v>3</v>
      </c>
      <c r="G653" s="11">
        <v>3</v>
      </c>
      <c r="H653" s="11">
        <v>0</v>
      </c>
      <c r="I653" s="11">
        <v>3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</row>
    <row r="654" spans="1:49" ht="14.5" collapsed="1" x14ac:dyDescent="0.35">
      <c r="A654" s="6" t="s">
        <v>12</v>
      </c>
      <c r="B654" s="6" t="s">
        <v>14</v>
      </c>
      <c r="C654" s="6" t="s">
        <v>119</v>
      </c>
      <c r="D654" s="6" t="s">
        <v>72</v>
      </c>
      <c r="E654" s="6" t="s">
        <v>73</v>
      </c>
      <c r="F654" s="7">
        <f t="shared" ref="F654:AW654" si="73">SUM(F655,F656)</f>
        <v>42</v>
      </c>
      <c r="G654" s="7">
        <f t="shared" si="73"/>
        <v>42</v>
      </c>
      <c r="H654" s="7">
        <f t="shared" si="73"/>
        <v>0</v>
      </c>
      <c r="I654" s="7">
        <f t="shared" si="73"/>
        <v>42</v>
      </c>
      <c r="J654" s="7">
        <f t="shared" si="73"/>
        <v>0</v>
      </c>
      <c r="K654" s="7">
        <f t="shared" si="73"/>
        <v>0</v>
      </c>
      <c r="L654" s="7">
        <f t="shared" si="73"/>
        <v>0</v>
      </c>
      <c r="M654" s="7">
        <f t="shared" si="73"/>
        <v>0</v>
      </c>
      <c r="N654" s="7">
        <f t="shared" si="73"/>
        <v>0</v>
      </c>
      <c r="O654" s="7">
        <f t="shared" si="73"/>
        <v>0</v>
      </c>
      <c r="P654" s="7">
        <f t="shared" si="73"/>
        <v>0</v>
      </c>
      <c r="Q654" s="7">
        <f t="shared" si="73"/>
        <v>0</v>
      </c>
      <c r="R654" s="7">
        <f t="shared" si="73"/>
        <v>0</v>
      </c>
      <c r="S654" s="7">
        <f t="shared" si="73"/>
        <v>0</v>
      </c>
      <c r="T654" s="7">
        <f t="shared" si="73"/>
        <v>0</v>
      </c>
      <c r="U654" s="7">
        <f t="shared" si="73"/>
        <v>0</v>
      </c>
      <c r="V654" s="7">
        <f t="shared" si="73"/>
        <v>0</v>
      </c>
      <c r="W654" s="7">
        <f t="shared" si="73"/>
        <v>0</v>
      </c>
      <c r="X654" s="7">
        <f t="shared" si="73"/>
        <v>0</v>
      </c>
      <c r="Y654" s="7">
        <f t="shared" si="73"/>
        <v>0</v>
      </c>
      <c r="Z654" s="7">
        <f t="shared" si="73"/>
        <v>0</v>
      </c>
      <c r="AA654" s="7">
        <f t="shared" si="73"/>
        <v>0</v>
      </c>
      <c r="AB654" s="7">
        <f t="shared" si="73"/>
        <v>0</v>
      </c>
      <c r="AC654" s="7">
        <f t="shared" si="73"/>
        <v>0</v>
      </c>
      <c r="AD654" s="7">
        <f t="shared" si="73"/>
        <v>0</v>
      </c>
      <c r="AE654" s="7">
        <f t="shared" si="73"/>
        <v>0</v>
      </c>
      <c r="AF654" s="7">
        <f t="shared" si="73"/>
        <v>0</v>
      </c>
      <c r="AG654" s="7">
        <f t="shared" si="73"/>
        <v>0</v>
      </c>
      <c r="AH654" s="7">
        <f t="shared" si="73"/>
        <v>0</v>
      </c>
      <c r="AI654" s="7">
        <f t="shared" si="73"/>
        <v>0</v>
      </c>
      <c r="AJ654" s="7">
        <f t="shared" si="73"/>
        <v>0</v>
      </c>
      <c r="AK654" s="7">
        <f t="shared" si="73"/>
        <v>0</v>
      </c>
      <c r="AL654" s="7">
        <f t="shared" si="73"/>
        <v>0</v>
      </c>
      <c r="AM654" s="7">
        <f t="shared" si="73"/>
        <v>0</v>
      </c>
      <c r="AN654" s="7">
        <f t="shared" si="73"/>
        <v>0</v>
      </c>
      <c r="AO654" s="7">
        <f t="shared" si="73"/>
        <v>0</v>
      </c>
      <c r="AP654" s="7">
        <f t="shared" si="73"/>
        <v>0</v>
      </c>
      <c r="AQ654" s="7">
        <f t="shared" si="73"/>
        <v>0</v>
      </c>
      <c r="AR654" s="7">
        <f t="shared" si="73"/>
        <v>0</v>
      </c>
      <c r="AS654" s="7">
        <f t="shared" si="73"/>
        <v>0</v>
      </c>
      <c r="AT654" s="7">
        <f t="shared" si="73"/>
        <v>0</v>
      </c>
      <c r="AU654" s="7">
        <f t="shared" si="73"/>
        <v>0</v>
      </c>
      <c r="AV654" s="7">
        <f t="shared" si="73"/>
        <v>0</v>
      </c>
      <c r="AW654" s="7">
        <f t="shared" si="73"/>
        <v>0</v>
      </c>
    </row>
    <row r="655" spans="1:49" ht="14.5" hidden="1" outlineLevel="1" x14ac:dyDescent="0.35">
      <c r="A655" t="s">
        <v>12</v>
      </c>
      <c r="B655" t="s">
        <v>14</v>
      </c>
      <c r="C655" t="s">
        <v>119</v>
      </c>
      <c r="D655" t="s">
        <v>85</v>
      </c>
      <c r="E655" t="s">
        <v>87</v>
      </c>
      <c r="F655" s="11">
        <v>8</v>
      </c>
      <c r="G655" s="11">
        <v>8</v>
      </c>
      <c r="H655" s="11">
        <v>0</v>
      </c>
      <c r="I655" s="11">
        <v>8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</row>
    <row r="656" spans="1:49" ht="14.5" hidden="1" outlineLevel="1" x14ac:dyDescent="0.35">
      <c r="A656" t="s">
        <v>12</v>
      </c>
      <c r="B656" t="s">
        <v>14</v>
      </c>
      <c r="C656" t="s">
        <v>119</v>
      </c>
      <c r="D656" t="s">
        <v>85</v>
      </c>
      <c r="E656" t="s">
        <v>90</v>
      </c>
      <c r="F656" s="11">
        <v>34</v>
      </c>
      <c r="G656" s="11">
        <v>34</v>
      </c>
      <c r="H656" s="11">
        <v>0</v>
      </c>
      <c r="I656" s="11">
        <v>34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</row>
    <row r="657" spans="1:49" ht="14.5" collapsed="1" x14ac:dyDescent="0.35">
      <c r="A657" s="6" t="s">
        <v>12</v>
      </c>
      <c r="B657" s="6" t="s">
        <v>14</v>
      </c>
      <c r="C657" s="6" t="s">
        <v>136</v>
      </c>
      <c r="D657" s="6" t="s">
        <v>72</v>
      </c>
      <c r="E657" s="6" t="s">
        <v>73</v>
      </c>
      <c r="F657" s="7">
        <f t="shared" ref="F657:AW657" si="74">SUM(F658,F659)</f>
        <v>101</v>
      </c>
      <c r="G657" s="7">
        <f t="shared" si="74"/>
        <v>101</v>
      </c>
      <c r="H657" s="7">
        <f t="shared" si="74"/>
        <v>0</v>
      </c>
      <c r="I657" s="7">
        <f t="shared" si="74"/>
        <v>101</v>
      </c>
      <c r="J657" s="7">
        <f t="shared" si="74"/>
        <v>0</v>
      </c>
      <c r="K657" s="7">
        <f t="shared" si="74"/>
        <v>0</v>
      </c>
      <c r="L657" s="7">
        <f t="shared" si="74"/>
        <v>0</v>
      </c>
      <c r="M657" s="7">
        <f t="shared" si="74"/>
        <v>0</v>
      </c>
      <c r="N657" s="7">
        <f t="shared" si="74"/>
        <v>0</v>
      </c>
      <c r="O657" s="7">
        <f t="shared" si="74"/>
        <v>0</v>
      </c>
      <c r="P657" s="7">
        <f t="shared" si="74"/>
        <v>0</v>
      </c>
      <c r="Q657" s="7">
        <f t="shared" si="74"/>
        <v>0</v>
      </c>
      <c r="R657" s="7">
        <f t="shared" si="74"/>
        <v>0</v>
      </c>
      <c r="S657" s="7">
        <f t="shared" si="74"/>
        <v>0</v>
      </c>
      <c r="T657" s="7">
        <f t="shared" si="74"/>
        <v>0</v>
      </c>
      <c r="U657" s="7">
        <f t="shared" si="74"/>
        <v>0</v>
      </c>
      <c r="V657" s="7">
        <f t="shared" si="74"/>
        <v>0</v>
      </c>
      <c r="W657" s="7">
        <f t="shared" si="74"/>
        <v>0</v>
      </c>
      <c r="X657" s="7">
        <f t="shared" si="74"/>
        <v>0</v>
      </c>
      <c r="Y657" s="7">
        <f t="shared" si="74"/>
        <v>0</v>
      </c>
      <c r="Z657" s="7">
        <f t="shared" si="74"/>
        <v>0</v>
      </c>
      <c r="AA657" s="7">
        <f t="shared" si="74"/>
        <v>0</v>
      </c>
      <c r="AB657" s="7">
        <f t="shared" si="74"/>
        <v>0</v>
      </c>
      <c r="AC657" s="7">
        <f t="shared" si="74"/>
        <v>0</v>
      </c>
      <c r="AD657" s="7">
        <f t="shared" si="74"/>
        <v>0</v>
      </c>
      <c r="AE657" s="7">
        <f t="shared" si="74"/>
        <v>0</v>
      </c>
      <c r="AF657" s="7">
        <f t="shared" si="74"/>
        <v>0</v>
      </c>
      <c r="AG657" s="7">
        <f t="shared" si="74"/>
        <v>0</v>
      </c>
      <c r="AH657" s="7">
        <f t="shared" si="74"/>
        <v>0</v>
      </c>
      <c r="AI657" s="7">
        <f t="shared" si="74"/>
        <v>0</v>
      </c>
      <c r="AJ657" s="7">
        <f t="shared" si="74"/>
        <v>0</v>
      </c>
      <c r="AK657" s="7">
        <f t="shared" si="74"/>
        <v>0</v>
      </c>
      <c r="AL657" s="7">
        <f t="shared" si="74"/>
        <v>0</v>
      </c>
      <c r="AM657" s="7">
        <f t="shared" si="74"/>
        <v>0</v>
      </c>
      <c r="AN657" s="7">
        <f t="shared" si="74"/>
        <v>0</v>
      </c>
      <c r="AO657" s="7">
        <f t="shared" si="74"/>
        <v>0</v>
      </c>
      <c r="AP657" s="7">
        <f t="shared" si="74"/>
        <v>0</v>
      </c>
      <c r="AQ657" s="7">
        <f t="shared" si="74"/>
        <v>0</v>
      </c>
      <c r="AR657" s="7">
        <f t="shared" si="74"/>
        <v>0</v>
      </c>
      <c r="AS657" s="7">
        <f t="shared" si="74"/>
        <v>0</v>
      </c>
      <c r="AT657" s="7">
        <f t="shared" si="74"/>
        <v>0</v>
      </c>
      <c r="AU657" s="7">
        <f t="shared" si="74"/>
        <v>0</v>
      </c>
      <c r="AV657" s="7">
        <f t="shared" si="74"/>
        <v>0</v>
      </c>
      <c r="AW657" s="7">
        <f t="shared" si="74"/>
        <v>0</v>
      </c>
    </row>
    <row r="658" spans="1:49" ht="14.5" hidden="1" outlineLevel="1" x14ac:dyDescent="0.35">
      <c r="A658" t="s">
        <v>12</v>
      </c>
      <c r="B658" t="s">
        <v>14</v>
      </c>
      <c r="C658" t="s">
        <v>136</v>
      </c>
      <c r="D658" t="s">
        <v>85</v>
      </c>
      <c r="E658" t="s">
        <v>87</v>
      </c>
      <c r="F658" s="11">
        <v>3</v>
      </c>
      <c r="G658" s="11">
        <v>3</v>
      </c>
      <c r="H658" s="11">
        <v>0</v>
      </c>
      <c r="I658" s="11">
        <v>3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1">
        <v>0</v>
      </c>
      <c r="AU658" s="11">
        <v>0</v>
      </c>
      <c r="AV658" s="11">
        <v>0</v>
      </c>
      <c r="AW658" s="11">
        <v>0</v>
      </c>
    </row>
    <row r="659" spans="1:49" ht="14.5" hidden="1" outlineLevel="1" x14ac:dyDescent="0.35">
      <c r="A659" t="s">
        <v>12</v>
      </c>
      <c r="B659" t="s">
        <v>14</v>
      </c>
      <c r="C659" t="s">
        <v>136</v>
      </c>
      <c r="D659" t="s">
        <v>85</v>
      </c>
      <c r="E659" t="s">
        <v>90</v>
      </c>
      <c r="F659" s="11">
        <v>98</v>
      </c>
      <c r="G659" s="11">
        <v>98</v>
      </c>
      <c r="H659" s="11">
        <v>0</v>
      </c>
      <c r="I659" s="11">
        <v>98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</row>
    <row r="660" spans="1:49" ht="14.5" collapsed="1" x14ac:dyDescent="0.35">
      <c r="A660" s="6" t="s">
        <v>12</v>
      </c>
      <c r="B660" s="6" t="s">
        <v>14</v>
      </c>
      <c r="C660" s="6" t="s">
        <v>137</v>
      </c>
      <c r="D660" s="6" t="s">
        <v>72</v>
      </c>
      <c r="E660" s="6" t="s">
        <v>73</v>
      </c>
      <c r="F660" s="7">
        <f t="shared" ref="F660:AW660" si="75">SUM(F661)</f>
        <v>52</v>
      </c>
      <c r="G660" s="7">
        <f t="shared" si="75"/>
        <v>52</v>
      </c>
      <c r="H660" s="7">
        <f t="shared" si="75"/>
        <v>0</v>
      </c>
      <c r="I660" s="7">
        <f t="shared" si="75"/>
        <v>52</v>
      </c>
      <c r="J660" s="7">
        <f t="shared" si="75"/>
        <v>0</v>
      </c>
      <c r="K660" s="7">
        <f t="shared" si="75"/>
        <v>0</v>
      </c>
      <c r="L660" s="7">
        <f t="shared" si="75"/>
        <v>0</v>
      </c>
      <c r="M660" s="7">
        <f t="shared" si="75"/>
        <v>0</v>
      </c>
      <c r="N660" s="7">
        <f t="shared" si="75"/>
        <v>0</v>
      </c>
      <c r="O660" s="7">
        <f t="shared" si="75"/>
        <v>0</v>
      </c>
      <c r="P660" s="7">
        <f t="shared" si="75"/>
        <v>0</v>
      </c>
      <c r="Q660" s="7">
        <f t="shared" si="75"/>
        <v>0</v>
      </c>
      <c r="R660" s="7">
        <f t="shared" si="75"/>
        <v>0</v>
      </c>
      <c r="S660" s="7">
        <f t="shared" si="75"/>
        <v>0</v>
      </c>
      <c r="T660" s="7">
        <f t="shared" si="75"/>
        <v>0</v>
      </c>
      <c r="U660" s="7">
        <f t="shared" si="75"/>
        <v>0</v>
      </c>
      <c r="V660" s="7">
        <f t="shared" si="75"/>
        <v>0</v>
      </c>
      <c r="W660" s="7">
        <f t="shared" si="75"/>
        <v>0</v>
      </c>
      <c r="X660" s="7">
        <f t="shared" si="75"/>
        <v>0</v>
      </c>
      <c r="Y660" s="7">
        <f t="shared" si="75"/>
        <v>0</v>
      </c>
      <c r="Z660" s="7">
        <f t="shared" si="75"/>
        <v>0</v>
      </c>
      <c r="AA660" s="7">
        <f t="shared" si="75"/>
        <v>0</v>
      </c>
      <c r="AB660" s="7">
        <f t="shared" si="75"/>
        <v>0</v>
      </c>
      <c r="AC660" s="7">
        <f t="shared" si="75"/>
        <v>0</v>
      </c>
      <c r="AD660" s="7">
        <f t="shared" si="75"/>
        <v>0</v>
      </c>
      <c r="AE660" s="7">
        <f t="shared" si="75"/>
        <v>0</v>
      </c>
      <c r="AF660" s="7">
        <f t="shared" si="75"/>
        <v>0</v>
      </c>
      <c r="AG660" s="7">
        <f t="shared" si="75"/>
        <v>0</v>
      </c>
      <c r="AH660" s="7">
        <f t="shared" si="75"/>
        <v>0</v>
      </c>
      <c r="AI660" s="7">
        <f t="shared" si="75"/>
        <v>0</v>
      </c>
      <c r="AJ660" s="7">
        <f t="shared" si="75"/>
        <v>0</v>
      </c>
      <c r="AK660" s="7">
        <f t="shared" si="75"/>
        <v>0</v>
      </c>
      <c r="AL660" s="7">
        <f t="shared" si="75"/>
        <v>0</v>
      </c>
      <c r="AM660" s="7">
        <f t="shared" si="75"/>
        <v>0</v>
      </c>
      <c r="AN660" s="7">
        <f t="shared" si="75"/>
        <v>0</v>
      </c>
      <c r="AO660" s="7">
        <f t="shared" si="75"/>
        <v>0</v>
      </c>
      <c r="AP660" s="7">
        <f t="shared" si="75"/>
        <v>0</v>
      </c>
      <c r="AQ660" s="7">
        <f t="shared" si="75"/>
        <v>0</v>
      </c>
      <c r="AR660" s="7">
        <f t="shared" si="75"/>
        <v>0</v>
      </c>
      <c r="AS660" s="7">
        <f t="shared" si="75"/>
        <v>0</v>
      </c>
      <c r="AT660" s="7">
        <f t="shared" si="75"/>
        <v>0</v>
      </c>
      <c r="AU660" s="7">
        <f t="shared" si="75"/>
        <v>0</v>
      </c>
      <c r="AV660" s="7">
        <f t="shared" si="75"/>
        <v>0</v>
      </c>
      <c r="AW660" s="7">
        <f t="shared" si="75"/>
        <v>0</v>
      </c>
    </row>
    <row r="661" spans="1:49" ht="14.5" hidden="1" outlineLevel="1" x14ac:dyDescent="0.35">
      <c r="A661" t="s">
        <v>12</v>
      </c>
      <c r="B661" t="s">
        <v>14</v>
      </c>
      <c r="C661" t="s">
        <v>137</v>
      </c>
      <c r="D661" t="s">
        <v>85</v>
      </c>
      <c r="E661" t="s">
        <v>90</v>
      </c>
      <c r="F661" s="11">
        <v>52</v>
      </c>
      <c r="G661" s="11">
        <v>52</v>
      </c>
      <c r="H661" s="11">
        <v>0</v>
      </c>
      <c r="I661" s="11">
        <v>52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</row>
    <row r="662" spans="1:49" ht="14.5" collapsed="1" x14ac:dyDescent="0.35">
      <c r="A662" s="6" t="s">
        <v>12</v>
      </c>
      <c r="B662" s="6" t="s">
        <v>14</v>
      </c>
      <c r="C662" s="6" t="s">
        <v>162</v>
      </c>
      <c r="D662" s="6" t="s">
        <v>72</v>
      </c>
      <c r="E662" s="6" t="s">
        <v>73</v>
      </c>
      <c r="F662" s="7">
        <f t="shared" ref="F662:AW662" si="76">SUM(F663,F664)</f>
        <v>56.5</v>
      </c>
      <c r="G662" s="7">
        <f t="shared" si="76"/>
        <v>56.5</v>
      </c>
      <c r="H662" s="7">
        <f t="shared" si="76"/>
        <v>0</v>
      </c>
      <c r="I662" s="7">
        <f t="shared" si="76"/>
        <v>56.5</v>
      </c>
      <c r="J662" s="7">
        <f t="shared" si="76"/>
        <v>0</v>
      </c>
      <c r="K662" s="7">
        <f t="shared" si="76"/>
        <v>0</v>
      </c>
      <c r="L662" s="7">
        <f t="shared" si="76"/>
        <v>0</v>
      </c>
      <c r="M662" s="7">
        <f t="shared" si="76"/>
        <v>0</v>
      </c>
      <c r="N662" s="7">
        <f t="shared" si="76"/>
        <v>0</v>
      </c>
      <c r="O662" s="7">
        <f t="shared" si="76"/>
        <v>0</v>
      </c>
      <c r="P662" s="7">
        <f t="shared" si="76"/>
        <v>0</v>
      </c>
      <c r="Q662" s="7">
        <f t="shared" si="76"/>
        <v>0</v>
      </c>
      <c r="R662" s="7">
        <f t="shared" si="76"/>
        <v>0</v>
      </c>
      <c r="S662" s="7">
        <f t="shared" si="76"/>
        <v>0</v>
      </c>
      <c r="T662" s="7">
        <f t="shared" si="76"/>
        <v>0</v>
      </c>
      <c r="U662" s="7">
        <f t="shared" si="76"/>
        <v>0</v>
      </c>
      <c r="V662" s="7">
        <f t="shared" si="76"/>
        <v>0</v>
      </c>
      <c r="W662" s="7">
        <f t="shared" si="76"/>
        <v>0</v>
      </c>
      <c r="X662" s="7">
        <f t="shared" si="76"/>
        <v>0</v>
      </c>
      <c r="Y662" s="7">
        <f t="shared" si="76"/>
        <v>0</v>
      </c>
      <c r="Z662" s="7">
        <f t="shared" si="76"/>
        <v>0</v>
      </c>
      <c r="AA662" s="7">
        <f t="shared" si="76"/>
        <v>0</v>
      </c>
      <c r="AB662" s="7">
        <f t="shared" si="76"/>
        <v>0</v>
      </c>
      <c r="AC662" s="7">
        <f t="shared" si="76"/>
        <v>0</v>
      </c>
      <c r="AD662" s="7">
        <f t="shared" si="76"/>
        <v>0</v>
      </c>
      <c r="AE662" s="7">
        <f t="shared" si="76"/>
        <v>0</v>
      </c>
      <c r="AF662" s="7">
        <f t="shared" si="76"/>
        <v>0</v>
      </c>
      <c r="AG662" s="7">
        <f t="shared" si="76"/>
        <v>0</v>
      </c>
      <c r="AH662" s="7">
        <f t="shared" si="76"/>
        <v>0</v>
      </c>
      <c r="AI662" s="7">
        <f t="shared" si="76"/>
        <v>0</v>
      </c>
      <c r="AJ662" s="7">
        <f t="shared" si="76"/>
        <v>0</v>
      </c>
      <c r="AK662" s="7">
        <f t="shared" si="76"/>
        <v>0</v>
      </c>
      <c r="AL662" s="7">
        <f t="shared" si="76"/>
        <v>0</v>
      </c>
      <c r="AM662" s="7">
        <f t="shared" si="76"/>
        <v>0</v>
      </c>
      <c r="AN662" s="7">
        <f t="shared" si="76"/>
        <v>0</v>
      </c>
      <c r="AO662" s="7">
        <f t="shared" si="76"/>
        <v>0</v>
      </c>
      <c r="AP662" s="7">
        <f t="shared" si="76"/>
        <v>0</v>
      </c>
      <c r="AQ662" s="7">
        <f t="shared" si="76"/>
        <v>0</v>
      </c>
      <c r="AR662" s="7">
        <f t="shared" si="76"/>
        <v>0</v>
      </c>
      <c r="AS662" s="7">
        <f t="shared" si="76"/>
        <v>0</v>
      </c>
      <c r="AT662" s="7">
        <f t="shared" si="76"/>
        <v>0</v>
      </c>
      <c r="AU662" s="7">
        <f t="shared" si="76"/>
        <v>0</v>
      </c>
      <c r="AV662" s="7">
        <f t="shared" si="76"/>
        <v>0</v>
      </c>
      <c r="AW662" s="7">
        <f t="shared" si="76"/>
        <v>0</v>
      </c>
    </row>
    <row r="663" spans="1:49" ht="14.5" hidden="1" outlineLevel="1" x14ac:dyDescent="0.35">
      <c r="A663" t="s">
        <v>12</v>
      </c>
      <c r="B663" t="s">
        <v>14</v>
      </c>
      <c r="C663" t="s">
        <v>162</v>
      </c>
      <c r="D663" t="s">
        <v>85</v>
      </c>
      <c r="E663" t="s">
        <v>77</v>
      </c>
      <c r="F663" s="11">
        <v>54.5</v>
      </c>
      <c r="G663" s="11">
        <v>54.5</v>
      </c>
      <c r="H663" s="11">
        <v>0</v>
      </c>
      <c r="I663" s="11">
        <v>54.5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</row>
    <row r="664" spans="1:49" ht="14.5" hidden="1" outlineLevel="1" x14ac:dyDescent="0.35">
      <c r="A664" t="s">
        <v>12</v>
      </c>
      <c r="B664" t="s">
        <v>14</v>
      </c>
      <c r="C664" t="s">
        <v>162</v>
      </c>
      <c r="D664" t="s">
        <v>85</v>
      </c>
      <c r="E664" t="s">
        <v>90</v>
      </c>
      <c r="F664" s="11">
        <v>2</v>
      </c>
      <c r="G664" s="11">
        <v>2</v>
      </c>
      <c r="H664" s="11">
        <v>0</v>
      </c>
      <c r="I664" s="11">
        <v>2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</row>
    <row r="665" spans="1:49" ht="14.5" hidden="1" outlineLevel="1" x14ac:dyDescent="0.35">
      <c r="A665" s="8" t="s">
        <v>12</v>
      </c>
      <c r="B665" s="8" t="s">
        <v>14</v>
      </c>
      <c r="C665" s="8" t="s">
        <v>162</v>
      </c>
      <c r="D665" s="8" t="s">
        <v>74</v>
      </c>
      <c r="E665" s="9" t="s">
        <v>158</v>
      </c>
      <c r="F665" s="10"/>
      <c r="G665" s="10"/>
      <c r="H665" s="10"/>
      <c r="I665" s="10"/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3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</row>
    <row r="666" spans="1:49" ht="14.5" hidden="1" outlineLevel="1" x14ac:dyDescent="0.35">
      <c r="A666" s="8" t="s">
        <v>12</v>
      </c>
      <c r="B666" s="8" t="s">
        <v>14</v>
      </c>
      <c r="C666" s="8" t="s">
        <v>162</v>
      </c>
      <c r="D666" s="8" t="s">
        <v>74</v>
      </c>
      <c r="E666" s="9" t="s">
        <v>122</v>
      </c>
      <c r="F666" s="10"/>
      <c r="G666" s="10"/>
      <c r="H666" s="10"/>
      <c r="I666" s="10"/>
      <c r="J666" s="10">
        <v>2</v>
      </c>
      <c r="K666" s="10">
        <v>0</v>
      </c>
      <c r="L666" s="10">
        <v>0</v>
      </c>
      <c r="M666" s="10">
        <v>4</v>
      </c>
      <c r="N666" s="10">
        <v>3</v>
      </c>
      <c r="O666" s="10">
        <v>0.9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1</v>
      </c>
      <c r="Y666" s="10">
        <v>1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</row>
    <row r="667" spans="1:49" ht="14.5" hidden="1" outlineLevel="1" x14ac:dyDescent="0.35">
      <c r="A667" s="8" t="s">
        <v>12</v>
      </c>
      <c r="B667" s="8" t="s">
        <v>14</v>
      </c>
      <c r="C667" s="8" t="s">
        <v>162</v>
      </c>
      <c r="D667" s="8" t="s">
        <v>74</v>
      </c>
      <c r="E667" s="9" t="s">
        <v>79</v>
      </c>
      <c r="F667" s="10"/>
      <c r="G667" s="10"/>
      <c r="H667" s="10"/>
      <c r="I667" s="10"/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6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</row>
    <row r="668" spans="1:49" ht="14.5" hidden="1" outlineLevel="1" x14ac:dyDescent="0.35">
      <c r="A668" s="8" t="s">
        <v>12</v>
      </c>
      <c r="B668" s="8" t="s">
        <v>14</v>
      </c>
      <c r="C668" s="8" t="s">
        <v>162</v>
      </c>
      <c r="D668" s="8" t="s">
        <v>74</v>
      </c>
      <c r="E668" s="9" t="s">
        <v>80</v>
      </c>
      <c r="F668" s="10"/>
      <c r="G668" s="10"/>
      <c r="H668" s="10"/>
      <c r="I668" s="10"/>
      <c r="J668" s="10">
        <v>0</v>
      </c>
      <c r="K668" s="10">
        <v>0</v>
      </c>
      <c r="L668" s="10">
        <v>19</v>
      </c>
      <c r="M668" s="10">
        <v>0</v>
      </c>
      <c r="N668" s="10">
        <v>0</v>
      </c>
      <c r="O668" s="10">
        <v>0</v>
      </c>
      <c r="P668" s="10">
        <v>0</v>
      </c>
      <c r="Q668" s="10">
        <v>3.1</v>
      </c>
      <c r="R668" s="10">
        <v>0</v>
      </c>
      <c r="S668" s="10">
        <v>13.4</v>
      </c>
      <c r="T668" s="10">
        <v>15</v>
      </c>
      <c r="U668" s="10">
        <v>0</v>
      </c>
      <c r="V668" s="10">
        <v>0</v>
      </c>
      <c r="W668" s="10">
        <v>10</v>
      </c>
      <c r="X668" s="10">
        <v>0</v>
      </c>
      <c r="Y668" s="10">
        <v>0</v>
      </c>
      <c r="Z668" s="10">
        <v>0</v>
      </c>
      <c r="AA668" s="10">
        <v>0</v>
      </c>
      <c r="AB668" s="10">
        <v>30.7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</row>
    <row r="669" spans="1:49" ht="14.5" hidden="1" outlineLevel="1" x14ac:dyDescent="0.35">
      <c r="A669" s="8" t="s">
        <v>12</v>
      </c>
      <c r="B669" s="8" t="s">
        <v>14</v>
      </c>
      <c r="C669" s="8" t="s">
        <v>162</v>
      </c>
      <c r="D669" s="8" t="s">
        <v>74</v>
      </c>
      <c r="E669" s="9" t="s">
        <v>40</v>
      </c>
      <c r="F669" s="10"/>
      <c r="G669" s="10"/>
      <c r="H669" s="10"/>
      <c r="I669" s="10"/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8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</row>
    <row r="670" spans="1:49" ht="14.5" collapsed="1" x14ac:dyDescent="0.35">
      <c r="A670" s="6" t="s">
        <v>12</v>
      </c>
      <c r="B670" s="6" t="s">
        <v>14</v>
      </c>
      <c r="C670" s="6" t="s">
        <v>163</v>
      </c>
      <c r="D670" s="6" t="s">
        <v>72</v>
      </c>
      <c r="E670" s="6" t="s">
        <v>73</v>
      </c>
      <c r="F670" s="7">
        <f t="shared" ref="F670:AW670" si="77">SUM(F671)</f>
        <v>46</v>
      </c>
      <c r="G670" s="7">
        <f t="shared" si="77"/>
        <v>46</v>
      </c>
      <c r="H670" s="7">
        <f t="shared" si="77"/>
        <v>0</v>
      </c>
      <c r="I670" s="7">
        <f t="shared" si="77"/>
        <v>46</v>
      </c>
      <c r="J670" s="7">
        <f t="shared" si="77"/>
        <v>0</v>
      </c>
      <c r="K670" s="7">
        <f t="shared" si="77"/>
        <v>0</v>
      </c>
      <c r="L670" s="7">
        <f t="shared" si="77"/>
        <v>0</v>
      </c>
      <c r="M670" s="7">
        <f t="shared" si="77"/>
        <v>0</v>
      </c>
      <c r="N670" s="7">
        <f t="shared" si="77"/>
        <v>0</v>
      </c>
      <c r="O670" s="7">
        <f t="shared" si="77"/>
        <v>0</v>
      </c>
      <c r="P670" s="7">
        <f t="shared" si="77"/>
        <v>0</v>
      </c>
      <c r="Q670" s="7">
        <f t="shared" si="77"/>
        <v>0</v>
      </c>
      <c r="R670" s="7">
        <f t="shared" si="77"/>
        <v>0</v>
      </c>
      <c r="S670" s="7">
        <f t="shared" si="77"/>
        <v>0</v>
      </c>
      <c r="T670" s="7">
        <f t="shared" si="77"/>
        <v>0</v>
      </c>
      <c r="U670" s="7">
        <f t="shared" si="77"/>
        <v>0</v>
      </c>
      <c r="V670" s="7">
        <f t="shared" si="77"/>
        <v>0</v>
      </c>
      <c r="W670" s="7">
        <f t="shared" si="77"/>
        <v>0</v>
      </c>
      <c r="X670" s="7">
        <f t="shared" si="77"/>
        <v>0</v>
      </c>
      <c r="Y670" s="7">
        <f t="shared" si="77"/>
        <v>0</v>
      </c>
      <c r="Z670" s="7">
        <f t="shared" si="77"/>
        <v>0</v>
      </c>
      <c r="AA670" s="7">
        <f t="shared" si="77"/>
        <v>0</v>
      </c>
      <c r="AB670" s="7">
        <f t="shared" si="77"/>
        <v>0</v>
      </c>
      <c r="AC670" s="7">
        <f t="shared" si="77"/>
        <v>0</v>
      </c>
      <c r="AD670" s="7">
        <f t="shared" si="77"/>
        <v>0</v>
      </c>
      <c r="AE670" s="7">
        <f t="shared" si="77"/>
        <v>0</v>
      </c>
      <c r="AF670" s="7">
        <f t="shared" si="77"/>
        <v>0</v>
      </c>
      <c r="AG670" s="7">
        <f t="shared" si="77"/>
        <v>0</v>
      </c>
      <c r="AH670" s="7">
        <f t="shared" si="77"/>
        <v>0</v>
      </c>
      <c r="AI670" s="7">
        <f t="shared" si="77"/>
        <v>0</v>
      </c>
      <c r="AJ670" s="7">
        <f t="shared" si="77"/>
        <v>0</v>
      </c>
      <c r="AK670" s="7">
        <f t="shared" si="77"/>
        <v>0</v>
      </c>
      <c r="AL670" s="7">
        <f t="shared" si="77"/>
        <v>0</v>
      </c>
      <c r="AM670" s="7">
        <f t="shared" si="77"/>
        <v>0</v>
      </c>
      <c r="AN670" s="7">
        <f t="shared" si="77"/>
        <v>0</v>
      </c>
      <c r="AO670" s="7">
        <f t="shared" si="77"/>
        <v>0</v>
      </c>
      <c r="AP670" s="7">
        <f t="shared" si="77"/>
        <v>0</v>
      </c>
      <c r="AQ670" s="7">
        <f t="shared" si="77"/>
        <v>0</v>
      </c>
      <c r="AR670" s="7">
        <f t="shared" si="77"/>
        <v>0</v>
      </c>
      <c r="AS670" s="7">
        <f t="shared" si="77"/>
        <v>0</v>
      </c>
      <c r="AT670" s="7">
        <f t="shared" si="77"/>
        <v>0</v>
      </c>
      <c r="AU670" s="7">
        <f t="shared" si="77"/>
        <v>0</v>
      </c>
      <c r="AV670" s="7">
        <f t="shared" si="77"/>
        <v>0</v>
      </c>
      <c r="AW670" s="7">
        <f t="shared" si="77"/>
        <v>0</v>
      </c>
    </row>
    <row r="671" spans="1:49" ht="14.5" hidden="1" outlineLevel="1" x14ac:dyDescent="0.35">
      <c r="A671" t="s">
        <v>12</v>
      </c>
      <c r="B671" t="s">
        <v>14</v>
      </c>
      <c r="C671" t="s">
        <v>163</v>
      </c>
      <c r="D671" t="s">
        <v>85</v>
      </c>
      <c r="E671" t="s">
        <v>90</v>
      </c>
      <c r="F671" s="11">
        <v>46</v>
      </c>
      <c r="G671" s="11">
        <v>46</v>
      </c>
      <c r="H671" s="11">
        <v>0</v>
      </c>
      <c r="I671" s="11">
        <v>46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  <c r="AU671" s="11">
        <v>0</v>
      </c>
      <c r="AV671" s="11">
        <v>0</v>
      </c>
      <c r="AW671" s="11">
        <v>0</v>
      </c>
    </row>
    <row r="672" spans="1:49" ht="14.5" hidden="1" outlineLevel="1" x14ac:dyDescent="0.35">
      <c r="A672" s="8" t="s">
        <v>12</v>
      </c>
      <c r="B672" s="8" t="s">
        <v>14</v>
      </c>
      <c r="C672" s="8" t="s">
        <v>163</v>
      </c>
      <c r="D672" s="8" t="s">
        <v>74</v>
      </c>
      <c r="E672" s="9" t="s">
        <v>80</v>
      </c>
      <c r="F672" s="10"/>
      <c r="G672" s="10"/>
      <c r="H672" s="10"/>
      <c r="I672" s="10"/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15</v>
      </c>
      <c r="Y672" s="10">
        <v>10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</row>
    <row r="673" spans="1:49" ht="14.5" hidden="1" outlineLevel="1" x14ac:dyDescent="0.35">
      <c r="A673" s="8" t="s">
        <v>12</v>
      </c>
      <c r="B673" s="8" t="s">
        <v>14</v>
      </c>
      <c r="C673" s="8" t="s">
        <v>163</v>
      </c>
      <c r="D673" s="8" t="s">
        <v>74</v>
      </c>
      <c r="E673" s="9" t="s">
        <v>97</v>
      </c>
      <c r="F673" s="10"/>
      <c r="G673" s="10"/>
      <c r="H673" s="10"/>
      <c r="I673" s="10"/>
      <c r="J673" s="10">
        <v>2.5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</row>
    <row r="674" spans="1:49" ht="14.5" hidden="1" outlineLevel="1" x14ac:dyDescent="0.35">
      <c r="A674" s="8" t="s">
        <v>12</v>
      </c>
      <c r="B674" s="8" t="s">
        <v>14</v>
      </c>
      <c r="C674" s="8" t="s">
        <v>163</v>
      </c>
      <c r="D674" s="8" t="s">
        <v>74</v>
      </c>
      <c r="E674" s="9" t="s">
        <v>82</v>
      </c>
      <c r="F674" s="10"/>
      <c r="G674" s="10"/>
      <c r="H674" s="10"/>
      <c r="I674" s="10"/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3</v>
      </c>
      <c r="U674" s="10">
        <v>5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</row>
    <row r="675" spans="1:49" ht="14.5" hidden="1" outlineLevel="1" x14ac:dyDescent="0.35">
      <c r="A675" s="8" t="s">
        <v>12</v>
      </c>
      <c r="B675" s="8" t="s">
        <v>14</v>
      </c>
      <c r="C675" s="8" t="s">
        <v>163</v>
      </c>
      <c r="D675" s="8" t="s">
        <v>74</v>
      </c>
      <c r="E675" s="9" t="s">
        <v>148</v>
      </c>
      <c r="F675" s="10"/>
      <c r="G675" s="10"/>
      <c r="H675" s="10"/>
      <c r="I675" s="10"/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10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</row>
    <row r="676" spans="1:49" ht="14.5" hidden="1" outlineLevel="1" x14ac:dyDescent="0.35">
      <c r="A676" s="8" t="s">
        <v>12</v>
      </c>
      <c r="B676" s="8" t="s">
        <v>14</v>
      </c>
      <c r="C676" s="8" t="s">
        <v>163</v>
      </c>
      <c r="D676" s="8" t="s">
        <v>74</v>
      </c>
      <c r="E676" s="9" t="s">
        <v>83</v>
      </c>
      <c r="F676" s="10"/>
      <c r="G676" s="10"/>
      <c r="H676" s="10"/>
      <c r="I676" s="10"/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10.5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0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</row>
    <row r="677" spans="1:49" ht="14.5" collapsed="1" x14ac:dyDescent="0.35">
      <c r="A677" s="6" t="s">
        <v>12</v>
      </c>
      <c r="B677" s="6" t="s">
        <v>14</v>
      </c>
      <c r="C677" s="6" t="s">
        <v>164</v>
      </c>
      <c r="D677" s="6" t="s">
        <v>72</v>
      </c>
      <c r="E677" s="6" t="s">
        <v>73</v>
      </c>
      <c r="F677" s="7">
        <f t="shared" ref="F677:AW677" si="78">SUM(F678)</f>
        <v>25</v>
      </c>
      <c r="G677" s="7">
        <f t="shared" si="78"/>
        <v>25</v>
      </c>
      <c r="H677" s="7">
        <f t="shared" si="78"/>
        <v>0</v>
      </c>
      <c r="I677" s="7">
        <f t="shared" si="78"/>
        <v>25</v>
      </c>
      <c r="J677" s="7">
        <f t="shared" si="78"/>
        <v>0</v>
      </c>
      <c r="K677" s="7">
        <f t="shared" si="78"/>
        <v>0</v>
      </c>
      <c r="L677" s="7">
        <f t="shared" si="78"/>
        <v>0</v>
      </c>
      <c r="M677" s="7">
        <f t="shared" si="78"/>
        <v>0</v>
      </c>
      <c r="N677" s="7">
        <f t="shared" si="78"/>
        <v>0</v>
      </c>
      <c r="O677" s="7">
        <f t="shared" si="78"/>
        <v>0</v>
      </c>
      <c r="P677" s="7">
        <f t="shared" si="78"/>
        <v>0</v>
      </c>
      <c r="Q677" s="7">
        <f t="shared" si="78"/>
        <v>0</v>
      </c>
      <c r="R677" s="7">
        <f t="shared" si="78"/>
        <v>0</v>
      </c>
      <c r="S677" s="7">
        <f t="shared" si="78"/>
        <v>0</v>
      </c>
      <c r="T677" s="7">
        <f t="shared" si="78"/>
        <v>0</v>
      </c>
      <c r="U677" s="7">
        <f t="shared" si="78"/>
        <v>0</v>
      </c>
      <c r="V677" s="7">
        <f t="shared" si="78"/>
        <v>0</v>
      </c>
      <c r="W677" s="7">
        <f t="shared" si="78"/>
        <v>0</v>
      </c>
      <c r="X677" s="7">
        <f t="shared" si="78"/>
        <v>0</v>
      </c>
      <c r="Y677" s="7">
        <f t="shared" si="78"/>
        <v>0</v>
      </c>
      <c r="Z677" s="7">
        <f t="shared" si="78"/>
        <v>0</v>
      </c>
      <c r="AA677" s="7">
        <f t="shared" si="78"/>
        <v>0</v>
      </c>
      <c r="AB677" s="7">
        <f t="shared" si="78"/>
        <v>0</v>
      </c>
      <c r="AC677" s="7">
        <f t="shared" si="78"/>
        <v>0</v>
      </c>
      <c r="AD677" s="7">
        <f t="shared" si="78"/>
        <v>0</v>
      </c>
      <c r="AE677" s="7">
        <f t="shared" si="78"/>
        <v>0</v>
      </c>
      <c r="AF677" s="7">
        <f t="shared" si="78"/>
        <v>0</v>
      </c>
      <c r="AG677" s="7">
        <f t="shared" si="78"/>
        <v>0</v>
      </c>
      <c r="AH677" s="7">
        <f t="shared" si="78"/>
        <v>0</v>
      </c>
      <c r="AI677" s="7">
        <f t="shared" si="78"/>
        <v>0</v>
      </c>
      <c r="AJ677" s="7">
        <f t="shared" si="78"/>
        <v>0</v>
      </c>
      <c r="AK677" s="7">
        <f t="shared" si="78"/>
        <v>0</v>
      </c>
      <c r="AL677" s="7">
        <f t="shared" si="78"/>
        <v>0</v>
      </c>
      <c r="AM677" s="7">
        <f t="shared" si="78"/>
        <v>0</v>
      </c>
      <c r="AN677" s="7">
        <f t="shared" si="78"/>
        <v>0</v>
      </c>
      <c r="AO677" s="7">
        <f t="shared" si="78"/>
        <v>0</v>
      </c>
      <c r="AP677" s="7">
        <f t="shared" si="78"/>
        <v>0</v>
      </c>
      <c r="AQ677" s="7">
        <f t="shared" si="78"/>
        <v>0</v>
      </c>
      <c r="AR677" s="7">
        <f t="shared" si="78"/>
        <v>0</v>
      </c>
      <c r="AS677" s="7">
        <f t="shared" si="78"/>
        <v>0</v>
      </c>
      <c r="AT677" s="7">
        <f t="shared" si="78"/>
        <v>0</v>
      </c>
      <c r="AU677" s="7">
        <f t="shared" si="78"/>
        <v>0</v>
      </c>
      <c r="AV677" s="7">
        <f t="shared" si="78"/>
        <v>0</v>
      </c>
      <c r="AW677" s="7">
        <f t="shared" si="78"/>
        <v>0</v>
      </c>
    </row>
    <row r="678" spans="1:49" ht="14.5" hidden="1" outlineLevel="1" x14ac:dyDescent="0.35">
      <c r="A678" t="s">
        <v>12</v>
      </c>
      <c r="B678" t="s">
        <v>14</v>
      </c>
      <c r="C678" t="s">
        <v>164</v>
      </c>
      <c r="D678" t="s">
        <v>85</v>
      </c>
      <c r="E678" t="s">
        <v>90</v>
      </c>
      <c r="F678" s="11">
        <v>25</v>
      </c>
      <c r="G678" s="11">
        <v>25</v>
      </c>
      <c r="H678" s="11">
        <v>0</v>
      </c>
      <c r="I678" s="11">
        <v>25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</row>
    <row r="679" spans="1:49" ht="14.5" hidden="1" outlineLevel="1" x14ac:dyDescent="0.35">
      <c r="A679" s="8" t="s">
        <v>12</v>
      </c>
      <c r="B679" s="8" t="s">
        <v>14</v>
      </c>
      <c r="C679" s="8" t="s">
        <v>164</v>
      </c>
      <c r="D679" s="8" t="s">
        <v>74</v>
      </c>
      <c r="E679" s="9" t="s">
        <v>82</v>
      </c>
      <c r="F679" s="10"/>
      <c r="G679" s="10"/>
      <c r="H679" s="10"/>
      <c r="I679" s="10"/>
      <c r="J679" s="10">
        <v>8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</row>
    <row r="680" spans="1:49" ht="14.5" hidden="1" outlineLevel="1" x14ac:dyDescent="0.35">
      <c r="A680" s="8" t="s">
        <v>12</v>
      </c>
      <c r="B680" s="8" t="s">
        <v>14</v>
      </c>
      <c r="C680" s="8" t="s">
        <v>164</v>
      </c>
      <c r="D680" s="8" t="s">
        <v>74</v>
      </c>
      <c r="E680" s="9" t="s">
        <v>83</v>
      </c>
      <c r="F680" s="10"/>
      <c r="G680" s="10"/>
      <c r="H680" s="10"/>
      <c r="I680" s="10"/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32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</row>
    <row r="681" spans="1:49" ht="14.5" collapsed="1" x14ac:dyDescent="0.35">
      <c r="A681" s="6" t="s">
        <v>12</v>
      </c>
      <c r="B681" s="6" t="s">
        <v>14</v>
      </c>
      <c r="C681" s="6" t="s">
        <v>165</v>
      </c>
      <c r="D681" s="6" t="s">
        <v>72</v>
      </c>
      <c r="E681" s="6" t="s">
        <v>73</v>
      </c>
      <c r="F681" s="7">
        <f t="shared" ref="F681:AW681" si="79">SUM(F682)</f>
        <v>38.5</v>
      </c>
      <c r="G681" s="7">
        <f t="shared" si="79"/>
        <v>38.5</v>
      </c>
      <c r="H681" s="7">
        <f t="shared" si="79"/>
        <v>0</v>
      </c>
      <c r="I681" s="7">
        <f t="shared" si="79"/>
        <v>38.5</v>
      </c>
      <c r="J681" s="7">
        <f t="shared" si="79"/>
        <v>0</v>
      </c>
      <c r="K681" s="7">
        <f t="shared" si="79"/>
        <v>0</v>
      </c>
      <c r="L681" s="7">
        <f t="shared" si="79"/>
        <v>0</v>
      </c>
      <c r="M681" s="7">
        <f t="shared" si="79"/>
        <v>0</v>
      </c>
      <c r="N681" s="7">
        <f t="shared" si="79"/>
        <v>0</v>
      </c>
      <c r="O681" s="7">
        <f t="shared" si="79"/>
        <v>0</v>
      </c>
      <c r="P681" s="7">
        <f t="shared" si="79"/>
        <v>0</v>
      </c>
      <c r="Q681" s="7">
        <f t="shared" si="79"/>
        <v>0</v>
      </c>
      <c r="R681" s="7">
        <f t="shared" si="79"/>
        <v>0</v>
      </c>
      <c r="S681" s="7">
        <f t="shared" si="79"/>
        <v>0</v>
      </c>
      <c r="T681" s="7">
        <f t="shared" si="79"/>
        <v>0</v>
      </c>
      <c r="U681" s="7">
        <f t="shared" si="79"/>
        <v>0</v>
      </c>
      <c r="V681" s="7">
        <f t="shared" si="79"/>
        <v>0</v>
      </c>
      <c r="W681" s="7">
        <f t="shared" si="79"/>
        <v>0</v>
      </c>
      <c r="X681" s="7">
        <f t="shared" si="79"/>
        <v>0</v>
      </c>
      <c r="Y681" s="7">
        <f t="shared" si="79"/>
        <v>0</v>
      </c>
      <c r="Z681" s="7">
        <f t="shared" si="79"/>
        <v>0</v>
      </c>
      <c r="AA681" s="7">
        <f t="shared" si="79"/>
        <v>0</v>
      </c>
      <c r="AB681" s="7">
        <f t="shared" si="79"/>
        <v>0</v>
      </c>
      <c r="AC681" s="7">
        <f t="shared" si="79"/>
        <v>0</v>
      </c>
      <c r="AD681" s="7">
        <f t="shared" si="79"/>
        <v>0</v>
      </c>
      <c r="AE681" s="7">
        <f t="shared" si="79"/>
        <v>0</v>
      </c>
      <c r="AF681" s="7">
        <f t="shared" si="79"/>
        <v>0</v>
      </c>
      <c r="AG681" s="7">
        <f t="shared" si="79"/>
        <v>0</v>
      </c>
      <c r="AH681" s="7">
        <f t="shared" si="79"/>
        <v>0</v>
      </c>
      <c r="AI681" s="7">
        <f t="shared" si="79"/>
        <v>0</v>
      </c>
      <c r="AJ681" s="7">
        <f t="shared" si="79"/>
        <v>0</v>
      </c>
      <c r="AK681" s="7">
        <f t="shared" si="79"/>
        <v>0</v>
      </c>
      <c r="AL681" s="7">
        <f t="shared" si="79"/>
        <v>0</v>
      </c>
      <c r="AM681" s="7">
        <f t="shared" si="79"/>
        <v>0</v>
      </c>
      <c r="AN681" s="7">
        <f t="shared" si="79"/>
        <v>0</v>
      </c>
      <c r="AO681" s="7">
        <f t="shared" si="79"/>
        <v>0</v>
      </c>
      <c r="AP681" s="7">
        <f t="shared" si="79"/>
        <v>0</v>
      </c>
      <c r="AQ681" s="7">
        <f t="shared" si="79"/>
        <v>0</v>
      </c>
      <c r="AR681" s="7">
        <f t="shared" si="79"/>
        <v>0</v>
      </c>
      <c r="AS681" s="7">
        <f t="shared" si="79"/>
        <v>0</v>
      </c>
      <c r="AT681" s="7">
        <f t="shared" si="79"/>
        <v>0</v>
      </c>
      <c r="AU681" s="7">
        <f t="shared" si="79"/>
        <v>0</v>
      </c>
      <c r="AV681" s="7">
        <f t="shared" si="79"/>
        <v>0</v>
      </c>
      <c r="AW681" s="7">
        <f t="shared" si="79"/>
        <v>0</v>
      </c>
    </row>
    <row r="682" spans="1:49" ht="14.5" hidden="1" outlineLevel="1" x14ac:dyDescent="0.35">
      <c r="A682" t="s">
        <v>12</v>
      </c>
      <c r="B682" t="s">
        <v>14</v>
      </c>
      <c r="C682" t="s">
        <v>165</v>
      </c>
      <c r="D682" t="s">
        <v>85</v>
      </c>
      <c r="E682" t="s">
        <v>90</v>
      </c>
      <c r="F682" s="11">
        <v>38.5</v>
      </c>
      <c r="G682" s="11">
        <v>38.5</v>
      </c>
      <c r="H682" s="11">
        <v>0</v>
      </c>
      <c r="I682" s="11">
        <v>38.5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0</v>
      </c>
      <c r="AU682" s="11">
        <v>0</v>
      </c>
      <c r="AV682" s="11">
        <v>0</v>
      </c>
      <c r="AW682" s="11">
        <v>0</v>
      </c>
    </row>
    <row r="683" spans="1:49" ht="14.5" hidden="1" outlineLevel="1" x14ac:dyDescent="0.35">
      <c r="A683" s="8" t="s">
        <v>12</v>
      </c>
      <c r="B683" s="8" t="s">
        <v>14</v>
      </c>
      <c r="C683" s="8" t="s">
        <v>165</v>
      </c>
      <c r="D683" s="8" t="s">
        <v>74</v>
      </c>
      <c r="E683" s="9" t="s">
        <v>82</v>
      </c>
      <c r="F683" s="10"/>
      <c r="G683" s="10"/>
      <c r="H683" s="10"/>
      <c r="I683" s="10"/>
      <c r="J683" s="10">
        <v>1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</row>
    <row r="684" spans="1:49" ht="14.5" collapsed="1" x14ac:dyDescent="0.35">
      <c r="A684" s="6" t="s">
        <v>12</v>
      </c>
      <c r="B684" s="6" t="s">
        <v>14</v>
      </c>
      <c r="C684" s="6" t="s">
        <v>166</v>
      </c>
      <c r="D684" s="6" t="s">
        <v>72</v>
      </c>
      <c r="E684" s="6" t="s">
        <v>73</v>
      </c>
      <c r="F684" s="7">
        <f t="shared" ref="F684:AW684" si="80">SUM(F685)</f>
        <v>13</v>
      </c>
      <c r="G684" s="7">
        <f t="shared" si="80"/>
        <v>13</v>
      </c>
      <c r="H684" s="7">
        <f t="shared" si="80"/>
        <v>0</v>
      </c>
      <c r="I684" s="7">
        <f t="shared" si="80"/>
        <v>13</v>
      </c>
      <c r="J684" s="7">
        <f t="shared" si="80"/>
        <v>0</v>
      </c>
      <c r="K684" s="7">
        <f t="shared" si="80"/>
        <v>0</v>
      </c>
      <c r="L684" s="7">
        <f t="shared" si="80"/>
        <v>0</v>
      </c>
      <c r="M684" s="7">
        <f t="shared" si="80"/>
        <v>0</v>
      </c>
      <c r="N684" s="7">
        <f t="shared" si="80"/>
        <v>0</v>
      </c>
      <c r="O684" s="7">
        <f t="shared" si="80"/>
        <v>0</v>
      </c>
      <c r="P684" s="7">
        <f t="shared" si="80"/>
        <v>0</v>
      </c>
      <c r="Q684" s="7">
        <f t="shared" si="80"/>
        <v>0</v>
      </c>
      <c r="R684" s="7">
        <f t="shared" si="80"/>
        <v>0</v>
      </c>
      <c r="S684" s="7">
        <f t="shared" si="80"/>
        <v>0</v>
      </c>
      <c r="T684" s="7">
        <f t="shared" si="80"/>
        <v>0</v>
      </c>
      <c r="U684" s="7">
        <f t="shared" si="80"/>
        <v>0</v>
      </c>
      <c r="V684" s="7">
        <f t="shared" si="80"/>
        <v>0</v>
      </c>
      <c r="W684" s="7">
        <f t="shared" si="80"/>
        <v>0</v>
      </c>
      <c r="X684" s="7">
        <f t="shared" si="80"/>
        <v>0</v>
      </c>
      <c r="Y684" s="7">
        <f t="shared" si="80"/>
        <v>0</v>
      </c>
      <c r="Z684" s="7">
        <f t="shared" si="80"/>
        <v>0</v>
      </c>
      <c r="AA684" s="7">
        <f t="shared" si="80"/>
        <v>0</v>
      </c>
      <c r="AB684" s="7">
        <f t="shared" si="80"/>
        <v>0</v>
      </c>
      <c r="AC684" s="7">
        <f t="shared" si="80"/>
        <v>0</v>
      </c>
      <c r="AD684" s="7">
        <f t="shared" si="80"/>
        <v>0</v>
      </c>
      <c r="AE684" s="7">
        <f t="shared" si="80"/>
        <v>0</v>
      </c>
      <c r="AF684" s="7">
        <f t="shared" si="80"/>
        <v>0</v>
      </c>
      <c r="AG684" s="7">
        <f t="shared" si="80"/>
        <v>0</v>
      </c>
      <c r="AH684" s="7">
        <f t="shared" si="80"/>
        <v>0</v>
      </c>
      <c r="AI684" s="7">
        <f t="shared" si="80"/>
        <v>0</v>
      </c>
      <c r="AJ684" s="7">
        <f t="shared" si="80"/>
        <v>0</v>
      </c>
      <c r="AK684" s="7">
        <f t="shared" si="80"/>
        <v>0</v>
      </c>
      <c r="AL684" s="7">
        <f t="shared" si="80"/>
        <v>0</v>
      </c>
      <c r="AM684" s="7">
        <f t="shared" si="80"/>
        <v>0</v>
      </c>
      <c r="AN684" s="7">
        <f t="shared" si="80"/>
        <v>0</v>
      </c>
      <c r="AO684" s="7">
        <f t="shared" si="80"/>
        <v>0</v>
      </c>
      <c r="AP684" s="7">
        <f t="shared" si="80"/>
        <v>0</v>
      </c>
      <c r="AQ684" s="7">
        <f t="shared" si="80"/>
        <v>0</v>
      </c>
      <c r="AR684" s="7">
        <f t="shared" si="80"/>
        <v>0</v>
      </c>
      <c r="AS684" s="7">
        <f t="shared" si="80"/>
        <v>0</v>
      </c>
      <c r="AT684" s="7">
        <f t="shared" si="80"/>
        <v>0</v>
      </c>
      <c r="AU684" s="7">
        <f t="shared" si="80"/>
        <v>0</v>
      </c>
      <c r="AV684" s="7">
        <f t="shared" si="80"/>
        <v>0</v>
      </c>
      <c r="AW684" s="7">
        <f t="shared" si="80"/>
        <v>0</v>
      </c>
    </row>
    <row r="685" spans="1:49" ht="14.5" hidden="1" outlineLevel="1" x14ac:dyDescent="0.35">
      <c r="A685" t="s">
        <v>12</v>
      </c>
      <c r="B685" t="s">
        <v>14</v>
      </c>
      <c r="C685" t="s">
        <v>166</v>
      </c>
      <c r="D685" t="s">
        <v>85</v>
      </c>
      <c r="E685" t="s">
        <v>90</v>
      </c>
      <c r="F685" s="11">
        <v>13</v>
      </c>
      <c r="G685" s="11">
        <v>13</v>
      </c>
      <c r="H685" s="11">
        <v>0</v>
      </c>
      <c r="I685" s="11">
        <v>13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</row>
    <row r="686" spans="1:49" ht="14.5" hidden="1" outlineLevel="1" x14ac:dyDescent="0.35">
      <c r="A686" s="8" t="s">
        <v>12</v>
      </c>
      <c r="B686" s="8" t="s">
        <v>14</v>
      </c>
      <c r="C686" s="8" t="s">
        <v>166</v>
      </c>
      <c r="D686" s="8" t="s">
        <v>74</v>
      </c>
      <c r="E686" s="9" t="s">
        <v>126</v>
      </c>
      <c r="F686" s="10"/>
      <c r="G686" s="10"/>
      <c r="H686" s="10"/>
      <c r="I686" s="10"/>
      <c r="J686" s="10">
        <v>4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</row>
    <row r="687" spans="1:49" ht="14.5" collapsed="1" x14ac:dyDescent="0.35">
      <c r="A687" s="6" t="s">
        <v>12</v>
      </c>
      <c r="B687" s="6" t="s">
        <v>14</v>
      </c>
      <c r="C687" s="6" t="s">
        <v>167</v>
      </c>
      <c r="D687" s="6" t="s">
        <v>72</v>
      </c>
      <c r="E687" s="6" t="s">
        <v>73</v>
      </c>
      <c r="F687" s="7">
        <f t="shared" ref="F687:AW687" si="81">SUM(F688)</f>
        <v>0</v>
      </c>
      <c r="G687" s="7">
        <f t="shared" si="81"/>
        <v>320</v>
      </c>
      <c r="H687" s="7">
        <f t="shared" si="81"/>
        <v>0</v>
      </c>
      <c r="I687" s="7">
        <f t="shared" si="81"/>
        <v>320</v>
      </c>
      <c r="J687" s="7">
        <f t="shared" si="81"/>
        <v>0</v>
      </c>
      <c r="K687" s="7">
        <f t="shared" si="81"/>
        <v>0</v>
      </c>
      <c r="L687" s="7">
        <f t="shared" si="81"/>
        <v>0</v>
      </c>
      <c r="M687" s="7">
        <f t="shared" si="81"/>
        <v>0</v>
      </c>
      <c r="N687" s="7">
        <f t="shared" si="81"/>
        <v>0</v>
      </c>
      <c r="O687" s="7">
        <f t="shared" si="81"/>
        <v>0</v>
      </c>
      <c r="P687" s="7">
        <f t="shared" si="81"/>
        <v>0</v>
      </c>
      <c r="Q687" s="7">
        <f t="shared" si="81"/>
        <v>0</v>
      </c>
      <c r="R687" s="7">
        <f t="shared" si="81"/>
        <v>0</v>
      </c>
      <c r="S687" s="7">
        <f t="shared" si="81"/>
        <v>0</v>
      </c>
      <c r="T687" s="7">
        <f t="shared" si="81"/>
        <v>0</v>
      </c>
      <c r="U687" s="7">
        <f t="shared" si="81"/>
        <v>0</v>
      </c>
      <c r="V687" s="7">
        <f t="shared" si="81"/>
        <v>0</v>
      </c>
      <c r="W687" s="7">
        <f t="shared" si="81"/>
        <v>0</v>
      </c>
      <c r="X687" s="7">
        <f t="shared" si="81"/>
        <v>0</v>
      </c>
      <c r="Y687" s="7">
        <f t="shared" si="81"/>
        <v>0</v>
      </c>
      <c r="Z687" s="7">
        <f t="shared" si="81"/>
        <v>0</v>
      </c>
      <c r="AA687" s="7">
        <f t="shared" si="81"/>
        <v>0</v>
      </c>
      <c r="AB687" s="7">
        <f t="shared" si="81"/>
        <v>0</v>
      </c>
      <c r="AC687" s="7">
        <f t="shared" si="81"/>
        <v>0</v>
      </c>
      <c r="AD687" s="7">
        <f t="shared" si="81"/>
        <v>0</v>
      </c>
      <c r="AE687" s="7">
        <f t="shared" si="81"/>
        <v>0</v>
      </c>
      <c r="AF687" s="7">
        <f t="shared" si="81"/>
        <v>0</v>
      </c>
      <c r="AG687" s="7">
        <f t="shared" si="81"/>
        <v>0</v>
      </c>
      <c r="AH687" s="7">
        <f t="shared" si="81"/>
        <v>0</v>
      </c>
      <c r="AI687" s="7">
        <f t="shared" si="81"/>
        <v>0</v>
      </c>
      <c r="AJ687" s="7">
        <f t="shared" si="81"/>
        <v>0</v>
      </c>
      <c r="AK687" s="7">
        <f t="shared" si="81"/>
        <v>0</v>
      </c>
      <c r="AL687" s="7">
        <f t="shared" si="81"/>
        <v>0</v>
      </c>
      <c r="AM687" s="7">
        <f t="shared" si="81"/>
        <v>0</v>
      </c>
      <c r="AN687" s="7">
        <f t="shared" si="81"/>
        <v>0</v>
      </c>
      <c r="AO687" s="7">
        <f t="shared" si="81"/>
        <v>0</v>
      </c>
      <c r="AP687" s="7">
        <f t="shared" si="81"/>
        <v>0</v>
      </c>
      <c r="AQ687" s="7">
        <f t="shared" si="81"/>
        <v>0</v>
      </c>
      <c r="AR687" s="7">
        <f t="shared" si="81"/>
        <v>0</v>
      </c>
      <c r="AS687" s="7">
        <f t="shared" si="81"/>
        <v>0</v>
      </c>
      <c r="AT687" s="7">
        <f t="shared" si="81"/>
        <v>0</v>
      </c>
      <c r="AU687" s="7">
        <f t="shared" si="81"/>
        <v>0</v>
      </c>
      <c r="AV687" s="7">
        <f t="shared" si="81"/>
        <v>0</v>
      </c>
      <c r="AW687" s="7">
        <f t="shared" si="81"/>
        <v>0</v>
      </c>
    </row>
    <row r="688" spans="1:49" ht="14.5" hidden="1" outlineLevel="1" x14ac:dyDescent="0.35">
      <c r="A688" t="s">
        <v>12</v>
      </c>
      <c r="B688" t="s">
        <v>14</v>
      </c>
      <c r="C688" t="s">
        <v>167</v>
      </c>
      <c r="D688" t="s">
        <v>85</v>
      </c>
      <c r="E688" t="s">
        <v>81</v>
      </c>
      <c r="F688" s="11">
        <v>0</v>
      </c>
      <c r="G688" s="11">
        <v>320</v>
      </c>
      <c r="H688" s="11">
        <v>0</v>
      </c>
      <c r="I688" s="11">
        <v>320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</row>
    <row r="689" spans="1:49" ht="14.5" hidden="1" outlineLevel="1" x14ac:dyDescent="0.35">
      <c r="A689" s="8" t="s">
        <v>12</v>
      </c>
      <c r="B689" s="8" t="s">
        <v>14</v>
      </c>
      <c r="C689" s="8" t="s">
        <v>167</v>
      </c>
      <c r="D689" s="8" t="s">
        <v>74</v>
      </c>
      <c r="E689" s="9" t="s">
        <v>81</v>
      </c>
      <c r="F689" s="10"/>
      <c r="G689" s="10"/>
      <c r="H689" s="10"/>
      <c r="I689" s="10"/>
      <c r="J689" s="10">
        <v>8.8214290000000002</v>
      </c>
      <c r="K689" s="10">
        <v>12</v>
      </c>
      <c r="L689" s="10">
        <v>0</v>
      </c>
      <c r="M689" s="10">
        <v>0</v>
      </c>
      <c r="N689" s="10">
        <v>0</v>
      </c>
      <c r="O689" s="10">
        <v>0</v>
      </c>
      <c r="P689" s="10">
        <v>19</v>
      </c>
      <c r="Q689" s="10">
        <v>0</v>
      </c>
      <c r="R689" s="10">
        <v>0</v>
      </c>
      <c r="S689" s="10">
        <v>0</v>
      </c>
      <c r="T689" s="10">
        <v>0</v>
      </c>
      <c r="U689" s="10">
        <v>1</v>
      </c>
      <c r="V689" s="10">
        <v>0</v>
      </c>
      <c r="W689" s="10">
        <v>1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</row>
    <row r="690" spans="1:49" ht="14.5" collapsed="1" x14ac:dyDescent="0.35">
      <c r="A690" s="6" t="s">
        <v>12</v>
      </c>
      <c r="B690" s="6" t="s">
        <v>14</v>
      </c>
      <c r="C690" s="6" t="s">
        <v>168</v>
      </c>
      <c r="D690" s="6" t="s">
        <v>72</v>
      </c>
      <c r="E690" s="6" t="s">
        <v>73</v>
      </c>
      <c r="F690" s="7">
        <f t="shared" ref="F690:AW690" si="82">SUM(F691)</f>
        <v>0</v>
      </c>
      <c r="G690" s="7">
        <f t="shared" si="82"/>
        <v>100</v>
      </c>
      <c r="H690" s="7">
        <f t="shared" si="82"/>
        <v>140.5</v>
      </c>
      <c r="I690" s="7">
        <f t="shared" si="82"/>
        <v>-40.5</v>
      </c>
      <c r="J690" s="7">
        <f t="shared" si="82"/>
        <v>0</v>
      </c>
      <c r="K690" s="7">
        <f t="shared" si="82"/>
        <v>0</v>
      </c>
      <c r="L690" s="7">
        <f t="shared" si="82"/>
        <v>0</v>
      </c>
      <c r="M690" s="7">
        <f t="shared" si="82"/>
        <v>0</v>
      </c>
      <c r="N690" s="7">
        <f t="shared" si="82"/>
        <v>0</v>
      </c>
      <c r="O690" s="7">
        <f t="shared" si="82"/>
        <v>0</v>
      </c>
      <c r="P690" s="7">
        <f t="shared" si="82"/>
        <v>0</v>
      </c>
      <c r="Q690" s="7">
        <f t="shared" si="82"/>
        <v>0</v>
      </c>
      <c r="R690" s="7">
        <f t="shared" si="82"/>
        <v>0</v>
      </c>
      <c r="S690" s="7">
        <f t="shared" si="82"/>
        <v>0</v>
      </c>
      <c r="T690" s="7">
        <f t="shared" si="82"/>
        <v>0</v>
      </c>
      <c r="U690" s="7">
        <f t="shared" si="82"/>
        <v>0</v>
      </c>
      <c r="V690" s="7">
        <f t="shared" si="82"/>
        <v>0</v>
      </c>
      <c r="W690" s="7">
        <f t="shared" si="82"/>
        <v>0</v>
      </c>
      <c r="X690" s="7">
        <f t="shared" si="82"/>
        <v>0</v>
      </c>
      <c r="Y690" s="7">
        <f t="shared" si="82"/>
        <v>0</v>
      </c>
      <c r="Z690" s="7">
        <f t="shared" si="82"/>
        <v>0</v>
      </c>
      <c r="AA690" s="7">
        <f t="shared" si="82"/>
        <v>0</v>
      </c>
      <c r="AB690" s="7">
        <f t="shared" si="82"/>
        <v>0</v>
      </c>
      <c r="AC690" s="7">
        <f t="shared" si="82"/>
        <v>0</v>
      </c>
      <c r="AD690" s="7">
        <f t="shared" si="82"/>
        <v>27</v>
      </c>
      <c r="AE690" s="7">
        <f t="shared" si="82"/>
        <v>29</v>
      </c>
      <c r="AF690" s="7">
        <f t="shared" si="82"/>
        <v>36</v>
      </c>
      <c r="AG690" s="7">
        <f t="shared" si="82"/>
        <v>33</v>
      </c>
      <c r="AH690" s="7">
        <f t="shared" si="82"/>
        <v>8</v>
      </c>
      <c r="AI690" s="7">
        <f t="shared" si="82"/>
        <v>7.5</v>
      </c>
      <c r="AJ690" s="7">
        <f t="shared" si="82"/>
        <v>0</v>
      </c>
      <c r="AK690" s="7">
        <f t="shared" si="82"/>
        <v>0</v>
      </c>
      <c r="AL690" s="7">
        <f t="shared" si="82"/>
        <v>0</v>
      </c>
      <c r="AM690" s="7">
        <f t="shared" si="82"/>
        <v>0</v>
      </c>
      <c r="AN690" s="7">
        <f t="shared" si="82"/>
        <v>0</v>
      </c>
      <c r="AO690" s="7">
        <f t="shared" si="82"/>
        <v>0</v>
      </c>
      <c r="AP690" s="7">
        <f t="shared" si="82"/>
        <v>0</v>
      </c>
      <c r="AQ690" s="7">
        <f t="shared" si="82"/>
        <v>0</v>
      </c>
      <c r="AR690" s="7">
        <f t="shared" si="82"/>
        <v>0</v>
      </c>
      <c r="AS690" s="7">
        <f t="shared" si="82"/>
        <v>0</v>
      </c>
      <c r="AT690" s="7">
        <f t="shared" si="82"/>
        <v>0</v>
      </c>
      <c r="AU690" s="7">
        <f t="shared" si="82"/>
        <v>0</v>
      </c>
      <c r="AV690" s="7">
        <f t="shared" si="82"/>
        <v>0</v>
      </c>
      <c r="AW690" s="7">
        <f t="shared" si="82"/>
        <v>0</v>
      </c>
    </row>
    <row r="691" spans="1:49" ht="14.5" hidden="1" outlineLevel="1" x14ac:dyDescent="0.35">
      <c r="A691" t="s">
        <v>12</v>
      </c>
      <c r="B691" t="s">
        <v>14</v>
      </c>
      <c r="C691" t="s">
        <v>168</v>
      </c>
      <c r="D691" t="s">
        <v>85</v>
      </c>
      <c r="E691" t="s">
        <v>43</v>
      </c>
      <c r="F691" s="11">
        <v>0</v>
      </c>
      <c r="G691" s="11">
        <v>100</v>
      </c>
      <c r="H691" s="11">
        <v>140.5</v>
      </c>
      <c r="I691" s="11">
        <v>-40.5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27</v>
      </c>
      <c r="AE691" s="11">
        <v>29</v>
      </c>
      <c r="AF691" s="11">
        <v>36</v>
      </c>
      <c r="AG691" s="11">
        <v>33</v>
      </c>
      <c r="AH691" s="11">
        <v>8</v>
      </c>
      <c r="AI691" s="11">
        <v>7.5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</row>
    <row r="692" spans="1:49" ht="14.5" hidden="1" outlineLevel="1" x14ac:dyDescent="0.35">
      <c r="A692" s="14" t="s">
        <v>12</v>
      </c>
      <c r="B692" s="14" t="s">
        <v>14</v>
      </c>
      <c r="C692" s="14" t="s">
        <v>168</v>
      </c>
      <c r="D692" s="14" t="s">
        <v>99</v>
      </c>
      <c r="E692" s="15" t="s">
        <v>43</v>
      </c>
      <c r="F692" s="16"/>
      <c r="G692" s="16"/>
      <c r="H692" s="16"/>
      <c r="I692" s="16"/>
      <c r="J692" s="16">
        <v>0</v>
      </c>
      <c r="K692" s="16">
        <v>0</v>
      </c>
      <c r="L692" s="16">
        <v>0</v>
      </c>
      <c r="M692" s="16">
        <v>0</v>
      </c>
      <c r="N692" s="16">
        <v>0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-27</v>
      </c>
      <c r="AE692" s="16">
        <v>-29</v>
      </c>
      <c r="AF692" s="16">
        <v>-36</v>
      </c>
      <c r="AG692" s="16">
        <v>-33</v>
      </c>
      <c r="AH692" s="16">
        <v>-8</v>
      </c>
      <c r="AI692" s="16">
        <v>-7.5</v>
      </c>
      <c r="AJ692" s="16">
        <v>0</v>
      </c>
      <c r="AK692" s="16">
        <v>0</v>
      </c>
      <c r="AL692" s="16">
        <v>0</v>
      </c>
      <c r="AM692" s="16">
        <v>0</v>
      </c>
      <c r="AN692" s="16">
        <v>0</v>
      </c>
      <c r="AO692" s="16">
        <v>0</v>
      </c>
      <c r="AP692" s="16">
        <v>0</v>
      </c>
      <c r="AQ692" s="16">
        <v>0</v>
      </c>
      <c r="AR692" s="16">
        <v>0</v>
      </c>
      <c r="AS692" s="16">
        <v>0</v>
      </c>
      <c r="AT692" s="16">
        <v>0</v>
      </c>
      <c r="AU692" s="16">
        <v>0</v>
      </c>
      <c r="AV692" s="16">
        <v>0</v>
      </c>
      <c r="AW692" s="16">
        <v>0</v>
      </c>
    </row>
    <row r="693" spans="1:49" ht="14.5" hidden="1" outlineLevel="1" x14ac:dyDescent="0.35">
      <c r="A693" s="8" t="s">
        <v>12</v>
      </c>
      <c r="B693" s="8" t="s">
        <v>14</v>
      </c>
      <c r="C693" s="8" t="s">
        <v>168</v>
      </c>
      <c r="D693" s="8" t="s">
        <v>74</v>
      </c>
      <c r="E693" s="9" t="s">
        <v>43</v>
      </c>
      <c r="F693" s="10"/>
      <c r="G693" s="10"/>
      <c r="H693" s="10"/>
      <c r="I693" s="10"/>
      <c r="J693" s="10">
        <v>4</v>
      </c>
      <c r="K693" s="10">
        <v>0</v>
      </c>
      <c r="L693" s="10">
        <v>13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1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1.5</v>
      </c>
      <c r="AH693" s="10">
        <v>3.5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0</v>
      </c>
      <c r="AV693" s="10">
        <v>0</v>
      </c>
      <c r="AW693" s="10">
        <v>0</v>
      </c>
    </row>
    <row r="694" spans="1:49" ht="14.5" collapsed="1" x14ac:dyDescent="0.35">
      <c r="A694" s="6" t="s">
        <v>12</v>
      </c>
      <c r="B694" s="6" t="s">
        <v>14</v>
      </c>
      <c r="C694" s="6" t="s">
        <v>169</v>
      </c>
      <c r="D694" s="6" t="s">
        <v>72</v>
      </c>
      <c r="E694" s="6" t="s">
        <v>73</v>
      </c>
      <c r="F694" s="7">
        <f t="shared" ref="F694:AW694" si="83">SUM(F695)</f>
        <v>0</v>
      </c>
      <c r="G694" s="7">
        <f t="shared" si="83"/>
        <v>10</v>
      </c>
      <c r="H694" s="7">
        <f t="shared" si="83"/>
        <v>10</v>
      </c>
      <c r="I694" s="7">
        <f t="shared" si="83"/>
        <v>0</v>
      </c>
      <c r="J694" s="7">
        <f t="shared" si="83"/>
        <v>0</v>
      </c>
      <c r="K694" s="7">
        <f t="shared" si="83"/>
        <v>0</v>
      </c>
      <c r="L694" s="7">
        <f t="shared" si="83"/>
        <v>0</v>
      </c>
      <c r="M694" s="7">
        <f t="shared" si="83"/>
        <v>0</v>
      </c>
      <c r="N694" s="7">
        <f t="shared" si="83"/>
        <v>0</v>
      </c>
      <c r="O694" s="7">
        <f t="shared" si="83"/>
        <v>0</v>
      </c>
      <c r="P694" s="7">
        <f t="shared" si="83"/>
        <v>0</v>
      </c>
      <c r="Q694" s="7">
        <f t="shared" si="83"/>
        <v>5</v>
      </c>
      <c r="R694" s="7">
        <f t="shared" si="83"/>
        <v>5</v>
      </c>
      <c r="S694" s="7">
        <f t="shared" si="83"/>
        <v>0</v>
      </c>
      <c r="T694" s="7">
        <f t="shared" si="83"/>
        <v>0</v>
      </c>
      <c r="U694" s="7">
        <f t="shared" si="83"/>
        <v>0</v>
      </c>
      <c r="V694" s="7">
        <f t="shared" si="83"/>
        <v>0</v>
      </c>
      <c r="W694" s="7">
        <f t="shared" si="83"/>
        <v>0</v>
      </c>
      <c r="X694" s="7">
        <f t="shared" si="83"/>
        <v>0</v>
      </c>
      <c r="Y694" s="7">
        <f t="shared" si="83"/>
        <v>0</v>
      </c>
      <c r="Z694" s="7">
        <f t="shared" si="83"/>
        <v>0</v>
      </c>
      <c r="AA694" s="7">
        <f t="shared" si="83"/>
        <v>0</v>
      </c>
      <c r="AB694" s="7">
        <f t="shared" si="83"/>
        <v>0</v>
      </c>
      <c r="AC694" s="7">
        <f t="shared" si="83"/>
        <v>0</v>
      </c>
      <c r="AD694" s="7">
        <f t="shared" si="83"/>
        <v>0</v>
      </c>
      <c r="AE694" s="7">
        <f t="shared" si="83"/>
        <v>0</v>
      </c>
      <c r="AF694" s="7">
        <f t="shared" si="83"/>
        <v>0</v>
      </c>
      <c r="AG694" s="7">
        <f t="shared" si="83"/>
        <v>0</v>
      </c>
      <c r="AH694" s="7">
        <f t="shared" si="83"/>
        <v>0</v>
      </c>
      <c r="AI694" s="7">
        <f t="shared" si="83"/>
        <v>0</v>
      </c>
      <c r="AJ694" s="7">
        <f t="shared" si="83"/>
        <v>0</v>
      </c>
      <c r="AK694" s="7">
        <f t="shared" si="83"/>
        <v>0</v>
      </c>
      <c r="AL694" s="7">
        <f t="shared" si="83"/>
        <v>0</v>
      </c>
      <c r="AM694" s="7">
        <f t="shared" si="83"/>
        <v>0</v>
      </c>
      <c r="AN694" s="7">
        <f t="shared" si="83"/>
        <v>0</v>
      </c>
      <c r="AO694" s="7">
        <f t="shared" si="83"/>
        <v>0</v>
      </c>
      <c r="AP694" s="7">
        <f t="shared" si="83"/>
        <v>0</v>
      </c>
      <c r="AQ694" s="7">
        <f t="shared" si="83"/>
        <v>0</v>
      </c>
      <c r="AR694" s="7">
        <f t="shared" si="83"/>
        <v>0</v>
      </c>
      <c r="AS694" s="7">
        <f t="shared" si="83"/>
        <v>0</v>
      </c>
      <c r="AT694" s="7">
        <f t="shared" si="83"/>
        <v>0</v>
      </c>
      <c r="AU694" s="7">
        <f t="shared" si="83"/>
        <v>0</v>
      </c>
      <c r="AV694" s="7">
        <f t="shared" si="83"/>
        <v>0</v>
      </c>
      <c r="AW694" s="7">
        <f t="shared" si="83"/>
        <v>0</v>
      </c>
    </row>
    <row r="695" spans="1:49" ht="14.5" hidden="1" outlineLevel="1" x14ac:dyDescent="0.35">
      <c r="A695" t="s">
        <v>12</v>
      </c>
      <c r="B695" t="s">
        <v>14</v>
      </c>
      <c r="C695" t="s">
        <v>169</v>
      </c>
      <c r="D695" t="s">
        <v>85</v>
      </c>
      <c r="E695" t="s">
        <v>89</v>
      </c>
      <c r="F695" s="11">
        <v>0</v>
      </c>
      <c r="G695" s="11">
        <v>10</v>
      </c>
      <c r="H695" s="11">
        <v>10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5</v>
      </c>
      <c r="R695" s="11">
        <v>5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</row>
    <row r="696" spans="1:49" ht="14.5" hidden="1" outlineLevel="1" x14ac:dyDescent="0.35">
      <c r="A696" s="14" t="s">
        <v>12</v>
      </c>
      <c r="B696" s="14" t="s">
        <v>14</v>
      </c>
      <c r="C696" s="14" t="s">
        <v>169</v>
      </c>
      <c r="D696" s="14" t="s">
        <v>99</v>
      </c>
      <c r="E696" s="15" t="s">
        <v>89</v>
      </c>
      <c r="F696" s="16"/>
      <c r="G696" s="16"/>
      <c r="H696" s="16"/>
      <c r="I696" s="16"/>
      <c r="J696" s="16">
        <v>0</v>
      </c>
      <c r="K696" s="16">
        <v>0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6">
        <v>-5</v>
      </c>
      <c r="R696" s="16">
        <v>-5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6">
        <v>0</v>
      </c>
      <c r="AF696" s="16">
        <v>0</v>
      </c>
      <c r="AG696" s="16">
        <v>0</v>
      </c>
      <c r="AH696" s="16">
        <v>0</v>
      </c>
      <c r="AI696" s="16">
        <v>0</v>
      </c>
      <c r="AJ696" s="16">
        <v>0</v>
      </c>
      <c r="AK696" s="16">
        <v>0</v>
      </c>
      <c r="AL696" s="16">
        <v>0</v>
      </c>
      <c r="AM696" s="16">
        <v>0</v>
      </c>
      <c r="AN696" s="16">
        <v>0</v>
      </c>
      <c r="AO696" s="16">
        <v>0</v>
      </c>
      <c r="AP696" s="16">
        <v>0</v>
      </c>
      <c r="AQ696" s="16">
        <v>0</v>
      </c>
      <c r="AR696" s="16">
        <v>0</v>
      </c>
      <c r="AS696" s="16">
        <v>0</v>
      </c>
      <c r="AT696" s="16">
        <v>0</v>
      </c>
      <c r="AU696" s="16">
        <v>0</v>
      </c>
      <c r="AV696" s="16">
        <v>0</v>
      </c>
      <c r="AW696" s="16">
        <v>0</v>
      </c>
    </row>
    <row r="697" spans="1:49" ht="14.5" hidden="1" outlineLevel="1" x14ac:dyDescent="0.35">
      <c r="A697" s="8" t="s">
        <v>12</v>
      </c>
      <c r="B697" s="8" t="s">
        <v>14</v>
      </c>
      <c r="C697" s="8" t="s">
        <v>169</v>
      </c>
      <c r="D697" s="8" t="s">
        <v>74</v>
      </c>
      <c r="E697" s="9" t="s">
        <v>120</v>
      </c>
      <c r="F697" s="10"/>
      <c r="G697" s="10"/>
      <c r="H697" s="10"/>
      <c r="I697" s="10"/>
      <c r="J697" s="10">
        <v>8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</row>
    <row r="698" spans="1:49" ht="14.5" collapsed="1" x14ac:dyDescent="0.35">
      <c r="A698" s="6" t="s">
        <v>12</v>
      </c>
      <c r="B698" s="6" t="s">
        <v>14</v>
      </c>
      <c r="C698" s="6" t="s">
        <v>170</v>
      </c>
      <c r="D698" s="6" t="s">
        <v>72</v>
      </c>
      <c r="E698" s="6" t="s">
        <v>73</v>
      </c>
      <c r="F698" s="7">
        <f t="shared" ref="F698:AW698" si="84">SUM(F699)</f>
        <v>1.5</v>
      </c>
      <c r="G698" s="7">
        <f t="shared" si="84"/>
        <v>1.5</v>
      </c>
      <c r="H698" s="7">
        <f t="shared" si="84"/>
        <v>0</v>
      </c>
      <c r="I698" s="7">
        <f t="shared" si="84"/>
        <v>1.5</v>
      </c>
      <c r="J698" s="7">
        <f t="shared" si="84"/>
        <v>0</v>
      </c>
      <c r="K698" s="7">
        <f t="shared" si="84"/>
        <v>0</v>
      </c>
      <c r="L698" s="7">
        <f t="shared" si="84"/>
        <v>0</v>
      </c>
      <c r="M698" s="7">
        <f t="shared" si="84"/>
        <v>0</v>
      </c>
      <c r="N698" s="7">
        <f t="shared" si="84"/>
        <v>0</v>
      </c>
      <c r="O698" s="7">
        <f t="shared" si="84"/>
        <v>0</v>
      </c>
      <c r="P698" s="7">
        <f t="shared" si="84"/>
        <v>0</v>
      </c>
      <c r="Q698" s="7">
        <f t="shared" si="84"/>
        <v>0</v>
      </c>
      <c r="R698" s="7">
        <f t="shared" si="84"/>
        <v>0</v>
      </c>
      <c r="S698" s="7">
        <f t="shared" si="84"/>
        <v>0</v>
      </c>
      <c r="T698" s="7">
        <f t="shared" si="84"/>
        <v>0</v>
      </c>
      <c r="U698" s="7">
        <f t="shared" si="84"/>
        <v>0</v>
      </c>
      <c r="V698" s="7">
        <f t="shared" si="84"/>
        <v>0</v>
      </c>
      <c r="W698" s="7">
        <f t="shared" si="84"/>
        <v>0</v>
      </c>
      <c r="X698" s="7">
        <f t="shared" si="84"/>
        <v>0</v>
      </c>
      <c r="Y698" s="7">
        <f t="shared" si="84"/>
        <v>0</v>
      </c>
      <c r="Z698" s="7">
        <f t="shared" si="84"/>
        <v>0</v>
      </c>
      <c r="AA698" s="7">
        <f t="shared" si="84"/>
        <v>0</v>
      </c>
      <c r="AB698" s="7">
        <f t="shared" si="84"/>
        <v>0</v>
      </c>
      <c r="AC698" s="7">
        <f t="shared" si="84"/>
        <v>0</v>
      </c>
      <c r="AD698" s="7">
        <f t="shared" si="84"/>
        <v>0</v>
      </c>
      <c r="AE698" s="7">
        <f t="shared" si="84"/>
        <v>0</v>
      </c>
      <c r="AF698" s="7">
        <f t="shared" si="84"/>
        <v>0</v>
      </c>
      <c r="AG698" s="7">
        <f t="shared" si="84"/>
        <v>0</v>
      </c>
      <c r="AH698" s="7">
        <f t="shared" si="84"/>
        <v>0</v>
      </c>
      <c r="AI698" s="7">
        <f t="shared" si="84"/>
        <v>0</v>
      </c>
      <c r="AJ698" s="7">
        <f t="shared" si="84"/>
        <v>0</v>
      </c>
      <c r="AK698" s="7">
        <f t="shared" si="84"/>
        <v>0</v>
      </c>
      <c r="AL698" s="7">
        <f t="shared" si="84"/>
        <v>0</v>
      </c>
      <c r="AM698" s="7">
        <f t="shared" si="84"/>
        <v>0</v>
      </c>
      <c r="AN698" s="7">
        <f t="shared" si="84"/>
        <v>0</v>
      </c>
      <c r="AO698" s="7">
        <f t="shared" si="84"/>
        <v>0</v>
      </c>
      <c r="AP698" s="7">
        <f t="shared" si="84"/>
        <v>0</v>
      </c>
      <c r="AQ698" s="7">
        <f t="shared" si="84"/>
        <v>0</v>
      </c>
      <c r="AR698" s="7">
        <f t="shared" si="84"/>
        <v>0</v>
      </c>
      <c r="AS698" s="7">
        <f t="shared" si="84"/>
        <v>0</v>
      </c>
      <c r="AT698" s="7">
        <f t="shared" si="84"/>
        <v>0</v>
      </c>
      <c r="AU698" s="7">
        <f t="shared" si="84"/>
        <v>0</v>
      </c>
      <c r="AV698" s="7">
        <f t="shared" si="84"/>
        <v>0</v>
      </c>
      <c r="AW698" s="7">
        <f t="shared" si="84"/>
        <v>0</v>
      </c>
    </row>
    <row r="699" spans="1:49" ht="14.5" hidden="1" outlineLevel="1" x14ac:dyDescent="0.35">
      <c r="A699" t="s">
        <v>12</v>
      </c>
      <c r="B699" t="s">
        <v>14</v>
      </c>
      <c r="C699" t="s">
        <v>170</v>
      </c>
      <c r="D699" t="s">
        <v>85</v>
      </c>
      <c r="E699" t="s">
        <v>103</v>
      </c>
      <c r="F699" s="11">
        <v>1.5</v>
      </c>
      <c r="G699" s="11">
        <v>1.5</v>
      </c>
      <c r="H699" s="11">
        <v>0</v>
      </c>
      <c r="I699" s="11">
        <v>1.5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0</v>
      </c>
      <c r="AT699" s="11">
        <v>0</v>
      </c>
      <c r="AU699" s="11">
        <v>0</v>
      </c>
      <c r="AV699" s="11">
        <v>0</v>
      </c>
      <c r="AW699" s="11">
        <v>0</v>
      </c>
    </row>
    <row r="700" spans="1:49" ht="14.5" hidden="1" outlineLevel="1" x14ac:dyDescent="0.35">
      <c r="A700" s="8" t="s">
        <v>12</v>
      </c>
      <c r="B700" s="8" t="s">
        <v>14</v>
      </c>
      <c r="C700" s="8" t="s">
        <v>170</v>
      </c>
      <c r="D700" s="8" t="s">
        <v>74</v>
      </c>
      <c r="E700" s="9" t="s">
        <v>103</v>
      </c>
      <c r="F700" s="10"/>
      <c r="G700" s="10"/>
      <c r="H700" s="10"/>
      <c r="I700" s="10"/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15</v>
      </c>
      <c r="R700" s="10">
        <v>0</v>
      </c>
      <c r="S700" s="10">
        <v>6.3461540000000003</v>
      </c>
      <c r="T700" s="10">
        <v>11.346154</v>
      </c>
      <c r="U700" s="10">
        <v>11.346154</v>
      </c>
      <c r="V700" s="10">
        <v>1.3461540000000001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17.5</v>
      </c>
      <c r="AC700" s="10">
        <v>42.5</v>
      </c>
      <c r="AD700" s="10">
        <v>5</v>
      </c>
      <c r="AE700" s="10">
        <v>10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</row>
    <row r="701" spans="1:49" ht="14.5" collapsed="1" x14ac:dyDescent="0.35">
      <c r="A701" s="6" t="s">
        <v>12</v>
      </c>
      <c r="B701" s="6" t="s">
        <v>14</v>
      </c>
      <c r="C701" s="6" t="s">
        <v>171</v>
      </c>
      <c r="D701" s="6" t="s">
        <v>72</v>
      </c>
      <c r="E701" s="6" t="s">
        <v>73</v>
      </c>
      <c r="F701" s="7">
        <f t="shared" ref="F701:AW701" si="85">SUM(F702)</f>
        <v>7</v>
      </c>
      <c r="G701" s="7">
        <f t="shared" si="85"/>
        <v>7</v>
      </c>
      <c r="H701" s="7">
        <f t="shared" si="85"/>
        <v>0</v>
      </c>
      <c r="I701" s="7">
        <f t="shared" si="85"/>
        <v>7</v>
      </c>
      <c r="J701" s="7">
        <f t="shared" si="85"/>
        <v>0</v>
      </c>
      <c r="K701" s="7">
        <f t="shared" si="85"/>
        <v>0</v>
      </c>
      <c r="L701" s="7">
        <f t="shared" si="85"/>
        <v>0</v>
      </c>
      <c r="M701" s="7">
        <f t="shared" si="85"/>
        <v>0</v>
      </c>
      <c r="N701" s="7">
        <f t="shared" si="85"/>
        <v>0</v>
      </c>
      <c r="O701" s="7">
        <f t="shared" si="85"/>
        <v>0</v>
      </c>
      <c r="P701" s="7">
        <f t="shared" si="85"/>
        <v>0</v>
      </c>
      <c r="Q701" s="7">
        <f t="shared" si="85"/>
        <v>0</v>
      </c>
      <c r="R701" s="7">
        <f t="shared" si="85"/>
        <v>0</v>
      </c>
      <c r="S701" s="7">
        <f t="shared" si="85"/>
        <v>0</v>
      </c>
      <c r="T701" s="7">
        <f t="shared" si="85"/>
        <v>0</v>
      </c>
      <c r="U701" s="7">
        <f t="shared" si="85"/>
        <v>0</v>
      </c>
      <c r="V701" s="7">
        <f t="shared" si="85"/>
        <v>0</v>
      </c>
      <c r="W701" s="7">
        <f t="shared" si="85"/>
        <v>0</v>
      </c>
      <c r="X701" s="7">
        <f t="shared" si="85"/>
        <v>0</v>
      </c>
      <c r="Y701" s="7">
        <f t="shared" si="85"/>
        <v>0</v>
      </c>
      <c r="Z701" s="7">
        <f t="shared" si="85"/>
        <v>0</v>
      </c>
      <c r="AA701" s="7">
        <f t="shared" si="85"/>
        <v>0</v>
      </c>
      <c r="AB701" s="7">
        <f t="shared" si="85"/>
        <v>0</v>
      </c>
      <c r="AC701" s="7">
        <f t="shared" si="85"/>
        <v>0</v>
      </c>
      <c r="AD701" s="7">
        <f t="shared" si="85"/>
        <v>0</v>
      </c>
      <c r="AE701" s="7">
        <f t="shared" si="85"/>
        <v>0</v>
      </c>
      <c r="AF701" s="7">
        <f t="shared" si="85"/>
        <v>0</v>
      </c>
      <c r="AG701" s="7">
        <f t="shared" si="85"/>
        <v>0</v>
      </c>
      <c r="AH701" s="7">
        <f t="shared" si="85"/>
        <v>0</v>
      </c>
      <c r="AI701" s="7">
        <f t="shared" si="85"/>
        <v>0</v>
      </c>
      <c r="AJ701" s="7">
        <f t="shared" si="85"/>
        <v>0</v>
      </c>
      <c r="AK701" s="7">
        <f t="shared" si="85"/>
        <v>0</v>
      </c>
      <c r="AL701" s="7">
        <f t="shared" si="85"/>
        <v>0</v>
      </c>
      <c r="AM701" s="7">
        <f t="shared" si="85"/>
        <v>0</v>
      </c>
      <c r="AN701" s="7">
        <f t="shared" si="85"/>
        <v>0</v>
      </c>
      <c r="AO701" s="7">
        <f t="shared" si="85"/>
        <v>0</v>
      </c>
      <c r="AP701" s="7">
        <f t="shared" si="85"/>
        <v>0</v>
      </c>
      <c r="AQ701" s="7">
        <f t="shared" si="85"/>
        <v>0</v>
      </c>
      <c r="AR701" s="7">
        <f t="shared" si="85"/>
        <v>0</v>
      </c>
      <c r="AS701" s="7">
        <f t="shared" si="85"/>
        <v>0</v>
      </c>
      <c r="AT701" s="7">
        <f t="shared" si="85"/>
        <v>0</v>
      </c>
      <c r="AU701" s="7">
        <f t="shared" si="85"/>
        <v>0</v>
      </c>
      <c r="AV701" s="7">
        <f t="shared" si="85"/>
        <v>0</v>
      </c>
      <c r="AW701" s="7">
        <f t="shared" si="85"/>
        <v>0</v>
      </c>
    </row>
    <row r="702" spans="1:49" ht="14.5" hidden="1" outlineLevel="1" x14ac:dyDescent="0.35">
      <c r="A702" t="s">
        <v>12</v>
      </c>
      <c r="B702" t="s">
        <v>14</v>
      </c>
      <c r="C702" t="s">
        <v>171</v>
      </c>
      <c r="D702" t="s">
        <v>85</v>
      </c>
      <c r="E702" t="s">
        <v>81</v>
      </c>
      <c r="F702" s="11">
        <v>7</v>
      </c>
      <c r="G702" s="11">
        <v>7</v>
      </c>
      <c r="H702" s="11">
        <v>0</v>
      </c>
      <c r="I702" s="11">
        <v>7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</row>
    <row r="703" spans="1:49" ht="14.5" collapsed="1" x14ac:dyDescent="0.35">
      <c r="A703" s="6" t="s">
        <v>12</v>
      </c>
      <c r="B703" s="6" t="s">
        <v>14</v>
      </c>
      <c r="C703" s="6" t="s">
        <v>172</v>
      </c>
      <c r="D703" s="6" t="s">
        <v>72</v>
      </c>
      <c r="E703" s="6" t="s">
        <v>73</v>
      </c>
      <c r="F703" s="7">
        <f t="shared" ref="F703:AW703" si="86">SUM(F704)</f>
        <v>9</v>
      </c>
      <c r="G703" s="7">
        <f t="shared" si="86"/>
        <v>9</v>
      </c>
      <c r="H703" s="7">
        <f t="shared" si="86"/>
        <v>0</v>
      </c>
      <c r="I703" s="7">
        <f t="shared" si="86"/>
        <v>9</v>
      </c>
      <c r="J703" s="7">
        <f t="shared" si="86"/>
        <v>0</v>
      </c>
      <c r="K703" s="7">
        <f t="shared" si="86"/>
        <v>0</v>
      </c>
      <c r="L703" s="7">
        <f t="shared" si="86"/>
        <v>0</v>
      </c>
      <c r="M703" s="7">
        <f t="shared" si="86"/>
        <v>0</v>
      </c>
      <c r="N703" s="7">
        <f t="shared" si="86"/>
        <v>0</v>
      </c>
      <c r="O703" s="7">
        <f t="shared" si="86"/>
        <v>0</v>
      </c>
      <c r="P703" s="7">
        <f t="shared" si="86"/>
        <v>0</v>
      </c>
      <c r="Q703" s="7">
        <f t="shared" si="86"/>
        <v>0</v>
      </c>
      <c r="R703" s="7">
        <f t="shared" si="86"/>
        <v>0</v>
      </c>
      <c r="S703" s="7">
        <f t="shared" si="86"/>
        <v>0</v>
      </c>
      <c r="T703" s="7">
        <f t="shared" si="86"/>
        <v>0</v>
      </c>
      <c r="U703" s="7">
        <f t="shared" si="86"/>
        <v>0</v>
      </c>
      <c r="V703" s="7">
        <f t="shared" si="86"/>
        <v>0</v>
      </c>
      <c r="W703" s="7">
        <f t="shared" si="86"/>
        <v>0</v>
      </c>
      <c r="X703" s="7">
        <f t="shared" si="86"/>
        <v>0</v>
      </c>
      <c r="Y703" s="7">
        <f t="shared" si="86"/>
        <v>0</v>
      </c>
      <c r="Z703" s="7">
        <f t="shared" si="86"/>
        <v>0</v>
      </c>
      <c r="AA703" s="7">
        <f t="shared" si="86"/>
        <v>0</v>
      </c>
      <c r="AB703" s="7">
        <f t="shared" si="86"/>
        <v>0</v>
      </c>
      <c r="AC703" s="7">
        <f t="shared" si="86"/>
        <v>0</v>
      </c>
      <c r="AD703" s="7">
        <f t="shared" si="86"/>
        <v>0</v>
      </c>
      <c r="AE703" s="7">
        <f t="shared" si="86"/>
        <v>0</v>
      </c>
      <c r="AF703" s="7">
        <f t="shared" si="86"/>
        <v>0</v>
      </c>
      <c r="AG703" s="7">
        <f t="shared" si="86"/>
        <v>0</v>
      </c>
      <c r="AH703" s="7">
        <f t="shared" si="86"/>
        <v>0</v>
      </c>
      <c r="AI703" s="7">
        <f t="shared" si="86"/>
        <v>0</v>
      </c>
      <c r="AJ703" s="7">
        <f t="shared" si="86"/>
        <v>0</v>
      </c>
      <c r="AK703" s="7">
        <f t="shared" si="86"/>
        <v>0</v>
      </c>
      <c r="AL703" s="7">
        <f t="shared" si="86"/>
        <v>0</v>
      </c>
      <c r="AM703" s="7">
        <f t="shared" si="86"/>
        <v>0</v>
      </c>
      <c r="AN703" s="7">
        <f t="shared" si="86"/>
        <v>0</v>
      </c>
      <c r="AO703" s="7">
        <f t="shared" si="86"/>
        <v>0</v>
      </c>
      <c r="AP703" s="7">
        <f t="shared" si="86"/>
        <v>0</v>
      </c>
      <c r="AQ703" s="7">
        <f t="shared" si="86"/>
        <v>0</v>
      </c>
      <c r="AR703" s="7">
        <f t="shared" si="86"/>
        <v>0</v>
      </c>
      <c r="AS703" s="7">
        <f t="shared" si="86"/>
        <v>0</v>
      </c>
      <c r="AT703" s="7">
        <f t="shared" si="86"/>
        <v>0</v>
      </c>
      <c r="AU703" s="7">
        <f t="shared" si="86"/>
        <v>0</v>
      </c>
      <c r="AV703" s="7">
        <f t="shared" si="86"/>
        <v>0</v>
      </c>
      <c r="AW703" s="7">
        <f t="shared" si="86"/>
        <v>0</v>
      </c>
    </row>
    <row r="704" spans="1:49" ht="14.5" hidden="1" outlineLevel="1" x14ac:dyDescent="0.35">
      <c r="A704" t="s">
        <v>12</v>
      </c>
      <c r="B704" t="s">
        <v>14</v>
      </c>
      <c r="C704" t="s">
        <v>172</v>
      </c>
      <c r="D704" t="s">
        <v>85</v>
      </c>
      <c r="E704" t="s">
        <v>81</v>
      </c>
      <c r="F704" s="11">
        <v>9</v>
      </c>
      <c r="G704" s="11">
        <v>9</v>
      </c>
      <c r="H704" s="11">
        <v>0</v>
      </c>
      <c r="I704" s="11">
        <v>9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</row>
    <row r="705" spans="1:49" ht="14.5" collapsed="1" x14ac:dyDescent="0.35">
      <c r="A705" s="6" t="s">
        <v>12</v>
      </c>
      <c r="B705" s="6" t="s">
        <v>14</v>
      </c>
      <c r="C705" s="6" t="s">
        <v>173</v>
      </c>
      <c r="D705" s="6" t="s">
        <v>72</v>
      </c>
      <c r="E705" s="6" t="s">
        <v>73</v>
      </c>
      <c r="F705" s="7">
        <f t="shared" ref="F705:AW705" si="87">SUM(F706)</f>
        <v>0</v>
      </c>
      <c r="G705" s="7">
        <f t="shared" si="87"/>
        <v>28</v>
      </c>
      <c r="H705" s="7">
        <f t="shared" si="87"/>
        <v>28</v>
      </c>
      <c r="I705" s="7">
        <f t="shared" si="87"/>
        <v>0</v>
      </c>
      <c r="J705" s="7">
        <f t="shared" si="87"/>
        <v>0</v>
      </c>
      <c r="K705" s="7">
        <f t="shared" si="87"/>
        <v>0</v>
      </c>
      <c r="L705" s="7">
        <f t="shared" si="87"/>
        <v>0</v>
      </c>
      <c r="M705" s="7">
        <f t="shared" si="87"/>
        <v>0</v>
      </c>
      <c r="N705" s="7">
        <f t="shared" si="87"/>
        <v>0</v>
      </c>
      <c r="O705" s="7">
        <f t="shared" si="87"/>
        <v>0</v>
      </c>
      <c r="P705" s="7">
        <f t="shared" si="87"/>
        <v>0</v>
      </c>
      <c r="Q705" s="7">
        <f t="shared" si="87"/>
        <v>0</v>
      </c>
      <c r="R705" s="7">
        <f t="shared" si="87"/>
        <v>0</v>
      </c>
      <c r="S705" s="7">
        <f t="shared" si="87"/>
        <v>0</v>
      </c>
      <c r="T705" s="7">
        <f t="shared" si="87"/>
        <v>0</v>
      </c>
      <c r="U705" s="7">
        <f t="shared" si="87"/>
        <v>0</v>
      </c>
      <c r="V705" s="7">
        <f t="shared" si="87"/>
        <v>0</v>
      </c>
      <c r="W705" s="7">
        <f t="shared" si="87"/>
        <v>0</v>
      </c>
      <c r="X705" s="7">
        <f t="shared" si="87"/>
        <v>0</v>
      </c>
      <c r="Y705" s="7">
        <f t="shared" si="87"/>
        <v>0</v>
      </c>
      <c r="Z705" s="7">
        <f t="shared" si="87"/>
        <v>0</v>
      </c>
      <c r="AA705" s="7">
        <f t="shared" si="87"/>
        <v>0</v>
      </c>
      <c r="AB705" s="7">
        <f t="shared" si="87"/>
        <v>0</v>
      </c>
      <c r="AC705" s="7">
        <f t="shared" si="87"/>
        <v>0</v>
      </c>
      <c r="AD705" s="7">
        <f t="shared" si="87"/>
        <v>0</v>
      </c>
      <c r="AE705" s="7">
        <f t="shared" si="87"/>
        <v>0</v>
      </c>
      <c r="AF705" s="7">
        <f t="shared" si="87"/>
        <v>0</v>
      </c>
      <c r="AG705" s="7">
        <f t="shared" si="87"/>
        <v>10</v>
      </c>
      <c r="AH705" s="7">
        <f t="shared" si="87"/>
        <v>8</v>
      </c>
      <c r="AI705" s="7">
        <f t="shared" si="87"/>
        <v>10</v>
      </c>
      <c r="AJ705" s="7">
        <f t="shared" si="87"/>
        <v>0</v>
      </c>
      <c r="AK705" s="7">
        <f t="shared" si="87"/>
        <v>0</v>
      </c>
      <c r="AL705" s="7">
        <f t="shared" si="87"/>
        <v>0</v>
      </c>
      <c r="AM705" s="7">
        <f t="shared" si="87"/>
        <v>0</v>
      </c>
      <c r="AN705" s="7">
        <f t="shared" si="87"/>
        <v>0</v>
      </c>
      <c r="AO705" s="7">
        <f t="shared" si="87"/>
        <v>0</v>
      </c>
      <c r="AP705" s="7">
        <f t="shared" si="87"/>
        <v>0</v>
      </c>
      <c r="AQ705" s="7">
        <f t="shared" si="87"/>
        <v>0</v>
      </c>
      <c r="AR705" s="7">
        <f t="shared" si="87"/>
        <v>0</v>
      </c>
      <c r="AS705" s="7">
        <f t="shared" si="87"/>
        <v>0</v>
      </c>
      <c r="AT705" s="7">
        <f t="shared" si="87"/>
        <v>0</v>
      </c>
      <c r="AU705" s="7">
        <f t="shared" si="87"/>
        <v>0</v>
      </c>
      <c r="AV705" s="7">
        <f t="shared" si="87"/>
        <v>0</v>
      </c>
      <c r="AW705" s="7">
        <f t="shared" si="87"/>
        <v>0</v>
      </c>
    </row>
    <row r="706" spans="1:49" ht="14.5" hidden="1" outlineLevel="1" x14ac:dyDescent="0.35">
      <c r="A706" t="s">
        <v>12</v>
      </c>
      <c r="B706" t="s">
        <v>14</v>
      </c>
      <c r="C706" t="s">
        <v>173</v>
      </c>
      <c r="D706" t="s">
        <v>85</v>
      </c>
      <c r="E706" t="s">
        <v>40</v>
      </c>
      <c r="F706" s="11">
        <v>0</v>
      </c>
      <c r="G706" s="11">
        <v>28</v>
      </c>
      <c r="H706" s="11">
        <v>28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10</v>
      </c>
      <c r="AH706" s="11">
        <v>8</v>
      </c>
      <c r="AI706" s="11">
        <v>10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</row>
    <row r="707" spans="1:49" ht="14.5" hidden="1" outlineLevel="1" x14ac:dyDescent="0.35">
      <c r="A707" s="14" t="s">
        <v>12</v>
      </c>
      <c r="B707" s="14" t="s">
        <v>14</v>
      </c>
      <c r="C707" s="14" t="s">
        <v>173</v>
      </c>
      <c r="D707" s="14" t="s">
        <v>99</v>
      </c>
      <c r="E707" s="15" t="s">
        <v>40</v>
      </c>
      <c r="F707" s="16"/>
      <c r="G707" s="16"/>
      <c r="H707" s="16"/>
      <c r="I707" s="16"/>
      <c r="J707" s="16">
        <v>0</v>
      </c>
      <c r="K707" s="16">
        <v>0</v>
      </c>
      <c r="L707" s="16">
        <v>0</v>
      </c>
      <c r="M707" s="16">
        <v>0</v>
      </c>
      <c r="N707" s="16">
        <v>0</v>
      </c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  <c r="AG707" s="16">
        <v>-10</v>
      </c>
      <c r="AH707" s="16">
        <v>-8</v>
      </c>
      <c r="AI707" s="16">
        <v>-10</v>
      </c>
      <c r="AJ707" s="16">
        <v>0</v>
      </c>
      <c r="AK707" s="16">
        <v>0</v>
      </c>
      <c r="AL707" s="16">
        <v>0</v>
      </c>
      <c r="AM707" s="16">
        <v>0</v>
      </c>
      <c r="AN707" s="16">
        <v>0</v>
      </c>
      <c r="AO707" s="16">
        <v>0</v>
      </c>
      <c r="AP707" s="16">
        <v>0</v>
      </c>
      <c r="AQ707" s="16">
        <v>0</v>
      </c>
      <c r="AR707" s="16">
        <v>0</v>
      </c>
      <c r="AS707" s="16">
        <v>0</v>
      </c>
      <c r="AT707" s="16">
        <v>0</v>
      </c>
      <c r="AU707" s="16">
        <v>0</v>
      </c>
      <c r="AV707" s="16">
        <v>0</v>
      </c>
      <c r="AW707" s="16">
        <v>0</v>
      </c>
    </row>
    <row r="708" spans="1:49" ht="14.5" hidden="1" outlineLevel="1" x14ac:dyDescent="0.35">
      <c r="A708" s="8" t="s">
        <v>12</v>
      </c>
      <c r="B708" s="8" t="s">
        <v>14</v>
      </c>
      <c r="C708" s="8" t="s">
        <v>173</v>
      </c>
      <c r="D708" s="8" t="s">
        <v>74</v>
      </c>
      <c r="E708" s="9" t="s">
        <v>40</v>
      </c>
      <c r="F708" s="10"/>
      <c r="G708" s="10"/>
      <c r="H708" s="10"/>
      <c r="I708" s="10"/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30</v>
      </c>
      <c r="AG708" s="10">
        <v>14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</row>
    <row r="709" spans="1:49" ht="14.5" collapsed="1" x14ac:dyDescent="0.35">
      <c r="A709" s="6" t="s">
        <v>12</v>
      </c>
      <c r="B709" s="6" t="s">
        <v>14</v>
      </c>
      <c r="C709" s="6" t="s">
        <v>174</v>
      </c>
      <c r="D709" s="6" t="s">
        <v>72</v>
      </c>
      <c r="E709" s="6" t="s">
        <v>73</v>
      </c>
      <c r="F709" s="7">
        <f t="shared" ref="F709:AW709" si="88">SUM(F710)</f>
        <v>0</v>
      </c>
      <c r="G709" s="7">
        <f t="shared" si="88"/>
        <v>0</v>
      </c>
      <c r="H709" s="7">
        <f t="shared" si="88"/>
        <v>309</v>
      </c>
      <c r="I709" s="7">
        <f t="shared" si="88"/>
        <v>-309</v>
      </c>
      <c r="J709" s="7">
        <f t="shared" si="88"/>
        <v>0</v>
      </c>
      <c r="K709" s="7">
        <f t="shared" si="88"/>
        <v>24</v>
      </c>
      <c r="L709" s="7">
        <f t="shared" si="88"/>
        <v>24</v>
      </c>
      <c r="M709" s="7">
        <f t="shared" si="88"/>
        <v>2</v>
      </c>
      <c r="N709" s="7">
        <f t="shared" si="88"/>
        <v>22</v>
      </c>
      <c r="O709" s="7">
        <f t="shared" si="88"/>
        <v>26</v>
      </c>
      <c r="P709" s="7">
        <f t="shared" si="88"/>
        <v>22</v>
      </c>
      <c r="Q709" s="7">
        <f t="shared" si="88"/>
        <v>2</v>
      </c>
      <c r="R709" s="7">
        <f t="shared" si="88"/>
        <v>2</v>
      </c>
      <c r="S709" s="7">
        <f t="shared" si="88"/>
        <v>2</v>
      </c>
      <c r="T709" s="7">
        <f t="shared" si="88"/>
        <v>2</v>
      </c>
      <c r="U709" s="7">
        <f t="shared" si="88"/>
        <v>2</v>
      </c>
      <c r="V709" s="7">
        <f t="shared" si="88"/>
        <v>22</v>
      </c>
      <c r="W709" s="7">
        <f t="shared" si="88"/>
        <v>22</v>
      </c>
      <c r="X709" s="7">
        <f t="shared" si="88"/>
        <v>25.5</v>
      </c>
      <c r="Y709" s="7">
        <f t="shared" si="88"/>
        <v>5.5</v>
      </c>
      <c r="Z709" s="7">
        <f t="shared" si="88"/>
        <v>2</v>
      </c>
      <c r="AA709" s="7">
        <f t="shared" si="88"/>
        <v>0</v>
      </c>
      <c r="AB709" s="7">
        <f t="shared" si="88"/>
        <v>6</v>
      </c>
      <c r="AC709" s="7">
        <f t="shared" si="88"/>
        <v>2</v>
      </c>
      <c r="AD709" s="7">
        <f t="shared" si="88"/>
        <v>29</v>
      </c>
      <c r="AE709" s="7">
        <f t="shared" si="88"/>
        <v>29</v>
      </c>
      <c r="AF709" s="7">
        <f t="shared" si="88"/>
        <v>26</v>
      </c>
      <c r="AG709" s="7">
        <f t="shared" si="88"/>
        <v>2</v>
      </c>
      <c r="AH709" s="7">
        <f t="shared" si="88"/>
        <v>6</v>
      </c>
      <c r="AI709" s="7">
        <f t="shared" si="88"/>
        <v>2</v>
      </c>
      <c r="AJ709" s="7">
        <f t="shared" si="88"/>
        <v>0</v>
      </c>
      <c r="AK709" s="7">
        <f t="shared" si="88"/>
        <v>0</v>
      </c>
      <c r="AL709" s="7">
        <f t="shared" si="88"/>
        <v>0</v>
      </c>
      <c r="AM709" s="7">
        <f t="shared" si="88"/>
        <v>0</v>
      </c>
      <c r="AN709" s="7">
        <f t="shared" si="88"/>
        <v>0</v>
      </c>
      <c r="AO709" s="7">
        <f t="shared" si="88"/>
        <v>0</v>
      </c>
      <c r="AP709" s="7">
        <f t="shared" si="88"/>
        <v>0</v>
      </c>
      <c r="AQ709" s="7">
        <f t="shared" si="88"/>
        <v>0</v>
      </c>
      <c r="AR709" s="7">
        <f t="shared" si="88"/>
        <v>0</v>
      </c>
      <c r="AS709" s="7">
        <f t="shared" si="88"/>
        <v>0</v>
      </c>
      <c r="AT709" s="7">
        <f t="shared" si="88"/>
        <v>0</v>
      </c>
      <c r="AU709" s="7">
        <f t="shared" si="88"/>
        <v>0</v>
      </c>
      <c r="AV709" s="7">
        <f t="shared" si="88"/>
        <v>0</v>
      </c>
      <c r="AW709" s="7">
        <f t="shared" si="88"/>
        <v>0</v>
      </c>
    </row>
    <row r="710" spans="1:49" ht="14.5" hidden="1" outlineLevel="1" x14ac:dyDescent="0.35">
      <c r="A710" t="s">
        <v>12</v>
      </c>
      <c r="B710" t="s">
        <v>14</v>
      </c>
      <c r="C710" t="s">
        <v>174</v>
      </c>
      <c r="D710" t="s">
        <v>85</v>
      </c>
      <c r="E710" t="s">
        <v>81</v>
      </c>
      <c r="F710" s="11">
        <v>0</v>
      </c>
      <c r="G710" s="11">
        <v>0</v>
      </c>
      <c r="H710" s="11">
        <v>309</v>
      </c>
      <c r="I710" s="11">
        <v>-309</v>
      </c>
      <c r="J710" s="11">
        <v>0</v>
      </c>
      <c r="K710" s="11">
        <v>24</v>
      </c>
      <c r="L710" s="11">
        <v>24</v>
      </c>
      <c r="M710" s="11">
        <v>2</v>
      </c>
      <c r="N710" s="11">
        <v>22</v>
      </c>
      <c r="O710" s="11">
        <v>26</v>
      </c>
      <c r="P710" s="11">
        <v>22</v>
      </c>
      <c r="Q710" s="11">
        <v>2</v>
      </c>
      <c r="R710" s="11">
        <v>2</v>
      </c>
      <c r="S710" s="11">
        <v>2</v>
      </c>
      <c r="T710" s="11">
        <v>2</v>
      </c>
      <c r="U710" s="11">
        <v>2</v>
      </c>
      <c r="V710" s="11">
        <v>22</v>
      </c>
      <c r="W710" s="11">
        <v>22</v>
      </c>
      <c r="X710" s="11">
        <v>25.5</v>
      </c>
      <c r="Y710" s="11">
        <v>5.5</v>
      </c>
      <c r="Z710" s="11">
        <v>2</v>
      </c>
      <c r="AA710" s="11">
        <v>0</v>
      </c>
      <c r="AB710" s="11">
        <v>6</v>
      </c>
      <c r="AC710" s="11">
        <v>2</v>
      </c>
      <c r="AD710" s="11">
        <v>29</v>
      </c>
      <c r="AE710" s="11">
        <v>29</v>
      </c>
      <c r="AF710" s="11">
        <v>26</v>
      </c>
      <c r="AG710" s="11">
        <v>2</v>
      </c>
      <c r="AH710" s="11">
        <v>6</v>
      </c>
      <c r="AI710" s="11">
        <v>2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</row>
    <row r="711" spans="1:49" ht="14.5" hidden="1" outlineLevel="1" x14ac:dyDescent="0.35">
      <c r="A711" s="14" t="s">
        <v>12</v>
      </c>
      <c r="B711" s="14" t="s">
        <v>14</v>
      </c>
      <c r="C711" s="14" t="s">
        <v>174</v>
      </c>
      <c r="D711" s="14" t="s">
        <v>99</v>
      </c>
      <c r="E711" s="15" t="s">
        <v>81</v>
      </c>
      <c r="F711" s="16"/>
      <c r="G711" s="16"/>
      <c r="H711" s="16"/>
      <c r="I711" s="16"/>
      <c r="J711" s="16">
        <v>0</v>
      </c>
      <c r="K711" s="16">
        <v>-24</v>
      </c>
      <c r="L711" s="16">
        <v>-24</v>
      </c>
      <c r="M711" s="16">
        <v>-2</v>
      </c>
      <c r="N711" s="16">
        <v>-22</v>
      </c>
      <c r="O711" s="16">
        <v>-26</v>
      </c>
      <c r="P711" s="16">
        <v>-22</v>
      </c>
      <c r="Q711" s="16">
        <v>-2</v>
      </c>
      <c r="R711" s="16">
        <v>-2</v>
      </c>
      <c r="S711" s="16">
        <v>-2</v>
      </c>
      <c r="T711" s="16">
        <v>-2</v>
      </c>
      <c r="U711" s="16">
        <v>-2</v>
      </c>
      <c r="V711" s="16">
        <v>-22</v>
      </c>
      <c r="W711" s="16">
        <v>-22</v>
      </c>
      <c r="X711" s="16">
        <v>-25.5</v>
      </c>
      <c r="Y711" s="16">
        <v>-5.5</v>
      </c>
      <c r="Z711" s="16">
        <v>-2</v>
      </c>
      <c r="AA711" s="16">
        <v>0</v>
      </c>
      <c r="AB711" s="16">
        <v>-6</v>
      </c>
      <c r="AC711" s="16">
        <v>-2</v>
      </c>
      <c r="AD711" s="16">
        <v>-29</v>
      </c>
      <c r="AE711" s="16">
        <v>-29</v>
      </c>
      <c r="AF711" s="16">
        <v>-26</v>
      </c>
      <c r="AG711" s="16">
        <v>-2</v>
      </c>
      <c r="AH711" s="16">
        <v>-6</v>
      </c>
      <c r="AI711" s="16">
        <v>-2</v>
      </c>
      <c r="AJ711" s="16">
        <v>0</v>
      </c>
      <c r="AK711" s="16">
        <v>0</v>
      </c>
      <c r="AL711" s="16">
        <v>0</v>
      </c>
      <c r="AM711" s="16">
        <v>0</v>
      </c>
      <c r="AN711" s="16">
        <v>0</v>
      </c>
      <c r="AO711" s="16">
        <v>0</v>
      </c>
      <c r="AP711" s="16">
        <v>0</v>
      </c>
      <c r="AQ711" s="16">
        <v>0</v>
      </c>
      <c r="AR711" s="16">
        <v>0</v>
      </c>
      <c r="AS711" s="16">
        <v>0</v>
      </c>
      <c r="AT711" s="16">
        <v>0</v>
      </c>
      <c r="AU711" s="16">
        <v>0</v>
      </c>
      <c r="AV711" s="16">
        <v>0</v>
      </c>
      <c r="AW711" s="16">
        <v>0</v>
      </c>
    </row>
    <row r="712" spans="1:49" ht="14.5" collapsed="1" x14ac:dyDescent="0.35">
      <c r="A712" s="6" t="s">
        <v>12</v>
      </c>
      <c r="B712" s="6" t="s">
        <v>14</v>
      </c>
      <c r="C712" s="6" t="s">
        <v>175</v>
      </c>
      <c r="D712" s="6" t="s">
        <v>72</v>
      </c>
      <c r="E712" s="6" t="s">
        <v>73</v>
      </c>
      <c r="F712" s="7">
        <f t="shared" ref="F712:AW712" si="89">SUM(F713)</f>
        <v>0</v>
      </c>
      <c r="G712" s="7">
        <f t="shared" si="89"/>
        <v>0</v>
      </c>
      <c r="H712" s="7">
        <f t="shared" si="89"/>
        <v>90</v>
      </c>
      <c r="I712" s="7">
        <f t="shared" si="89"/>
        <v>-90</v>
      </c>
      <c r="J712" s="7">
        <f t="shared" si="89"/>
        <v>0</v>
      </c>
      <c r="K712" s="7">
        <f t="shared" si="89"/>
        <v>0</v>
      </c>
      <c r="L712" s="7">
        <f t="shared" si="89"/>
        <v>0</v>
      </c>
      <c r="M712" s="7">
        <f t="shared" si="89"/>
        <v>0</v>
      </c>
      <c r="N712" s="7">
        <f t="shared" si="89"/>
        <v>0</v>
      </c>
      <c r="O712" s="7">
        <f t="shared" si="89"/>
        <v>0</v>
      </c>
      <c r="P712" s="7">
        <f t="shared" si="89"/>
        <v>0</v>
      </c>
      <c r="Q712" s="7">
        <f t="shared" si="89"/>
        <v>0</v>
      </c>
      <c r="R712" s="7">
        <f t="shared" si="89"/>
        <v>0</v>
      </c>
      <c r="S712" s="7">
        <f t="shared" si="89"/>
        <v>0</v>
      </c>
      <c r="T712" s="7">
        <f t="shared" si="89"/>
        <v>0</v>
      </c>
      <c r="U712" s="7">
        <f t="shared" si="89"/>
        <v>0</v>
      </c>
      <c r="V712" s="7">
        <f t="shared" si="89"/>
        <v>0</v>
      </c>
      <c r="W712" s="7">
        <f t="shared" si="89"/>
        <v>0</v>
      </c>
      <c r="X712" s="7">
        <f t="shared" si="89"/>
        <v>0</v>
      </c>
      <c r="Y712" s="7">
        <f t="shared" si="89"/>
        <v>0</v>
      </c>
      <c r="Z712" s="7">
        <f t="shared" si="89"/>
        <v>0</v>
      </c>
      <c r="AA712" s="7">
        <f t="shared" si="89"/>
        <v>0</v>
      </c>
      <c r="AB712" s="7">
        <f t="shared" si="89"/>
        <v>0</v>
      </c>
      <c r="AC712" s="7">
        <f t="shared" si="89"/>
        <v>0</v>
      </c>
      <c r="AD712" s="7">
        <f t="shared" si="89"/>
        <v>0</v>
      </c>
      <c r="AE712" s="7">
        <f t="shared" si="89"/>
        <v>10</v>
      </c>
      <c r="AF712" s="7">
        <f t="shared" si="89"/>
        <v>10</v>
      </c>
      <c r="AG712" s="7">
        <f t="shared" si="89"/>
        <v>20</v>
      </c>
      <c r="AH712" s="7">
        <f t="shared" si="89"/>
        <v>20</v>
      </c>
      <c r="AI712" s="7">
        <f t="shared" si="89"/>
        <v>30</v>
      </c>
      <c r="AJ712" s="7">
        <f t="shared" si="89"/>
        <v>0</v>
      </c>
      <c r="AK712" s="7">
        <f t="shared" si="89"/>
        <v>0</v>
      </c>
      <c r="AL712" s="7">
        <f t="shared" si="89"/>
        <v>0</v>
      </c>
      <c r="AM712" s="7">
        <f t="shared" si="89"/>
        <v>0</v>
      </c>
      <c r="AN712" s="7">
        <f t="shared" si="89"/>
        <v>0</v>
      </c>
      <c r="AO712" s="7">
        <f t="shared" si="89"/>
        <v>0</v>
      </c>
      <c r="AP712" s="7">
        <f t="shared" si="89"/>
        <v>0</v>
      </c>
      <c r="AQ712" s="7">
        <f t="shared" si="89"/>
        <v>0</v>
      </c>
      <c r="AR712" s="7">
        <f t="shared" si="89"/>
        <v>0</v>
      </c>
      <c r="AS712" s="7">
        <f t="shared" si="89"/>
        <v>0</v>
      </c>
      <c r="AT712" s="7">
        <f t="shared" si="89"/>
        <v>0</v>
      </c>
      <c r="AU712" s="7">
        <f t="shared" si="89"/>
        <v>0</v>
      </c>
      <c r="AV712" s="7">
        <f t="shared" si="89"/>
        <v>0</v>
      </c>
      <c r="AW712" s="7">
        <f t="shared" si="89"/>
        <v>0</v>
      </c>
    </row>
    <row r="713" spans="1:49" ht="14.5" hidden="1" outlineLevel="1" x14ac:dyDescent="0.35">
      <c r="A713" t="s">
        <v>12</v>
      </c>
      <c r="B713" t="s">
        <v>14</v>
      </c>
      <c r="C713" t="s">
        <v>175</v>
      </c>
      <c r="D713" t="s">
        <v>85</v>
      </c>
      <c r="E713" t="s">
        <v>43</v>
      </c>
      <c r="F713" s="11">
        <v>0</v>
      </c>
      <c r="G713" s="11">
        <v>0</v>
      </c>
      <c r="H713" s="11">
        <v>90</v>
      </c>
      <c r="I713" s="11">
        <v>-90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10</v>
      </c>
      <c r="AF713" s="11">
        <v>10</v>
      </c>
      <c r="AG713" s="11">
        <v>20</v>
      </c>
      <c r="AH713" s="11">
        <v>20</v>
      </c>
      <c r="AI713" s="11">
        <v>30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</row>
    <row r="714" spans="1:49" ht="14.5" hidden="1" outlineLevel="1" x14ac:dyDescent="0.35">
      <c r="A714" s="14" t="s">
        <v>12</v>
      </c>
      <c r="B714" s="14" t="s">
        <v>14</v>
      </c>
      <c r="C714" s="14" t="s">
        <v>175</v>
      </c>
      <c r="D714" s="14" t="s">
        <v>99</v>
      </c>
      <c r="E714" s="15" t="s">
        <v>43</v>
      </c>
      <c r="F714" s="16"/>
      <c r="G714" s="16"/>
      <c r="H714" s="16"/>
      <c r="I714" s="16"/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-10</v>
      </c>
      <c r="AF714" s="16">
        <v>-10</v>
      </c>
      <c r="AG714" s="16">
        <v>-20</v>
      </c>
      <c r="AH714" s="16">
        <v>-20</v>
      </c>
      <c r="AI714" s="16">
        <v>-30</v>
      </c>
      <c r="AJ714" s="16">
        <v>0</v>
      </c>
      <c r="AK714" s="16">
        <v>0</v>
      </c>
      <c r="AL714" s="16">
        <v>0</v>
      </c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6">
        <v>0</v>
      </c>
      <c r="AW714" s="16">
        <v>0</v>
      </c>
    </row>
    <row r="715" spans="1:49" ht="14.5" collapsed="1" x14ac:dyDescent="0.35">
      <c r="A715" s="6" t="s">
        <v>12</v>
      </c>
      <c r="B715" s="6" t="s">
        <v>14</v>
      </c>
      <c r="C715" s="6" t="s">
        <v>176</v>
      </c>
      <c r="D715" s="6" t="s">
        <v>72</v>
      </c>
      <c r="E715" s="6" t="s">
        <v>73</v>
      </c>
      <c r="F715" s="7">
        <f t="shared" ref="F715:AW715" si="90">SUM(F716)</f>
        <v>0</v>
      </c>
      <c r="G715" s="7">
        <f t="shared" si="90"/>
        <v>375</v>
      </c>
      <c r="H715" s="7">
        <f t="shared" si="90"/>
        <v>385</v>
      </c>
      <c r="I715" s="7">
        <f t="shared" si="90"/>
        <v>-10</v>
      </c>
      <c r="J715" s="7">
        <f t="shared" si="90"/>
        <v>0</v>
      </c>
      <c r="K715" s="7">
        <f t="shared" si="90"/>
        <v>0</v>
      </c>
      <c r="L715" s="7">
        <f t="shared" si="90"/>
        <v>0</v>
      </c>
      <c r="M715" s="7">
        <f t="shared" si="90"/>
        <v>0</v>
      </c>
      <c r="N715" s="7">
        <f t="shared" si="90"/>
        <v>0</v>
      </c>
      <c r="O715" s="7">
        <f t="shared" si="90"/>
        <v>0</v>
      </c>
      <c r="P715" s="7">
        <f t="shared" si="90"/>
        <v>0</v>
      </c>
      <c r="Q715" s="7">
        <f t="shared" si="90"/>
        <v>0</v>
      </c>
      <c r="R715" s="7">
        <f t="shared" si="90"/>
        <v>0</v>
      </c>
      <c r="S715" s="7">
        <f t="shared" si="90"/>
        <v>0</v>
      </c>
      <c r="T715" s="7">
        <f t="shared" si="90"/>
        <v>0</v>
      </c>
      <c r="U715" s="7">
        <f t="shared" si="90"/>
        <v>0</v>
      </c>
      <c r="V715" s="7">
        <f t="shared" si="90"/>
        <v>0</v>
      </c>
      <c r="W715" s="7">
        <f t="shared" si="90"/>
        <v>0</v>
      </c>
      <c r="X715" s="7">
        <f t="shared" si="90"/>
        <v>0</v>
      </c>
      <c r="Y715" s="7">
        <f t="shared" si="90"/>
        <v>0</v>
      </c>
      <c r="Z715" s="7">
        <f t="shared" si="90"/>
        <v>0</v>
      </c>
      <c r="AA715" s="7">
        <f t="shared" si="90"/>
        <v>0</v>
      </c>
      <c r="AB715" s="7">
        <f t="shared" si="90"/>
        <v>35</v>
      </c>
      <c r="AC715" s="7">
        <f t="shared" si="90"/>
        <v>45</v>
      </c>
      <c r="AD715" s="7">
        <f t="shared" si="90"/>
        <v>55</v>
      </c>
      <c r="AE715" s="12">
        <f t="shared" si="90"/>
        <v>65</v>
      </c>
      <c r="AF715" s="12">
        <f t="shared" si="90"/>
        <v>65</v>
      </c>
      <c r="AG715" s="12">
        <f t="shared" si="90"/>
        <v>65</v>
      </c>
      <c r="AH715" s="7">
        <f t="shared" si="90"/>
        <v>55</v>
      </c>
      <c r="AI715" s="7">
        <f t="shared" si="90"/>
        <v>0</v>
      </c>
      <c r="AJ715" s="7">
        <f t="shared" si="90"/>
        <v>0</v>
      </c>
      <c r="AK715" s="7">
        <f t="shared" si="90"/>
        <v>0</v>
      </c>
      <c r="AL715" s="7">
        <f t="shared" si="90"/>
        <v>0</v>
      </c>
      <c r="AM715" s="7">
        <f t="shared" si="90"/>
        <v>0</v>
      </c>
      <c r="AN715" s="7">
        <f t="shared" si="90"/>
        <v>0</v>
      </c>
      <c r="AO715" s="7">
        <f t="shared" si="90"/>
        <v>0</v>
      </c>
      <c r="AP715" s="7">
        <f t="shared" si="90"/>
        <v>0</v>
      </c>
      <c r="AQ715" s="7">
        <f t="shared" si="90"/>
        <v>0</v>
      </c>
      <c r="AR715" s="7">
        <f t="shared" si="90"/>
        <v>0</v>
      </c>
      <c r="AS715" s="7">
        <f t="shared" si="90"/>
        <v>0</v>
      </c>
      <c r="AT715" s="7">
        <f t="shared" si="90"/>
        <v>0</v>
      </c>
      <c r="AU715" s="7">
        <f t="shared" si="90"/>
        <v>0</v>
      </c>
      <c r="AV715" s="7">
        <f t="shared" si="90"/>
        <v>0</v>
      </c>
      <c r="AW715" s="7">
        <f t="shared" si="90"/>
        <v>0</v>
      </c>
    </row>
    <row r="716" spans="1:49" ht="14.5" hidden="1" outlineLevel="1" x14ac:dyDescent="0.35">
      <c r="A716" t="s">
        <v>12</v>
      </c>
      <c r="B716" t="s">
        <v>14</v>
      </c>
      <c r="C716" t="s">
        <v>176</v>
      </c>
      <c r="D716" t="s">
        <v>85</v>
      </c>
      <c r="E716" t="s">
        <v>103</v>
      </c>
      <c r="F716" s="11">
        <v>0</v>
      </c>
      <c r="G716" s="11">
        <v>375</v>
      </c>
      <c r="H716" s="11">
        <v>385</v>
      </c>
      <c r="I716" s="11">
        <v>-10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35</v>
      </c>
      <c r="AC716" s="11">
        <v>45</v>
      </c>
      <c r="AD716" s="11">
        <v>55</v>
      </c>
      <c r="AE716" s="11">
        <v>65</v>
      </c>
      <c r="AF716" s="11">
        <v>65</v>
      </c>
      <c r="AG716" s="11">
        <v>65</v>
      </c>
      <c r="AH716" s="11">
        <v>55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</row>
    <row r="717" spans="1:49" ht="14.5" hidden="1" outlineLevel="1" x14ac:dyDescent="0.35">
      <c r="A717" s="14" t="s">
        <v>12</v>
      </c>
      <c r="B717" s="14" t="s">
        <v>14</v>
      </c>
      <c r="C717" s="14" t="s">
        <v>176</v>
      </c>
      <c r="D717" s="14" t="s">
        <v>99</v>
      </c>
      <c r="E717" s="15" t="s">
        <v>103</v>
      </c>
      <c r="F717" s="16"/>
      <c r="G717" s="16"/>
      <c r="H717" s="16"/>
      <c r="I717" s="16"/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-35</v>
      </c>
      <c r="AC717" s="16">
        <v>-45</v>
      </c>
      <c r="AD717" s="16">
        <v>-55</v>
      </c>
      <c r="AE717" s="16">
        <v>-65</v>
      </c>
      <c r="AF717" s="16">
        <v>-65</v>
      </c>
      <c r="AG717" s="16">
        <v>-65</v>
      </c>
      <c r="AH717" s="16">
        <v>-55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6">
        <v>0</v>
      </c>
      <c r="AV717" s="16">
        <v>0</v>
      </c>
      <c r="AW717" s="16">
        <v>0</v>
      </c>
    </row>
    <row r="718" spans="1:49" ht="14.5" hidden="1" outlineLevel="1" x14ac:dyDescent="0.35">
      <c r="A718" s="8" t="s">
        <v>12</v>
      </c>
      <c r="B718" s="8" t="s">
        <v>14</v>
      </c>
      <c r="C718" s="8" t="s">
        <v>176</v>
      </c>
      <c r="D718" s="8" t="s">
        <v>74</v>
      </c>
      <c r="E718" s="9" t="s">
        <v>102</v>
      </c>
      <c r="F718" s="10"/>
      <c r="G718" s="10"/>
      <c r="H718" s="10"/>
      <c r="I718" s="10"/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25</v>
      </c>
      <c r="AG718" s="10">
        <v>30</v>
      </c>
      <c r="AH718" s="10">
        <v>21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</row>
    <row r="719" spans="1:49" ht="14.5" collapsed="1" x14ac:dyDescent="0.35">
      <c r="A719" s="6" t="s">
        <v>12</v>
      </c>
      <c r="B719" s="6" t="s">
        <v>14</v>
      </c>
      <c r="C719" s="6" t="s">
        <v>177</v>
      </c>
      <c r="D719" s="6" t="s">
        <v>72</v>
      </c>
      <c r="E719" s="6" t="s">
        <v>73</v>
      </c>
      <c r="F719" s="7">
        <f t="shared" ref="F719:AW719" si="91">SUM(F720)</f>
        <v>6</v>
      </c>
      <c r="G719" s="7">
        <f t="shared" si="91"/>
        <v>24</v>
      </c>
      <c r="H719" s="7">
        <f t="shared" si="91"/>
        <v>15</v>
      </c>
      <c r="I719" s="7">
        <f t="shared" si="91"/>
        <v>9</v>
      </c>
      <c r="J719" s="7">
        <f t="shared" si="91"/>
        <v>0</v>
      </c>
      <c r="K719" s="7">
        <f t="shared" si="91"/>
        <v>0</v>
      </c>
      <c r="L719" s="7">
        <f t="shared" si="91"/>
        <v>0</v>
      </c>
      <c r="M719" s="7">
        <f t="shared" si="91"/>
        <v>0</v>
      </c>
      <c r="N719" s="7">
        <f t="shared" si="91"/>
        <v>0</v>
      </c>
      <c r="O719" s="7">
        <f t="shared" si="91"/>
        <v>0</v>
      </c>
      <c r="P719" s="7">
        <f t="shared" si="91"/>
        <v>0</v>
      </c>
      <c r="Q719" s="7">
        <f t="shared" si="91"/>
        <v>0</v>
      </c>
      <c r="R719" s="7">
        <f t="shared" si="91"/>
        <v>0</v>
      </c>
      <c r="S719" s="7">
        <f t="shared" si="91"/>
        <v>0</v>
      </c>
      <c r="T719" s="7">
        <f t="shared" si="91"/>
        <v>0</v>
      </c>
      <c r="U719" s="7">
        <f t="shared" si="91"/>
        <v>0</v>
      </c>
      <c r="V719" s="7">
        <f t="shared" si="91"/>
        <v>0</v>
      </c>
      <c r="W719" s="7">
        <f t="shared" si="91"/>
        <v>0</v>
      </c>
      <c r="X719" s="7">
        <f t="shared" si="91"/>
        <v>0</v>
      </c>
      <c r="Y719" s="7">
        <f t="shared" si="91"/>
        <v>0</v>
      </c>
      <c r="Z719" s="7">
        <f t="shared" si="91"/>
        <v>0</v>
      </c>
      <c r="AA719" s="7">
        <f t="shared" si="91"/>
        <v>0</v>
      </c>
      <c r="AB719" s="7">
        <f t="shared" si="91"/>
        <v>0</v>
      </c>
      <c r="AC719" s="7">
        <f t="shared" si="91"/>
        <v>0</v>
      </c>
      <c r="AD719" s="7">
        <f t="shared" si="91"/>
        <v>0</v>
      </c>
      <c r="AE719" s="7">
        <f t="shared" si="91"/>
        <v>0</v>
      </c>
      <c r="AF719" s="7">
        <f t="shared" si="91"/>
        <v>0</v>
      </c>
      <c r="AG719" s="7">
        <f t="shared" si="91"/>
        <v>0</v>
      </c>
      <c r="AH719" s="7">
        <f t="shared" si="91"/>
        <v>10</v>
      </c>
      <c r="AI719" s="7">
        <f t="shared" si="91"/>
        <v>5</v>
      </c>
      <c r="AJ719" s="7">
        <f t="shared" si="91"/>
        <v>0</v>
      </c>
      <c r="AK719" s="7">
        <f t="shared" si="91"/>
        <v>0</v>
      </c>
      <c r="AL719" s="7">
        <f t="shared" si="91"/>
        <v>0</v>
      </c>
      <c r="AM719" s="7">
        <f t="shared" si="91"/>
        <v>0</v>
      </c>
      <c r="AN719" s="7">
        <f t="shared" si="91"/>
        <v>0</v>
      </c>
      <c r="AO719" s="7">
        <f t="shared" si="91"/>
        <v>0</v>
      </c>
      <c r="AP719" s="7">
        <f t="shared" si="91"/>
        <v>0</v>
      </c>
      <c r="AQ719" s="7">
        <f t="shared" si="91"/>
        <v>0</v>
      </c>
      <c r="AR719" s="7">
        <f t="shared" si="91"/>
        <v>0</v>
      </c>
      <c r="AS719" s="7">
        <f t="shared" si="91"/>
        <v>0</v>
      </c>
      <c r="AT719" s="7">
        <f t="shared" si="91"/>
        <v>0</v>
      </c>
      <c r="AU719" s="7">
        <f t="shared" si="91"/>
        <v>0</v>
      </c>
      <c r="AV719" s="7">
        <f t="shared" si="91"/>
        <v>0</v>
      </c>
      <c r="AW719" s="7">
        <f t="shared" si="91"/>
        <v>0</v>
      </c>
    </row>
    <row r="720" spans="1:49" ht="14.5" hidden="1" outlineLevel="1" x14ac:dyDescent="0.35">
      <c r="A720" t="s">
        <v>12</v>
      </c>
      <c r="B720" t="s">
        <v>14</v>
      </c>
      <c r="C720" t="s">
        <v>177</v>
      </c>
      <c r="D720" t="s">
        <v>85</v>
      </c>
      <c r="E720" t="s">
        <v>102</v>
      </c>
      <c r="F720" s="11">
        <v>6</v>
      </c>
      <c r="G720" s="11">
        <v>24</v>
      </c>
      <c r="H720" s="11">
        <v>15</v>
      </c>
      <c r="I720" s="11">
        <v>9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10</v>
      </c>
      <c r="AI720" s="11">
        <v>5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0</v>
      </c>
      <c r="AT720" s="11">
        <v>0</v>
      </c>
      <c r="AU720" s="11">
        <v>0</v>
      </c>
      <c r="AV720" s="11">
        <v>0</v>
      </c>
      <c r="AW720" s="11">
        <v>0</v>
      </c>
    </row>
    <row r="721" spans="1:49" ht="14.5" hidden="1" outlineLevel="1" x14ac:dyDescent="0.35">
      <c r="A721" s="14" t="s">
        <v>12</v>
      </c>
      <c r="B721" s="14" t="s">
        <v>14</v>
      </c>
      <c r="C721" s="14" t="s">
        <v>177</v>
      </c>
      <c r="D721" s="14" t="s">
        <v>99</v>
      </c>
      <c r="E721" s="15" t="s">
        <v>102</v>
      </c>
      <c r="F721" s="16"/>
      <c r="G721" s="16"/>
      <c r="H721" s="16"/>
      <c r="I721" s="16"/>
      <c r="J721" s="16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0</v>
      </c>
      <c r="AF721" s="16">
        <v>0</v>
      </c>
      <c r="AG721" s="16">
        <v>0</v>
      </c>
      <c r="AH721" s="16">
        <v>-10</v>
      </c>
      <c r="AI721" s="16">
        <v>-5</v>
      </c>
      <c r="AJ721" s="16">
        <v>0</v>
      </c>
      <c r="AK721" s="16">
        <v>0</v>
      </c>
      <c r="AL721" s="16">
        <v>0</v>
      </c>
      <c r="AM721" s="16">
        <v>0</v>
      </c>
      <c r="AN721" s="16">
        <v>0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>
        <v>0</v>
      </c>
      <c r="AU721" s="16">
        <v>0</v>
      </c>
      <c r="AV721" s="16">
        <v>0</v>
      </c>
      <c r="AW721" s="16">
        <v>0</v>
      </c>
    </row>
    <row r="722" spans="1:49" ht="14.5" collapsed="1" x14ac:dyDescent="0.35">
      <c r="A722" s="6" t="s">
        <v>12</v>
      </c>
      <c r="B722" s="6" t="s">
        <v>14</v>
      </c>
      <c r="C722" s="6" t="s">
        <v>178</v>
      </c>
      <c r="D722" s="6" t="s">
        <v>72</v>
      </c>
      <c r="E722" s="6" t="s">
        <v>73</v>
      </c>
      <c r="F722" s="7">
        <f t="shared" ref="F722:AW722" si="92">SUM(F723)</f>
        <v>120</v>
      </c>
      <c r="G722" s="7">
        <f t="shared" si="92"/>
        <v>760</v>
      </c>
      <c r="H722" s="7">
        <f t="shared" si="92"/>
        <v>550</v>
      </c>
      <c r="I722" s="7">
        <f t="shared" si="92"/>
        <v>210</v>
      </c>
      <c r="J722" s="7">
        <f t="shared" si="92"/>
        <v>0</v>
      </c>
      <c r="K722" s="7">
        <f t="shared" si="92"/>
        <v>0</v>
      </c>
      <c r="L722" s="7">
        <f t="shared" si="92"/>
        <v>0</v>
      </c>
      <c r="M722" s="7">
        <f t="shared" si="92"/>
        <v>15</v>
      </c>
      <c r="N722" s="7">
        <f t="shared" si="92"/>
        <v>15</v>
      </c>
      <c r="O722" s="7">
        <f t="shared" si="92"/>
        <v>10</v>
      </c>
      <c r="P722" s="7">
        <f t="shared" si="92"/>
        <v>15</v>
      </c>
      <c r="Q722" s="7">
        <f t="shared" si="92"/>
        <v>15</v>
      </c>
      <c r="R722" s="7">
        <f t="shared" si="92"/>
        <v>15</v>
      </c>
      <c r="S722" s="7">
        <f t="shared" si="92"/>
        <v>15</v>
      </c>
      <c r="T722" s="7">
        <f t="shared" si="92"/>
        <v>20</v>
      </c>
      <c r="U722" s="7">
        <f t="shared" si="92"/>
        <v>20</v>
      </c>
      <c r="V722" s="7">
        <f t="shared" si="92"/>
        <v>15</v>
      </c>
      <c r="W722" s="7">
        <f t="shared" si="92"/>
        <v>10</v>
      </c>
      <c r="X722" s="7">
        <f t="shared" si="92"/>
        <v>10</v>
      </c>
      <c r="Y722" s="7">
        <f t="shared" si="92"/>
        <v>5</v>
      </c>
      <c r="Z722" s="7">
        <f t="shared" si="92"/>
        <v>0</v>
      </c>
      <c r="AA722" s="7">
        <f t="shared" si="92"/>
        <v>0</v>
      </c>
      <c r="AB722" s="7">
        <f t="shared" si="92"/>
        <v>20</v>
      </c>
      <c r="AC722" s="7">
        <f t="shared" si="92"/>
        <v>50</v>
      </c>
      <c r="AD722" s="7">
        <f t="shared" si="92"/>
        <v>55</v>
      </c>
      <c r="AE722" s="12">
        <f t="shared" si="92"/>
        <v>60</v>
      </c>
      <c r="AF722" s="12">
        <f t="shared" si="92"/>
        <v>65</v>
      </c>
      <c r="AG722" s="12">
        <f t="shared" si="92"/>
        <v>65</v>
      </c>
      <c r="AH722" s="7">
        <f t="shared" si="92"/>
        <v>55</v>
      </c>
      <c r="AI722" s="7">
        <f t="shared" si="92"/>
        <v>0</v>
      </c>
      <c r="AJ722" s="7">
        <f t="shared" si="92"/>
        <v>0</v>
      </c>
      <c r="AK722" s="7">
        <f t="shared" si="92"/>
        <v>0</v>
      </c>
      <c r="AL722" s="7">
        <f t="shared" si="92"/>
        <v>0</v>
      </c>
      <c r="AM722" s="7">
        <f t="shared" si="92"/>
        <v>0</v>
      </c>
      <c r="AN722" s="7">
        <f t="shared" si="92"/>
        <v>0</v>
      </c>
      <c r="AO722" s="7">
        <f t="shared" si="92"/>
        <v>0</v>
      </c>
      <c r="AP722" s="7">
        <f t="shared" si="92"/>
        <v>0</v>
      </c>
      <c r="AQ722" s="7">
        <f t="shared" si="92"/>
        <v>0</v>
      </c>
      <c r="AR722" s="7">
        <f t="shared" si="92"/>
        <v>0</v>
      </c>
      <c r="AS722" s="7">
        <f t="shared" si="92"/>
        <v>0</v>
      </c>
      <c r="AT722" s="7">
        <f t="shared" si="92"/>
        <v>0</v>
      </c>
      <c r="AU722" s="7">
        <f t="shared" si="92"/>
        <v>0</v>
      </c>
      <c r="AV722" s="7">
        <f t="shared" si="92"/>
        <v>0</v>
      </c>
      <c r="AW722" s="7">
        <f t="shared" si="92"/>
        <v>0</v>
      </c>
    </row>
    <row r="723" spans="1:49" ht="14.5" hidden="1" outlineLevel="1" x14ac:dyDescent="0.35">
      <c r="A723" t="s">
        <v>12</v>
      </c>
      <c r="B723" t="s">
        <v>14</v>
      </c>
      <c r="C723" t="s">
        <v>178</v>
      </c>
      <c r="D723" t="s">
        <v>85</v>
      </c>
      <c r="E723" t="s">
        <v>103</v>
      </c>
      <c r="F723" s="11">
        <v>120</v>
      </c>
      <c r="G723" s="11">
        <v>760</v>
      </c>
      <c r="H723" s="11">
        <v>550</v>
      </c>
      <c r="I723" s="11">
        <v>210</v>
      </c>
      <c r="J723" s="11">
        <v>0</v>
      </c>
      <c r="K723" s="11">
        <v>0</v>
      </c>
      <c r="L723" s="11">
        <v>0</v>
      </c>
      <c r="M723" s="11">
        <v>15</v>
      </c>
      <c r="N723" s="11">
        <v>15</v>
      </c>
      <c r="O723" s="11">
        <v>10</v>
      </c>
      <c r="P723" s="11">
        <v>15</v>
      </c>
      <c r="Q723" s="11">
        <v>15</v>
      </c>
      <c r="R723" s="11">
        <v>15</v>
      </c>
      <c r="S723" s="11">
        <v>15</v>
      </c>
      <c r="T723" s="11">
        <v>20</v>
      </c>
      <c r="U723" s="11">
        <v>20</v>
      </c>
      <c r="V723" s="11">
        <v>15</v>
      </c>
      <c r="W723" s="11">
        <v>10</v>
      </c>
      <c r="X723" s="11">
        <v>10</v>
      </c>
      <c r="Y723" s="11">
        <v>5</v>
      </c>
      <c r="Z723" s="11">
        <v>0</v>
      </c>
      <c r="AA723" s="11">
        <v>0</v>
      </c>
      <c r="AB723" s="11">
        <v>20</v>
      </c>
      <c r="AC723" s="11">
        <v>50</v>
      </c>
      <c r="AD723" s="11">
        <v>55</v>
      </c>
      <c r="AE723" s="11">
        <v>60</v>
      </c>
      <c r="AF723" s="11">
        <v>65</v>
      </c>
      <c r="AG723" s="11">
        <v>65</v>
      </c>
      <c r="AH723" s="11">
        <v>55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11">
        <v>0</v>
      </c>
      <c r="AU723" s="11">
        <v>0</v>
      </c>
      <c r="AV723" s="11">
        <v>0</v>
      </c>
      <c r="AW723" s="11">
        <v>0</v>
      </c>
    </row>
    <row r="724" spans="1:49" ht="14.5" hidden="1" outlineLevel="1" x14ac:dyDescent="0.35">
      <c r="A724" s="14" t="s">
        <v>12</v>
      </c>
      <c r="B724" s="14" t="s">
        <v>14</v>
      </c>
      <c r="C724" s="14" t="s">
        <v>178</v>
      </c>
      <c r="D724" s="14" t="s">
        <v>99</v>
      </c>
      <c r="E724" s="15" t="s">
        <v>103</v>
      </c>
      <c r="F724" s="16"/>
      <c r="G724" s="16"/>
      <c r="H724" s="16"/>
      <c r="I724" s="16"/>
      <c r="J724" s="16">
        <v>0</v>
      </c>
      <c r="K724" s="16">
        <v>0</v>
      </c>
      <c r="L724" s="16">
        <v>0</v>
      </c>
      <c r="M724" s="16">
        <v>-15</v>
      </c>
      <c r="N724" s="16">
        <v>-15</v>
      </c>
      <c r="O724" s="16">
        <v>-10</v>
      </c>
      <c r="P724" s="16">
        <v>-15</v>
      </c>
      <c r="Q724" s="16">
        <v>-15</v>
      </c>
      <c r="R724" s="16">
        <v>-15</v>
      </c>
      <c r="S724" s="16">
        <v>-15</v>
      </c>
      <c r="T724" s="16">
        <v>-20</v>
      </c>
      <c r="U724" s="16">
        <v>-20</v>
      </c>
      <c r="V724" s="16">
        <v>-15</v>
      </c>
      <c r="W724" s="16">
        <v>-10</v>
      </c>
      <c r="X724" s="16">
        <v>-10</v>
      </c>
      <c r="Y724" s="16">
        <v>-5</v>
      </c>
      <c r="Z724" s="16">
        <v>0</v>
      </c>
      <c r="AA724" s="16">
        <v>0</v>
      </c>
      <c r="AB724" s="16">
        <v>-20</v>
      </c>
      <c r="AC724" s="16">
        <v>-50</v>
      </c>
      <c r="AD724" s="16">
        <v>-55</v>
      </c>
      <c r="AE724" s="16">
        <v>-60</v>
      </c>
      <c r="AF724" s="16">
        <v>-65</v>
      </c>
      <c r="AG724" s="16">
        <v>-65</v>
      </c>
      <c r="AH724" s="16">
        <v>-55</v>
      </c>
      <c r="AI724" s="16">
        <v>0</v>
      </c>
      <c r="AJ724" s="16">
        <v>0</v>
      </c>
      <c r="AK724" s="16">
        <v>0</v>
      </c>
      <c r="AL724" s="16">
        <v>0</v>
      </c>
      <c r="AM724" s="16">
        <v>0</v>
      </c>
      <c r="AN724" s="16">
        <v>0</v>
      </c>
      <c r="AO724" s="16">
        <v>0</v>
      </c>
      <c r="AP724" s="16">
        <v>0</v>
      </c>
      <c r="AQ724" s="16">
        <v>0</v>
      </c>
      <c r="AR724" s="16">
        <v>0</v>
      </c>
      <c r="AS724" s="16">
        <v>0</v>
      </c>
      <c r="AT724" s="16">
        <v>0</v>
      </c>
      <c r="AU724" s="16">
        <v>0</v>
      </c>
      <c r="AV724" s="16">
        <v>0</v>
      </c>
      <c r="AW724" s="16">
        <v>0</v>
      </c>
    </row>
    <row r="725" spans="1:49" ht="14.5" hidden="1" outlineLevel="1" x14ac:dyDescent="0.35">
      <c r="A725" s="8" t="s">
        <v>12</v>
      </c>
      <c r="B725" s="8" t="s">
        <v>14</v>
      </c>
      <c r="C725" s="8" t="s">
        <v>178</v>
      </c>
      <c r="D725" s="8" t="s">
        <v>74</v>
      </c>
      <c r="E725" s="9" t="s">
        <v>103</v>
      </c>
      <c r="F725" s="10"/>
      <c r="G725" s="10"/>
      <c r="H725" s="10"/>
      <c r="I725" s="10"/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50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</row>
    <row r="726" spans="1:49" ht="14.5" collapsed="1" x14ac:dyDescent="0.35">
      <c r="A726" s="6" t="s">
        <v>12</v>
      </c>
      <c r="B726" s="6" t="s">
        <v>14</v>
      </c>
      <c r="C726" s="6" t="s">
        <v>179</v>
      </c>
      <c r="D726" s="6" t="s">
        <v>72</v>
      </c>
      <c r="E726" s="6" t="s">
        <v>73</v>
      </c>
      <c r="F726" s="7">
        <f t="shared" ref="F726:AW726" si="93">SUM(F727,F729,F732,F734)</f>
        <v>0</v>
      </c>
      <c r="G726" s="7">
        <f t="shared" si="93"/>
        <v>230</v>
      </c>
      <c r="H726" s="7">
        <f t="shared" si="93"/>
        <v>230</v>
      </c>
      <c r="I726" s="7">
        <f t="shared" si="93"/>
        <v>0</v>
      </c>
      <c r="J726" s="7">
        <f t="shared" si="93"/>
        <v>0</v>
      </c>
      <c r="K726" s="7">
        <f t="shared" si="93"/>
        <v>0</v>
      </c>
      <c r="L726" s="7">
        <f t="shared" si="93"/>
        <v>0</v>
      </c>
      <c r="M726" s="7">
        <f t="shared" si="93"/>
        <v>0</v>
      </c>
      <c r="N726" s="7">
        <f t="shared" si="93"/>
        <v>0</v>
      </c>
      <c r="O726" s="7">
        <f t="shared" si="93"/>
        <v>0</v>
      </c>
      <c r="P726" s="7">
        <f t="shared" si="93"/>
        <v>0</v>
      </c>
      <c r="Q726" s="7">
        <f t="shared" si="93"/>
        <v>0</v>
      </c>
      <c r="R726" s="7">
        <f t="shared" si="93"/>
        <v>0</v>
      </c>
      <c r="S726" s="7">
        <f t="shared" si="93"/>
        <v>0</v>
      </c>
      <c r="T726" s="7">
        <f t="shared" si="93"/>
        <v>0</v>
      </c>
      <c r="U726" s="7">
        <f t="shared" si="93"/>
        <v>0</v>
      </c>
      <c r="V726" s="7">
        <f t="shared" si="93"/>
        <v>0</v>
      </c>
      <c r="W726" s="7">
        <f t="shared" si="93"/>
        <v>0</v>
      </c>
      <c r="X726" s="7">
        <f t="shared" si="93"/>
        <v>0</v>
      </c>
      <c r="Y726" s="7">
        <f t="shared" si="93"/>
        <v>0</v>
      </c>
      <c r="Z726" s="7">
        <f t="shared" si="93"/>
        <v>0</v>
      </c>
      <c r="AA726" s="7">
        <f t="shared" si="93"/>
        <v>0</v>
      </c>
      <c r="AB726" s="7">
        <f t="shared" si="93"/>
        <v>0</v>
      </c>
      <c r="AC726" s="7">
        <f t="shared" si="93"/>
        <v>25</v>
      </c>
      <c r="AD726" s="7">
        <f t="shared" si="93"/>
        <v>39</v>
      </c>
      <c r="AE726" s="7">
        <f t="shared" si="93"/>
        <v>44</v>
      </c>
      <c r="AF726" s="13">
        <f t="shared" si="93"/>
        <v>66</v>
      </c>
      <c r="AG726" s="7">
        <f t="shared" si="93"/>
        <v>47</v>
      </c>
      <c r="AH726" s="7">
        <f t="shared" si="93"/>
        <v>9</v>
      </c>
      <c r="AI726" s="7">
        <f t="shared" si="93"/>
        <v>0</v>
      </c>
      <c r="AJ726" s="7">
        <f t="shared" si="93"/>
        <v>0</v>
      </c>
      <c r="AK726" s="7">
        <f t="shared" si="93"/>
        <v>0</v>
      </c>
      <c r="AL726" s="7">
        <f t="shared" si="93"/>
        <v>0</v>
      </c>
      <c r="AM726" s="7">
        <f t="shared" si="93"/>
        <v>0</v>
      </c>
      <c r="AN726" s="7">
        <f t="shared" si="93"/>
        <v>0</v>
      </c>
      <c r="AO726" s="7">
        <f t="shared" si="93"/>
        <v>0</v>
      </c>
      <c r="AP726" s="7">
        <f t="shared" si="93"/>
        <v>0</v>
      </c>
      <c r="AQ726" s="7">
        <f t="shared" si="93"/>
        <v>0</v>
      </c>
      <c r="AR726" s="7">
        <f t="shared" si="93"/>
        <v>0</v>
      </c>
      <c r="AS726" s="7">
        <f t="shared" si="93"/>
        <v>0</v>
      </c>
      <c r="AT726" s="7">
        <f t="shared" si="93"/>
        <v>0</v>
      </c>
      <c r="AU726" s="7">
        <f t="shared" si="93"/>
        <v>0</v>
      </c>
      <c r="AV726" s="7">
        <f t="shared" si="93"/>
        <v>0</v>
      </c>
      <c r="AW726" s="7">
        <f t="shared" si="93"/>
        <v>0</v>
      </c>
    </row>
    <row r="727" spans="1:49" ht="14.5" hidden="1" outlineLevel="1" x14ac:dyDescent="0.35">
      <c r="A727" t="s">
        <v>12</v>
      </c>
      <c r="B727" t="s">
        <v>14</v>
      </c>
      <c r="C727" t="s">
        <v>179</v>
      </c>
      <c r="D727" t="s">
        <v>85</v>
      </c>
      <c r="E727" t="s">
        <v>100</v>
      </c>
      <c r="F727" s="11">
        <v>0</v>
      </c>
      <c r="G727" s="11">
        <v>122</v>
      </c>
      <c r="H727" s="11">
        <v>122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25</v>
      </c>
      <c r="AD727" s="11">
        <v>39</v>
      </c>
      <c r="AE727" s="11">
        <v>28</v>
      </c>
      <c r="AF727" s="11">
        <v>30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</row>
    <row r="728" spans="1:49" ht="14.5" hidden="1" outlineLevel="1" x14ac:dyDescent="0.35">
      <c r="A728" s="14" t="s">
        <v>12</v>
      </c>
      <c r="B728" s="14" t="s">
        <v>14</v>
      </c>
      <c r="C728" s="14" t="s">
        <v>179</v>
      </c>
      <c r="D728" s="14" t="s">
        <v>99</v>
      </c>
      <c r="E728" s="15" t="s">
        <v>100</v>
      </c>
      <c r="F728" s="16"/>
      <c r="G728" s="16"/>
      <c r="H728" s="16"/>
      <c r="I728" s="16"/>
      <c r="J728" s="16">
        <v>0</v>
      </c>
      <c r="K728" s="16">
        <v>0</v>
      </c>
      <c r="L728" s="16">
        <v>0</v>
      </c>
      <c r="M728" s="16">
        <v>0</v>
      </c>
      <c r="N728" s="16">
        <v>0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  <c r="AC728" s="16">
        <v>-25</v>
      </c>
      <c r="AD728" s="16">
        <v>-39</v>
      </c>
      <c r="AE728" s="16">
        <v>-28</v>
      </c>
      <c r="AF728" s="16">
        <v>-30</v>
      </c>
      <c r="AG728" s="16">
        <v>0</v>
      </c>
      <c r="AH728" s="16">
        <v>0</v>
      </c>
      <c r="AI728" s="16">
        <v>0</v>
      </c>
      <c r="AJ728" s="16">
        <v>0</v>
      </c>
      <c r="AK728" s="16">
        <v>0</v>
      </c>
      <c r="AL728" s="16">
        <v>0</v>
      </c>
      <c r="AM728" s="16">
        <v>0</v>
      </c>
      <c r="AN728" s="16">
        <v>0</v>
      </c>
      <c r="AO728" s="16">
        <v>0</v>
      </c>
      <c r="AP728" s="16">
        <v>0</v>
      </c>
      <c r="AQ728" s="16">
        <v>0</v>
      </c>
      <c r="AR728" s="16">
        <v>0</v>
      </c>
      <c r="AS728" s="16">
        <v>0</v>
      </c>
      <c r="AT728" s="16">
        <v>0</v>
      </c>
      <c r="AU728" s="16">
        <v>0</v>
      </c>
      <c r="AV728" s="16">
        <v>0</v>
      </c>
      <c r="AW728" s="16">
        <v>0</v>
      </c>
    </row>
    <row r="729" spans="1:49" ht="14.5" hidden="1" outlineLevel="1" x14ac:dyDescent="0.35">
      <c r="A729" t="s">
        <v>12</v>
      </c>
      <c r="B729" t="s">
        <v>14</v>
      </c>
      <c r="C729" t="s">
        <v>179</v>
      </c>
      <c r="D729" t="s">
        <v>85</v>
      </c>
      <c r="E729" t="s">
        <v>98</v>
      </c>
      <c r="F729" s="11">
        <v>0</v>
      </c>
      <c r="G729" s="11">
        <v>63</v>
      </c>
      <c r="H729" s="11">
        <v>63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16</v>
      </c>
      <c r="AF729" s="11">
        <v>23</v>
      </c>
      <c r="AG729" s="11">
        <v>24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</row>
    <row r="730" spans="1:49" ht="14.5" hidden="1" outlineLevel="1" x14ac:dyDescent="0.35">
      <c r="A730" s="14" t="s">
        <v>12</v>
      </c>
      <c r="B730" s="14" t="s">
        <v>14</v>
      </c>
      <c r="C730" s="14" t="s">
        <v>179</v>
      </c>
      <c r="D730" s="14" t="s">
        <v>99</v>
      </c>
      <c r="E730" s="15" t="s">
        <v>98</v>
      </c>
      <c r="F730" s="16"/>
      <c r="G730" s="16"/>
      <c r="H730" s="16"/>
      <c r="I730" s="16"/>
      <c r="J730" s="16">
        <v>0</v>
      </c>
      <c r="K730" s="16">
        <v>0</v>
      </c>
      <c r="L730" s="16">
        <v>0</v>
      </c>
      <c r="M730" s="16">
        <v>0</v>
      </c>
      <c r="N730" s="16">
        <v>0</v>
      </c>
      <c r="O730" s="16">
        <v>0</v>
      </c>
      <c r="P730" s="16">
        <v>0</v>
      </c>
      <c r="Q730" s="16">
        <v>0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  <c r="AC730" s="16">
        <v>0</v>
      </c>
      <c r="AD730" s="16">
        <v>0</v>
      </c>
      <c r="AE730" s="16">
        <v>-16</v>
      </c>
      <c r="AF730" s="16">
        <v>-23</v>
      </c>
      <c r="AG730" s="16">
        <v>-24</v>
      </c>
      <c r="AH730" s="16">
        <v>0</v>
      </c>
      <c r="AI730" s="16">
        <v>0</v>
      </c>
      <c r="AJ730" s="16">
        <v>0</v>
      </c>
      <c r="AK730" s="16">
        <v>0</v>
      </c>
      <c r="AL730" s="16">
        <v>0</v>
      </c>
      <c r="AM730" s="16">
        <v>0</v>
      </c>
      <c r="AN730" s="16">
        <v>0</v>
      </c>
      <c r="AO730" s="16">
        <v>0</v>
      </c>
      <c r="AP730" s="16">
        <v>0</v>
      </c>
      <c r="AQ730" s="16">
        <v>0</v>
      </c>
      <c r="AR730" s="16">
        <v>0</v>
      </c>
      <c r="AS730" s="16">
        <v>0</v>
      </c>
      <c r="AT730" s="16">
        <v>0</v>
      </c>
      <c r="AU730" s="16">
        <v>0</v>
      </c>
      <c r="AV730" s="16">
        <v>0</v>
      </c>
      <c r="AW730" s="16">
        <v>0</v>
      </c>
    </row>
    <row r="731" spans="1:49" ht="14.5" hidden="1" outlineLevel="1" x14ac:dyDescent="0.35">
      <c r="A731" s="8" t="s">
        <v>12</v>
      </c>
      <c r="B731" s="8" t="s">
        <v>14</v>
      </c>
      <c r="C731" s="8" t="s">
        <v>179</v>
      </c>
      <c r="D731" s="8" t="s">
        <v>74</v>
      </c>
      <c r="E731" s="9" t="s">
        <v>98</v>
      </c>
      <c r="F731" s="10"/>
      <c r="G731" s="10"/>
      <c r="H731" s="10"/>
      <c r="I731" s="10"/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12.5</v>
      </c>
      <c r="AD731" s="10">
        <v>0</v>
      </c>
      <c r="AE731" s="10">
        <v>0</v>
      </c>
      <c r="AF731" s="10">
        <v>0</v>
      </c>
      <c r="AG731" s="10">
        <v>3.5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</row>
    <row r="732" spans="1:49" ht="14.5" hidden="1" outlineLevel="1" x14ac:dyDescent="0.35">
      <c r="A732" t="s">
        <v>12</v>
      </c>
      <c r="B732" t="s">
        <v>14</v>
      </c>
      <c r="C732" t="s">
        <v>179</v>
      </c>
      <c r="D732" t="s">
        <v>85</v>
      </c>
      <c r="E732" t="s">
        <v>43</v>
      </c>
      <c r="F732" s="11">
        <v>0</v>
      </c>
      <c r="G732" s="11">
        <v>25</v>
      </c>
      <c r="H732" s="11">
        <v>25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18</v>
      </c>
      <c r="AH732" s="11">
        <v>7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</row>
    <row r="733" spans="1:49" ht="14.5" hidden="1" outlineLevel="1" x14ac:dyDescent="0.35">
      <c r="A733" s="14" t="s">
        <v>12</v>
      </c>
      <c r="B733" s="14" t="s">
        <v>14</v>
      </c>
      <c r="C733" s="14" t="s">
        <v>179</v>
      </c>
      <c r="D733" s="14" t="s">
        <v>99</v>
      </c>
      <c r="E733" s="15" t="s">
        <v>43</v>
      </c>
      <c r="F733" s="16"/>
      <c r="G733" s="16"/>
      <c r="H733" s="16"/>
      <c r="I733" s="16"/>
      <c r="J733" s="16">
        <v>0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-18</v>
      </c>
      <c r="AH733" s="16">
        <v>-7</v>
      </c>
      <c r="AI733" s="16">
        <v>0</v>
      </c>
      <c r="AJ733" s="16">
        <v>0</v>
      </c>
      <c r="AK733" s="16">
        <v>0</v>
      </c>
      <c r="AL733" s="16">
        <v>0</v>
      </c>
      <c r="AM733" s="16">
        <v>0</v>
      </c>
      <c r="AN733" s="16">
        <v>0</v>
      </c>
      <c r="AO733" s="16">
        <v>0</v>
      </c>
      <c r="AP733" s="16">
        <v>0</v>
      </c>
      <c r="AQ733" s="16">
        <v>0</v>
      </c>
      <c r="AR733" s="16">
        <v>0</v>
      </c>
      <c r="AS733" s="16">
        <v>0</v>
      </c>
      <c r="AT733" s="16">
        <v>0</v>
      </c>
      <c r="AU733" s="16">
        <v>0</v>
      </c>
      <c r="AV733" s="16">
        <v>0</v>
      </c>
      <c r="AW733" s="16">
        <v>0</v>
      </c>
    </row>
    <row r="734" spans="1:49" ht="14.5" hidden="1" outlineLevel="1" x14ac:dyDescent="0.35">
      <c r="A734" t="s">
        <v>12</v>
      </c>
      <c r="B734" t="s">
        <v>14</v>
      </c>
      <c r="C734" t="s">
        <v>179</v>
      </c>
      <c r="D734" t="s">
        <v>85</v>
      </c>
      <c r="E734" t="s">
        <v>102</v>
      </c>
      <c r="F734" s="11">
        <v>0</v>
      </c>
      <c r="G734" s="11">
        <v>20</v>
      </c>
      <c r="H734" s="11">
        <v>20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13</v>
      </c>
      <c r="AG734" s="11">
        <v>5</v>
      </c>
      <c r="AH734" s="11">
        <v>2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</row>
    <row r="735" spans="1:49" ht="14.5" hidden="1" outlineLevel="1" x14ac:dyDescent="0.35">
      <c r="A735" s="14" t="s">
        <v>12</v>
      </c>
      <c r="B735" s="14" t="s">
        <v>14</v>
      </c>
      <c r="C735" s="14" t="s">
        <v>179</v>
      </c>
      <c r="D735" s="14" t="s">
        <v>99</v>
      </c>
      <c r="E735" s="15" t="s">
        <v>102</v>
      </c>
      <c r="F735" s="16"/>
      <c r="G735" s="16"/>
      <c r="H735" s="16"/>
      <c r="I735" s="16"/>
      <c r="J735" s="16">
        <v>0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>
        <v>0</v>
      </c>
      <c r="Q735" s="16">
        <v>0</v>
      </c>
      <c r="R735" s="16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0</v>
      </c>
      <c r="AF735" s="16">
        <v>-13</v>
      </c>
      <c r="AG735" s="16">
        <v>-5</v>
      </c>
      <c r="AH735" s="16">
        <v>-2</v>
      </c>
      <c r="AI735" s="16">
        <v>0</v>
      </c>
      <c r="AJ735" s="16">
        <v>0</v>
      </c>
      <c r="AK735" s="16">
        <v>0</v>
      </c>
      <c r="AL735" s="16">
        <v>0</v>
      </c>
      <c r="AM735" s="16">
        <v>0</v>
      </c>
      <c r="AN735" s="16">
        <v>0</v>
      </c>
      <c r="AO735" s="16">
        <v>0</v>
      </c>
      <c r="AP735" s="16">
        <v>0</v>
      </c>
      <c r="AQ735" s="16">
        <v>0</v>
      </c>
      <c r="AR735" s="16">
        <v>0</v>
      </c>
      <c r="AS735" s="16">
        <v>0</v>
      </c>
      <c r="AT735" s="16">
        <v>0</v>
      </c>
      <c r="AU735" s="16">
        <v>0</v>
      </c>
      <c r="AV735" s="16">
        <v>0</v>
      </c>
      <c r="AW735" s="16">
        <v>0</v>
      </c>
    </row>
    <row r="736" spans="1:49" ht="14.5" collapsed="1" x14ac:dyDescent="0.35">
      <c r="A736" s="6" t="s">
        <v>12</v>
      </c>
      <c r="B736" s="6" t="s">
        <v>14</v>
      </c>
      <c r="C736" s="6" t="s">
        <v>180</v>
      </c>
      <c r="D736" s="6" t="s">
        <v>72</v>
      </c>
      <c r="E736" s="6" t="s">
        <v>73</v>
      </c>
      <c r="F736" s="7">
        <f t="shared" ref="F736:AW736" si="94">SUM(F737)</f>
        <v>0</v>
      </c>
      <c r="G736" s="7">
        <f t="shared" si="94"/>
        <v>495</v>
      </c>
      <c r="H736" s="7">
        <f t="shared" si="94"/>
        <v>495</v>
      </c>
      <c r="I736" s="7">
        <f t="shared" si="94"/>
        <v>0</v>
      </c>
      <c r="J736" s="7">
        <f t="shared" si="94"/>
        <v>0</v>
      </c>
      <c r="K736" s="7">
        <f t="shared" si="94"/>
        <v>0</v>
      </c>
      <c r="L736" s="7">
        <f t="shared" si="94"/>
        <v>0</v>
      </c>
      <c r="M736" s="7">
        <f t="shared" si="94"/>
        <v>0</v>
      </c>
      <c r="N736" s="7">
        <f t="shared" si="94"/>
        <v>0</v>
      </c>
      <c r="O736" s="7">
        <f t="shared" si="94"/>
        <v>0</v>
      </c>
      <c r="P736" s="7">
        <f t="shared" si="94"/>
        <v>25</v>
      </c>
      <c r="Q736" s="7">
        <f t="shared" si="94"/>
        <v>25</v>
      </c>
      <c r="R736" s="7">
        <f t="shared" si="94"/>
        <v>0</v>
      </c>
      <c r="S736" s="7">
        <f t="shared" si="94"/>
        <v>0</v>
      </c>
      <c r="T736" s="7">
        <f t="shared" si="94"/>
        <v>0</v>
      </c>
      <c r="U736" s="7">
        <f t="shared" si="94"/>
        <v>0</v>
      </c>
      <c r="V736" s="7">
        <f t="shared" si="94"/>
        <v>0</v>
      </c>
      <c r="W736" s="7">
        <f t="shared" si="94"/>
        <v>0</v>
      </c>
      <c r="X736" s="7">
        <f t="shared" si="94"/>
        <v>0</v>
      </c>
      <c r="Y736" s="7">
        <f t="shared" si="94"/>
        <v>25</v>
      </c>
      <c r="Z736" s="7">
        <f t="shared" si="94"/>
        <v>0</v>
      </c>
      <c r="AA736" s="7">
        <f t="shared" si="94"/>
        <v>0</v>
      </c>
      <c r="AB736" s="7">
        <f t="shared" si="94"/>
        <v>40</v>
      </c>
      <c r="AC736" s="7">
        <f t="shared" si="94"/>
        <v>50</v>
      </c>
      <c r="AD736" s="7">
        <f t="shared" si="94"/>
        <v>50</v>
      </c>
      <c r="AE736" s="7">
        <f t="shared" si="94"/>
        <v>50</v>
      </c>
      <c r="AF736" s="12">
        <f t="shared" si="94"/>
        <v>65</v>
      </c>
      <c r="AG736" s="12">
        <f t="shared" si="94"/>
        <v>65</v>
      </c>
      <c r="AH736" s="12">
        <f t="shared" si="94"/>
        <v>60</v>
      </c>
      <c r="AI736" s="7">
        <f t="shared" si="94"/>
        <v>40</v>
      </c>
      <c r="AJ736" s="7">
        <f t="shared" si="94"/>
        <v>0</v>
      </c>
      <c r="AK736" s="7">
        <f t="shared" si="94"/>
        <v>0</v>
      </c>
      <c r="AL736" s="7">
        <f t="shared" si="94"/>
        <v>0</v>
      </c>
      <c r="AM736" s="7">
        <f t="shared" si="94"/>
        <v>0</v>
      </c>
      <c r="AN736" s="7">
        <f t="shared" si="94"/>
        <v>0</v>
      </c>
      <c r="AO736" s="7">
        <f t="shared" si="94"/>
        <v>0</v>
      </c>
      <c r="AP736" s="7">
        <f t="shared" si="94"/>
        <v>0</v>
      </c>
      <c r="AQ736" s="7">
        <f t="shared" si="94"/>
        <v>0</v>
      </c>
      <c r="AR736" s="7">
        <f t="shared" si="94"/>
        <v>0</v>
      </c>
      <c r="AS736" s="7">
        <f t="shared" si="94"/>
        <v>0</v>
      </c>
      <c r="AT736" s="7">
        <f t="shared" si="94"/>
        <v>0</v>
      </c>
      <c r="AU736" s="7">
        <f t="shared" si="94"/>
        <v>0</v>
      </c>
      <c r="AV736" s="7">
        <f t="shared" si="94"/>
        <v>0</v>
      </c>
      <c r="AW736" s="7">
        <f t="shared" si="94"/>
        <v>0</v>
      </c>
    </row>
    <row r="737" spans="1:49" ht="14.5" hidden="1" outlineLevel="1" x14ac:dyDescent="0.35">
      <c r="A737" t="s">
        <v>12</v>
      </c>
      <c r="B737" t="s">
        <v>14</v>
      </c>
      <c r="C737" t="s">
        <v>180</v>
      </c>
      <c r="D737" t="s">
        <v>85</v>
      </c>
      <c r="E737" t="s">
        <v>98</v>
      </c>
      <c r="F737" s="11">
        <v>0</v>
      </c>
      <c r="G737" s="11">
        <v>495</v>
      </c>
      <c r="H737" s="11">
        <v>495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25</v>
      </c>
      <c r="Q737" s="11">
        <v>25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25</v>
      </c>
      <c r="Z737" s="11">
        <v>0</v>
      </c>
      <c r="AA737" s="11">
        <v>0</v>
      </c>
      <c r="AB737" s="11">
        <v>40</v>
      </c>
      <c r="AC737" s="11">
        <v>50</v>
      </c>
      <c r="AD737" s="11">
        <v>50</v>
      </c>
      <c r="AE737" s="11">
        <v>50</v>
      </c>
      <c r="AF737" s="11">
        <v>65</v>
      </c>
      <c r="AG737" s="11">
        <v>65</v>
      </c>
      <c r="AH737" s="11">
        <v>60</v>
      </c>
      <c r="AI737" s="11">
        <v>40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</row>
    <row r="738" spans="1:49" ht="14.5" hidden="1" outlineLevel="1" x14ac:dyDescent="0.35">
      <c r="A738" s="14" t="s">
        <v>12</v>
      </c>
      <c r="B738" s="14" t="s">
        <v>14</v>
      </c>
      <c r="C738" s="14" t="s">
        <v>180</v>
      </c>
      <c r="D738" s="14" t="s">
        <v>99</v>
      </c>
      <c r="E738" s="15" t="s">
        <v>98</v>
      </c>
      <c r="F738" s="16"/>
      <c r="G738" s="16"/>
      <c r="H738" s="16"/>
      <c r="I738" s="16"/>
      <c r="J738" s="16">
        <v>0</v>
      </c>
      <c r="K738" s="16">
        <v>0</v>
      </c>
      <c r="L738" s="16">
        <v>0</v>
      </c>
      <c r="M738" s="16">
        <v>0</v>
      </c>
      <c r="N738" s="16">
        <v>0</v>
      </c>
      <c r="O738" s="16">
        <v>0</v>
      </c>
      <c r="P738" s="16">
        <v>-25</v>
      </c>
      <c r="Q738" s="16">
        <v>-25</v>
      </c>
      <c r="R738" s="16">
        <v>0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  <c r="X738" s="16">
        <v>0</v>
      </c>
      <c r="Y738" s="16">
        <v>-25</v>
      </c>
      <c r="Z738" s="16">
        <v>0</v>
      </c>
      <c r="AA738" s="16">
        <v>0</v>
      </c>
      <c r="AB738" s="16">
        <v>-40</v>
      </c>
      <c r="AC738" s="16">
        <v>-50</v>
      </c>
      <c r="AD738" s="16">
        <v>-50</v>
      </c>
      <c r="AE738" s="16">
        <v>-50</v>
      </c>
      <c r="AF738" s="16">
        <v>-65</v>
      </c>
      <c r="AG738" s="16">
        <v>-65</v>
      </c>
      <c r="AH738" s="16">
        <v>-60</v>
      </c>
      <c r="AI738" s="16">
        <v>-40</v>
      </c>
      <c r="AJ738" s="16">
        <v>0</v>
      </c>
      <c r="AK738" s="16">
        <v>0</v>
      </c>
      <c r="AL738" s="16">
        <v>0</v>
      </c>
      <c r="AM738" s="16">
        <v>0</v>
      </c>
      <c r="AN738" s="16">
        <v>0</v>
      </c>
      <c r="AO738" s="16">
        <v>0</v>
      </c>
      <c r="AP738" s="16">
        <v>0</v>
      </c>
      <c r="AQ738" s="16">
        <v>0</v>
      </c>
      <c r="AR738" s="16">
        <v>0</v>
      </c>
      <c r="AS738" s="16">
        <v>0</v>
      </c>
      <c r="AT738" s="16">
        <v>0</v>
      </c>
      <c r="AU738" s="16">
        <v>0</v>
      </c>
      <c r="AV738" s="16">
        <v>0</v>
      </c>
      <c r="AW738" s="16">
        <v>0</v>
      </c>
    </row>
    <row r="739" spans="1:49" ht="14.5" collapsed="1" x14ac:dyDescent="0.35">
      <c r="A739" s="6" t="s">
        <v>12</v>
      </c>
      <c r="B739" s="6" t="s">
        <v>14</v>
      </c>
      <c r="C739" s="6" t="s">
        <v>181</v>
      </c>
      <c r="D739" s="6" t="s">
        <v>72</v>
      </c>
      <c r="E739" s="6" t="s">
        <v>73</v>
      </c>
      <c r="F739" s="7">
        <f t="shared" ref="F739:AW739" si="95">SUM(F740)</f>
        <v>0</v>
      </c>
      <c r="G739" s="7">
        <f t="shared" si="95"/>
        <v>12</v>
      </c>
      <c r="H739" s="7">
        <f t="shared" si="95"/>
        <v>0</v>
      </c>
      <c r="I739" s="7">
        <f t="shared" si="95"/>
        <v>12</v>
      </c>
      <c r="J739" s="7">
        <f t="shared" si="95"/>
        <v>0</v>
      </c>
      <c r="K739" s="7">
        <f t="shared" si="95"/>
        <v>0</v>
      </c>
      <c r="L739" s="7">
        <f t="shared" si="95"/>
        <v>0</v>
      </c>
      <c r="M739" s="7">
        <f t="shared" si="95"/>
        <v>0</v>
      </c>
      <c r="N739" s="7">
        <f t="shared" si="95"/>
        <v>0</v>
      </c>
      <c r="O739" s="7">
        <f t="shared" si="95"/>
        <v>0</v>
      </c>
      <c r="P739" s="7">
        <f t="shared" si="95"/>
        <v>0</v>
      </c>
      <c r="Q739" s="7">
        <f t="shared" si="95"/>
        <v>0</v>
      </c>
      <c r="R739" s="7">
        <f t="shared" si="95"/>
        <v>0</v>
      </c>
      <c r="S739" s="7">
        <f t="shared" si="95"/>
        <v>0</v>
      </c>
      <c r="T739" s="7">
        <f t="shared" si="95"/>
        <v>0</v>
      </c>
      <c r="U739" s="7">
        <f t="shared" si="95"/>
        <v>0</v>
      </c>
      <c r="V739" s="7">
        <f t="shared" si="95"/>
        <v>0</v>
      </c>
      <c r="W739" s="7">
        <f t="shared" si="95"/>
        <v>0</v>
      </c>
      <c r="X739" s="7">
        <f t="shared" si="95"/>
        <v>0</v>
      </c>
      <c r="Y739" s="7">
        <f t="shared" si="95"/>
        <v>0</v>
      </c>
      <c r="Z739" s="7">
        <f t="shared" si="95"/>
        <v>0</v>
      </c>
      <c r="AA739" s="7">
        <f t="shared" si="95"/>
        <v>0</v>
      </c>
      <c r="AB739" s="7">
        <f t="shared" si="95"/>
        <v>0</v>
      </c>
      <c r="AC739" s="7">
        <f t="shared" si="95"/>
        <v>0</v>
      </c>
      <c r="AD739" s="7">
        <f t="shared" si="95"/>
        <v>0</v>
      </c>
      <c r="AE739" s="7">
        <f t="shared" si="95"/>
        <v>0</v>
      </c>
      <c r="AF739" s="7">
        <f t="shared" si="95"/>
        <v>0</v>
      </c>
      <c r="AG739" s="7">
        <f t="shared" si="95"/>
        <v>0</v>
      </c>
      <c r="AH739" s="7">
        <f t="shared" si="95"/>
        <v>0</v>
      </c>
      <c r="AI739" s="7">
        <f t="shared" si="95"/>
        <v>0</v>
      </c>
      <c r="AJ739" s="7">
        <f t="shared" si="95"/>
        <v>0</v>
      </c>
      <c r="AK739" s="7">
        <f t="shared" si="95"/>
        <v>0</v>
      </c>
      <c r="AL739" s="7">
        <f t="shared" si="95"/>
        <v>0</v>
      </c>
      <c r="AM739" s="7">
        <f t="shared" si="95"/>
        <v>0</v>
      </c>
      <c r="AN739" s="7">
        <f t="shared" si="95"/>
        <v>0</v>
      </c>
      <c r="AO739" s="7">
        <f t="shared" si="95"/>
        <v>0</v>
      </c>
      <c r="AP739" s="7">
        <f t="shared" si="95"/>
        <v>0</v>
      </c>
      <c r="AQ739" s="7">
        <f t="shared" si="95"/>
        <v>0</v>
      </c>
      <c r="AR739" s="7">
        <f t="shared" si="95"/>
        <v>0</v>
      </c>
      <c r="AS739" s="7">
        <f t="shared" si="95"/>
        <v>0</v>
      </c>
      <c r="AT739" s="7">
        <f t="shared" si="95"/>
        <v>0</v>
      </c>
      <c r="AU739" s="7">
        <f t="shared" si="95"/>
        <v>0</v>
      </c>
      <c r="AV739" s="7">
        <f t="shared" si="95"/>
        <v>0</v>
      </c>
      <c r="AW739" s="7">
        <f t="shared" si="95"/>
        <v>0</v>
      </c>
    </row>
    <row r="740" spans="1:49" ht="14.5" hidden="1" outlineLevel="1" x14ac:dyDescent="0.35">
      <c r="A740" t="s">
        <v>12</v>
      </c>
      <c r="B740" t="s">
        <v>14</v>
      </c>
      <c r="C740" t="s">
        <v>181</v>
      </c>
      <c r="D740" t="s">
        <v>85</v>
      </c>
      <c r="E740" t="s">
        <v>86</v>
      </c>
      <c r="F740" s="11">
        <v>0</v>
      </c>
      <c r="G740" s="11">
        <v>12</v>
      </c>
      <c r="H740" s="11">
        <v>0</v>
      </c>
      <c r="I740" s="11">
        <v>12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</row>
    <row r="741" spans="1:49" ht="14.5" collapsed="1" x14ac:dyDescent="0.35">
      <c r="A741" s="6" t="s">
        <v>12</v>
      </c>
      <c r="B741" s="6" t="s">
        <v>14</v>
      </c>
      <c r="C741" s="6" t="s">
        <v>182</v>
      </c>
      <c r="D741" s="6" t="s">
        <v>72</v>
      </c>
      <c r="E741" s="6" t="s">
        <v>73</v>
      </c>
      <c r="F741" s="7">
        <f t="shared" ref="F741:AW741" si="96">SUM(F742)</f>
        <v>6.6</v>
      </c>
      <c r="G741" s="7">
        <f t="shared" si="96"/>
        <v>29.5</v>
      </c>
      <c r="H741" s="7">
        <f t="shared" si="96"/>
        <v>0</v>
      </c>
      <c r="I741" s="7">
        <f t="shared" si="96"/>
        <v>29.5</v>
      </c>
      <c r="J741" s="7">
        <f t="shared" si="96"/>
        <v>0</v>
      </c>
      <c r="K741" s="7">
        <f t="shared" si="96"/>
        <v>0</v>
      </c>
      <c r="L741" s="7">
        <f t="shared" si="96"/>
        <v>0</v>
      </c>
      <c r="M741" s="7">
        <f t="shared" si="96"/>
        <v>0</v>
      </c>
      <c r="N741" s="7">
        <f t="shared" si="96"/>
        <v>0</v>
      </c>
      <c r="O741" s="7">
        <f t="shared" si="96"/>
        <v>0</v>
      </c>
      <c r="P741" s="7">
        <f t="shared" si="96"/>
        <v>0</v>
      </c>
      <c r="Q741" s="7">
        <f t="shared" si="96"/>
        <v>0</v>
      </c>
      <c r="R741" s="7">
        <f t="shared" si="96"/>
        <v>0</v>
      </c>
      <c r="S741" s="7">
        <f t="shared" si="96"/>
        <v>0</v>
      </c>
      <c r="T741" s="7">
        <f t="shared" si="96"/>
        <v>0</v>
      </c>
      <c r="U741" s="7">
        <f t="shared" si="96"/>
        <v>0</v>
      </c>
      <c r="V741" s="7">
        <f t="shared" si="96"/>
        <v>0</v>
      </c>
      <c r="W741" s="7">
        <f t="shared" si="96"/>
        <v>0</v>
      </c>
      <c r="X741" s="7">
        <f t="shared" si="96"/>
        <v>0</v>
      </c>
      <c r="Y741" s="7">
        <f t="shared" si="96"/>
        <v>0</v>
      </c>
      <c r="Z741" s="7">
        <f t="shared" si="96"/>
        <v>0</v>
      </c>
      <c r="AA741" s="7">
        <f t="shared" si="96"/>
        <v>0</v>
      </c>
      <c r="AB741" s="7">
        <f t="shared" si="96"/>
        <v>0</v>
      </c>
      <c r="AC741" s="7">
        <f t="shared" si="96"/>
        <v>0</v>
      </c>
      <c r="AD741" s="7">
        <f t="shared" si="96"/>
        <v>0</v>
      </c>
      <c r="AE741" s="7">
        <f t="shared" si="96"/>
        <v>0</v>
      </c>
      <c r="AF741" s="7">
        <f t="shared" si="96"/>
        <v>0</v>
      </c>
      <c r="AG741" s="7">
        <f t="shared" si="96"/>
        <v>0</v>
      </c>
      <c r="AH741" s="7">
        <f t="shared" si="96"/>
        <v>0</v>
      </c>
      <c r="AI741" s="7">
        <f t="shared" si="96"/>
        <v>0</v>
      </c>
      <c r="AJ741" s="7">
        <f t="shared" si="96"/>
        <v>0</v>
      </c>
      <c r="AK741" s="7">
        <f t="shared" si="96"/>
        <v>0</v>
      </c>
      <c r="AL741" s="7">
        <f t="shared" si="96"/>
        <v>0</v>
      </c>
      <c r="AM741" s="7">
        <f t="shared" si="96"/>
        <v>0</v>
      </c>
      <c r="AN741" s="7">
        <f t="shared" si="96"/>
        <v>0</v>
      </c>
      <c r="AO741" s="7">
        <f t="shared" si="96"/>
        <v>0</v>
      </c>
      <c r="AP741" s="7">
        <f t="shared" si="96"/>
        <v>0</v>
      </c>
      <c r="AQ741" s="7">
        <f t="shared" si="96"/>
        <v>0</v>
      </c>
      <c r="AR741" s="7">
        <f t="shared" si="96"/>
        <v>0</v>
      </c>
      <c r="AS741" s="7">
        <f t="shared" si="96"/>
        <v>0</v>
      </c>
      <c r="AT741" s="7">
        <f t="shared" si="96"/>
        <v>0</v>
      </c>
      <c r="AU741" s="7">
        <f t="shared" si="96"/>
        <v>0</v>
      </c>
      <c r="AV741" s="7">
        <f t="shared" si="96"/>
        <v>0</v>
      </c>
      <c r="AW741" s="7">
        <f t="shared" si="96"/>
        <v>0</v>
      </c>
    </row>
    <row r="742" spans="1:49" ht="14.5" hidden="1" outlineLevel="1" x14ac:dyDescent="0.35">
      <c r="A742" t="s">
        <v>12</v>
      </c>
      <c r="B742" t="s">
        <v>14</v>
      </c>
      <c r="C742" t="s">
        <v>182</v>
      </c>
      <c r="D742" t="s">
        <v>85</v>
      </c>
      <c r="E742" t="s">
        <v>78</v>
      </c>
      <c r="F742" s="11">
        <v>6.6</v>
      </c>
      <c r="G742" s="11">
        <v>29.5</v>
      </c>
      <c r="H742" s="11">
        <v>0</v>
      </c>
      <c r="I742" s="11">
        <v>29.5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</row>
    <row r="743" spans="1:49" ht="14.5" hidden="1" outlineLevel="1" x14ac:dyDescent="0.35">
      <c r="A743" s="8" t="s">
        <v>12</v>
      </c>
      <c r="B743" s="8" t="s">
        <v>14</v>
      </c>
      <c r="C743" s="8" t="s">
        <v>182</v>
      </c>
      <c r="D743" s="8" t="s">
        <v>74</v>
      </c>
      <c r="E743" s="9" t="s">
        <v>78</v>
      </c>
      <c r="F743" s="10"/>
      <c r="G743" s="10"/>
      <c r="H743" s="10"/>
      <c r="I743" s="10"/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6</v>
      </c>
      <c r="AH743" s="10">
        <v>12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0">
        <v>0</v>
      </c>
      <c r="AT743" s="10">
        <v>0</v>
      </c>
      <c r="AU743" s="10">
        <v>0</v>
      </c>
      <c r="AV743" s="10">
        <v>0</v>
      </c>
      <c r="AW743" s="10">
        <v>0</v>
      </c>
    </row>
    <row r="744" spans="1:49" ht="14.5" collapsed="1" x14ac:dyDescent="0.35">
      <c r="A744" s="6" t="s">
        <v>12</v>
      </c>
      <c r="B744" s="6" t="s">
        <v>14</v>
      </c>
      <c r="C744" s="6" t="s">
        <v>45</v>
      </c>
      <c r="D744" s="6" t="s">
        <v>72</v>
      </c>
      <c r="E744" s="6" t="s">
        <v>73</v>
      </c>
      <c r="F744" s="7">
        <f t="shared" ref="F744:AW744" si="97">SUM(F745)</f>
        <v>37.5</v>
      </c>
      <c r="G744" s="7">
        <f t="shared" si="97"/>
        <v>325</v>
      </c>
      <c r="H744" s="7">
        <f t="shared" si="97"/>
        <v>261</v>
      </c>
      <c r="I744" s="7">
        <f t="shared" si="97"/>
        <v>64</v>
      </c>
      <c r="J744" s="7">
        <f t="shared" si="97"/>
        <v>0</v>
      </c>
      <c r="K744" s="7">
        <f t="shared" si="97"/>
        <v>0</v>
      </c>
      <c r="L744" s="7">
        <f t="shared" si="97"/>
        <v>0</v>
      </c>
      <c r="M744" s="7">
        <f t="shared" si="97"/>
        <v>0</v>
      </c>
      <c r="N744" s="7">
        <f t="shared" si="97"/>
        <v>0</v>
      </c>
      <c r="O744" s="7">
        <f t="shared" si="97"/>
        <v>1.5</v>
      </c>
      <c r="P744" s="7">
        <f t="shared" si="97"/>
        <v>1.5</v>
      </c>
      <c r="Q744" s="7">
        <f t="shared" si="97"/>
        <v>1.5</v>
      </c>
      <c r="R744" s="7">
        <f t="shared" si="97"/>
        <v>1.5</v>
      </c>
      <c r="S744" s="7">
        <f t="shared" si="97"/>
        <v>22.5</v>
      </c>
      <c r="T744" s="7">
        <f t="shared" si="97"/>
        <v>28.5</v>
      </c>
      <c r="U744" s="7">
        <f t="shared" si="97"/>
        <v>1.5</v>
      </c>
      <c r="V744" s="7">
        <f t="shared" si="97"/>
        <v>1.5</v>
      </c>
      <c r="W744" s="7">
        <f t="shared" si="97"/>
        <v>1.5</v>
      </c>
      <c r="X744" s="7">
        <f t="shared" si="97"/>
        <v>22.5</v>
      </c>
      <c r="Y744" s="7">
        <f t="shared" si="97"/>
        <v>1.5</v>
      </c>
      <c r="Z744" s="7">
        <f t="shared" si="97"/>
        <v>0</v>
      </c>
      <c r="AA744" s="7">
        <f t="shared" si="97"/>
        <v>0</v>
      </c>
      <c r="AB744" s="7">
        <f t="shared" si="97"/>
        <v>1.5</v>
      </c>
      <c r="AC744" s="7">
        <f t="shared" si="97"/>
        <v>12.5</v>
      </c>
      <c r="AD744" s="7">
        <f t="shared" si="97"/>
        <v>32.5</v>
      </c>
      <c r="AE744" s="7">
        <f t="shared" si="97"/>
        <v>24</v>
      </c>
      <c r="AF744" s="7">
        <f t="shared" si="97"/>
        <v>34</v>
      </c>
      <c r="AG744" s="7">
        <f t="shared" si="97"/>
        <v>34</v>
      </c>
      <c r="AH744" s="7">
        <f t="shared" si="97"/>
        <v>25</v>
      </c>
      <c r="AI744" s="7">
        <f t="shared" si="97"/>
        <v>7.5</v>
      </c>
      <c r="AJ744" s="7">
        <f t="shared" si="97"/>
        <v>1.5</v>
      </c>
      <c r="AK744" s="7">
        <f t="shared" si="97"/>
        <v>1.5</v>
      </c>
      <c r="AL744" s="7">
        <f t="shared" si="97"/>
        <v>1.5</v>
      </c>
      <c r="AM744" s="7">
        <f t="shared" si="97"/>
        <v>0</v>
      </c>
      <c r="AN744" s="7">
        <f t="shared" si="97"/>
        <v>0</v>
      </c>
      <c r="AO744" s="7">
        <f t="shared" si="97"/>
        <v>0</v>
      </c>
      <c r="AP744" s="7">
        <f t="shared" si="97"/>
        <v>0</v>
      </c>
      <c r="AQ744" s="7">
        <f t="shared" si="97"/>
        <v>0</v>
      </c>
      <c r="AR744" s="7">
        <f t="shared" si="97"/>
        <v>0</v>
      </c>
      <c r="AS744" s="7">
        <f t="shared" si="97"/>
        <v>0</v>
      </c>
      <c r="AT744" s="7">
        <f t="shared" si="97"/>
        <v>0</v>
      </c>
      <c r="AU744" s="7">
        <f t="shared" si="97"/>
        <v>0</v>
      </c>
      <c r="AV744" s="7">
        <f t="shared" si="97"/>
        <v>0</v>
      </c>
      <c r="AW744" s="7">
        <f t="shared" si="97"/>
        <v>0</v>
      </c>
    </row>
    <row r="745" spans="1:49" ht="14.5" hidden="1" outlineLevel="1" x14ac:dyDescent="0.35">
      <c r="A745" t="s">
        <v>12</v>
      </c>
      <c r="B745" t="s">
        <v>14</v>
      </c>
      <c r="C745" t="s">
        <v>45</v>
      </c>
      <c r="D745" t="s">
        <v>85</v>
      </c>
      <c r="E745" t="s">
        <v>46</v>
      </c>
      <c r="F745" s="11">
        <v>37.5</v>
      </c>
      <c r="G745" s="11">
        <v>325</v>
      </c>
      <c r="H745" s="11">
        <v>261</v>
      </c>
      <c r="I745" s="11">
        <v>64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1.5</v>
      </c>
      <c r="P745" s="11">
        <v>1.5</v>
      </c>
      <c r="Q745" s="11">
        <v>1.5</v>
      </c>
      <c r="R745" s="11">
        <v>1.5</v>
      </c>
      <c r="S745" s="11">
        <v>22.5</v>
      </c>
      <c r="T745" s="11">
        <v>28.5</v>
      </c>
      <c r="U745" s="11">
        <v>1.5</v>
      </c>
      <c r="V745" s="11">
        <v>1.5</v>
      </c>
      <c r="W745" s="11">
        <v>1.5</v>
      </c>
      <c r="X745" s="11">
        <v>22.5</v>
      </c>
      <c r="Y745" s="11">
        <v>1.5</v>
      </c>
      <c r="Z745" s="11">
        <v>0</v>
      </c>
      <c r="AA745" s="11">
        <v>0</v>
      </c>
      <c r="AB745" s="11">
        <v>1.5</v>
      </c>
      <c r="AC745" s="11">
        <v>12.5</v>
      </c>
      <c r="AD745" s="11">
        <v>32.5</v>
      </c>
      <c r="AE745" s="11">
        <v>24</v>
      </c>
      <c r="AF745" s="11">
        <v>34</v>
      </c>
      <c r="AG745" s="11">
        <v>34</v>
      </c>
      <c r="AH745" s="11">
        <v>25</v>
      </c>
      <c r="AI745" s="11">
        <v>7.5</v>
      </c>
      <c r="AJ745" s="11">
        <v>1.5</v>
      </c>
      <c r="AK745" s="11">
        <v>1.5</v>
      </c>
      <c r="AL745" s="11">
        <v>1.5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0</v>
      </c>
      <c r="AT745" s="11">
        <v>0</v>
      </c>
      <c r="AU745" s="11">
        <v>0</v>
      </c>
      <c r="AV745" s="11">
        <v>0</v>
      </c>
      <c r="AW745" s="11">
        <v>0</v>
      </c>
    </row>
    <row r="746" spans="1:49" ht="14.5" hidden="1" outlineLevel="1" x14ac:dyDescent="0.35">
      <c r="A746" s="14" t="s">
        <v>12</v>
      </c>
      <c r="B746" s="14" t="s">
        <v>14</v>
      </c>
      <c r="C746" s="14" t="s">
        <v>45</v>
      </c>
      <c r="D746" s="14" t="s">
        <v>99</v>
      </c>
      <c r="E746" s="15" t="s">
        <v>46</v>
      </c>
      <c r="F746" s="16"/>
      <c r="G746" s="16"/>
      <c r="H746" s="16"/>
      <c r="I746" s="16"/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-1.5</v>
      </c>
      <c r="P746" s="16">
        <v>-1.5</v>
      </c>
      <c r="Q746" s="16">
        <v>-1.5</v>
      </c>
      <c r="R746" s="16">
        <v>-1.5</v>
      </c>
      <c r="S746" s="16">
        <v>-22.5</v>
      </c>
      <c r="T746" s="16">
        <v>-28.5</v>
      </c>
      <c r="U746" s="16">
        <v>-1.5</v>
      </c>
      <c r="V746" s="16">
        <v>-1.5</v>
      </c>
      <c r="W746" s="16">
        <v>-1.5</v>
      </c>
      <c r="X746" s="16">
        <v>-22.5</v>
      </c>
      <c r="Y746" s="16">
        <v>-1.5</v>
      </c>
      <c r="Z746" s="16">
        <v>0</v>
      </c>
      <c r="AA746" s="16">
        <v>0</v>
      </c>
      <c r="AB746" s="16">
        <v>-1.5</v>
      </c>
      <c r="AC746" s="16">
        <v>-12.5</v>
      </c>
      <c r="AD746" s="16">
        <v>-32.5</v>
      </c>
      <c r="AE746" s="16">
        <v>-24</v>
      </c>
      <c r="AF746" s="16">
        <v>-34</v>
      </c>
      <c r="AG746" s="16">
        <v>-34</v>
      </c>
      <c r="AH746" s="16">
        <v>-25</v>
      </c>
      <c r="AI746" s="16">
        <v>-7.5</v>
      </c>
      <c r="AJ746" s="16">
        <v>-1.5</v>
      </c>
      <c r="AK746" s="16">
        <v>-1.5</v>
      </c>
      <c r="AL746" s="16">
        <v>-1.5</v>
      </c>
      <c r="AM746" s="16">
        <v>0</v>
      </c>
      <c r="AN746" s="16">
        <v>0</v>
      </c>
      <c r="AO746" s="16">
        <v>0</v>
      </c>
      <c r="AP746" s="16">
        <v>0</v>
      </c>
      <c r="AQ746" s="16">
        <v>0</v>
      </c>
      <c r="AR746" s="16">
        <v>0</v>
      </c>
      <c r="AS746" s="16">
        <v>0</v>
      </c>
      <c r="AT746" s="16">
        <v>0</v>
      </c>
      <c r="AU746" s="16">
        <v>0</v>
      </c>
      <c r="AV746" s="16">
        <v>0</v>
      </c>
      <c r="AW746" s="16">
        <v>0</v>
      </c>
    </row>
    <row r="747" spans="1:49" ht="14.5" collapsed="1" x14ac:dyDescent="0.35">
      <c r="A747" s="6" t="s">
        <v>12</v>
      </c>
      <c r="B747" s="6" t="s">
        <v>14</v>
      </c>
      <c r="C747" s="6" t="s">
        <v>183</v>
      </c>
      <c r="D747" s="6" t="s">
        <v>72</v>
      </c>
      <c r="E747" s="6" t="s">
        <v>73</v>
      </c>
      <c r="F747" s="7">
        <f t="shared" ref="F747:AW747" si="98">SUM(F748)</f>
        <v>0</v>
      </c>
      <c r="G747" s="7">
        <f t="shared" si="98"/>
        <v>0</v>
      </c>
      <c r="H747" s="7">
        <f t="shared" si="98"/>
        <v>146.9</v>
      </c>
      <c r="I747" s="7">
        <f t="shared" si="98"/>
        <v>-146.9</v>
      </c>
      <c r="J747" s="7">
        <f t="shared" si="98"/>
        <v>2</v>
      </c>
      <c r="K747" s="7">
        <f t="shared" si="98"/>
        <v>5</v>
      </c>
      <c r="L747" s="7">
        <f t="shared" si="98"/>
        <v>5</v>
      </c>
      <c r="M747" s="7">
        <f t="shared" si="98"/>
        <v>4</v>
      </c>
      <c r="N747" s="7">
        <f t="shared" si="98"/>
        <v>3</v>
      </c>
      <c r="O747" s="7">
        <f t="shared" si="98"/>
        <v>0.9</v>
      </c>
      <c r="P747" s="7">
        <f t="shared" si="98"/>
        <v>0</v>
      </c>
      <c r="Q747" s="7">
        <f t="shared" si="98"/>
        <v>0</v>
      </c>
      <c r="R747" s="7">
        <f t="shared" si="98"/>
        <v>0</v>
      </c>
      <c r="S747" s="7">
        <f t="shared" si="98"/>
        <v>0</v>
      </c>
      <c r="T747" s="7">
        <f t="shared" si="98"/>
        <v>0</v>
      </c>
      <c r="U747" s="7">
        <f t="shared" si="98"/>
        <v>0</v>
      </c>
      <c r="V747" s="7">
        <f t="shared" si="98"/>
        <v>0</v>
      </c>
      <c r="W747" s="7">
        <f t="shared" si="98"/>
        <v>0</v>
      </c>
      <c r="X747" s="7">
        <f t="shared" si="98"/>
        <v>1</v>
      </c>
      <c r="Y747" s="7">
        <f t="shared" si="98"/>
        <v>1</v>
      </c>
      <c r="Z747" s="7">
        <f t="shared" si="98"/>
        <v>0</v>
      </c>
      <c r="AA747" s="7">
        <f t="shared" si="98"/>
        <v>0</v>
      </c>
      <c r="AB747" s="7">
        <f t="shared" si="98"/>
        <v>21</v>
      </c>
      <c r="AC747" s="7">
        <f t="shared" si="98"/>
        <v>31</v>
      </c>
      <c r="AD747" s="7">
        <f t="shared" si="98"/>
        <v>20.5</v>
      </c>
      <c r="AE747" s="7">
        <f t="shared" si="98"/>
        <v>22.5</v>
      </c>
      <c r="AF747" s="7">
        <f t="shared" si="98"/>
        <v>26.5</v>
      </c>
      <c r="AG747" s="7">
        <f t="shared" si="98"/>
        <v>3.5</v>
      </c>
      <c r="AH747" s="7">
        <f t="shared" si="98"/>
        <v>0</v>
      </c>
      <c r="AI747" s="7">
        <f t="shared" si="98"/>
        <v>0</v>
      </c>
      <c r="AJ747" s="7">
        <f t="shared" si="98"/>
        <v>0</v>
      </c>
      <c r="AK747" s="7">
        <f t="shared" si="98"/>
        <v>0</v>
      </c>
      <c r="AL747" s="7">
        <f t="shared" si="98"/>
        <v>0</v>
      </c>
      <c r="AM747" s="7">
        <f t="shared" si="98"/>
        <v>0</v>
      </c>
      <c r="AN747" s="7">
        <f t="shared" si="98"/>
        <v>0</v>
      </c>
      <c r="AO747" s="7">
        <f t="shared" si="98"/>
        <v>0</v>
      </c>
      <c r="AP747" s="7">
        <f t="shared" si="98"/>
        <v>0</v>
      </c>
      <c r="AQ747" s="7">
        <f t="shared" si="98"/>
        <v>0</v>
      </c>
      <c r="AR747" s="7">
        <f t="shared" si="98"/>
        <v>0</v>
      </c>
      <c r="AS747" s="7">
        <f t="shared" si="98"/>
        <v>0</v>
      </c>
      <c r="AT747" s="7">
        <f t="shared" si="98"/>
        <v>0</v>
      </c>
      <c r="AU747" s="7">
        <f t="shared" si="98"/>
        <v>0</v>
      </c>
      <c r="AV747" s="7">
        <f t="shared" si="98"/>
        <v>0</v>
      </c>
      <c r="AW747" s="7">
        <f t="shared" si="98"/>
        <v>0</v>
      </c>
    </row>
    <row r="748" spans="1:49" ht="14.5" hidden="1" outlineLevel="1" x14ac:dyDescent="0.35">
      <c r="A748" t="s">
        <v>12</v>
      </c>
      <c r="B748" t="s">
        <v>14</v>
      </c>
      <c r="C748" t="s">
        <v>183</v>
      </c>
      <c r="D748" t="s">
        <v>85</v>
      </c>
      <c r="E748" t="s">
        <v>122</v>
      </c>
      <c r="F748" s="11">
        <v>0</v>
      </c>
      <c r="G748" s="11">
        <v>0</v>
      </c>
      <c r="H748" s="11">
        <v>146.9</v>
      </c>
      <c r="I748" s="11">
        <v>-146.9</v>
      </c>
      <c r="J748" s="11">
        <v>2</v>
      </c>
      <c r="K748" s="11">
        <v>5</v>
      </c>
      <c r="L748" s="11">
        <v>5</v>
      </c>
      <c r="M748" s="11">
        <v>4</v>
      </c>
      <c r="N748" s="11">
        <v>3</v>
      </c>
      <c r="O748" s="11">
        <v>0.9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1</v>
      </c>
      <c r="Y748" s="11">
        <v>1</v>
      </c>
      <c r="Z748" s="11">
        <v>0</v>
      </c>
      <c r="AA748" s="11">
        <v>0</v>
      </c>
      <c r="AB748" s="11">
        <v>21</v>
      </c>
      <c r="AC748" s="11">
        <v>31</v>
      </c>
      <c r="AD748" s="11">
        <v>20.5</v>
      </c>
      <c r="AE748" s="11">
        <v>22.5</v>
      </c>
      <c r="AF748" s="11">
        <v>26.5</v>
      </c>
      <c r="AG748" s="11">
        <v>3.5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0</v>
      </c>
      <c r="AT748" s="11">
        <v>0</v>
      </c>
      <c r="AU748" s="11">
        <v>0</v>
      </c>
      <c r="AV748" s="11">
        <v>0</v>
      </c>
      <c r="AW748" s="11">
        <v>0</v>
      </c>
    </row>
    <row r="749" spans="1:49" ht="14.5" hidden="1" outlineLevel="1" x14ac:dyDescent="0.35">
      <c r="A749" s="14" t="s">
        <v>12</v>
      </c>
      <c r="B749" s="14" t="s">
        <v>14</v>
      </c>
      <c r="C749" s="14" t="s">
        <v>183</v>
      </c>
      <c r="D749" s="14" t="s">
        <v>99</v>
      </c>
      <c r="E749" s="15" t="s">
        <v>122</v>
      </c>
      <c r="F749" s="16"/>
      <c r="G749" s="16"/>
      <c r="H749" s="16"/>
      <c r="I749" s="16"/>
      <c r="J749" s="16">
        <v>-2</v>
      </c>
      <c r="K749" s="16">
        <v>-5</v>
      </c>
      <c r="L749" s="16">
        <v>-5</v>
      </c>
      <c r="M749" s="16">
        <v>-4</v>
      </c>
      <c r="N749" s="16">
        <v>-3</v>
      </c>
      <c r="O749" s="16">
        <v>-0.9</v>
      </c>
      <c r="P749" s="16">
        <v>0</v>
      </c>
      <c r="Q749" s="16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6">
        <v>-1</v>
      </c>
      <c r="Y749" s="16">
        <v>-1</v>
      </c>
      <c r="Z749" s="16">
        <v>0</v>
      </c>
      <c r="AA749" s="16">
        <v>0</v>
      </c>
      <c r="AB749" s="16">
        <v>-21</v>
      </c>
      <c r="AC749" s="16">
        <v>-31</v>
      </c>
      <c r="AD749" s="16">
        <v>-20.5</v>
      </c>
      <c r="AE749" s="16">
        <v>-22.5</v>
      </c>
      <c r="AF749" s="16">
        <v>-26.5</v>
      </c>
      <c r="AG749" s="16">
        <v>-3.5</v>
      </c>
      <c r="AH749" s="16">
        <v>0</v>
      </c>
      <c r="AI749" s="16">
        <v>0</v>
      </c>
      <c r="AJ749" s="16">
        <v>0</v>
      </c>
      <c r="AK749" s="16">
        <v>0</v>
      </c>
      <c r="AL749" s="16">
        <v>0</v>
      </c>
      <c r="AM749" s="16">
        <v>0</v>
      </c>
      <c r="AN749" s="16">
        <v>0</v>
      </c>
      <c r="AO749" s="16">
        <v>0</v>
      </c>
      <c r="AP749" s="16">
        <v>0</v>
      </c>
      <c r="AQ749" s="16">
        <v>0</v>
      </c>
      <c r="AR749" s="16">
        <v>0</v>
      </c>
      <c r="AS749" s="16">
        <v>0</v>
      </c>
      <c r="AT749" s="16">
        <v>0</v>
      </c>
      <c r="AU749" s="16">
        <v>0</v>
      </c>
      <c r="AV749" s="16">
        <v>0</v>
      </c>
      <c r="AW749" s="16">
        <v>0</v>
      </c>
    </row>
    <row r="750" spans="1:49" ht="14.5" collapsed="1" x14ac:dyDescent="0.35">
      <c r="A750" s="6" t="s">
        <v>12</v>
      </c>
      <c r="B750" s="6" t="s">
        <v>14</v>
      </c>
      <c r="C750" s="6" t="s">
        <v>184</v>
      </c>
      <c r="D750" s="6" t="s">
        <v>72</v>
      </c>
      <c r="E750" s="6" t="s">
        <v>73</v>
      </c>
      <c r="F750" s="7">
        <f t="shared" ref="F750:AW750" si="99">SUM(F751)</f>
        <v>0</v>
      </c>
      <c r="G750" s="7">
        <f t="shared" si="99"/>
        <v>0</v>
      </c>
      <c r="H750" s="7">
        <f t="shared" si="99"/>
        <v>520</v>
      </c>
      <c r="I750" s="7">
        <f t="shared" si="99"/>
        <v>-520</v>
      </c>
      <c r="J750" s="7">
        <f t="shared" si="99"/>
        <v>0</v>
      </c>
      <c r="K750" s="7">
        <f t="shared" si="99"/>
        <v>20</v>
      </c>
      <c r="L750" s="7">
        <f t="shared" si="99"/>
        <v>20</v>
      </c>
      <c r="M750" s="7">
        <f t="shared" si="99"/>
        <v>28</v>
      </c>
      <c r="N750" s="7">
        <f t="shared" si="99"/>
        <v>16</v>
      </c>
      <c r="O750" s="7">
        <f t="shared" si="99"/>
        <v>20</v>
      </c>
      <c r="P750" s="7">
        <f t="shared" si="99"/>
        <v>20</v>
      </c>
      <c r="Q750" s="7">
        <f t="shared" si="99"/>
        <v>15</v>
      </c>
      <c r="R750" s="7">
        <f t="shared" si="99"/>
        <v>15</v>
      </c>
      <c r="S750" s="7">
        <f t="shared" si="99"/>
        <v>14</v>
      </c>
      <c r="T750" s="7">
        <f t="shared" si="99"/>
        <v>15</v>
      </c>
      <c r="U750" s="7">
        <f t="shared" si="99"/>
        <v>15</v>
      </c>
      <c r="V750" s="7">
        <f t="shared" si="99"/>
        <v>15</v>
      </c>
      <c r="W750" s="7">
        <f t="shared" si="99"/>
        <v>10</v>
      </c>
      <c r="X750" s="7">
        <f t="shared" si="99"/>
        <v>15</v>
      </c>
      <c r="Y750" s="7">
        <f t="shared" si="99"/>
        <v>10</v>
      </c>
      <c r="Z750" s="7">
        <f t="shared" si="99"/>
        <v>0</v>
      </c>
      <c r="AA750" s="7">
        <f t="shared" si="99"/>
        <v>0</v>
      </c>
      <c r="AB750" s="7">
        <f t="shared" si="99"/>
        <v>36</v>
      </c>
      <c r="AC750" s="7">
        <f t="shared" si="99"/>
        <v>41</v>
      </c>
      <c r="AD750" s="7">
        <f t="shared" si="99"/>
        <v>48</v>
      </c>
      <c r="AE750" s="7">
        <f t="shared" si="99"/>
        <v>45</v>
      </c>
      <c r="AF750" s="7">
        <f t="shared" si="99"/>
        <v>47</v>
      </c>
      <c r="AG750" s="7">
        <f t="shared" si="99"/>
        <v>38</v>
      </c>
      <c r="AH750" s="7">
        <f t="shared" si="99"/>
        <v>17</v>
      </c>
      <c r="AI750" s="7">
        <f t="shared" si="99"/>
        <v>0</v>
      </c>
      <c r="AJ750" s="7">
        <f t="shared" si="99"/>
        <v>0</v>
      </c>
      <c r="AK750" s="7">
        <f t="shared" si="99"/>
        <v>0</v>
      </c>
      <c r="AL750" s="7">
        <f t="shared" si="99"/>
        <v>0</v>
      </c>
      <c r="AM750" s="7">
        <f t="shared" si="99"/>
        <v>0</v>
      </c>
      <c r="AN750" s="7">
        <f t="shared" si="99"/>
        <v>0</v>
      </c>
      <c r="AO750" s="7">
        <f t="shared" si="99"/>
        <v>0</v>
      </c>
      <c r="AP750" s="7">
        <f t="shared" si="99"/>
        <v>0</v>
      </c>
      <c r="AQ750" s="7">
        <f t="shared" si="99"/>
        <v>0</v>
      </c>
      <c r="AR750" s="7">
        <f t="shared" si="99"/>
        <v>0</v>
      </c>
      <c r="AS750" s="7">
        <f t="shared" si="99"/>
        <v>0</v>
      </c>
      <c r="AT750" s="7">
        <f t="shared" si="99"/>
        <v>0</v>
      </c>
      <c r="AU750" s="7">
        <f t="shared" si="99"/>
        <v>0</v>
      </c>
      <c r="AV750" s="7">
        <f t="shared" si="99"/>
        <v>0</v>
      </c>
      <c r="AW750" s="7">
        <f t="shared" si="99"/>
        <v>0</v>
      </c>
    </row>
    <row r="751" spans="1:49" ht="14.5" hidden="1" outlineLevel="1" x14ac:dyDescent="0.35">
      <c r="A751" t="s">
        <v>12</v>
      </c>
      <c r="B751" t="s">
        <v>14</v>
      </c>
      <c r="C751" t="s">
        <v>184</v>
      </c>
      <c r="D751" t="s">
        <v>85</v>
      </c>
      <c r="E751" t="s">
        <v>80</v>
      </c>
      <c r="F751" s="11">
        <v>0</v>
      </c>
      <c r="G751" s="11">
        <v>0</v>
      </c>
      <c r="H751" s="11">
        <v>520</v>
      </c>
      <c r="I751" s="11">
        <v>-520</v>
      </c>
      <c r="J751" s="11">
        <v>0</v>
      </c>
      <c r="K751" s="11">
        <v>20</v>
      </c>
      <c r="L751" s="11">
        <v>20</v>
      </c>
      <c r="M751" s="11">
        <v>28</v>
      </c>
      <c r="N751" s="11">
        <v>16</v>
      </c>
      <c r="O751" s="11">
        <v>20</v>
      </c>
      <c r="P751" s="11">
        <v>20</v>
      </c>
      <c r="Q751" s="11">
        <v>15</v>
      </c>
      <c r="R751" s="11">
        <v>15</v>
      </c>
      <c r="S751" s="11">
        <v>14</v>
      </c>
      <c r="T751" s="11">
        <v>15</v>
      </c>
      <c r="U751" s="11">
        <v>15</v>
      </c>
      <c r="V751" s="11">
        <v>15</v>
      </c>
      <c r="W751" s="11">
        <v>10</v>
      </c>
      <c r="X751" s="11">
        <v>15</v>
      </c>
      <c r="Y751" s="11">
        <v>10</v>
      </c>
      <c r="Z751" s="11">
        <v>0</v>
      </c>
      <c r="AA751" s="11">
        <v>0</v>
      </c>
      <c r="AB751" s="11">
        <v>36</v>
      </c>
      <c r="AC751" s="11">
        <v>41</v>
      </c>
      <c r="AD751" s="11">
        <v>48</v>
      </c>
      <c r="AE751" s="11">
        <v>45</v>
      </c>
      <c r="AF751" s="11">
        <v>47</v>
      </c>
      <c r="AG751" s="11">
        <v>38</v>
      </c>
      <c r="AH751" s="11">
        <v>17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</row>
    <row r="752" spans="1:49" ht="14.5" hidden="1" outlineLevel="1" x14ac:dyDescent="0.35">
      <c r="A752" s="14" t="s">
        <v>12</v>
      </c>
      <c r="B752" s="14" t="s">
        <v>14</v>
      </c>
      <c r="C752" s="14" t="s">
        <v>184</v>
      </c>
      <c r="D752" s="14" t="s">
        <v>99</v>
      </c>
      <c r="E752" s="15" t="s">
        <v>80</v>
      </c>
      <c r="F752" s="16"/>
      <c r="G752" s="16"/>
      <c r="H752" s="16"/>
      <c r="I752" s="16"/>
      <c r="J752" s="16">
        <v>0</v>
      </c>
      <c r="K752" s="16">
        <v>-20</v>
      </c>
      <c r="L752" s="16">
        <v>-20</v>
      </c>
      <c r="M752" s="16">
        <v>-28</v>
      </c>
      <c r="N752" s="16">
        <v>-16</v>
      </c>
      <c r="O752" s="16">
        <v>-20</v>
      </c>
      <c r="P752" s="16">
        <v>-20</v>
      </c>
      <c r="Q752" s="16">
        <v>-15</v>
      </c>
      <c r="R752" s="16">
        <v>-15</v>
      </c>
      <c r="S752" s="16">
        <v>-14</v>
      </c>
      <c r="T752" s="16">
        <v>-15</v>
      </c>
      <c r="U752" s="16">
        <v>-15</v>
      </c>
      <c r="V752" s="16">
        <v>-15</v>
      </c>
      <c r="W752" s="16">
        <v>-10</v>
      </c>
      <c r="X752" s="16">
        <v>-15</v>
      </c>
      <c r="Y752" s="16">
        <v>-10</v>
      </c>
      <c r="Z752" s="16">
        <v>0</v>
      </c>
      <c r="AA752" s="16">
        <v>0</v>
      </c>
      <c r="AB752" s="16">
        <v>-36</v>
      </c>
      <c r="AC752" s="16">
        <v>-41</v>
      </c>
      <c r="AD752" s="16">
        <v>-48</v>
      </c>
      <c r="AE752" s="16">
        <v>-45</v>
      </c>
      <c r="AF752" s="16">
        <v>-47</v>
      </c>
      <c r="AG752" s="16">
        <v>-38</v>
      </c>
      <c r="AH752" s="16">
        <v>-17</v>
      </c>
      <c r="AI752" s="16">
        <v>0</v>
      </c>
      <c r="AJ752" s="16">
        <v>0</v>
      </c>
      <c r="AK752" s="16">
        <v>0</v>
      </c>
      <c r="AL752" s="16">
        <v>0</v>
      </c>
      <c r="AM752" s="16">
        <v>0</v>
      </c>
      <c r="AN752" s="16">
        <v>0</v>
      </c>
      <c r="AO752" s="16">
        <v>0</v>
      </c>
      <c r="AP752" s="16">
        <v>0</v>
      </c>
      <c r="AQ752" s="16">
        <v>0</v>
      </c>
      <c r="AR752" s="16">
        <v>0</v>
      </c>
      <c r="AS752" s="16">
        <v>0</v>
      </c>
      <c r="AT752" s="16">
        <v>0</v>
      </c>
      <c r="AU752" s="16">
        <v>0</v>
      </c>
      <c r="AV752" s="16">
        <v>0</v>
      </c>
      <c r="AW752" s="16">
        <v>0</v>
      </c>
    </row>
    <row r="753" ht="15" customHeight="1" collapsed="1" x14ac:dyDescent="0.35"/>
  </sheetData>
  <autoFilter ref="A1:AW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0" customWidth="1"/>
    <col min="2" max="2" width="28" customWidth="1"/>
    <col min="3" max="3" width="16" customWidth="1"/>
    <col min="4" max="4" width="30" customWidth="1"/>
    <col min="5" max="5" width="16" customWidth="1"/>
    <col min="6" max="6" width="48" customWidth="1"/>
    <col min="7" max="8" width="13" customWidth="1"/>
    <col min="9" max="9" width="24" customWidth="1"/>
    <col min="10" max="10" width="12" customWidth="1"/>
    <col min="11" max="12" width="18" customWidth="1"/>
  </cols>
  <sheetData>
    <row r="1" spans="1:12" x14ac:dyDescent="0.35">
      <c r="A1" s="1" t="s">
        <v>64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66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</row>
    <row r="2" spans="1:12" x14ac:dyDescent="0.35">
      <c r="A2" t="s">
        <v>12</v>
      </c>
      <c r="B2" t="s">
        <v>13</v>
      </c>
      <c r="C2" t="s">
        <v>14</v>
      </c>
      <c r="D2" t="s">
        <v>159</v>
      </c>
      <c r="E2" t="s">
        <v>14</v>
      </c>
      <c r="F2" t="s">
        <v>78</v>
      </c>
      <c r="G2" s="17">
        <v>46265</v>
      </c>
      <c r="H2" s="18">
        <v>16</v>
      </c>
      <c r="I2" t="s">
        <v>195</v>
      </c>
      <c r="J2" t="s">
        <v>196</v>
      </c>
      <c r="K2" s="18">
        <v>17.384615</v>
      </c>
      <c r="L2" t="s">
        <v>197</v>
      </c>
    </row>
    <row r="3" spans="1:12" x14ac:dyDescent="0.35">
      <c r="A3" t="s">
        <v>12</v>
      </c>
      <c r="B3" t="s">
        <v>13</v>
      </c>
      <c r="C3" t="s">
        <v>14</v>
      </c>
      <c r="D3" t="s">
        <v>164</v>
      </c>
      <c r="E3" t="s">
        <v>14</v>
      </c>
      <c r="F3" t="s">
        <v>82</v>
      </c>
      <c r="G3" s="17">
        <v>46265</v>
      </c>
      <c r="H3" s="18">
        <v>8</v>
      </c>
      <c r="I3" t="s">
        <v>195</v>
      </c>
      <c r="J3" t="s">
        <v>198</v>
      </c>
      <c r="K3" s="18">
        <v>8</v>
      </c>
      <c r="L3" t="s">
        <v>197</v>
      </c>
    </row>
    <row r="4" spans="1:12" x14ac:dyDescent="0.35">
      <c r="A4" t="s">
        <v>12</v>
      </c>
      <c r="B4" t="s">
        <v>13</v>
      </c>
      <c r="C4" t="s">
        <v>14</v>
      </c>
      <c r="D4" t="s">
        <v>30</v>
      </c>
      <c r="E4" t="s">
        <v>14</v>
      </c>
      <c r="F4" t="s">
        <v>98</v>
      </c>
      <c r="G4" s="17">
        <v>46265</v>
      </c>
      <c r="H4" s="18">
        <v>6</v>
      </c>
      <c r="I4" t="s">
        <v>195</v>
      </c>
      <c r="J4" t="s">
        <v>196</v>
      </c>
      <c r="K4" s="18">
        <v>31</v>
      </c>
      <c r="L4" t="s">
        <v>197</v>
      </c>
    </row>
    <row r="5" spans="1:12" x14ac:dyDescent="0.35">
      <c r="A5" t="s">
        <v>12</v>
      </c>
      <c r="B5" t="s">
        <v>13</v>
      </c>
      <c r="C5" t="s">
        <v>14</v>
      </c>
      <c r="D5" t="s">
        <v>168</v>
      </c>
      <c r="E5" t="s">
        <v>14</v>
      </c>
      <c r="F5" t="s">
        <v>43</v>
      </c>
      <c r="G5" s="17">
        <v>46265</v>
      </c>
      <c r="H5" s="18">
        <v>4</v>
      </c>
      <c r="I5" t="s">
        <v>195</v>
      </c>
      <c r="J5" t="s">
        <v>196</v>
      </c>
      <c r="K5" s="18">
        <v>4</v>
      </c>
      <c r="L5" t="s">
        <v>197</v>
      </c>
    </row>
    <row r="6" spans="1:12" x14ac:dyDescent="0.35">
      <c r="A6" t="s">
        <v>12</v>
      </c>
      <c r="B6" t="s">
        <v>13</v>
      </c>
      <c r="C6" t="s">
        <v>14</v>
      </c>
      <c r="D6" t="s">
        <v>30</v>
      </c>
      <c r="E6" t="s">
        <v>14</v>
      </c>
      <c r="F6" t="s">
        <v>102</v>
      </c>
      <c r="G6" s="17">
        <v>46265</v>
      </c>
      <c r="H6" s="18">
        <v>2</v>
      </c>
      <c r="I6" t="s">
        <v>195</v>
      </c>
      <c r="J6" t="s">
        <v>196</v>
      </c>
      <c r="K6" s="18">
        <v>25</v>
      </c>
      <c r="L6" t="s">
        <v>197</v>
      </c>
    </row>
    <row r="7" spans="1:12" x14ac:dyDescent="0.35">
      <c r="A7" t="s">
        <v>12</v>
      </c>
      <c r="B7" t="s">
        <v>26</v>
      </c>
      <c r="C7" t="s">
        <v>14</v>
      </c>
      <c r="D7" t="s">
        <v>163</v>
      </c>
      <c r="E7" t="s">
        <v>14</v>
      </c>
      <c r="F7" t="s">
        <v>97</v>
      </c>
      <c r="G7" s="17">
        <v>46265</v>
      </c>
      <c r="H7" s="18">
        <v>2.5</v>
      </c>
      <c r="I7" t="s">
        <v>195</v>
      </c>
      <c r="J7" t="s">
        <v>198</v>
      </c>
      <c r="K7" s="18">
        <v>2.5</v>
      </c>
      <c r="L7" t="s">
        <v>197</v>
      </c>
    </row>
    <row r="8" spans="1:12" x14ac:dyDescent="0.35">
      <c r="A8" t="s">
        <v>12</v>
      </c>
      <c r="B8" t="s">
        <v>26</v>
      </c>
      <c r="C8" t="s">
        <v>14</v>
      </c>
      <c r="D8" t="s">
        <v>165</v>
      </c>
      <c r="E8" t="s">
        <v>14</v>
      </c>
      <c r="F8" t="s">
        <v>82</v>
      </c>
      <c r="G8" s="17">
        <v>46265</v>
      </c>
      <c r="H8" s="18">
        <v>1</v>
      </c>
      <c r="I8" t="s">
        <v>195</v>
      </c>
      <c r="J8" t="s">
        <v>198</v>
      </c>
      <c r="K8" s="18">
        <v>1</v>
      </c>
      <c r="L8" t="s">
        <v>197</v>
      </c>
    </row>
    <row r="9" spans="1:12" x14ac:dyDescent="0.35">
      <c r="A9" t="s">
        <v>12</v>
      </c>
      <c r="B9" t="s">
        <v>26</v>
      </c>
      <c r="C9" t="s">
        <v>14</v>
      </c>
      <c r="D9" t="s">
        <v>17</v>
      </c>
      <c r="E9" t="s">
        <v>14</v>
      </c>
      <c r="F9" t="s">
        <v>125</v>
      </c>
      <c r="G9" s="17">
        <v>46265</v>
      </c>
      <c r="H9" s="18">
        <v>10</v>
      </c>
      <c r="I9" t="s">
        <v>195</v>
      </c>
      <c r="J9" t="s">
        <v>198</v>
      </c>
      <c r="K9" s="18">
        <v>35</v>
      </c>
      <c r="L9" t="s">
        <v>197</v>
      </c>
    </row>
    <row r="10" spans="1:12" x14ac:dyDescent="0.35">
      <c r="A10" t="s">
        <v>12</v>
      </c>
      <c r="B10" t="s">
        <v>26</v>
      </c>
      <c r="C10" t="s">
        <v>14</v>
      </c>
      <c r="D10" t="s">
        <v>166</v>
      </c>
      <c r="E10" t="s">
        <v>14</v>
      </c>
      <c r="F10" t="s">
        <v>126</v>
      </c>
      <c r="G10" s="17">
        <v>46265</v>
      </c>
      <c r="H10" s="18">
        <v>4</v>
      </c>
      <c r="I10" t="s">
        <v>195</v>
      </c>
      <c r="J10" t="s">
        <v>198</v>
      </c>
      <c r="K10" s="18">
        <v>4</v>
      </c>
      <c r="L10" t="s">
        <v>197</v>
      </c>
    </row>
    <row r="11" spans="1:12" x14ac:dyDescent="0.35">
      <c r="A11" t="s">
        <v>12</v>
      </c>
      <c r="B11" t="s">
        <v>26</v>
      </c>
      <c r="C11" t="s">
        <v>14</v>
      </c>
      <c r="D11" t="s">
        <v>169</v>
      </c>
      <c r="E11" t="s">
        <v>14</v>
      </c>
      <c r="F11" t="s">
        <v>120</v>
      </c>
      <c r="G11" s="17">
        <v>46265</v>
      </c>
      <c r="H11" s="18">
        <v>8</v>
      </c>
      <c r="I11" t="s">
        <v>195</v>
      </c>
      <c r="J11" t="s">
        <v>198</v>
      </c>
      <c r="K11" s="18">
        <v>8</v>
      </c>
      <c r="L11" t="s">
        <v>197</v>
      </c>
    </row>
    <row r="12" spans="1:12" x14ac:dyDescent="0.35">
      <c r="A12" t="s">
        <v>12</v>
      </c>
      <c r="B12" t="s">
        <v>20</v>
      </c>
      <c r="C12" t="s">
        <v>10</v>
      </c>
      <c r="D12" t="s">
        <v>132</v>
      </c>
      <c r="E12" t="s">
        <v>10</v>
      </c>
      <c r="F12" t="s">
        <v>43</v>
      </c>
      <c r="G12" s="17">
        <v>46265</v>
      </c>
      <c r="H12" s="18">
        <v>3</v>
      </c>
      <c r="I12" t="s">
        <v>195</v>
      </c>
      <c r="J12" t="s">
        <v>196</v>
      </c>
      <c r="K12" s="18">
        <v>23</v>
      </c>
      <c r="L12" t="s">
        <v>197</v>
      </c>
    </row>
    <row r="13" spans="1:12" x14ac:dyDescent="0.35">
      <c r="A13" t="s">
        <v>12</v>
      </c>
      <c r="B13" t="s">
        <v>20</v>
      </c>
      <c r="C13" t="s">
        <v>10</v>
      </c>
      <c r="D13" t="s">
        <v>33</v>
      </c>
      <c r="E13" t="s">
        <v>10</v>
      </c>
      <c r="F13" t="s">
        <v>102</v>
      </c>
      <c r="G13" s="17">
        <v>46265</v>
      </c>
      <c r="H13" s="18">
        <v>2</v>
      </c>
      <c r="I13" t="s">
        <v>195</v>
      </c>
      <c r="J13" t="s">
        <v>196</v>
      </c>
      <c r="K13" s="18">
        <v>24</v>
      </c>
      <c r="L13" t="s">
        <v>197</v>
      </c>
    </row>
    <row r="14" spans="1:12" x14ac:dyDescent="0.35">
      <c r="A14" t="s">
        <v>12</v>
      </c>
      <c r="B14" t="s">
        <v>21</v>
      </c>
      <c r="C14" t="s">
        <v>14</v>
      </c>
      <c r="D14" t="s">
        <v>27</v>
      </c>
      <c r="E14" t="s">
        <v>14</v>
      </c>
      <c r="F14" t="s">
        <v>81</v>
      </c>
      <c r="G14" s="17">
        <v>46265</v>
      </c>
      <c r="H14" s="18">
        <v>13.178571</v>
      </c>
      <c r="I14" t="s">
        <v>195</v>
      </c>
      <c r="J14" t="s">
        <v>198</v>
      </c>
      <c r="K14" s="18">
        <v>40</v>
      </c>
      <c r="L14" t="s">
        <v>197</v>
      </c>
    </row>
    <row r="15" spans="1:12" x14ac:dyDescent="0.35">
      <c r="A15" t="s">
        <v>12</v>
      </c>
      <c r="B15" t="s">
        <v>21</v>
      </c>
      <c r="C15" t="s">
        <v>14</v>
      </c>
      <c r="D15" t="s">
        <v>30</v>
      </c>
      <c r="E15" t="s">
        <v>14</v>
      </c>
      <c r="F15" t="s">
        <v>81</v>
      </c>
      <c r="G15" s="17">
        <v>46265</v>
      </c>
      <c r="H15" s="18">
        <v>9</v>
      </c>
      <c r="I15" t="s">
        <v>195</v>
      </c>
      <c r="J15" t="s">
        <v>196</v>
      </c>
      <c r="K15" s="18">
        <v>40</v>
      </c>
      <c r="L15" t="s">
        <v>197</v>
      </c>
    </row>
    <row r="16" spans="1:12" x14ac:dyDescent="0.35">
      <c r="A16" t="s">
        <v>12</v>
      </c>
      <c r="B16" t="s">
        <v>21</v>
      </c>
      <c r="C16" t="s">
        <v>14</v>
      </c>
      <c r="D16" t="s">
        <v>167</v>
      </c>
      <c r="E16" t="s">
        <v>14</v>
      </c>
      <c r="F16" t="s">
        <v>81</v>
      </c>
      <c r="G16" s="17">
        <v>46265</v>
      </c>
      <c r="H16" s="18">
        <v>8.8214290000000002</v>
      </c>
      <c r="I16" t="s">
        <v>195</v>
      </c>
      <c r="J16" t="s">
        <v>196</v>
      </c>
      <c r="K16" s="18">
        <v>8.8214290000000002</v>
      </c>
      <c r="L16" t="s">
        <v>197</v>
      </c>
    </row>
    <row r="17" spans="1:12" x14ac:dyDescent="0.35">
      <c r="A17" t="s">
        <v>12</v>
      </c>
      <c r="B17" t="s">
        <v>107</v>
      </c>
      <c r="C17" t="s">
        <v>14</v>
      </c>
      <c r="D17" t="s">
        <v>17</v>
      </c>
      <c r="E17" t="s">
        <v>14</v>
      </c>
      <c r="F17" t="s">
        <v>78</v>
      </c>
      <c r="G17" s="17">
        <v>46265</v>
      </c>
      <c r="H17" s="18">
        <v>2.230769</v>
      </c>
      <c r="I17" t="s">
        <v>199</v>
      </c>
      <c r="J17" t="s">
        <v>198</v>
      </c>
      <c r="K17" s="18">
        <v>37.230769000000002</v>
      </c>
      <c r="L17" t="s">
        <v>197</v>
      </c>
    </row>
    <row r="18" spans="1:12" x14ac:dyDescent="0.35">
      <c r="A18" t="s">
        <v>12</v>
      </c>
      <c r="B18" t="s">
        <v>107</v>
      </c>
      <c r="C18" t="s">
        <v>14</v>
      </c>
      <c r="D18" t="s">
        <v>159</v>
      </c>
      <c r="E18" t="s">
        <v>14</v>
      </c>
      <c r="F18" t="s">
        <v>78</v>
      </c>
      <c r="G18" s="17">
        <v>46265</v>
      </c>
      <c r="H18" s="18">
        <v>2.6153849999999998</v>
      </c>
      <c r="I18" t="s">
        <v>199</v>
      </c>
      <c r="J18" t="s">
        <v>196</v>
      </c>
      <c r="K18" s="18">
        <v>20</v>
      </c>
      <c r="L18" t="s">
        <v>197</v>
      </c>
    </row>
    <row r="19" spans="1:12" x14ac:dyDescent="0.35">
      <c r="A19" t="s">
        <v>12</v>
      </c>
      <c r="B19" t="s">
        <v>107</v>
      </c>
      <c r="C19" t="s">
        <v>14</v>
      </c>
      <c r="D19" t="s">
        <v>24</v>
      </c>
      <c r="E19" t="s">
        <v>14</v>
      </c>
      <c r="F19" t="s">
        <v>78</v>
      </c>
      <c r="G19" s="17">
        <v>46265</v>
      </c>
      <c r="H19" s="18">
        <v>1.1538459999999999</v>
      </c>
      <c r="I19" t="s">
        <v>199</v>
      </c>
      <c r="J19" t="s">
        <v>196</v>
      </c>
      <c r="K19" s="18">
        <v>40</v>
      </c>
      <c r="L19" t="s">
        <v>197</v>
      </c>
    </row>
    <row r="20" spans="1:12" x14ac:dyDescent="0.35">
      <c r="A20" t="s">
        <v>12</v>
      </c>
      <c r="B20" t="s">
        <v>183</v>
      </c>
      <c r="C20" t="s">
        <v>14</v>
      </c>
      <c r="D20" t="s">
        <v>162</v>
      </c>
      <c r="E20" t="s">
        <v>14</v>
      </c>
      <c r="F20" t="s">
        <v>122</v>
      </c>
      <c r="G20" s="17">
        <v>46265</v>
      </c>
      <c r="H20" s="18">
        <v>2</v>
      </c>
      <c r="I20" t="s">
        <v>199</v>
      </c>
      <c r="J20" t="s">
        <v>198</v>
      </c>
      <c r="K20" s="18">
        <v>2</v>
      </c>
      <c r="L20" t="s">
        <v>197</v>
      </c>
    </row>
    <row r="21" spans="1:12" x14ac:dyDescent="0.35">
      <c r="A21" t="s">
        <v>12</v>
      </c>
      <c r="B21" t="s">
        <v>20</v>
      </c>
      <c r="C21" t="s">
        <v>10</v>
      </c>
      <c r="D21" t="s">
        <v>36</v>
      </c>
      <c r="E21" t="s">
        <v>10</v>
      </c>
      <c r="F21" t="s">
        <v>81</v>
      </c>
      <c r="G21" s="17">
        <v>46272</v>
      </c>
      <c r="H21" s="18">
        <v>5.5</v>
      </c>
      <c r="I21" t="s">
        <v>195</v>
      </c>
      <c r="J21" t="s">
        <v>196</v>
      </c>
      <c r="K21" s="18">
        <v>23.5</v>
      </c>
      <c r="L21" t="s">
        <v>197</v>
      </c>
    </row>
    <row r="22" spans="1:12" x14ac:dyDescent="0.35">
      <c r="A22" t="s">
        <v>12</v>
      </c>
      <c r="B22" t="s">
        <v>20</v>
      </c>
      <c r="C22" t="s">
        <v>10</v>
      </c>
      <c r="D22" t="s">
        <v>132</v>
      </c>
      <c r="E22" t="s">
        <v>10</v>
      </c>
      <c r="F22" t="s">
        <v>43</v>
      </c>
      <c r="G22" s="17">
        <v>46272</v>
      </c>
      <c r="H22" s="18">
        <v>10</v>
      </c>
      <c r="I22" t="s">
        <v>195</v>
      </c>
      <c r="J22" t="s">
        <v>196</v>
      </c>
      <c r="K22" s="18">
        <v>31</v>
      </c>
      <c r="L22" t="s">
        <v>197</v>
      </c>
    </row>
    <row r="23" spans="1:12" x14ac:dyDescent="0.35">
      <c r="A23" t="s">
        <v>12</v>
      </c>
      <c r="B23" t="s">
        <v>20</v>
      </c>
      <c r="C23" t="s">
        <v>10</v>
      </c>
      <c r="D23" t="s">
        <v>33</v>
      </c>
      <c r="E23" t="s">
        <v>10</v>
      </c>
      <c r="F23" t="s">
        <v>102</v>
      </c>
      <c r="G23" s="17">
        <v>46272</v>
      </c>
      <c r="H23" s="18">
        <v>1</v>
      </c>
      <c r="I23" t="s">
        <v>195</v>
      </c>
      <c r="J23" t="s">
        <v>196</v>
      </c>
      <c r="K23" s="18">
        <v>8</v>
      </c>
      <c r="L23" t="s">
        <v>197</v>
      </c>
    </row>
    <row r="24" spans="1:12" x14ac:dyDescent="0.35">
      <c r="A24" t="s">
        <v>12</v>
      </c>
      <c r="B24" t="s">
        <v>21</v>
      </c>
      <c r="C24" t="s">
        <v>14</v>
      </c>
      <c r="D24" t="s">
        <v>30</v>
      </c>
      <c r="E24" t="s">
        <v>14</v>
      </c>
      <c r="F24" t="s">
        <v>81</v>
      </c>
      <c r="G24" s="17">
        <v>46272</v>
      </c>
      <c r="H24" s="18">
        <v>9</v>
      </c>
      <c r="I24" t="s">
        <v>195</v>
      </c>
      <c r="J24" t="s">
        <v>196</v>
      </c>
      <c r="K24" s="18">
        <v>28</v>
      </c>
      <c r="L24" t="s">
        <v>197</v>
      </c>
    </row>
    <row r="25" spans="1:12" x14ac:dyDescent="0.35">
      <c r="A25" t="s">
        <v>12</v>
      </c>
      <c r="B25" t="s">
        <v>21</v>
      </c>
      <c r="C25" t="s">
        <v>14</v>
      </c>
      <c r="D25" t="s">
        <v>13</v>
      </c>
      <c r="E25" t="s">
        <v>14</v>
      </c>
      <c r="F25" t="s">
        <v>43</v>
      </c>
      <c r="G25" s="17">
        <v>46272</v>
      </c>
      <c r="H25" s="18">
        <v>15</v>
      </c>
      <c r="I25" t="s">
        <v>195</v>
      </c>
      <c r="J25" t="s">
        <v>196</v>
      </c>
      <c r="K25" s="18">
        <v>32</v>
      </c>
      <c r="L25" t="s">
        <v>197</v>
      </c>
    </row>
    <row r="26" spans="1:12" x14ac:dyDescent="0.35">
      <c r="A26" t="s">
        <v>12</v>
      </c>
      <c r="B26" t="s">
        <v>174</v>
      </c>
      <c r="C26" t="s">
        <v>14</v>
      </c>
      <c r="D26" t="s">
        <v>30</v>
      </c>
      <c r="E26" t="s">
        <v>14</v>
      </c>
      <c r="F26" t="s">
        <v>81</v>
      </c>
      <c r="G26" s="17">
        <v>46272</v>
      </c>
      <c r="H26" s="18">
        <v>12</v>
      </c>
      <c r="I26" t="s">
        <v>199</v>
      </c>
      <c r="J26" t="s">
        <v>196</v>
      </c>
      <c r="K26" s="18">
        <v>40</v>
      </c>
      <c r="L26" t="s">
        <v>197</v>
      </c>
    </row>
    <row r="27" spans="1:12" x14ac:dyDescent="0.35">
      <c r="A27" t="s">
        <v>12</v>
      </c>
      <c r="B27" t="s">
        <v>174</v>
      </c>
      <c r="C27" t="s">
        <v>14</v>
      </c>
      <c r="D27" t="s">
        <v>167</v>
      </c>
      <c r="E27" t="s">
        <v>14</v>
      </c>
      <c r="F27" t="s">
        <v>81</v>
      </c>
      <c r="G27" s="17">
        <v>46272</v>
      </c>
      <c r="H27" s="18">
        <v>12</v>
      </c>
      <c r="I27" t="s">
        <v>199</v>
      </c>
      <c r="J27" t="s">
        <v>196</v>
      </c>
      <c r="K27" s="18">
        <v>12</v>
      </c>
      <c r="L27" t="s">
        <v>197</v>
      </c>
    </row>
    <row r="28" spans="1:12" x14ac:dyDescent="0.35">
      <c r="A28" t="s">
        <v>12</v>
      </c>
      <c r="B28" t="s">
        <v>183</v>
      </c>
      <c r="C28" t="s">
        <v>14</v>
      </c>
      <c r="D28" t="s">
        <v>17</v>
      </c>
      <c r="E28" t="s">
        <v>14</v>
      </c>
      <c r="F28" t="s">
        <v>122</v>
      </c>
      <c r="G28" s="17">
        <v>46272</v>
      </c>
      <c r="H28" s="18">
        <v>5</v>
      </c>
      <c r="I28" t="s">
        <v>199</v>
      </c>
      <c r="J28" t="s">
        <v>198</v>
      </c>
      <c r="K28" s="18">
        <v>8</v>
      </c>
      <c r="L28" t="s">
        <v>197</v>
      </c>
    </row>
    <row r="29" spans="1:12" x14ac:dyDescent="0.35">
      <c r="A29" t="s">
        <v>12</v>
      </c>
      <c r="B29" t="s">
        <v>184</v>
      </c>
      <c r="C29" t="s">
        <v>14</v>
      </c>
      <c r="D29" t="s">
        <v>27</v>
      </c>
      <c r="E29" t="s">
        <v>14</v>
      </c>
      <c r="F29" t="s">
        <v>80</v>
      </c>
      <c r="G29" s="17">
        <v>46272</v>
      </c>
      <c r="H29" s="18">
        <v>20</v>
      </c>
      <c r="I29" t="s">
        <v>199</v>
      </c>
      <c r="J29" t="s">
        <v>198</v>
      </c>
      <c r="K29" s="18">
        <v>25.821428999999998</v>
      </c>
      <c r="L29" t="s">
        <v>197</v>
      </c>
    </row>
    <row r="30" spans="1:12" x14ac:dyDescent="0.35">
      <c r="A30" t="s">
        <v>12</v>
      </c>
      <c r="B30" t="s">
        <v>20</v>
      </c>
      <c r="C30" t="s">
        <v>10</v>
      </c>
      <c r="D30" t="s">
        <v>36</v>
      </c>
      <c r="E30" t="s">
        <v>10</v>
      </c>
      <c r="F30" t="s">
        <v>81</v>
      </c>
      <c r="G30" s="17">
        <v>46279</v>
      </c>
      <c r="H30" s="18">
        <v>5.5</v>
      </c>
      <c r="I30" t="s">
        <v>195</v>
      </c>
      <c r="J30" t="s">
        <v>196</v>
      </c>
      <c r="K30" s="18">
        <v>13.5</v>
      </c>
      <c r="L30" t="s">
        <v>197</v>
      </c>
    </row>
    <row r="31" spans="1:12" x14ac:dyDescent="0.35">
      <c r="A31" t="s">
        <v>12</v>
      </c>
      <c r="B31" t="s">
        <v>20</v>
      </c>
      <c r="C31" t="s">
        <v>10</v>
      </c>
      <c r="D31" t="s">
        <v>9</v>
      </c>
      <c r="E31" t="s">
        <v>10</v>
      </c>
      <c r="F31" t="s">
        <v>43</v>
      </c>
      <c r="G31" s="17">
        <v>46279</v>
      </c>
      <c r="H31" s="18">
        <v>10</v>
      </c>
      <c r="I31" t="s">
        <v>195</v>
      </c>
      <c r="J31" t="s">
        <v>196</v>
      </c>
      <c r="K31" s="18">
        <v>12</v>
      </c>
      <c r="L31" t="s">
        <v>197</v>
      </c>
    </row>
    <row r="32" spans="1:12" x14ac:dyDescent="0.35">
      <c r="A32" t="s">
        <v>12</v>
      </c>
      <c r="B32" t="s">
        <v>20</v>
      </c>
      <c r="C32" t="s">
        <v>10</v>
      </c>
      <c r="D32" t="s">
        <v>9</v>
      </c>
      <c r="E32" t="s">
        <v>10</v>
      </c>
      <c r="F32" t="s">
        <v>102</v>
      </c>
      <c r="G32" s="17">
        <v>46279</v>
      </c>
      <c r="H32" s="18">
        <v>2</v>
      </c>
      <c r="I32" t="s">
        <v>195</v>
      </c>
      <c r="J32" t="s">
        <v>196</v>
      </c>
      <c r="K32" s="18">
        <v>2</v>
      </c>
      <c r="L32" t="s">
        <v>197</v>
      </c>
    </row>
    <row r="33" spans="1:12" x14ac:dyDescent="0.35">
      <c r="A33" t="s">
        <v>12</v>
      </c>
      <c r="B33" t="s">
        <v>21</v>
      </c>
      <c r="C33" t="s">
        <v>14</v>
      </c>
      <c r="D33" t="s">
        <v>27</v>
      </c>
      <c r="E33" t="s">
        <v>14</v>
      </c>
      <c r="F33" t="s">
        <v>81</v>
      </c>
      <c r="G33" s="17">
        <v>46279</v>
      </c>
      <c r="H33" s="18">
        <v>4</v>
      </c>
      <c r="I33" t="s">
        <v>195</v>
      </c>
      <c r="J33" t="s">
        <v>198</v>
      </c>
      <c r="K33" s="18">
        <v>8.8214290000000002</v>
      </c>
      <c r="L33" t="s">
        <v>197</v>
      </c>
    </row>
    <row r="34" spans="1:12" x14ac:dyDescent="0.35">
      <c r="A34" t="s">
        <v>12</v>
      </c>
      <c r="B34" t="s">
        <v>21</v>
      </c>
      <c r="C34" t="s">
        <v>14</v>
      </c>
      <c r="D34" t="s">
        <v>30</v>
      </c>
      <c r="E34" t="s">
        <v>14</v>
      </c>
      <c r="F34" t="s">
        <v>81</v>
      </c>
      <c r="G34" s="17">
        <v>46279</v>
      </c>
      <c r="H34" s="18">
        <v>6</v>
      </c>
      <c r="I34" t="s">
        <v>195</v>
      </c>
      <c r="J34" t="s">
        <v>196</v>
      </c>
      <c r="K34" s="18">
        <v>40</v>
      </c>
      <c r="L34" t="s">
        <v>197</v>
      </c>
    </row>
    <row r="35" spans="1:12" x14ac:dyDescent="0.35">
      <c r="A35" t="s">
        <v>12</v>
      </c>
      <c r="B35" t="s">
        <v>21</v>
      </c>
      <c r="C35" t="s">
        <v>14</v>
      </c>
      <c r="D35" t="s">
        <v>13</v>
      </c>
      <c r="E35" t="s">
        <v>14</v>
      </c>
      <c r="F35" t="s">
        <v>43</v>
      </c>
      <c r="G35" s="17">
        <v>46279</v>
      </c>
      <c r="H35" s="18">
        <v>2</v>
      </c>
      <c r="I35" t="s">
        <v>195</v>
      </c>
      <c r="J35" t="s">
        <v>196</v>
      </c>
      <c r="K35" s="18">
        <v>40</v>
      </c>
      <c r="L35" t="s">
        <v>197</v>
      </c>
    </row>
    <row r="36" spans="1:12" x14ac:dyDescent="0.35">
      <c r="A36" t="s">
        <v>12</v>
      </c>
      <c r="B36" t="s">
        <v>21</v>
      </c>
      <c r="C36" t="s">
        <v>14</v>
      </c>
      <c r="D36" t="s">
        <v>168</v>
      </c>
      <c r="E36" t="s">
        <v>14</v>
      </c>
      <c r="F36" t="s">
        <v>43</v>
      </c>
      <c r="G36" s="17">
        <v>46279</v>
      </c>
      <c r="H36" s="18">
        <v>13</v>
      </c>
      <c r="I36" t="s">
        <v>195</v>
      </c>
      <c r="J36" t="s">
        <v>196</v>
      </c>
      <c r="K36" s="18">
        <v>13</v>
      </c>
      <c r="L36" t="s">
        <v>197</v>
      </c>
    </row>
    <row r="37" spans="1:12" x14ac:dyDescent="0.35">
      <c r="A37" t="s">
        <v>12</v>
      </c>
      <c r="B37" t="s">
        <v>107</v>
      </c>
      <c r="C37" t="s">
        <v>14</v>
      </c>
      <c r="D37" t="s">
        <v>27</v>
      </c>
      <c r="E37" t="s">
        <v>14</v>
      </c>
      <c r="F37" t="s">
        <v>78</v>
      </c>
      <c r="G37" s="17">
        <v>46279</v>
      </c>
      <c r="H37" s="18">
        <v>6</v>
      </c>
      <c r="I37" t="s">
        <v>199</v>
      </c>
      <c r="J37" t="s">
        <v>196</v>
      </c>
      <c r="K37" s="18">
        <v>14.821429</v>
      </c>
      <c r="L37" t="s">
        <v>197</v>
      </c>
    </row>
    <row r="38" spans="1:12" x14ac:dyDescent="0.35">
      <c r="A38" t="s">
        <v>12</v>
      </c>
      <c r="B38" t="s">
        <v>174</v>
      </c>
      <c r="C38" t="s">
        <v>14</v>
      </c>
      <c r="D38" t="s">
        <v>17</v>
      </c>
      <c r="E38" t="s">
        <v>14</v>
      </c>
      <c r="F38" t="s">
        <v>81</v>
      </c>
      <c r="G38" s="17">
        <v>46279</v>
      </c>
      <c r="H38" s="18">
        <v>24</v>
      </c>
      <c r="I38" t="s">
        <v>199</v>
      </c>
      <c r="J38" t="s">
        <v>198</v>
      </c>
      <c r="K38" s="18">
        <v>29</v>
      </c>
      <c r="L38" t="s">
        <v>197</v>
      </c>
    </row>
    <row r="39" spans="1:12" x14ac:dyDescent="0.35">
      <c r="A39" t="s">
        <v>12</v>
      </c>
      <c r="B39" t="s">
        <v>183</v>
      </c>
      <c r="C39" t="s">
        <v>14</v>
      </c>
      <c r="D39" t="s">
        <v>24</v>
      </c>
      <c r="E39" t="s">
        <v>14</v>
      </c>
      <c r="F39" t="s">
        <v>122</v>
      </c>
      <c r="G39" s="17">
        <v>46279</v>
      </c>
      <c r="H39" s="18">
        <v>5</v>
      </c>
      <c r="I39" t="s">
        <v>199</v>
      </c>
      <c r="J39" t="s">
        <v>198</v>
      </c>
      <c r="K39" s="18">
        <v>17.346153999999999</v>
      </c>
      <c r="L39" t="s">
        <v>197</v>
      </c>
    </row>
    <row r="40" spans="1:12" x14ac:dyDescent="0.35">
      <c r="A40" t="s">
        <v>12</v>
      </c>
      <c r="B40" t="s">
        <v>184</v>
      </c>
      <c r="C40" t="s">
        <v>14</v>
      </c>
      <c r="D40" t="s">
        <v>26</v>
      </c>
      <c r="E40" t="s">
        <v>14</v>
      </c>
      <c r="F40" t="s">
        <v>80</v>
      </c>
      <c r="G40" s="17">
        <v>46279</v>
      </c>
      <c r="H40" s="18">
        <v>1</v>
      </c>
      <c r="I40" t="s">
        <v>199</v>
      </c>
      <c r="J40" t="s">
        <v>196</v>
      </c>
      <c r="K40" s="18">
        <v>40</v>
      </c>
      <c r="L40" t="s">
        <v>197</v>
      </c>
    </row>
    <row r="41" spans="1:12" x14ac:dyDescent="0.35">
      <c r="A41" t="s">
        <v>12</v>
      </c>
      <c r="B41" t="s">
        <v>184</v>
      </c>
      <c r="C41" t="s">
        <v>14</v>
      </c>
      <c r="D41" t="s">
        <v>162</v>
      </c>
      <c r="E41" t="s">
        <v>14</v>
      </c>
      <c r="F41" t="s">
        <v>80</v>
      </c>
      <c r="G41" s="17">
        <v>46279</v>
      </c>
      <c r="H41" s="18">
        <v>19</v>
      </c>
      <c r="I41" t="s">
        <v>199</v>
      </c>
      <c r="J41" t="s">
        <v>198</v>
      </c>
      <c r="K41" s="18">
        <v>19</v>
      </c>
      <c r="L41" t="s">
        <v>197</v>
      </c>
    </row>
    <row r="42" spans="1:12" x14ac:dyDescent="0.35">
      <c r="A42" t="s">
        <v>12</v>
      </c>
      <c r="B42" t="s">
        <v>174</v>
      </c>
      <c r="C42" t="s">
        <v>14</v>
      </c>
      <c r="D42" t="s">
        <v>21</v>
      </c>
      <c r="E42" t="s">
        <v>14</v>
      </c>
      <c r="F42" t="s">
        <v>81</v>
      </c>
      <c r="G42" s="17">
        <v>46286</v>
      </c>
      <c r="H42" s="18">
        <v>2</v>
      </c>
      <c r="I42" t="s">
        <v>199</v>
      </c>
      <c r="J42" t="s">
        <v>196</v>
      </c>
      <c r="K42" s="18">
        <v>20</v>
      </c>
      <c r="L42" t="s">
        <v>197</v>
      </c>
    </row>
    <row r="43" spans="1:12" x14ac:dyDescent="0.35">
      <c r="A43" t="s">
        <v>12</v>
      </c>
      <c r="B43" t="s">
        <v>183</v>
      </c>
      <c r="C43" t="s">
        <v>14</v>
      </c>
      <c r="D43" t="s">
        <v>162</v>
      </c>
      <c r="E43" t="s">
        <v>14</v>
      </c>
      <c r="F43" t="s">
        <v>122</v>
      </c>
      <c r="G43" s="17">
        <v>46286</v>
      </c>
      <c r="H43" s="18">
        <v>4</v>
      </c>
      <c r="I43" t="s">
        <v>199</v>
      </c>
      <c r="J43" t="s">
        <v>198</v>
      </c>
      <c r="K43" s="18">
        <v>4</v>
      </c>
      <c r="L43" t="s">
        <v>197</v>
      </c>
    </row>
    <row r="44" spans="1:12" x14ac:dyDescent="0.35">
      <c r="A44" t="s">
        <v>12</v>
      </c>
      <c r="B44" t="s">
        <v>184</v>
      </c>
      <c r="C44" t="s">
        <v>14</v>
      </c>
      <c r="D44" t="s">
        <v>17</v>
      </c>
      <c r="E44" t="s">
        <v>14</v>
      </c>
      <c r="F44" t="s">
        <v>80</v>
      </c>
      <c r="G44" s="17">
        <v>46286</v>
      </c>
      <c r="H44" s="18">
        <v>28</v>
      </c>
      <c r="I44" t="s">
        <v>199</v>
      </c>
      <c r="J44" t="s">
        <v>198</v>
      </c>
      <c r="K44" s="18">
        <v>31</v>
      </c>
      <c r="L44" t="s">
        <v>197</v>
      </c>
    </row>
    <row r="45" spans="1:12" x14ac:dyDescent="0.35">
      <c r="A45" t="s">
        <v>12</v>
      </c>
      <c r="B45" t="s">
        <v>178</v>
      </c>
      <c r="C45" t="s">
        <v>14</v>
      </c>
      <c r="D45" t="s">
        <v>24</v>
      </c>
      <c r="E45" t="s">
        <v>14</v>
      </c>
      <c r="F45" t="s">
        <v>103</v>
      </c>
      <c r="G45" s="17">
        <v>46286</v>
      </c>
      <c r="H45" s="18">
        <v>15</v>
      </c>
      <c r="I45" t="s">
        <v>199</v>
      </c>
      <c r="J45" t="s">
        <v>196</v>
      </c>
      <c r="K45" s="18">
        <v>25.346153999999999</v>
      </c>
      <c r="L45" t="s">
        <v>197</v>
      </c>
    </row>
    <row r="46" spans="1:12" x14ac:dyDescent="0.35">
      <c r="A46" t="s">
        <v>29</v>
      </c>
      <c r="B46" t="s">
        <v>28</v>
      </c>
      <c r="C46" t="s">
        <v>10</v>
      </c>
      <c r="D46" t="s">
        <v>35</v>
      </c>
      <c r="E46" t="s">
        <v>10</v>
      </c>
      <c r="F46" t="s">
        <v>95</v>
      </c>
      <c r="G46" s="17">
        <v>46293</v>
      </c>
      <c r="H46" s="18">
        <v>5</v>
      </c>
      <c r="I46" t="s">
        <v>195</v>
      </c>
      <c r="J46" t="s">
        <v>196</v>
      </c>
      <c r="K46" s="18">
        <v>40</v>
      </c>
      <c r="L46" t="s">
        <v>197</v>
      </c>
    </row>
    <row r="47" spans="1:12" x14ac:dyDescent="0.35">
      <c r="A47" t="s">
        <v>12</v>
      </c>
      <c r="B47" t="s">
        <v>174</v>
      </c>
      <c r="C47" t="s">
        <v>14</v>
      </c>
      <c r="D47" t="s">
        <v>21</v>
      </c>
      <c r="E47" t="s">
        <v>14</v>
      </c>
      <c r="F47" t="s">
        <v>81</v>
      </c>
      <c r="G47" s="17">
        <v>46293</v>
      </c>
      <c r="H47" s="18">
        <v>22</v>
      </c>
      <c r="I47" t="s">
        <v>199</v>
      </c>
      <c r="J47" t="s">
        <v>196</v>
      </c>
      <c r="K47" s="18">
        <v>34</v>
      </c>
      <c r="L47" t="s">
        <v>197</v>
      </c>
    </row>
    <row r="48" spans="1:12" x14ac:dyDescent="0.35">
      <c r="A48" t="s">
        <v>12</v>
      </c>
      <c r="B48" t="s">
        <v>183</v>
      </c>
      <c r="C48" t="s">
        <v>14</v>
      </c>
      <c r="D48" t="s">
        <v>162</v>
      </c>
      <c r="E48" t="s">
        <v>14</v>
      </c>
      <c r="F48" t="s">
        <v>122</v>
      </c>
      <c r="G48" s="17">
        <v>46293</v>
      </c>
      <c r="H48" s="18">
        <v>3</v>
      </c>
      <c r="I48" t="s">
        <v>199</v>
      </c>
      <c r="J48" t="s">
        <v>198</v>
      </c>
      <c r="K48" s="18">
        <v>3</v>
      </c>
      <c r="L48" t="s">
        <v>197</v>
      </c>
    </row>
    <row r="49" spans="1:12" x14ac:dyDescent="0.35">
      <c r="A49" t="s">
        <v>12</v>
      </c>
      <c r="B49" t="s">
        <v>184</v>
      </c>
      <c r="C49" t="s">
        <v>14</v>
      </c>
      <c r="D49" t="s">
        <v>17</v>
      </c>
      <c r="E49" t="s">
        <v>14</v>
      </c>
      <c r="F49" t="s">
        <v>80</v>
      </c>
      <c r="G49" s="17">
        <v>46293</v>
      </c>
      <c r="H49" s="18">
        <v>16</v>
      </c>
      <c r="I49" t="s">
        <v>199</v>
      </c>
      <c r="J49" t="s">
        <v>198</v>
      </c>
      <c r="K49" s="18">
        <v>19</v>
      </c>
      <c r="L49" t="s">
        <v>197</v>
      </c>
    </row>
    <row r="50" spans="1:12" x14ac:dyDescent="0.35">
      <c r="A50" t="s">
        <v>12</v>
      </c>
      <c r="B50" t="s">
        <v>178</v>
      </c>
      <c r="C50" t="s">
        <v>14</v>
      </c>
      <c r="D50" t="s">
        <v>24</v>
      </c>
      <c r="E50" t="s">
        <v>14</v>
      </c>
      <c r="F50" t="s">
        <v>103</v>
      </c>
      <c r="G50" s="17">
        <v>46293</v>
      </c>
      <c r="H50" s="18">
        <v>15</v>
      </c>
      <c r="I50" t="s">
        <v>199</v>
      </c>
      <c r="J50" t="s">
        <v>196</v>
      </c>
      <c r="K50" s="18">
        <v>31.346153999999999</v>
      </c>
      <c r="L50" t="s">
        <v>197</v>
      </c>
    </row>
    <row r="51" spans="1:12" x14ac:dyDescent="0.35">
      <c r="A51" t="s">
        <v>12</v>
      </c>
      <c r="B51" t="s">
        <v>174</v>
      </c>
      <c r="C51" t="s">
        <v>14</v>
      </c>
      <c r="D51" t="s">
        <v>21</v>
      </c>
      <c r="E51" t="s">
        <v>14</v>
      </c>
      <c r="F51" t="s">
        <v>81</v>
      </c>
      <c r="G51" s="17">
        <v>46300</v>
      </c>
      <c r="H51" s="18">
        <v>24</v>
      </c>
      <c r="I51" t="s">
        <v>199</v>
      </c>
      <c r="J51" t="s">
        <v>196</v>
      </c>
      <c r="K51" s="18">
        <v>40</v>
      </c>
      <c r="L51" t="s">
        <v>197</v>
      </c>
    </row>
    <row r="52" spans="1:12" x14ac:dyDescent="0.35">
      <c r="A52" t="s">
        <v>12</v>
      </c>
      <c r="B52" t="s">
        <v>174</v>
      </c>
      <c r="C52" t="s">
        <v>14</v>
      </c>
      <c r="D52" t="s">
        <v>30</v>
      </c>
      <c r="E52" t="s">
        <v>14</v>
      </c>
      <c r="F52" t="s">
        <v>81</v>
      </c>
      <c r="G52" s="17">
        <v>46300</v>
      </c>
      <c r="H52" s="18">
        <v>2</v>
      </c>
      <c r="I52" t="s">
        <v>199</v>
      </c>
      <c r="J52" t="s">
        <v>196</v>
      </c>
      <c r="K52" s="18">
        <v>26</v>
      </c>
      <c r="L52" t="s">
        <v>197</v>
      </c>
    </row>
    <row r="53" spans="1:12" x14ac:dyDescent="0.35">
      <c r="A53" t="s">
        <v>12</v>
      </c>
      <c r="B53" t="s">
        <v>45</v>
      </c>
      <c r="C53" t="s">
        <v>14</v>
      </c>
      <c r="D53" t="s">
        <v>17</v>
      </c>
      <c r="E53" t="s">
        <v>14</v>
      </c>
      <c r="F53" t="s">
        <v>46</v>
      </c>
      <c r="G53" s="17">
        <v>46300</v>
      </c>
      <c r="H53" s="18">
        <v>1.5</v>
      </c>
      <c r="I53" t="s">
        <v>200</v>
      </c>
      <c r="J53" t="s">
        <v>196</v>
      </c>
      <c r="K53" s="18">
        <v>14.5</v>
      </c>
      <c r="L53" t="s">
        <v>197</v>
      </c>
    </row>
    <row r="54" spans="1:12" x14ac:dyDescent="0.35">
      <c r="A54" t="s">
        <v>12</v>
      </c>
      <c r="B54" t="s">
        <v>183</v>
      </c>
      <c r="C54" t="s">
        <v>14</v>
      </c>
      <c r="D54" t="s">
        <v>162</v>
      </c>
      <c r="E54" t="s">
        <v>14</v>
      </c>
      <c r="F54" t="s">
        <v>122</v>
      </c>
      <c r="G54" s="17">
        <v>46300</v>
      </c>
      <c r="H54" s="18">
        <v>0.9</v>
      </c>
      <c r="I54" t="s">
        <v>199</v>
      </c>
      <c r="J54" t="s">
        <v>198</v>
      </c>
      <c r="K54" s="18">
        <v>0.9</v>
      </c>
      <c r="L54" t="s">
        <v>197</v>
      </c>
    </row>
    <row r="55" spans="1:12" x14ac:dyDescent="0.35">
      <c r="A55" t="s">
        <v>12</v>
      </c>
      <c r="B55" t="s">
        <v>184</v>
      </c>
      <c r="C55" t="s">
        <v>14</v>
      </c>
      <c r="D55" t="s">
        <v>26</v>
      </c>
      <c r="E55" t="s">
        <v>14</v>
      </c>
      <c r="F55" t="s">
        <v>80</v>
      </c>
      <c r="G55" s="17">
        <v>46300</v>
      </c>
      <c r="H55" s="18">
        <v>20</v>
      </c>
      <c r="I55" t="s">
        <v>199</v>
      </c>
      <c r="J55" t="s">
        <v>196</v>
      </c>
      <c r="K55" s="18">
        <v>40</v>
      </c>
      <c r="L55" t="s">
        <v>197</v>
      </c>
    </row>
    <row r="56" spans="1:12" x14ac:dyDescent="0.35">
      <c r="A56" t="s">
        <v>12</v>
      </c>
      <c r="B56" t="s">
        <v>178</v>
      </c>
      <c r="C56" t="s">
        <v>14</v>
      </c>
      <c r="D56" t="s">
        <v>24</v>
      </c>
      <c r="E56" t="s">
        <v>14</v>
      </c>
      <c r="F56" t="s">
        <v>103</v>
      </c>
      <c r="G56" s="17">
        <v>46300</v>
      </c>
      <c r="H56" s="18">
        <v>10</v>
      </c>
      <c r="I56" t="s">
        <v>199</v>
      </c>
      <c r="J56" t="s">
        <v>196</v>
      </c>
      <c r="K56" s="18">
        <v>26.346153999999999</v>
      </c>
      <c r="L56" t="s">
        <v>197</v>
      </c>
    </row>
    <row r="57" spans="1:12" x14ac:dyDescent="0.35">
      <c r="A57" t="s">
        <v>29</v>
      </c>
      <c r="B57" t="s">
        <v>31</v>
      </c>
      <c r="C57" t="s">
        <v>14</v>
      </c>
      <c r="D57" t="s">
        <v>144</v>
      </c>
      <c r="E57" t="s">
        <v>14</v>
      </c>
      <c r="F57" t="s">
        <v>75</v>
      </c>
      <c r="G57" s="17">
        <v>46307</v>
      </c>
      <c r="H57" s="18">
        <v>10</v>
      </c>
      <c r="I57" t="s">
        <v>195</v>
      </c>
      <c r="J57" t="s">
        <v>196</v>
      </c>
      <c r="K57" s="18">
        <v>30</v>
      </c>
      <c r="L57" t="s">
        <v>197</v>
      </c>
    </row>
    <row r="58" spans="1:12" x14ac:dyDescent="0.35">
      <c r="A58" t="s">
        <v>29</v>
      </c>
      <c r="B58" t="s">
        <v>32</v>
      </c>
      <c r="C58" t="s">
        <v>14</v>
      </c>
      <c r="D58" t="s">
        <v>144</v>
      </c>
      <c r="E58" t="s">
        <v>14</v>
      </c>
      <c r="F58" t="s">
        <v>75</v>
      </c>
      <c r="G58" s="17">
        <v>46307</v>
      </c>
      <c r="H58" s="18">
        <v>10</v>
      </c>
      <c r="I58" t="s">
        <v>195</v>
      </c>
      <c r="J58" t="s">
        <v>196</v>
      </c>
      <c r="K58" s="18">
        <v>40</v>
      </c>
      <c r="L58" t="s">
        <v>197</v>
      </c>
    </row>
    <row r="59" spans="1:12" x14ac:dyDescent="0.35">
      <c r="A59" t="s">
        <v>12</v>
      </c>
      <c r="B59" t="s">
        <v>30</v>
      </c>
      <c r="C59" t="s">
        <v>14</v>
      </c>
      <c r="D59" t="s">
        <v>13</v>
      </c>
      <c r="E59" t="s">
        <v>14</v>
      </c>
      <c r="F59" t="s">
        <v>102</v>
      </c>
      <c r="G59" s="17">
        <v>46307</v>
      </c>
      <c r="H59" s="18">
        <v>15</v>
      </c>
      <c r="I59" t="s">
        <v>195</v>
      </c>
      <c r="J59" t="s">
        <v>196</v>
      </c>
      <c r="K59" s="18">
        <v>40</v>
      </c>
      <c r="L59" t="s">
        <v>197</v>
      </c>
    </row>
    <row r="60" spans="1:12" x14ac:dyDescent="0.35">
      <c r="A60" t="s">
        <v>12</v>
      </c>
      <c r="B60" t="s">
        <v>174</v>
      </c>
      <c r="C60" t="s">
        <v>14</v>
      </c>
      <c r="D60" t="s">
        <v>21</v>
      </c>
      <c r="E60" t="s">
        <v>14</v>
      </c>
      <c r="F60" t="s">
        <v>81</v>
      </c>
      <c r="G60" s="17">
        <v>46307</v>
      </c>
      <c r="H60" s="18">
        <v>3</v>
      </c>
      <c r="I60" t="s">
        <v>199</v>
      </c>
      <c r="J60" t="s">
        <v>196</v>
      </c>
      <c r="K60" s="18">
        <v>40</v>
      </c>
      <c r="L60" t="s">
        <v>197</v>
      </c>
    </row>
    <row r="61" spans="1:12" x14ac:dyDescent="0.35">
      <c r="A61" t="s">
        <v>12</v>
      </c>
      <c r="B61" t="s">
        <v>174</v>
      </c>
      <c r="C61" t="s">
        <v>14</v>
      </c>
      <c r="D61" t="s">
        <v>167</v>
      </c>
      <c r="E61" t="s">
        <v>14</v>
      </c>
      <c r="F61" t="s">
        <v>81</v>
      </c>
      <c r="G61" s="17">
        <v>46307</v>
      </c>
      <c r="H61" s="18">
        <v>19</v>
      </c>
      <c r="I61" t="s">
        <v>199</v>
      </c>
      <c r="J61" t="s">
        <v>196</v>
      </c>
      <c r="K61" s="18">
        <v>19</v>
      </c>
      <c r="L61" t="s">
        <v>197</v>
      </c>
    </row>
    <row r="62" spans="1:12" x14ac:dyDescent="0.35">
      <c r="A62" t="s">
        <v>12</v>
      </c>
      <c r="B62" t="s">
        <v>180</v>
      </c>
      <c r="C62" t="s">
        <v>14</v>
      </c>
      <c r="D62" t="s">
        <v>17</v>
      </c>
      <c r="E62" t="s">
        <v>14</v>
      </c>
      <c r="F62" t="s">
        <v>98</v>
      </c>
      <c r="G62" s="17">
        <v>46307</v>
      </c>
      <c r="H62" s="18">
        <v>2.3461539999999999</v>
      </c>
      <c r="I62" t="s">
        <v>199</v>
      </c>
      <c r="J62" t="s">
        <v>198</v>
      </c>
      <c r="K62" s="18">
        <v>15.346154</v>
      </c>
      <c r="L62" t="s">
        <v>197</v>
      </c>
    </row>
    <row r="63" spans="1:12" x14ac:dyDescent="0.35">
      <c r="A63" t="s">
        <v>12</v>
      </c>
      <c r="B63" t="s">
        <v>180</v>
      </c>
      <c r="C63" t="s">
        <v>14</v>
      </c>
      <c r="D63" t="s">
        <v>27</v>
      </c>
      <c r="E63" t="s">
        <v>14</v>
      </c>
      <c r="F63" t="s">
        <v>98</v>
      </c>
      <c r="G63" s="17">
        <v>46307</v>
      </c>
      <c r="H63" s="18">
        <v>22.653846000000001</v>
      </c>
      <c r="I63" t="s">
        <v>199</v>
      </c>
      <c r="J63" t="s">
        <v>196</v>
      </c>
      <c r="K63" s="18">
        <v>40</v>
      </c>
      <c r="L63" t="s">
        <v>197</v>
      </c>
    </row>
    <row r="64" spans="1:12" x14ac:dyDescent="0.35">
      <c r="A64" t="s">
        <v>12</v>
      </c>
      <c r="B64" t="s">
        <v>45</v>
      </c>
      <c r="C64" t="s">
        <v>14</v>
      </c>
      <c r="D64" t="s">
        <v>17</v>
      </c>
      <c r="E64" t="s">
        <v>14</v>
      </c>
      <c r="F64" t="s">
        <v>46</v>
      </c>
      <c r="G64" s="17">
        <v>46307</v>
      </c>
      <c r="H64" s="18">
        <v>1.5</v>
      </c>
      <c r="I64" t="s">
        <v>200</v>
      </c>
      <c r="J64" t="s">
        <v>196</v>
      </c>
      <c r="K64" s="18">
        <v>16.846153999999999</v>
      </c>
      <c r="L64" t="s">
        <v>197</v>
      </c>
    </row>
    <row r="65" spans="1:12" x14ac:dyDescent="0.35">
      <c r="A65" t="s">
        <v>12</v>
      </c>
      <c r="B65" t="s">
        <v>184</v>
      </c>
      <c r="C65" t="s">
        <v>14</v>
      </c>
      <c r="D65" t="s">
        <v>17</v>
      </c>
      <c r="E65" t="s">
        <v>14</v>
      </c>
      <c r="F65" t="s">
        <v>80</v>
      </c>
      <c r="G65" s="17">
        <v>46307</v>
      </c>
      <c r="H65" s="18">
        <v>20</v>
      </c>
      <c r="I65" t="s">
        <v>199</v>
      </c>
      <c r="J65" t="s">
        <v>198</v>
      </c>
      <c r="K65" s="18">
        <v>36.846153999999999</v>
      </c>
      <c r="L65" t="s">
        <v>197</v>
      </c>
    </row>
    <row r="66" spans="1:12" x14ac:dyDescent="0.35">
      <c r="A66" t="s">
        <v>12</v>
      </c>
      <c r="B66" t="s">
        <v>178</v>
      </c>
      <c r="C66" t="s">
        <v>14</v>
      </c>
      <c r="D66" t="s">
        <v>24</v>
      </c>
      <c r="E66" t="s">
        <v>14</v>
      </c>
      <c r="F66" t="s">
        <v>103</v>
      </c>
      <c r="G66" s="17">
        <v>46307</v>
      </c>
      <c r="H66" s="18">
        <v>8.6538459999999997</v>
      </c>
      <c r="I66" t="s">
        <v>199</v>
      </c>
      <c r="J66" t="s">
        <v>196</v>
      </c>
      <c r="K66" s="18">
        <v>40</v>
      </c>
      <c r="L66" t="s">
        <v>197</v>
      </c>
    </row>
    <row r="67" spans="1:12" x14ac:dyDescent="0.35">
      <c r="A67" t="s">
        <v>12</v>
      </c>
      <c r="B67" t="s">
        <v>178</v>
      </c>
      <c r="C67" t="s">
        <v>14</v>
      </c>
      <c r="D67" t="s">
        <v>27</v>
      </c>
      <c r="E67" t="s">
        <v>14</v>
      </c>
      <c r="F67" t="s">
        <v>103</v>
      </c>
      <c r="G67" s="17">
        <v>46307</v>
      </c>
      <c r="H67" s="18">
        <v>6.3461540000000003</v>
      </c>
      <c r="I67" t="s">
        <v>199</v>
      </c>
      <c r="J67" t="s">
        <v>198</v>
      </c>
      <c r="K67" s="18">
        <v>17.346153999999999</v>
      </c>
      <c r="L67" t="s">
        <v>197</v>
      </c>
    </row>
    <row r="68" spans="1:12" x14ac:dyDescent="0.35">
      <c r="A68" t="s">
        <v>29</v>
      </c>
      <c r="B68" t="s">
        <v>28</v>
      </c>
      <c r="C68" t="s">
        <v>10</v>
      </c>
      <c r="D68" t="s">
        <v>121</v>
      </c>
      <c r="E68" t="s">
        <v>10</v>
      </c>
      <c r="F68" t="s">
        <v>75</v>
      </c>
      <c r="G68" s="17">
        <v>46314</v>
      </c>
      <c r="H68" s="18">
        <v>10</v>
      </c>
      <c r="I68" t="s">
        <v>195</v>
      </c>
      <c r="J68" t="s">
        <v>198</v>
      </c>
      <c r="K68" s="18">
        <v>10</v>
      </c>
      <c r="L68" t="s">
        <v>201</v>
      </c>
    </row>
    <row r="69" spans="1:12" x14ac:dyDescent="0.35">
      <c r="A69" t="s">
        <v>29</v>
      </c>
      <c r="B69" t="s">
        <v>18</v>
      </c>
      <c r="C69" t="s">
        <v>16</v>
      </c>
      <c r="D69" t="s">
        <v>94</v>
      </c>
      <c r="E69" t="s">
        <v>16</v>
      </c>
      <c r="F69" t="s">
        <v>95</v>
      </c>
      <c r="G69" s="17">
        <v>46314</v>
      </c>
      <c r="H69" s="18">
        <v>5</v>
      </c>
      <c r="I69" t="s">
        <v>195</v>
      </c>
      <c r="J69" t="s">
        <v>196</v>
      </c>
      <c r="K69" s="18">
        <v>31.5</v>
      </c>
      <c r="L69" t="s">
        <v>197</v>
      </c>
    </row>
    <row r="70" spans="1:12" x14ac:dyDescent="0.35">
      <c r="A70" t="s">
        <v>12</v>
      </c>
      <c r="B70" t="s">
        <v>36</v>
      </c>
      <c r="C70" t="s">
        <v>10</v>
      </c>
      <c r="D70" t="s">
        <v>9</v>
      </c>
      <c r="E70" t="s">
        <v>10</v>
      </c>
      <c r="F70" t="s">
        <v>89</v>
      </c>
      <c r="G70" s="17">
        <v>46314</v>
      </c>
      <c r="H70" s="18">
        <v>2.5</v>
      </c>
      <c r="I70" t="s">
        <v>195</v>
      </c>
      <c r="J70" t="s">
        <v>196</v>
      </c>
      <c r="K70" s="18">
        <v>17.5</v>
      </c>
      <c r="L70" t="s">
        <v>197</v>
      </c>
    </row>
    <row r="71" spans="1:12" x14ac:dyDescent="0.35">
      <c r="A71" t="s">
        <v>12</v>
      </c>
      <c r="B71" t="s">
        <v>23</v>
      </c>
      <c r="C71" t="s">
        <v>10</v>
      </c>
      <c r="D71" t="s">
        <v>9</v>
      </c>
      <c r="E71" t="s">
        <v>10</v>
      </c>
      <c r="F71" t="s">
        <v>78</v>
      </c>
      <c r="G71" s="17">
        <v>46314</v>
      </c>
      <c r="H71" s="18">
        <v>0.614035</v>
      </c>
      <c r="I71" t="s">
        <v>195</v>
      </c>
      <c r="J71" t="s">
        <v>196</v>
      </c>
      <c r="K71" s="18">
        <v>18.114035000000001</v>
      </c>
      <c r="L71" t="s">
        <v>197</v>
      </c>
    </row>
    <row r="72" spans="1:12" x14ac:dyDescent="0.35">
      <c r="A72" t="s">
        <v>12</v>
      </c>
      <c r="B72" t="s">
        <v>23</v>
      </c>
      <c r="C72" t="s">
        <v>10</v>
      </c>
      <c r="D72" t="s">
        <v>22</v>
      </c>
      <c r="E72" t="s">
        <v>10</v>
      </c>
      <c r="F72" t="s">
        <v>80</v>
      </c>
      <c r="G72" s="17">
        <v>46314</v>
      </c>
      <c r="H72" s="18">
        <v>1</v>
      </c>
      <c r="I72" t="s">
        <v>195</v>
      </c>
      <c r="J72" t="s">
        <v>196</v>
      </c>
      <c r="K72" s="18">
        <v>14</v>
      </c>
      <c r="L72" t="s">
        <v>197</v>
      </c>
    </row>
    <row r="73" spans="1:12" x14ac:dyDescent="0.35">
      <c r="A73" t="s">
        <v>12</v>
      </c>
      <c r="B73" t="s">
        <v>23</v>
      </c>
      <c r="C73" t="s">
        <v>10</v>
      </c>
      <c r="D73" t="s">
        <v>9</v>
      </c>
      <c r="E73" t="s">
        <v>10</v>
      </c>
      <c r="F73" t="s">
        <v>89</v>
      </c>
      <c r="G73" s="17">
        <v>46314</v>
      </c>
      <c r="H73" s="18">
        <v>5</v>
      </c>
      <c r="I73" t="s">
        <v>195</v>
      </c>
      <c r="J73" t="s">
        <v>196</v>
      </c>
      <c r="K73" s="18">
        <v>23.114035000000001</v>
      </c>
      <c r="L73" t="s">
        <v>197</v>
      </c>
    </row>
    <row r="74" spans="1:12" x14ac:dyDescent="0.35">
      <c r="A74" t="s">
        <v>12</v>
      </c>
      <c r="B74" t="s">
        <v>23</v>
      </c>
      <c r="C74" t="s">
        <v>10</v>
      </c>
      <c r="D74" t="s">
        <v>20</v>
      </c>
      <c r="E74" t="s">
        <v>10</v>
      </c>
      <c r="F74" t="s">
        <v>92</v>
      </c>
      <c r="G74" s="17">
        <v>46314</v>
      </c>
      <c r="H74" s="18">
        <v>1.5</v>
      </c>
      <c r="I74" t="s">
        <v>195</v>
      </c>
      <c r="J74" t="s">
        <v>196</v>
      </c>
      <c r="K74" s="18">
        <v>40</v>
      </c>
      <c r="L74" t="s">
        <v>197</v>
      </c>
    </row>
    <row r="75" spans="1:12" x14ac:dyDescent="0.35">
      <c r="A75" t="s">
        <v>12</v>
      </c>
      <c r="B75" t="s">
        <v>23</v>
      </c>
      <c r="C75" t="s">
        <v>10</v>
      </c>
      <c r="D75" t="s">
        <v>133</v>
      </c>
      <c r="E75" t="s">
        <v>10</v>
      </c>
      <c r="F75" t="s">
        <v>92</v>
      </c>
      <c r="G75" s="17">
        <v>46314</v>
      </c>
      <c r="H75" s="18">
        <v>6.5</v>
      </c>
      <c r="I75" t="s">
        <v>195</v>
      </c>
      <c r="J75" t="s">
        <v>198</v>
      </c>
      <c r="K75" s="18">
        <v>6.5</v>
      </c>
      <c r="L75" t="s">
        <v>197</v>
      </c>
    </row>
    <row r="76" spans="1:12" x14ac:dyDescent="0.35">
      <c r="A76" t="s">
        <v>12</v>
      </c>
      <c r="B76" t="s">
        <v>17</v>
      </c>
      <c r="C76" t="s">
        <v>14</v>
      </c>
      <c r="D76" t="s">
        <v>27</v>
      </c>
      <c r="E76" t="s">
        <v>14</v>
      </c>
      <c r="F76" t="s">
        <v>89</v>
      </c>
      <c r="G76" s="17">
        <v>46314</v>
      </c>
      <c r="H76" s="18">
        <v>2</v>
      </c>
      <c r="I76" t="s">
        <v>195</v>
      </c>
      <c r="J76" t="s">
        <v>196</v>
      </c>
      <c r="K76" s="18">
        <v>18</v>
      </c>
      <c r="L76" t="s">
        <v>197</v>
      </c>
    </row>
    <row r="77" spans="1:12" x14ac:dyDescent="0.35">
      <c r="A77" t="s">
        <v>12</v>
      </c>
      <c r="B77" t="s">
        <v>17</v>
      </c>
      <c r="C77" t="s">
        <v>14</v>
      </c>
      <c r="D77" t="s">
        <v>159</v>
      </c>
      <c r="E77" t="s">
        <v>14</v>
      </c>
      <c r="F77" t="s">
        <v>46</v>
      </c>
      <c r="G77" s="17">
        <v>46314</v>
      </c>
      <c r="H77" s="18">
        <v>3</v>
      </c>
      <c r="I77" t="s">
        <v>195</v>
      </c>
      <c r="J77" t="s">
        <v>196</v>
      </c>
      <c r="K77" s="18">
        <v>4.3846150000000002</v>
      </c>
      <c r="L77" t="s">
        <v>197</v>
      </c>
    </row>
    <row r="78" spans="1:12" x14ac:dyDescent="0.35">
      <c r="A78" t="s">
        <v>12</v>
      </c>
      <c r="B78" t="s">
        <v>24</v>
      </c>
      <c r="C78" t="s">
        <v>14</v>
      </c>
      <c r="D78" t="s">
        <v>13</v>
      </c>
      <c r="E78" t="s">
        <v>14</v>
      </c>
      <c r="F78" t="s">
        <v>78</v>
      </c>
      <c r="G78" s="17">
        <v>46314</v>
      </c>
      <c r="H78" s="18">
        <v>1.3461540000000001</v>
      </c>
      <c r="I78" t="s">
        <v>195</v>
      </c>
      <c r="J78" t="s">
        <v>196</v>
      </c>
      <c r="K78" s="18">
        <v>12.846154</v>
      </c>
      <c r="L78" t="s">
        <v>197</v>
      </c>
    </row>
    <row r="79" spans="1:12" x14ac:dyDescent="0.35">
      <c r="A79" t="s">
        <v>12</v>
      </c>
      <c r="B79" t="s">
        <v>24</v>
      </c>
      <c r="C79" t="s">
        <v>14</v>
      </c>
      <c r="D79" t="s">
        <v>27</v>
      </c>
      <c r="E79" t="s">
        <v>14</v>
      </c>
      <c r="F79" t="s">
        <v>89</v>
      </c>
      <c r="G79" s="17">
        <v>46314</v>
      </c>
      <c r="H79" s="18">
        <v>5</v>
      </c>
      <c r="I79" t="s">
        <v>195</v>
      </c>
      <c r="J79" t="s">
        <v>196</v>
      </c>
      <c r="K79" s="18">
        <v>23</v>
      </c>
      <c r="L79" t="s">
        <v>197</v>
      </c>
    </row>
    <row r="80" spans="1:12" x14ac:dyDescent="0.35">
      <c r="A80" t="s">
        <v>12</v>
      </c>
      <c r="B80" t="s">
        <v>18</v>
      </c>
      <c r="C80" t="s">
        <v>16</v>
      </c>
      <c r="D80" t="s">
        <v>15</v>
      </c>
      <c r="E80" t="s">
        <v>16</v>
      </c>
      <c r="F80" t="s">
        <v>77</v>
      </c>
      <c r="G80" s="17">
        <v>46314</v>
      </c>
      <c r="H80" s="18">
        <v>1.4035089999999999</v>
      </c>
      <c r="I80" t="s">
        <v>195</v>
      </c>
      <c r="J80" t="s">
        <v>196</v>
      </c>
      <c r="K80" s="18">
        <v>14.057017999999999</v>
      </c>
      <c r="L80" t="s">
        <v>197</v>
      </c>
    </row>
    <row r="81" spans="1:12" x14ac:dyDescent="0.35">
      <c r="A81" t="s">
        <v>12</v>
      </c>
      <c r="B81" t="s">
        <v>18</v>
      </c>
      <c r="C81" t="s">
        <v>16</v>
      </c>
      <c r="D81" t="s">
        <v>15</v>
      </c>
      <c r="E81" t="s">
        <v>16</v>
      </c>
      <c r="F81" t="s">
        <v>78</v>
      </c>
      <c r="G81" s="17">
        <v>46314</v>
      </c>
      <c r="H81" s="18">
        <v>0.25</v>
      </c>
      <c r="I81" t="s">
        <v>195</v>
      </c>
      <c r="J81" t="s">
        <v>196</v>
      </c>
      <c r="K81" s="18">
        <v>12.653509</v>
      </c>
      <c r="L81" t="s">
        <v>197</v>
      </c>
    </row>
    <row r="82" spans="1:12" x14ac:dyDescent="0.35">
      <c r="A82" t="s">
        <v>12</v>
      </c>
      <c r="B82" t="s">
        <v>18</v>
      </c>
      <c r="C82" t="s">
        <v>16</v>
      </c>
      <c r="D82" t="s">
        <v>94</v>
      </c>
      <c r="E82" t="s">
        <v>16</v>
      </c>
      <c r="F82" t="s">
        <v>89</v>
      </c>
      <c r="G82" s="17">
        <v>46314</v>
      </c>
      <c r="H82" s="18">
        <v>1</v>
      </c>
      <c r="I82" t="s">
        <v>195</v>
      </c>
      <c r="J82" t="s">
        <v>196</v>
      </c>
      <c r="K82" s="18">
        <v>26.5</v>
      </c>
      <c r="L82" t="s">
        <v>197</v>
      </c>
    </row>
    <row r="83" spans="1:12" x14ac:dyDescent="0.35">
      <c r="A83" t="s">
        <v>12</v>
      </c>
      <c r="B83" t="s">
        <v>18</v>
      </c>
      <c r="C83" t="s">
        <v>16</v>
      </c>
      <c r="D83" t="s">
        <v>84</v>
      </c>
      <c r="E83" t="s">
        <v>16</v>
      </c>
      <c r="F83" t="s">
        <v>81</v>
      </c>
      <c r="G83" s="17">
        <v>46314</v>
      </c>
      <c r="H83" s="18">
        <v>1</v>
      </c>
      <c r="I83" t="s">
        <v>195</v>
      </c>
      <c r="J83" t="s">
        <v>196</v>
      </c>
      <c r="K83" s="18">
        <v>34.929825000000001</v>
      </c>
      <c r="L83" t="s">
        <v>197</v>
      </c>
    </row>
    <row r="84" spans="1:12" x14ac:dyDescent="0.35">
      <c r="A84" t="s">
        <v>12</v>
      </c>
      <c r="B84" t="s">
        <v>18</v>
      </c>
      <c r="C84" t="s">
        <v>16</v>
      </c>
      <c r="D84" t="s">
        <v>15</v>
      </c>
      <c r="E84" t="s">
        <v>16</v>
      </c>
      <c r="F84" t="s">
        <v>103</v>
      </c>
      <c r="G84" s="17">
        <v>46314</v>
      </c>
      <c r="H84" s="18">
        <v>10</v>
      </c>
      <c r="I84" t="s">
        <v>195</v>
      </c>
      <c r="J84" t="s">
        <v>198</v>
      </c>
      <c r="K84" s="18">
        <v>26.057017999999999</v>
      </c>
      <c r="L84" t="s">
        <v>197</v>
      </c>
    </row>
    <row r="85" spans="1:12" x14ac:dyDescent="0.35">
      <c r="A85" t="s">
        <v>12</v>
      </c>
      <c r="B85" t="s">
        <v>18</v>
      </c>
      <c r="C85" t="s">
        <v>16</v>
      </c>
      <c r="D85" t="s">
        <v>15</v>
      </c>
      <c r="E85" t="s">
        <v>16</v>
      </c>
      <c r="F85" t="s">
        <v>98</v>
      </c>
      <c r="G85" s="17">
        <v>46314</v>
      </c>
      <c r="H85" s="18">
        <v>2</v>
      </c>
      <c r="I85" t="s">
        <v>195</v>
      </c>
      <c r="J85" t="s">
        <v>196</v>
      </c>
      <c r="K85" s="18">
        <v>16.057017999999999</v>
      </c>
      <c r="L85" t="s">
        <v>197</v>
      </c>
    </row>
    <row r="86" spans="1:12" x14ac:dyDescent="0.35">
      <c r="A86" t="s">
        <v>12</v>
      </c>
      <c r="B86" t="s">
        <v>18</v>
      </c>
      <c r="C86" t="s">
        <v>16</v>
      </c>
      <c r="D86" t="s">
        <v>84</v>
      </c>
      <c r="E86" t="s">
        <v>16</v>
      </c>
      <c r="F86" t="s">
        <v>92</v>
      </c>
      <c r="G86" s="17">
        <v>46314</v>
      </c>
      <c r="H86" s="18">
        <v>1.754386</v>
      </c>
      <c r="I86" t="s">
        <v>195</v>
      </c>
      <c r="J86" t="s">
        <v>196</v>
      </c>
      <c r="K86" s="18">
        <v>36.684210999999998</v>
      </c>
      <c r="L86" t="s">
        <v>197</v>
      </c>
    </row>
    <row r="87" spans="1:12" x14ac:dyDescent="0.35">
      <c r="A87" t="s">
        <v>12</v>
      </c>
      <c r="B87" t="s">
        <v>18</v>
      </c>
      <c r="C87" t="s">
        <v>16</v>
      </c>
      <c r="D87" t="s">
        <v>25</v>
      </c>
      <c r="E87" t="s">
        <v>16</v>
      </c>
      <c r="F87" t="s">
        <v>92</v>
      </c>
      <c r="G87" s="17">
        <v>46314</v>
      </c>
      <c r="H87" s="18">
        <v>5.2456139999999998</v>
      </c>
      <c r="I87" t="s">
        <v>195</v>
      </c>
      <c r="J87" t="s">
        <v>196</v>
      </c>
      <c r="K87" s="18">
        <v>40</v>
      </c>
      <c r="L87" t="s">
        <v>197</v>
      </c>
    </row>
    <row r="88" spans="1:12" x14ac:dyDescent="0.35">
      <c r="A88" t="s">
        <v>12</v>
      </c>
      <c r="B88" t="s">
        <v>105</v>
      </c>
      <c r="C88" t="s">
        <v>10</v>
      </c>
      <c r="D88" t="s">
        <v>133</v>
      </c>
      <c r="E88" t="s">
        <v>10</v>
      </c>
      <c r="F88" t="s">
        <v>92</v>
      </c>
      <c r="G88" s="17">
        <v>46314</v>
      </c>
      <c r="H88" s="18">
        <v>10</v>
      </c>
      <c r="I88" t="s">
        <v>199</v>
      </c>
      <c r="J88" t="s">
        <v>198</v>
      </c>
      <c r="K88" s="18">
        <v>16.5</v>
      </c>
      <c r="L88" t="s">
        <v>197</v>
      </c>
    </row>
    <row r="89" spans="1:12" x14ac:dyDescent="0.35">
      <c r="A89" t="s">
        <v>12</v>
      </c>
      <c r="B89" t="s">
        <v>110</v>
      </c>
      <c r="C89" t="s">
        <v>10</v>
      </c>
      <c r="D89" t="s">
        <v>132</v>
      </c>
      <c r="E89" t="s">
        <v>10</v>
      </c>
      <c r="F89" t="s">
        <v>92</v>
      </c>
      <c r="G89" s="17">
        <v>46314</v>
      </c>
      <c r="H89" s="18">
        <v>10</v>
      </c>
      <c r="I89" t="s">
        <v>199</v>
      </c>
      <c r="J89" t="s">
        <v>198</v>
      </c>
      <c r="K89" s="18">
        <v>21</v>
      </c>
      <c r="L89" t="s">
        <v>197</v>
      </c>
    </row>
    <row r="90" spans="1:12" x14ac:dyDescent="0.35">
      <c r="A90" t="s">
        <v>12</v>
      </c>
      <c r="B90" t="s">
        <v>169</v>
      </c>
      <c r="C90" t="s">
        <v>14</v>
      </c>
      <c r="D90" t="s">
        <v>27</v>
      </c>
      <c r="E90" t="s">
        <v>14</v>
      </c>
      <c r="F90" t="s">
        <v>89</v>
      </c>
      <c r="G90" s="17">
        <v>46314</v>
      </c>
      <c r="H90" s="18">
        <v>5</v>
      </c>
      <c r="I90" t="s">
        <v>199</v>
      </c>
      <c r="J90" t="s">
        <v>196</v>
      </c>
      <c r="K90" s="18">
        <v>28</v>
      </c>
      <c r="L90" t="s">
        <v>197</v>
      </c>
    </row>
    <row r="91" spans="1:12" x14ac:dyDescent="0.35">
      <c r="A91" t="s">
        <v>12</v>
      </c>
      <c r="B91" t="s">
        <v>174</v>
      </c>
      <c r="C91" t="s">
        <v>14</v>
      </c>
      <c r="D91" t="s">
        <v>30</v>
      </c>
      <c r="E91" t="s">
        <v>14</v>
      </c>
      <c r="F91" t="s">
        <v>81</v>
      </c>
      <c r="G91" s="17">
        <v>46314</v>
      </c>
      <c r="H91" s="18">
        <v>2</v>
      </c>
      <c r="I91" t="s">
        <v>199</v>
      </c>
      <c r="J91" t="s">
        <v>196</v>
      </c>
      <c r="K91" s="18">
        <v>31</v>
      </c>
      <c r="L91" t="s">
        <v>197</v>
      </c>
    </row>
    <row r="92" spans="1:12" x14ac:dyDescent="0.35">
      <c r="A92" t="s">
        <v>12</v>
      </c>
      <c r="B92" t="s">
        <v>180</v>
      </c>
      <c r="C92" t="s">
        <v>14</v>
      </c>
      <c r="D92" t="s">
        <v>13</v>
      </c>
      <c r="E92" t="s">
        <v>14</v>
      </c>
      <c r="F92" t="s">
        <v>98</v>
      </c>
      <c r="G92" s="17">
        <v>46314</v>
      </c>
      <c r="H92" s="18">
        <v>25</v>
      </c>
      <c r="I92" t="s">
        <v>199</v>
      </c>
      <c r="J92" t="s">
        <v>196</v>
      </c>
      <c r="K92" s="18">
        <v>37.846153999999999</v>
      </c>
      <c r="L92" t="s">
        <v>197</v>
      </c>
    </row>
    <row r="93" spans="1:12" x14ac:dyDescent="0.35">
      <c r="A93" t="s">
        <v>12</v>
      </c>
      <c r="B93" t="s">
        <v>45</v>
      </c>
      <c r="C93" t="s">
        <v>14</v>
      </c>
      <c r="D93" t="s">
        <v>159</v>
      </c>
      <c r="E93" t="s">
        <v>14</v>
      </c>
      <c r="F93" t="s">
        <v>46</v>
      </c>
      <c r="G93" s="17">
        <v>46314</v>
      </c>
      <c r="H93" s="18">
        <v>1.5</v>
      </c>
      <c r="I93" t="s">
        <v>200</v>
      </c>
      <c r="J93" t="s">
        <v>196</v>
      </c>
      <c r="K93" s="18">
        <v>5.8846150000000002</v>
      </c>
      <c r="L93" t="s">
        <v>197</v>
      </c>
    </row>
    <row r="94" spans="1:12" x14ac:dyDescent="0.35">
      <c r="A94" t="s">
        <v>12</v>
      </c>
      <c r="B94" t="s">
        <v>184</v>
      </c>
      <c r="C94" t="s">
        <v>14</v>
      </c>
      <c r="D94" t="s">
        <v>26</v>
      </c>
      <c r="E94" t="s">
        <v>14</v>
      </c>
      <c r="F94" t="s">
        <v>80</v>
      </c>
      <c r="G94" s="17">
        <v>46314</v>
      </c>
      <c r="H94" s="18">
        <v>11.9</v>
      </c>
      <c r="I94" t="s">
        <v>199</v>
      </c>
      <c r="J94" t="s">
        <v>196</v>
      </c>
      <c r="K94" s="18">
        <v>40</v>
      </c>
      <c r="L94" t="s">
        <v>197</v>
      </c>
    </row>
    <row r="95" spans="1:12" x14ac:dyDescent="0.35">
      <c r="A95" t="s">
        <v>12</v>
      </c>
      <c r="B95" t="s">
        <v>184</v>
      </c>
      <c r="C95" t="s">
        <v>14</v>
      </c>
      <c r="D95" t="s">
        <v>162</v>
      </c>
      <c r="E95" t="s">
        <v>14</v>
      </c>
      <c r="F95" t="s">
        <v>80</v>
      </c>
      <c r="G95" s="17">
        <v>46314</v>
      </c>
      <c r="H95" s="18">
        <v>3.1</v>
      </c>
      <c r="I95" t="s">
        <v>199</v>
      </c>
      <c r="J95" t="s">
        <v>198</v>
      </c>
      <c r="K95" s="18">
        <v>3.1</v>
      </c>
      <c r="L95" t="s">
        <v>197</v>
      </c>
    </row>
    <row r="96" spans="1:12" x14ac:dyDescent="0.35">
      <c r="A96" t="s">
        <v>12</v>
      </c>
      <c r="B96" t="s">
        <v>178</v>
      </c>
      <c r="C96" t="s">
        <v>14</v>
      </c>
      <c r="D96" t="s">
        <v>170</v>
      </c>
      <c r="E96" t="s">
        <v>14</v>
      </c>
      <c r="F96" t="s">
        <v>103</v>
      </c>
      <c r="G96" s="17">
        <v>46314</v>
      </c>
      <c r="H96" s="18">
        <v>15</v>
      </c>
      <c r="I96" t="s">
        <v>199</v>
      </c>
      <c r="J96" t="s">
        <v>196</v>
      </c>
      <c r="K96" s="18">
        <v>15</v>
      </c>
      <c r="L96" t="s">
        <v>197</v>
      </c>
    </row>
    <row r="97" spans="1:12" x14ac:dyDescent="0.35">
      <c r="A97" t="s">
        <v>29</v>
      </c>
      <c r="B97" t="s">
        <v>28</v>
      </c>
      <c r="C97" t="s">
        <v>10</v>
      </c>
      <c r="D97" t="s">
        <v>121</v>
      </c>
      <c r="E97" t="s">
        <v>10</v>
      </c>
      <c r="F97" t="s">
        <v>75</v>
      </c>
      <c r="G97" s="17">
        <v>46321</v>
      </c>
      <c r="H97" s="18">
        <v>10</v>
      </c>
      <c r="I97" t="s">
        <v>195</v>
      </c>
      <c r="J97" t="s">
        <v>196</v>
      </c>
      <c r="K97" s="18">
        <v>10</v>
      </c>
      <c r="L97" t="s">
        <v>201</v>
      </c>
    </row>
    <row r="98" spans="1:12" x14ac:dyDescent="0.35">
      <c r="A98" t="s">
        <v>29</v>
      </c>
      <c r="B98" t="s">
        <v>18</v>
      </c>
      <c r="C98" t="s">
        <v>16</v>
      </c>
      <c r="D98" t="s">
        <v>94</v>
      </c>
      <c r="E98" t="s">
        <v>16</v>
      </c>
      <c r="F98" t="s">
        <v>95</v>
      </c>
      <c r="G98" s="17">
        <v>46321</v>
      </c>
      <c r="H98" s="18">
        <v>5</v>
      </c>
      <c r="I98" t="s">
        <v>195</v>
      </c>
      <c r="J98" t="s">
        <v>196</v>
      </c>
      <c r="K98" s="18">
        <v>32.5</v>
      </c>
      <c r="L98" t="s">
        <v>197</v>
      </c>
    </row>
    <row r="99" spans="1:12" x14ac:dyDescent="0.35">
      <c r="A99" t="s">
        <v>12</v>
      </c>
      <c r="B99" t="s">
        <v>23</v>
      </c>
      <c r="C99" t="s">
        <v>10</v>
      </c>
      <c r="D99" t="s">
        <v>9</v>
      </c>
      <c r="E99" t="s">
        <v>10</v>
      </c>
      <c r="F99" t="s">
        <v>78</v>
      </c>
      <c r="G99" s="17">
        <v>46321</v>
      </c>
      <c r="H99" s="18">
        <v>0.614035</v>
      </c>
      <c r="I99" t="s">
        <v>195</v>
      </c>
      <c r="J99" t="s">
        <v>196</v>
      </c>
      <c r="K99" s="18">
        <v>15.614034999999999</v>
      </c>
      <c r="L99" t="s">
        <v>197</v>
      </c>
    </row>
    <row r="100" spans="1:12" x14ac:dyDescent="0.35">
      <c r="A100" t="s">
        <v>12</v>
      </c>
      <c r="B100" t="s">
        <v>23</v>
      </c>
      <c r="C100" t="s">
        <v>10</v>
      </c>
      <c r="D100" t="s">
        <v>22</v>
      </c>
      <c r="E100" t="s">
        <v>10</v>
      </c>
      <c r="F100" t="s">
        <v>80</v>
      </c>
      <c r="G100" s="17">
        <v>46321</v>
      </c>
      <c r="H100" s="18">
        <v>6</v>
      </c>
      <c r="I100" t="s">
        <v>195</v>
      </c>
      <c r="J100" t="s">
        <v>196</v>
      </c>
      <c r="K100" s="18">
        <v>6</v>
      </c>
      <c r="L100" t="s">
        <v>197</v>
      </c>
    </row>
    <row r="101" spans="1:12" x14ac:dyDescent="0.35">
      <c r="A101" t="s">
        <v>12</v>
      </c>
      <c r="B101" t="s">
        <v>23</v>
      </c>
      <c r="C101" t="s">
        <v>10</v>
      </c>
      <c r="D101" t="s">
        <v>9</v>
      </c>
      <c r="E101" t="s">
        <v>10</v>
      </c>
      <c r="F101" t="s">
        <v>89</v>
      </c>
      <c r="G101" s="17">
        <v>46321</v>
      </c>
      <c r="H101" s="18">
        <v>5</v>
      </c>
      <c r="I101" t="s">
        <v>195</v>
      </c>
      <c r="J101" t="s">
        <v>196</v>
      </c>
      <c r="K101" s="18">
        <v>20.614035000000001</v>
      </c>
      <c r="L101" t="s">
        <v>197</v>
      </c>
    </row>
    <row r="102" spans="1:12" x14ac:dyDescent="0.35">
      <c r="A102" t="s">
        <v>12</v>
      </c>
      <c r="B102" t="s">
        <v>23</v>
      </c>
      <c r="C102" t="s">
        <v>10</v>
      </c>
      <c r="D102" t="s">
        <v>20</v>
      </c>
      <c r="E102" t="s">
        <v>10</v>
      </c>
      <c r="F102" t="s">
        <v>92</v>
      </c>
      <c r="G102" s="17">
        <v>46321</v>
      </c>
      <c r="H102" s="18">
        <v>6</v>
      </c>
      <c r="I102" t="s">
        <v>195</v>
      </c>
      <c r="J102" t="s">
        <v>196</v>
      </c>
      <c r="K102" s="18">
        <v>36.5</v>
      </c>
      <c r="L102" t="s">
        <v>197</v>
      </c>
    </row>
    <row r="103" spans="1:12" x14ac:dyDescent="0.35">
      <c r="A103" t="s">
        <v>12</v>
      </c>
      <c r="B103" t="s">
        <v>17</v>
      </c>
      <c r="C103" t="s">
        <v>14</v>
      </c>
      <c r="D103" t="s">
        <v>27</v>
      </c>
      <c r="E103" t="s">
        <v>14</v>
      </c>
      <c r="F103" t="s">
        <v>89</v>
      </c>
      <c r="G103" s="17">
        <v>46321</v>
      </c>
      <c r="H103" s="18">
        <v>3</v>
      </c>
      <c r="I103" t="s">
        <v>195</v>
      </c>
      <c r="J103" t="s">
        <v>196</v>
      </c>
      <c r="K103" s="18">
        <v>14</v>
      </c>
      <c r="L103" t="s">
        <v>197</v>
      </c>
    </row>
    <row r="104" spans="1:12" x14ac:dyDescent="0.35">
      <c r="A104" t="s">
        <v>12</v>
      </c>
      <c r="B104" t="s">
        <v>17</v>
      </c>
      <c r="C104" t="s">
        <v>14</v>
      </c>
      <c r="D104" t="s">
        <v>159</v>
      </c>
      <c r="E104" t="s">
        <v>14</v>
      </c>
      <c r="F104" t="s">
        <v>46</v>
      </c>
      <c r="G104" s="17">
        <v>46321</v>
      </c>
      <c r="H104" s="18">
        <v>3</v>
      </c>
      <c r="I104" t="s">
        <v>195</v>
      </c>
      <c r="J104" t="s">
        <v>196</v>
      </c>
      <c r="K104" s="18">
        <v>4.3846150000000002</v>
      </c>
      <c r="L104" t="s">
        <v>197</v>
      </c>
    </row>
    <row r="105" spans="1:12" x14ac:dyDescent="0.35">
      <c r="A105" t="s">
        <v>12</v>
      </c>
      <c r="B105" t="s">
        <v>21</v>
      </c>
      <c r="C105" t="s">
        <v>14</v>
      </c>
      <c r="D105" t="s">
        <v>27</v>
      </c>
      <c r="E105" t="s">
        <v>14</v>
      </c>
      <c r="F105" t="s">
        <v>89</v>
      </c>
      <c r="G105" s="17">
        <v>46321</v>
      </c>
      <c r="H105" s="18">
        <v>5</v>
      </c>
      <c r="I105" t="s">
        <v>195</v>
      </c>
      <c r="J105" t="s">
        <v>196</v>
      </c>
      <c r="K105" s="18">
        <v>19</v>
      </c>
      <c r="L105" t="s">
        <v>197</v>
      </c>
    </row>
    <row r="106" spans="1:12" x14ac:dyDescent="0.35">
      <c r="A106" t="s">
        <v>12</v>
      </c>
      <c r="B106" t="s">
        <v>21</v>
      </c>
      <c r="C106" t="s">
        <v>14</v>
      </c>
      <c r="D106" t="s">
        <v>13</v>
      </c>
      <c r="E106" t="s">
        <v>14</v>
      </c>
      <c r="F106" t="s">
        <v>43</v>
      </c>
      <c r="G106" s="17">
        <v>46321</v>
      </c>
      <c r="H106" s="18">
        <v>1</v>
      </c>
      <c r="I106" t="s">
        <v>195</v>
      </c>
      <c r="J106" t="s">
        <v>196</v>
      </c>
      <c r="K106" s="18">
        <v>30</v>
      </c>
      <c r="L106" t="s">
        <v>197</v>
      </c>
    </row>
    <row r="107" spans="1:12" x14ac:dyDescent="0.35">
      <c r="A107" t="s">
        <v>12</v>
      </c>
      <c r="B107" t="s">
        <v>18</v>
      </c>
      <c r="C107" t="s">
        <v>16</v>
      </c>
      <c r="D107" t="s">
        <v>15</v>
      </c>
      <c r="E107" t="s">
        <v>16</v>
      </c>
      <c r="F107" t="s">
        <v>77</v>
      </c>
      <c r="G107" s="17">
        <v>46321</v>
      </c>
      <c r="H107" s="18">
        <v>1.4035089999999999</v>
      </c>
      <c r="I107" t="s">
        <v>195</v>
      </c>
      <c r="J107" t="s">
        <v>196</v>
      </c>
      <c r="K107" s="18">
        <v>10.057017999999999</v>
      </c>
      <c r="L107" t="s">
        <v>197</v>
      </c>
    </row>
    <row r="108" spans="1:12" x14ac:dyDescent="0.35">
      <c r="A108" t="s">
        <v>12</v>
      </c>
      <c r="B108" t="s">
        <v>18</v>
      </c>
      <c r="C108" t="s">
        <v>16</v>
      </c>
      <c r="D108" t="s">
        <v>15</v>
      </c>
      <c r="E108" t="s">
        <v>16</v>
      </c>
      <c r="F108" t="s">
        <v>78</v>
      </c>
      <c r="G108" s="17">
        <v>46321</v>
      </c>
      <c r="H108" s="18">
        <v>0.25</v>
      </c>
      <c r="I108" t="s">
        <v>195</v>
      </c>
      <c r="J108" t="s">
        <v>196</v>
      </c>
      <c r="K108" s="18">
        <v>8.6535089999999997</v>
      </c>
      <c r="L108" t="s">
        <v>197</v>
      </c>
    </row>
    <row r="109" spans="1:12" x14ac:dyDescent="0.35">
      <c r="A109" t="s">
        <v>12</v>
      </c>
      <c r="B109" t="s">
        <v>18</v>
      </c>
      <c r="C109" t="s">
        <v>16</v>
      </c>
      <c r="D109" t="s">
        <v>94</v>
      </c>
      <c r="E109" t="s">
        <v>16</v>
      </c>
      <c r="F109" t="s">
        <v>89</v>
      </c>
      <c r="G109" s="17">
        <v>46321</v>
      </c>
      <c r="H109" s="18">
        <v>2</v>
      </c>
      <c r="I109" t="s">
        <v>195</v>
      </c>
      <c r="J109" t="s">
        <v>196</v>
      </c>
      <c r="K109" s="18">
        <v>27.5</v>
      </c>
      <c r="L109" t="s">
        <v>197</v>
      </c>
    </row>
    <row r="110" spans="1:12" x14ac:dyDescent="0.35">
      <c r="A110" t="s">
        <v>12</v>
      </c>
      <c r="B110" t="s">
        <v>18</v>
      </c>
      <c r="C110" t="s">
        <v>16</v>
      </c>
      <c r="D110" t="s">
        <v>84</v>
      </c>
      <c r="E110" t="s">
        <v>16</v>
      </c>
      <c r="F110" t="s">
        <v>81</v>
      </c>
      <c r="G110" s="17">
        <v>46321</v>
      </c>
      <c r="H110" s="18">
        <v>1</v>
      </c>
      <c r="I110" t="s">
        <v>195</v>
      </c>
      <c r="J110" t="s">
        <v>196</v>
      </c>
      <c r="K110" s="18">
        <v>34.929825000000001</v>
      </c>
      <c r="L110" t="s">
        <v>197</v>
      </c>
    </row>
    <row r="111" spans="1:12" x14ac:dyDescent="0.35">
      <c r="A111" t="s">
        <v>12</v>
      </c>
      <c r="B111" t="s">
        <v>18</v>
      </c>
      <c r="C111" t="s">
        <v>16</v>
      </c>
      <c r="D111" t="s">
        <v>15</v>
      </c>
      <c r="E111" t="s">
        <v>16</v>
      </c>
      <c r="F111" t="s">
        <v>103</v>
      </c>
      <c r="G111" s="17">
        <v>46321</v>
      </c>
      <c r="H111" s="18">
        <v>6.8543860000000096</v>
      </c>
      <c r="I111" t="s">
        <v>195</v>
      </c>
      <c r="J111" t="s">
        <v>198</v>
      </c>
      <c r="K111" s="18">
        <v>16.911404000000001</v>
      </c>
      <c r="L111" t="s">
        <v>197</v>
      </c>
    </row>
    <row r="112" spans="1:12" x14ac:dyDescent="0.35">
      <c r="A112" t="s">
        <v>12</v>
      </c>
      <c r="B112" t="s">
        <v>18</v>
      </c>
      <c r="C112" t="s">
        <v>16</v>
      </c>
      <c r="D112" t="s">
        <v>25</v>
      </c>
      <c r="E112" t="s">
        <v>16</v>
      </c>
      <c r="F112" t="s">
        <v>103</v>
      </c>
      <c r="G112" s="17">
        <v>46321</v>
      </c>
      <c r="H112" s="18">
        <v>3.1456140000000001</v>
      </c>
      <c r="I112" t="s">
        <v>195</v>
      </c>
      <c r="J112" t="s">
        <v>196</v>
      </c>
      <c r="K112" s="18">
        <v>40</v>
      </c>
      <c r="L112" t="s">
        <v>197</v>
      </c>
    </row>
    <row r="113" spans="1:12" x14ac:dyDescent="0.35">
      <c r="A113" t="s">
        <v>12</v>
      </c>
      <c r="B113" t="s">
        <v>18</v>
      </c>
      <c r="C113" t="s">
        <v>16</v>
      </c>
      <c r="D113" t="s">
        <v>84</v>
      </c>
      <c r="E113" t="s">
        <v>16</v>
      </c>
      <c r="F113" t="s">
        <v>92</v>
      </c>
      <c r="G113" s="17">
        <v>46321</v>
      </c>
      <c r="H113" s="18">
        <v>5.0701749999999999</v>
      </c>
      <c r="I113" t="s">
        <v>195</v>
      </c>
      <c r="J113" t="s">
        <v>196</v>
      </c>
      <c r="K113" s="18">
        <v>40</v>
      </c>
      <c r="L113" t="s">
        <v>197</v>
      </c>
    </row>
    <row r="114" spans="1:12" x14ac:dyDescent="0.35">
      <c r="A114" t="s">
        <v>12</v>
      </c>
      <c r="B114" t="s">
        <v>18</v>
      </c>
      <c r="C114" t="s">
        <v>16</v>
      </c>
      <c r="D114" t="s">
        <v>15</v>
      </c>
      <c r="E114" t="s">
        <v>16</v>
      </c>
      <c r="F114" t="s">
        <v>92</v>
      </c>
      <c r="G114" s="17">
        <v>46321</v>
      </c>
      <c r="H114" s="18">
        <v>4.9298250000000001</v>
      </c>
      <c r="I114" t="s">
        <v>195</v>
      </c>
      <c r="J114" t="s">
        <v>198</v>
      </c>
      <c r="K114" s="18">
        <v>21.841228999999998</v>
      </c>
      <c r="L114" t="s">
        <v>197</v>
      </c>
    </row>
    <row r="115" spans="1:12" x14ac:dyDescent="0.35">
      <c r="A115" t="s">
        <v>12</v>
      </c>
      <c r="B115" t="s">
        <v>105</v>
      </c>
      <c r="C115" t="s">
        <v>10</v>
      </c>
      <c r="D115" t="s">
        <v>36</v>
      </c>
      <c r="E115" t="s">
        <v>10</v>
      </c>
      <c r="F115" t="s">
        <v>92</v>
      </c>
      <c r="G115" s="17">
        <v>46321</v>
      </c>
      <c r="H115" s="18">
        <v>8</v>
      </c>
      <c r="I115" t="s">
        <v>199</v>
      </c>
      <c r="J115" t="s">
        <v>196</v>
      </c>
      <c r="K115" s="18">
        <v>39.5</v>
      </c>
      <c r="L115" t="s">
        <v>197</v>
      </c>
    </row>
    <row r="116" spans="1:12" x14ac:dyDescent="0.35">
      <c r="A116" t="s">
        <v>12</v>
      </c>
      <c r="B116" t="s">
        <v>110</v>
      </c>
      <c r="C116" t="s">
        <v>10</v>
      </c>
      <c r="D116" t="s">
        <v>36</v>
      </c>
      <c r="E116" t="s">
        <v>10</v>
      </c>
      <c r="F116" t="s">
        <v>92</v>
      </c>
      <c r="G116" s="17">
        <v>46321</v>
      </c>
      <c r="H116" s="18">
        <v>0.5</v>
      </c>
      <c r="I116" t="s">
        <v>199</v>
      </c>
      <c r="J116" t="s">
        <v>196</v>
      </c>
      <c r="K116" s="18">
        <v>40</v>
      </c>
      <c r="L116" t="s">
        <v>197</v>
      </c>
    </row>
    <row r="117" spans="1:12" x14ac:dyDescent="0.35">
      <c r="A117" t="s">
        <v>12</v>
      </c>
      <c r="B117" t="s">
        <v>110</v>
      </c>
      <c r="C117" t="s">
        <v>10</v>
      </c>
      <c r="D117" t="s">
        <v>20</v>
      </c>
      <c r="E117" t="s">
        <v>10</v>
      </c>
      <c r="F117" t="s">
        <v>92</v>
      </c>
      <c r="G117" s="17">
        <v>46321</v>
      </c>
      <c r="H117" s="18">
        <v>3.5</v>
      </c>
      <c r="I117" t="s">
        <v>199</v>
      </c>
      <c r="J117" t="s">
        <v>196</v>
      </c>
      <c r="K117" s="18">
        <v>40</v>
      </c>
      <c r="L117" t="s">
        <v>197</v>
      </c>
    </row>
    <row r="118" spans="1:12" x14ac:dyDescent="0.35">
      <c r="A118" t="s">
        <v>12</v>
      </c>
      <c r="B118" t="s">
        <v>110</v>
      </c>
      <c r="C118" t="s">
        <v>10</v>
      </c>
      <c r="D118" t="s">
        <v>133</v>
      </c>
      <c r="E118" t="s">
        <v>10</v>
      </c>
      <c r="F118" t="s">
        <v>92</v>
      </c>
      <c r="G118" s="17">
        <v>46321</v>
      </c>
      <c r="H118" s="18">
        <v>6</v>
      </c>
      <c r="I118" t="s">
        <v>199</v>
      </c>
      <c r="J118" t="s">
        <v>198</v>
      </c>
      <c r="K118" s="18">
        <v>6</v>
      </c>
      <c r="L118" t="s">
        <v>197</v>
      </c>
    </row>
    <row r="119" spans="1:12" x14ac:dyDescent="0.35">
      <c r="A119" t="s">
        <v>12</v>
      </c>
      <c r="B119" t="s">
        <v>169</v>
      </c>
      <c r="C119" t="s">
        <v>14</v>
      </c>
      <c r="D119" t="s">
        <v>27</v>
      </c>
      <c r="E119" t="s">
        <v>14</v>
      </c>
      <c r="F119" t="s">
        <v>89</v>
      </c>
      <c r="G119" s="17">
        <v>46321</v>
      </c>
      <c r="H119" s="18">
        <v>5</v>
      </c>
      <c r="I119" t="s">
        <v>199</v>
      </c>
      <c r="J119" t="s">
        <v>196</v>
      </c>
      <c r="K119" s="18">
        <v>24</v>
      </c>
      <c r="L119" t="s">
        <v>197</v>
      </c>
    </row>
    <row r="120" spans="1:12" x14ac:dyDescent="0.35">
      <c r="A120" t="s">
        <v>12</v>
      </c>
      <c r="B120" t="s">
        <v>174</v>
      </c>
      <c r="C120" t="s">
        <v>14</v>
      </c>
      <c r="D120" t="s">
        <v>30</v>
      </c>
      <c r="E120" t="s">
        <v>14</v>
      </c>
      <c r="F120" t="s">
        <v>81</v>
      </c>
      <c r="G120" s="17">
        <v>46321</v>
      </c>
      <c r="H120" s="18">
        <v>2</v>
      </c>
      <c r="I120" t="s">
        <v>199</v>
      </c>
      <c r="J120" t="s">
        <v>196</v>
      </c>
      <c r="K120" s="18">
        <v>19</v>
      </c>
      <c r="L120" t="s">
        <v>197</v>
      </c>
    </row>
    <row r="121" spans="1:12" x14ac:dyDescent="0.35">
      <c r="A121" t="s">
        <v>12</v>
      </c>
      <c r="B121" t="s">
        <v>45</v>
      </c>
      <c r="C121" t="s">
        <v>14</v>
      </c>
      <c r="D121" t="s">
        <v>159</v>
      </c>
      <c r="E121" t="s">
        <v>14</v>
      </c>
      <c r="F121" t="s">
        <v>46</v>
      </c>
      <c r="G121" s="17">
        <v>46321</v>
      </c>
      <c r="H121" s="18">
        <v>1.5</v>
      </c>
      <c r="I121" t="s">
        <v>200</v>
      </c>
      <c r="J121" t="s">
        <v>196</v>
      </c>
      <c r="K121" s="18">
        <v>5.8846150000000002</v>
      </c>
      <c r="L121" t="s">
        <v>197</v>
      </c>
    </row>
    <row r="122" spans="1:12" x14ac:dyDescent="0.35">
      <c r="A122" t="s">
        <v>12</v>
      </c>
      <c r="B122" t="s">
        <v>184</v>
      </c>
      <c r="C122" t="s">
        <v>14</v>
      </c>
      <c r="D122" t="s">
        <v>26</v>
      </c>
      <c r="E122" t="s">
        <v>14</v>
      </c>
      <c r="F122" t="s">
        <v>80</v>
      </c>
      <c r="G122" s="17">
        <v>46321</v>
      </c>
      <c r="H122" s="18">
        <v>15</v>
      </c>
      <c r="I122" t="s">
        <v>199</v>
      </c>
      <c r="J122" t="s">
        <v>196</v>
      </c>
      <c r="K122" s="18">
        <v>34.200000000000003</v>
      </c>
      <c r="L122" t="s">
        <v>197</v>
      </c>
    </row>
    <row r="123" spans="1:12" x14ac:dyDescent="0.35">
      <c r="A123" t="s">
        <v>12</v>
      </c>
      <c r="B123" t="s">
        <v>178</v>
      </c>
      <c r="C123" t="s">
        <v>14</v>
      </c>
      <c r="D123" t="s">
        <v>24</v>
      </c>
      <c r="E123" t="s">
        <v>14</v>
      </c>
      <c r="F123" t="s">
        <v>103</v>
      </c>
      <c r="G123" s="17">
        <v>46321</v>
      </c>
      <c r="H123" s="18">
        <v>15</v>
      </c>
      <c r="I123" t="s">
        <v>199</v>
      </c>
      <c r="J123" t="s">
        <v>196</v>
      </c>
      <c r="K123" s="18">
        <v>36.346153999999999</v>
      </c>
      <c r="L123" t="s">
        <v>197</v>
      </c>
    </row>
    <row r="124" spans="1:12" x14ac:dyDescent="0.35">
      <c r="A124" t="s">
        <v>29</v>
      </c>
      <c r="B124" t="s">
        <v>28</v>
      </c>
      <c r="C124" t="s">
        <v>10</v>
      </c>
      <c r="D124" t="s">
        <v>35</v>
      </c>
      <c r="E124" t="s">
        <v>10</v>
      </c>
      <c r="F124" t="s">
        <v>75</v>
      </c>
      <c r="G124" s="17">
        <v>46328</v>
      </c>
      <c r="H124" s="18">
        <v>10</v>
      </c>
      <c r="I124" t="s">
        <v>195</v>
      </c>
      <c r="J124" t="s">
        <v>196</v>
      </c>
      <c r="K124" s="18">
        <v>30</v>
      </c>
      <c r="L124" t="s">
        <v>197</v>
      </c>
    </row>
    <row r="125" spans="1:12" x14ac:dyDescent="0.35">
      <c r="A125" t="s">
        <v>12</v>
      </c>
      <c r="B125" t="s">
        <v>13</v>
      </c>
      <c r="C125" t="s">
        <v>14</v>
      </c>
      <c r="D125" t="s">
        <v>17</v>
      </c>
      <c r="E125" t="s">
        <v>14</v>
      </c>
      <c r="F125" t="s">
        <v>40</v>
      </c>
      <c r="G125" s="17">
        <v>46328</v>
      </c>
      <c r="H125" s="18">
        <v>8</v>
      </c>
      <c r="I125" t="s">
        <v>195</v>
      </c>
      <c r="J125" t="s">
        <v>196</v>
      </c>
      <c r="K125" s="18">
        <v>23</v>
      </c>
      <c r="L125" t="s">
        <v>197</v>
      </c>
    </row>
    <row r="126" spans="1:12" x14ac:dyDescent="0.35">
      <c r="A126" t="s">
        <v>12</v>
      </c>
      <c r="B126" t="s">
        <v>13</v>
      </c>
      <c r="C126" t="s">
        <v>14</v>
      </c>
      <c r="D126" t="s">
        <v>26</v>
      </c>
      <c r="E126" t="s">
        <v>14</v>
      </c>
      <c r="F126" t="s">
        <v>82</v>
      </c>
      <c r="G126" s="17">
        <v>46328</v>
      </c>
      <c r="H126" s="18">
        <v>5</v>
      </c>
      <c r="I126" t="s">
        <v>195</v>
      </c>
      <c r="J126" t="s">
        <v>196</v>
      </c>
      <c r="K126" s="18">
        <v>39.4</v>
      </c>
      <c r="L126" t="s">
        <v>197</v>
      </c>
    </row>
    <row r="127" spans="1:12" x14ac:dyDescent="0.35">
      <c r="A127" t="s">
        <v>12</v>
      </c>
      <c r="B127" t="s">
        <v>13</v>
      </c>
      <c r="C127" t="s">
        <v>14</v>
      </c>
      <c r="D127" t="s">
        <v>27</v>
      </c>
      <c r="E127" t="s">
        <v>14</v>
      </c>
      <c r="F127" t="s">
        <v>98</v>
      </c>
      <c r="G127" s="17">
        <v>46328</v>
      </c>
      <c r="H127" s="18">
        <v>9</v>
      </c>
      <c r="I127" t="s">
        <v>195</v>
      </c>
      <c r="J127" t="s">
        <v>196</v>
      </c>
      <c r="K127" s="18">
        <v>19</v>
      </c>
      <c r="L127" t="s">
        <v>197</v>
      </c>
    </row>
    <row r="128" spans="1:12" x14ac:dyDescent="0.35">
      <c r="A128" t="s">
        <v>12</v>
      </c>
      <c r="B128" t="s">
        <v>13</v>
      </c>
      <c r="C128" t="s">
        <v>14</v>
      </c>
      <c r="D128" t="s">
        <v>30</v>
      </c>
      <c r="E128" t="s">
        <v>14</v>
      </c>
      <c r="F128" t="s">
        <v>102</v>
      </c>
      <c r="G128" s="17">
        <v>46328</v>
      </c>
      <c r="H128" s="18">
        <v>7</v>
      </c>
      <c r="I128" t="s">
        <v>195</v>
      </c>
      <c r="J128" t="s">
        <v>196</v>
      </c>
      <c r="K128" s="18">
        <v>12</v>
      </c>
      <c r="L128" t="s">
        <v>197</v>
      </c>
    </row>
    <row r="129" spans="1:12" x14ac:dyDescent="0.35">
      <c r="A129" t="s">
        <v>12</v>
      </c>
      <c r="B129" t="s">
        <v>18</v>
      </c>
      <c r="C129" t="s">
        <v>16</v>
      </c>
      <c r="D129" t="s">
        <v>84</v>
      </c>
      <c r="E129" t="s">
        <v>16</v>
      </c>
      <c r="F129" t="s">
        <v>77</v>
      </c>
      <c r="G129" s="17">
        <v>46328</v>
      </c>
      <c r="H129" s="18">
        <v>1.4035089999999999</v>
      </c>
      <c r="I129" t="s">
        <v>195</v>
      </c>
      <c r="J129" t="s">
        <v>196</v>
      </c>
      <c r="K129" s="18">
        <v>12.583334000000001</v>
      </c>
      <c r="L129" t="s">
        <v>197</v>
      </c>
    </row>
    <row r="130" spans="1:12" x14ac:dyDescent="0.35">
      <c r="A130" t="s">
        <v>12</v>
      </c>
      <c r="B130" t="s">
        <v>18</v>
      </c>
      <c r="C130" t="s">
        <v>16</v>
      </c>
      <c r="D130" t="s">
        <v>84</v>
      </c>
      <c r="E130" t="s">
        <v>16</v>
      </c>
      <c r="F130" t="s">
        <v>78</v>
      </c>
      <c r="G130" s="17">
        <v>46328</v>
      </c>
      <c r="H130" s="18">
        <v>0.25</v>
      </c>
      <c r="I130" t="s">
        <v>195</v>
      </c>
      <c r="J130" t="s">
        <v>196</v>
      </c>
      <c r="K130" s="18">
        <v>10.179824999999999</v>
      </c>
      <c r="L130" t="s">
        <v>197</v>
      </c>
    </row>
    <row r="131" spans="1:12" x14ac:dyDescent="0.35">
      <c r="A131" t="s">
        <v>12</v>
      </c>
      <c r="B131" t="s">
        <v>18</v>
      </c>
      <c r="C131" t="s">
        <v>16</v>
      </c>
      <c r="D131" t="s">
        <v>84</v>
      </c>
      <c r="E131" t="s">
        <v>16</v>
      </c>
      <c r="F131" t="s">
        <v>81</v>
      </c>
      <c r="G131" s="17">
        <v>46328</v>
      </c>
      <c r="H131" s="18">
        <v>1</v>
      </c>
      <c r="I131" t="s">
        <v>195</v>
      </c>
      <c r="J131" t="s">
        <v>196</v>
      </c>
      <c r="K131" s="18">
        <v>11.179824999999999</v>
      </c>
      <c r="L131" t="s">
        <v>197</v>
      </c>
    </row>
    <row r="132" spans="1:12" x14ac:dyDescent="0.35">
      <c r="A132" t="s">
        <v>12</v>
      </c>
      <c r="B132" t="s">
        <v>174</v>
      </c>
      <c r="C132" t="s">
        <v>14</v>
      </c>
      <c r="D132" t="s">
        <v>30</v>
      </c>
      <c r="E132" t="s">
        <v>14</v>
      </c>
      <c r="F132" t="s">
        <v>81</v>
      </c>
      <c r="G132" s="17">
        <v>46328</v>
      </c>
      <c r="H132" s="18">
        <v>2</v>
      </c>
      <c r="I132" t="s">
        <v>199</v>
      </c>
      <c r="J132" t="s">
        <v>196</v>
      </c>
      <c r="K132" s="18">
        <v>14</v>
      </c>
      <c r="L132" t="s">
        <v>197</v>
      </c>
    </row>
    <row r="133" spans="1:12" x14ac:dyDescent="0.35">
      <c r="A133" t="s">
        <v>12</v>
      </c>
      <c r="B133" t="s">
        <v>45</v>
      </c>
      <c r="C133" t="s">
        <v>14</v>
      </c>
      <c r="D133" t="s">
        <v>17</v>
      </c>
      <c r="E133" t="s">
        <v>14</v>
      </c>
      <c r="F133" t="s">
        <v>46</v>
      </c>
      <c r="G133" s="17">
        <v>46328</v>
      </c>
      <c r="H133" s="18">
        <v>3.8846150000000002</v>
      </c>
      <c r="I133" t="s">
        <v>200</v>
      </c>
      <c r="J133" t="s">
        <v>196</v>
      </c>
      <c r="K133" s="18">
        <v>26.884615</v>
      </c>
      <c r="L133" t="s">
        <v>197</v>
      </c>
    </row>
    <row r="134" spans="1:12" x14ac:dyDescent="0.35">
      <c r="A134" t="s">
        <v>12</v>
      </c>
      <c r="B134" t="s">
        <v>45</v>
      </c>
      <c r="C134" t="s">
        <v>14</v>
      </c>
      <c r="D134" t="s">
        <v>159</v>
      </c>
      <c r="E134" t="s">
        <v>14</v>
      </c>
      <c r="F134" t="s">
        <v>46</v>
      </c>
      <c r="G134" s="17">
        <v>46328</v>
      </c>
      <c r="H134" s="18">
        <v>18.615385</v>
      </c>
      <c r="I134" t="s">
        <v>200</v>
      </c>
      <c r="J134" t="s">
        <v>196</v>
      </c>
      <c r="K134" s="18">
        <v>20</v>
      </c>
      <c r="L134" t="s">
        <v>197</v>
      </c>
    </row>
    <row r="135" spans="1:12" x14ac:dyDescent="0.35">
      <c r="A135" t="s">
        <v>12</v>
      </c>
      <c r="B135" t="s">
        <v>184</v>
      </c>
      <c r="C135" t="s">
        <v>14</v>
      </c>
      <c r="D135" t="s">
        <v>26</v>
      </c>
      <c r="E135" t="s">
        <v>14</v>
      </c>
      <c r="F135" t="s">
        <v>80</v>
      </c>
      <c r="G135" s="17">
        <v>46328</v>
      </c>
      <c r="H135" s="18">
        <v>0.60000000000000098</v>
      </c>
      <c r="I135" t="s">
        <v>199</v>
      </c>
      <c r="J135" t="s">
        <v>196</v>
      </c>
      <c r="K135" s="18">
        <v>40</v>
      </c>
      <c r="L135" t="s">
        <v>197</v>
      </c>
    </row>
    <row r="136" spans="1:12" x14ac:dyDescent="0.35">
      <c r="A136" t="s">
        <v>12</v>
      </c>
      <c r="B136" t="s">
        <v>184</v>
      </c>
      <c r="C136" t="s">
        <v>14</v>
      </c>
      <c r="D136" t="s">
        <v>162</v>
      </c>
      <c r="E136" t="s">
        <v>14</v>
      </c>
      <c r="F136" t="s">
        <v>80</v>
      </c>
      <c r="G136" s="17">
        <v>46328</v>
      </c>
      <c r="H136" s="18">
        <v>13.4</v>
      </c>
      <c r="I136" t="s">
        <v>199</v>
      </c>
      <c r="J136" t="s">
        <v>198</v>
      </c>
      <c r="K136" s="18">
        <v>13.4</v>
      </c>
      <c r="L136" t="s">
        <v>197</v>
      </c>
    </row>
    <row r="137" spans="1:12" x14ac:dyDescent="0.35">
      <c r="A137" t="s">
        <v>12</v>
      </c>
      <c r="B137" t="s">
        <v>178</v>
      </c>
      <c r="C137" t="s">
        <v>14</v>
      </c>
      <c r="D137" t="s">
        <v>24</v>
      </c>
      <c r="E137" t="s">
        <v>14</v>
      </c>
      <c r="F137" t="s">
        <v>103</v>
      </c>
      <c r="G137" s="17">
        <v>46328</v>
      </c>
      <c r="H137" s="18">
        <v>8.6538459999999997</v>
      </c>
      <c r="I137" t="s">
        <v>199</v>
      </c>
      <c r="J137" t="s">
        <v>196</v>
      </c>
      <c r="K137" s="18">
        <v>40</v>
      </c>
      <c r="L137" t="s">
        <v>197</v>
      </c>
    </row>
    <row r="138" spans="1:12" x14ac:dyDescent="0.35">
      <c r="A138" t="s">
        <v>12</v>
      </c>
      <c r="B138" t="s">
        <v>178</v>
      </c>
      <c r="C138" t="s">
        <v>14</v>
      </c>
      <c r="D138" t="s">
        <v>170</v>
      </c>
      <c r="E138" t="s">
        <v>14</v>
      </c>
      <c r="F138" t="s">
        <v>103</v>
      </c>
      <c r="G138" s="17">
        <v>46328</v>
      </c>
      <c r="H138" s="18">
        <v>6.3461540000000003</v>
      </c>
      <c r="I138" t="s">
        <v>199</v>
      </c>
      <c r="J138" t="s">
        <v>196</v>
      </c>
      <c r="K138" s="18">
        <v>6.3461540000000003</v>
      </c>
      <c r="L138" t="s">
        <v>197</v>
      </c>
    </row>
    <row r="139" spans="1:12" x14ac:dyDescent="0.35">
      <c r="A139" t="s">
        <v>12</v>
      </c>
      <c r="B139" t="s">
        <v>13</v>
      </c>
      <c r="C139" t="s">
        <v>14</v>
      </c>
      <c r="D139" t="s">
        <v>17</v>
      </c>
      <c r="E139" t="s">
        <v>14</v>
      </c>
      <c r="F139" t="s">
        <v>40</v>
      </c>
      <c r="G139" s="17">
        <v>46335</v>
      </c>
      <c r="H139" s="18">
        <v>15</v>
      </c>
      <c r="I139" t="s">
        <v>195</v>
      </c>
      <c r="J139" t="s">
        <v>196</v>
      </c>
      <c r="K139" s="18">
        <v>30</v>
      </c>
      <c r="L139" t="s">
        <v>197</v>
      </c>
    </row>
    <row r="140" spans="1:12" x14ac:dyDescent="0.35">
      <c r="A140" t="s">
        <v>12</v>
      </c>
      <c r="B140" t="s">
        <v>13</v>
      </c>
      <c r="C140" t="s">
        <v>14</v>
      </c>
      <c r="D140" t="s">
        <v>26</v>
      </c>
      <c r="E140" t="s">
        <v>14</v>
      </c>
      <c r="F140" t="s">
        <v>82</v>
      </c>
      <c r="G140" s="17">
        <v>46335</v>
      </c>
      <c r="H140" s="18">
        <v>2</v>
      </c>
      <c r="I140" t="s">
        <v>195</v>
      </c>
      <c r="J140" t="s">
        <v>196</v>
      </c>
      <c r="K140" s="18">
        <v>40</v>
      </c>
      <c r="L140" t="s">
        <v>197</v>
      </c>
    </row>
    <row r="141" spans="1:12" x14ac:dyDescent="0.35">
      <c r="A141" t="s">
        <v>12</v>
      </c>
      <c r="B141" t="s">
        <v>13</v>
      </c>
      <c r="C141" t="s">
        <v>14</v>
      </c>
      <c r="D141" t="s">
        <v>163</v>
      </c>
      <c r="E141" t="s">
        <v>14</v>
      </c>
      <c r="F141" t="s">
        <v>82</v>
      </c>
      <c r="G141" s="17">
        <v>46335</v>
      </c>
      <c r="H141" s="18">
        <v>3</v>
      </c>
      <c r="I141" t="s">
        <v>195</v>
      </c>
      <c r="J141" t="s">
        <v>198</v>
      </c>
      <c r="K141" s="18">
        <v>3</v>
      </c>
      <c r="L141" t="s">
        <v>197</v>
      </c>
    </row>
    <row r="142" spans="1:12" x14ac:dyDescent="0.35">
      <c r="A142" t="s">
        <v>12</v>
      </c>
      <c r="B142" t="s">
        <v>13</v>
      </c>
      <c r="C142" t="s">
        <v>14</v>
      </c>
      <c r="D142" t="s">
        <v>30</v>
      </c>
      <c r="E142" t="s">
        <v>14</v>
      </c>
      <c r="F142" t="s">
        <v>98</v>
      </c>
      <c r="G142" s="17">
        <v>46335</v>
      </c>
      <c r="H142" s="18">
        <v>11</v>
      </c>
      <c r="I142" t="s">
        <v>195</v>
      </c>
      <c r="J142" t="s">
        <v>196</v>
      </c>
      <c r="K142" s="18">
        <v>20</v>
      </c>
      <c r="L142" t="s">
        <v>197</v>
      </c>
    </row>
    <row r="143" spans="1:12" x14ac:dyDescent="0.35">
      <c r="A143" t="s">
        <v>12</v>
      </c>
      <c r="B143" t="s">
        <v>13</v>
      </c>
      <c r="C143" t="s">
        <v>14</v>
      </c>
      <c r="D143" t="s">
        <v>21</v>
      </c>
      <c r="E143" t="s">
        <v>14</v>
      </c>
      <c r="F143" t="s">
        <v>43</v>
      </c>
      <c r="G143" s="17">
        <v>46335</v>
      </c>
      <c r="H143" s="18">
        <v>9</v>
      </c>
      <c r="I143" t="s">
        <v>195</v>
      </c>
      <c r="J143" t="s">
        <v>196</v>
      </c>
      <c r="K143" s="18">
        <v>31</v>
      </c>
      <c r="L143" t="s">
        <v>197</v>
      </c>
    </row>
    <row r="144" spans="1:12" x14ac:dyDescent="0.35">
      <c r="A144" t="s">
        <v>12</v>
      </c>
      <c r="B144" t="s">
        <v>13</v>
      </c>
      <c r="C144" t="s">
        <v>14</v>
      </c>
      <c r="D144" t="s">
        <v>30</v>
      </c>
      <c r="E144" t="s">
        <v>14</v>
      </c>
      <c r="F144" t="s">
        <v>102</v>
      </c>
      <c r="G144" s="17">
        <v>46335</v>
      </c>
      <c r="H144" s="18">
        <v>6</v>
      </c>
      <c r="I144" t="s">
        <v>195</v>
      </c>
      <c r="J144" t="s">
        <v>196</v>
      </c>
      <c r="K144" s="18">
        <v>9</v>
      </c>
      <c r="L144" t="s">
        <v>197</v>
      </c>
    </row>
    <row r="145" spans="1:12" x14ac:dyDescent="0.35">
      <c r="A145" t="s">
        <v>12</v>
      </c>
      <c r="B145" t="s">
        <v>174</v>
      </c>
      <c r="C145" t="s">
        <v>14</v>
      </c>
      <c r="D145" t="s">
        <v>30</v>
      </c>
      <c r="E145" t="s">
        <v>14</v>
      </c>
      <c r="F145" t="s">
        <v>81</v>
      </c>
      <c r="G145" s="17">
        <v>46335</v>
      </c>
      <c r="H145" s="18">
        <v>2</v>
      </c>
      <c r="I145" t="s">
        <v>199</v>
      </c>
      <c r="J145" t="s">
        <v>196</v>
      </c>
      <c r="K145" s="18">
        <v>22</v>
      </c>
      <c r="L145" t="s">
        <v>197</v>
      </c>
    </row>
    <row r="146" spans="1:12" x14ac:dyDescent="0.35">
      <c r="A146" t="s">
        <v>12</v>
      </c>
      <c r="B146" t="s">
        <v>45</v>
      </c>
      <c r="C146" t="s">
        <v>14</v>
      </c>
      <c r="D146" t="s">
        <v>17</v>
      </c>
      <c r="E146" t="s">
        <v>14</v>
      </c>
      <c r="F146" t="s">
        <v>46</v>
      </c>
      <c r="G146" s="17">
        <v>46335</v>
      </c>
      <c r="H146" s="18">
        <v>9.8846150000000002</v>
      </c>
      <c r="I146" t="s">
        <v>200</v>
      </c>
      <c r="J146" t="s">
        <v>196</v>
      </c>
      <c r="K146" s="18">
        <v>39.884614999999997</v>
      </c>
      <c r="L146" t="s">
        <v>197</v>
      </c>
    </row>
    <row r="147" spans="1:12" x14ac:dyDescent="0.35">
      <c r="A147" t="s">
        <v>12</v>
      </c>
      <c r="B147" t="s">
        <v>45</v>
      </c>
      <c r="C147" t="s">
        <v>14</v>
      </c>
      <c r="D147" t="s">
        <v>159</v>
      </c>
      <c r="E147" t="s">
        <v>14</v>
      </c>
      <c r="F147" t="s">
        <v>46</v>
      </c>
      <c r="G147" s="17">
        <v>46335</v>
      </c>
      <c r="H147" s="18">
        <v>18.615385</v>
      </c>
      <c r="I147" t="s">
        <v>200</v>
      </c>
      <c r="J147" t="s">
        <v>196</v>
      </c>
      <c r="K147" s="18">
        <v>20</v>
      </c>
      <c r="L147" t="s">
        <v>197</v>
      </c>
    </row>
    <row r="148" spans="1:12" x14ac:dyDescent="0.35">
      <c r="A148" t="s">
        <v>12</v>
      </c>
      <c r="B148" t="s">
        <v>184</v>
      </c>
      <c r="C148" t="s">
        <v>14</v>
      </c>
      <c r="D148" t="s">
        <v>162</v>
      </c>
      <c r="E148" t="s">
        <v>14</v>
      </c>
      <c r="F148" t="s">
        <v>80</v>
      </c>
      <c r="G148" s="17">
        <v>46335</v>
      </c>
      <c r="H148" s="18">
        <v>15</v>
      </c>
      <c r="I148" t="s">
        <v>199</v>
      </c>
      <c r="J148" t="s">
        <v>198</v>
      </c>
      <c r="K148" s="18">
        <v>15</v>
      </c>
      <c r="L148" t="s">
        <v>197</v>
      </c>
    </row>
    <row r="149" spans="1:12" x14ac:dyDescent="0.35">
      <c r="A149" t="s">
        <v>12</v>
      </c>
      <c r="B149" t="s">
        <v>178</v>
      </c>
      <c r="C149" t="s">
        <v>14</v>
      </c>
      <c r="D149" t="s">
        <v>24</v>
      </c>
      <c r="E149" t="s">
        <v>14</v>
      </c>
      <c r="F149" t="s">
        <v>103</v>
      </c>
      <c r="G149" s="17">
        <v>46335</v>
      </c>
      <c r="H149" s="18">
        <v>8.6538459999999997</v>
      </c>
      <c r="I149" t="s">
        <v>199</v>
      </c>
      <c r="J149" t="s">
        <v>196</v>
      </c>
      <c r="K149" s="18">
        <v>40</v>
      </c>
      <c r="L149" t="s">
        <v>197</v>
      </c>
    </row>
    <row r="150" spans="1:12" x14ac:dyDescent="0.35">
      <c r="A150" t="s">
        <v>12</v>
      </c>
      <c r="B150" t="s">
        <v>178</v>
      </c>
      <c r="C150" t="s">
        <v>14</v>
      </c>
      <c r="D150" t="s">
        <v>170</v>
      </c>
      <c r="E150" t="s">
        <v>14</v>
      </c>
      <c r="F150" t="s">
        <v>103</v>
      </c>
      <c r="G150" s="17">
        <v>46335</v>
      </c>
      <c r="H150" s="18">
        <v>11.346154</v>
      </c>
      <c r="I150" t="s">
        <v>199</v>
      </c>
      <c r="J150" t="s">
        <v>196</v>
      </c>
      <c r="K150" s="18">
        <v>11.346154</v>
      </c>
      <c r="L150" t="s">
        <v>197</v>
      </c>
    </row>
    <row r="151" spans="1:12" x14ac:dyDescent="0.35">
      <c r="A151" t="s">
        <v>12</v>
      </c>
      <c r="B151" t="s">
        <v>13</v>
      </c>
      <c r="C151" t="s">
        <v>14</v>
      </c>
      <c r="D151" t="s">
        <v>159</v>
      </c>
      <c r="E151" t="s">
        <v>14</v>
      </c>
      <c r="F151" t="s">
        <v>78</v>
      </c>
      <c r="G151" s="17">
        <v>46342</v>
      </c>
      <c r="H151" s="18">
        <v>16</v>
      </c>
      <c r="I151" t="s">
        <v>195</v>
      </c>
      <c r="J151" t="s">
        <v>196</v>
      </c>
      <c r="K151" s="18">
        <v>17.384615</v>
      </c>
      <c r="L151" t="s">
        <v>197</v>
      </c>
    </row>
    <row r="152" spans="1:12" x14ac:dyDescent="0.35">
      <c r="A152" t="s">
        <v>12</v>
      </c>
      <c r="B152" t="s">
        <v>13</v>
      </c>
      <c r="C152" t="s">
        <v>14</v>
      </c>
      <c r="D152" t="s">
        <v>17</v>
      </c>
      <c r="E152" t="s">
        <v>14</v>
      </c>
      <c r="F152" t="s">
        <v>40</v>
      </c>
      <c r="G152" s="17">
        <v>46342</v>
      </c>
      <c r="H152" s="18">
        <v>10</v>
      </c>
      <c r="I152" t="s">
        <v>195</v>
      </c>
      <c r="J152" t="s">
        <v>196</v>
      </c>
      <c r="K152" s="18">
        <v>20</v>
      </c>
      <c r="L152" t="s">
        <v>197</v>
      </c>
    </row>
    <row r="153" spans="1:12" x14ac:dyDescent="0.35">
      <c r="A153" t="s">
        <v>12</v>
      </c>
      <c r="B153" t="s">
        <v>13</v>
      </c>
      <c r="C153" t="s">
        <v>14</v>
      </c>
      <c r="D153" t="s">
        <v>163</v>
      </c>
      <c r="E153" t="s">
        <v>14</v>
      </c>
      <c r="F153" t="s">
        <v>82</v>
      </c>
      <c r="G153" s="17">
        <v>46342</v>
      </c>
      <c r="H153" s="18">
        <v>5</v>
      </c>
      <c r="I153" t="s">
        <v>195</v>
      </c>
      <c r="J153" t="s">
        <v>198</v>
      </c>
      <c r="K153" s="18">
        <v>5</v>
      </c>
      <c r="L153" t="s">
        <v>197</v>
      </c>
    </row>
    <row r="154" spans="1:12" x14ac:dyDescent="0.35">
      <c r="A154" t="s">
        <v>12</v>
      </c>
      <c r="B154" t="s">
        <v>13</v>
      </c>
      <c r="C154" t="s">
        <v>14</v>
      </c>
      <c r="D154" t="s">
        <v>30</v>
      </c>
      <c r="E154" t="s">
        <v>14</v>
      </c>
      <c r="F154" t="s">
        <v>98</v>
      </c>
      <c r="G154" s="17">
        <v>46342</v>
      </c>
      <c r="H154" s="18">
        <v>7</v>
      </c>
      <c r="I154" t="s">
        <v>195</v>
      </c>
      <c r="J154" t="s">
        <v>196</v>
      </c>
      <c r="K154" s="18">
        <v>12</v>
      </c>
      <c r="L154" t="s">
        <v>197</v>
      </c>
    </row>
    <row r="155" spans="1:12" x14ac:dyDescent="0.35">
      <c r="A155" t="s">
        <v>12</v>
      </c>
      <c r="B155" t="s">
        <v>13</v>
      </c>
      <c r="C155" t="s">
        <v>14</v>
      </c>
      <c r="D155" t="s">
        <v>168</v>
      </c>
      <c r="E155" t="s">
        <v>14</v>
      </c>
      <c r="F155" t="s">
        <v>43</v>
      </c>
      <c r="G155" s="17">
        <v>46342</v>
      </c>
      <c r="H155" s="18">
        <v>1</v>
      </c>
      <c r="I155" t="s">
        <v>195</v>
      </c>
      <c r="J155" t="s">
        <v>196</v>
      </c>
      <c r="K155" s="18">
        <v>1</v>
      </c>
      <c r="L155" t="s">
        <v>197</v>
      </c>
    </row>
    <row r="156" spans="1:12" x14ac:dyDescent="0.35">
      <c r="A156" t="s">
        <v>12</v>
      </c>
      <c r="B156" t="s">
        <v>13</v>
      </c>
      <c r="C156" t="s">
        <v>14</v>
      </c>
      <c r="D156" t="s">
        <v>30</v>
      </c>
      <c r="E156" t="s">
        <v>14</v>
      </c>
      <c r="F156" t="s">
        <v>102</v>
      </c>
      <c r="G156" s="17">
        <v>46342</v>
      </c>
      <c r="H156" s="18">
        <v>3</v>
      </c>
      <c r="I156" t="s">
        <v>195</v>
      </c>
      <c r="J156" t="s">
        <v>196</v>
      </c>
      <c r="K156" s="18">
        <v>5</v>
      </c>
      <c r="L156" t="s">
        <v>197</v>
      </c>
    </row>
    <row r="157" spans="1:12" x14ac:dyDescent="0.35">
      <c r="A157" t="s">
        <v>12</v>
      </c>
      <c r="B157" t="s">
        <v>27</v>
      </c>
      <c r="C157" t="s">
        <v>14</v>
      </c>
      <c r="D157" t="s">
        <v>162</v>
      </c>
      <c r="E157" t="s">
        <v>14</v>
      </c>
      <c r="F157" t="s">
        <v>79</v>
      </c>
      <c r="G157" s="17">
        <v>46342</v>
      </c>
      <c r="H157" s="18">
        <v>6</v>
      </c>
      <c r="I157" t="s">
        <v>195</v>
      </c>
      <c r="J157" t="s">
        <v>198</v>
      </c>
      <c r="K157" s="18">
        <v>6</v>
      </c>
      <c r="L157" t="s">
        <v>197</v>
      </c>
    </row>
    <row r="158" spans="1:12" x14ac:dyDescent="0.35">
      <c r="A158" t="s">
        <v>12</v>
      </c>
      <c r="B158" t="s">
        <v>21</v>
      </c>
      <c r="C158" t="s">
        <v>14</v>
      </c>
      <c r="D158" t="s">
        <v>30</v>
      </c>
      <c r="E158" t="s">
        <v>14</v>
      </c>
      <c r="F158" t="s">
        <v>81</v>
      </c>
      <c r="G158" s="17">
        <v>46342</v>
      </c>
      <c r="H158" s="18">
        <v>27</v>
      </c>
      <c r="I158" t="s">
        <v>195</v>
      </c>
      <c r="J158" t="s">
        <v>196</v>
      </c>
      <c r="K158" s="18">
        <v>39</v>
      </c>
      <c r="L158" t="s">
        <v>197</v>
      </c>
    </row>
    <row r="159" spans="1:12" x14ac:dyDescent="0.35">
      <c r="A159" t="s">
        <v>12</v>
      </c>
      <c r="B159" t="s">
        <v>18</v>
      </c>
      <c r="C159" t="s">
        <v>16</v>
      </c>
      <c r="D159" t="s">
        <v>25</v>
      </c>
      <c r="E159" t="s">
        <v>16</v>
      </c>
      <c r="F159" t="s">
        <v>77</v>
      </c>
      <c r="G159" s="17">
        <v>46342</v>
      </c>
      <c r="H159" s="18">
        <v>1.4035089999999999</v>
      </c>
      <c r="I159" t="s">
        <v>195</v>
      </c>
      <c r="J159" t="s">
        <v>196</v>
      </c>
      <c r="K159" s="18">
        <v>9.4078949999999999</v>
      </c>
      <c r="L159" t="s">
        <v>197</v>
      </c>
    </row>
    <row r="160" spans="1:12" x14ac:dyDescent="0.35">
      <c r="A160" t="s">
        <v>12</v>
      </c>
      <c r="B160" t="s">
        <v>18</v>
      </c>
      <c r="C160" t="s">
        <v>16</v>
      </c>
      <c r="D160" t="s">
        <v>25</v>
      </c>
      <c r="E160" t="s">
        <v>16</v>
      </c>
      <c r="F160" t="s">
        <v>78</v>
      </c>
      <c r="G160" s="17">
        <v>46342</v>
      </c>
      <c r="H160" s="18">
        <v>0.25</v>
      </c>
      <c r="I160" t="s">
        <v>195</v>
      </c>
      <c r="J160" t="s">
        <v>196</v>
      </c>
      <c r="K160" s="18">
        <v>8.0043860000000002</v>
      </c>
      <c r="L160" t="s">
        <v>197</v>
      </c>
    </row>
    <row r="161" spans="1:12" x14ac:dyDescent="0.35">
      <c r="A161" t="s">
        <v>12</v>
      </c>
      <c r="B161" t="s">
        <v>18</v>
      </c>
      <c r="C161" t="s">
        <v>16</v>
      </c>
      <c r="D161" t="s">
        <v>84</v>
      </c>
      <c r="E161" t="s">
        <v>16</v>
      </c>
      <c r="F161" t="s">
        <v>81</v>
      </c>
      <c r="G161" s="17">
        <v>46342</v>
      </c>
      <c r="H161" s="18">
        <v>2.5</v>
      </c>
      <c r="I161" t="s">
        <v>195</v>
      </c>
      <c r="J161" t="s">
        <v>196</v>
      </c>
      <c r="K161" s="18">
        <v>16.429825000000001</v>
      </c>
      <c r="L161" t="s">
        <v>197</v>
      </c>
    </row>
    <row r="162" spans="1:12" x14ac:dyDescent="0.35">
      <c r="A162" t="s">
        <v>12</v>
      </c>
      <c r="B162" t="s">
        <v>18</v>
      </c>
      <c r="C162" t="s">
        <v>16</v>
      </c>
      <c r="D162" t="s">
        <v>25</v>
      </c>
      <c r="E162" t="s">
        <v>16</v>
      </c>
      <c r="F162" t="s">
        <v>103</v>
      </c>
      <c r="G162" s="17">
        <v>46342</v>
      </c>
      <c r="H162" s="18">
        <v>5</v>
      </c>
      <c r="I162" t="s">
        <v>195</v>
      </c>
      <c r="J162" t="s">
        <v>196</v>
      </c>
      <c r="K162" s="18">
        <v>14.407895</v>
      </c>
      <c r="L162" t="s">
        <v>197</v>
      </c>
    </row>
    <row r="163" spans="1:12" x14ac:dyDescent="0.35">
      <c r="A163" t="s">
        <v>12</v>
      </c>
      <c r="B163" t="s">
        <v>174</v>
      </c>
      <c r="C163" t="s">
        <v>14</v>
      </c>
      <c r="D163" t="s">
        <v>30</v>
      </c>
      <c r="E163" t="s">
        <v>14</v>
      </c>
      <c r="F163" t="s">
        <v>81</v>
      </c>
      <c r="G163" s="17">
        <v>46342</v>
      </c>
      <c r="H163" s="18">
        <v>1</v>
      </c>
      <c r="I163" t="s">
        <v>199</v>
      </c>
      <c r="J163" t="s">
        <v>196</v>
      </c>
      <c r="K163" s="18">
        <v>40</v>
      </c>
      <c r="L163" t="s">
        <v>197</v>
      </c>
    </row>
    <row r="164" spans="1:12" x14ac:dyDescent="0.35">
      <c r="A164" t="s">
        <v>12</v>
      </c>
      <c r="B164" t="s">
        <v>174</v>
      </c>
      <c r="C164" t="s">
        <v>14</v>
      </c>
      <c r="D164" t="s">
        <v>167</v>
      </c>
      <c r="E164" t="s">
        <v>14</v>
      </c>
      <c r="F164" t="s">
        <v>81</v>
      </c>
      <c r="G164" s="17">
        <v>46342</v>
      </c>
      <c r="H164" s="18">
        <v>1</v>
      </c>
      <c r="I164" t="s">
        <v>199</v>
      </c>
      <c r="J164" t="s">
        <v>196</v>
      </c>
      <c r="K164" s="18">
        <v>1</v>
      </c>
      <c r="L164" t="s">
        <v>197</v>
      </c>
    </row>
    <row r="165" spans="1:12" x14ac:dyDescent="0.35">
      <c r="A165" t="s">
        <v>12</v>
      </c>
      <c r="B165" t="s">
        <v>45</v>
      </c>
      <c r="C165" t="s">
        <v>14</v>
      </c>
      <c r="D165" t="s">
        <v>17</v>
      </c>
      <c r="E165" t="s">
        <v>14</v>
      </c>
      <c r="F165" t="s">
        <v>46</v>
      </c>
      <c r="G165" s="17">
        <v>46342</v>
      </c>
      <c r="H165" s="18">
        <v>1.5</v>
      </c>
      <c r="I165" t="s">
        <v>200</v>
      </c>
      <c r="J165" t="s">
        <v>196</v>
      </c>
      <c r="K165" s="18">
        <v>21.5</v>
      </c>
      <c r="L165" t="s">
        <v>197</v>
      </c>
    </row>
    <row r="166" spans="1:12" x14ac:dyDescent="0.35">
      <c r="A166" t="s">
        <v>12</v>
      </c>
      <c r="B166" t="s">
        <v>184</v>
      </c>
      <c r="C166" t="s">
        <v>14</v>
      </c>
      <c r="D166" t="s">
        <v>17</v>
      </c>
      <c r="E166" t="s">
        <v>14</v>
      </c>
      <c r="F166" t="s">
        <v>80</v>
      </c>
      <c r="G166" s="17">
        <v>46342</v>
      </c>
      <c r="H166" s="18">
        <v>15</v>
      </c>
      <c r="I166" t="s">
        <v>199</v>
      </c>
      <c r="J166" t="s">
        <v>198</v>
      </c>
      <c r="K166" s="18">
        <v>36.5</v>
      </c>
      <c r="L166" t="s">
        <v>197</v>
      </c>
    </row>
    <row r="167" spans="1:12" x14ac:dyDescent="0.35">
      <c r="A167" t="s">
        <v>12</v>
      </c>
      <c r="B167" t="s">
        <v>178</v>
      </c>
      <c r="C167" t="s">
        <v>14</v>
      </c>
      <c r="D167" t="s">
        <v>24</v>
      </c>
      <c r="E167" t="s">
        <v>14</v>
      </c>
      <c r="F167" t="s">
        <v>103</v>
      </c>
      <c r="G167" s="17">
        <v>46342</v>
      </c>
      <c r="H167" s="18">
        <v>8.6538459999999997</v>
      </c>
      <c r="I167" t="s">
        <v>199</v>
      </c>
      <c r="J167" t="s">
        <v>196</v>
      </c>
      <c r="K167" s="18">
        <v>40</v>
      </c>
      <c r="L167" t="s">
        <v>197</v>
      </c>
    </row>
    <row r="168" spans="1:12" x14ac:dyDescent="0.35">
      <c r="A168" t="s">
        <v>12</v>
      </c>
      <c r="B168" t="s">
        <v>178</v>
      </c>
      <c r="C168" t="s">
        <v>14</v>
      </c>
      <c r="D168" t="s">
        <v>170</v>
      </c>
      <c r="E168" t="s">
        <v>14</v>
      </c>
      <c r="F168" t="s">
        <v>103</v>
      </c>
      <c r="G168" s="17">
        <v>46342</v>
      </c>
      <c r="H168" s="18">
        <v>11.346154</v>
      </c>
      <c r="I168" t="s">
        <v>199</v>
      </c>
      <c r="J168" t="s">
        <v>196</v>
      </c>
      <c r="K168" s="18">
        <v>11.346154</v>
      </c>
      <c r="L168" t="s">
        <v>197</v>
      </c>
    </row>
    <row r="169" spans="1:12" x14ac:dyDescent="0.35">
      <c r="A169" t="s">
        <v>12</v>
      </c>
      <c r="B169" t="s">
        <v>20</v>
      </c>
      <c r="C169" t="s">
        <v>10</v>
      </c>
      <c r="D169" t="s">
        <v>36</v>
      </c>
      <c r="E169" t="s">
        <v>10</v>
      </c>
      <c r="F169" t="s">
        <v>81</v>
      </c>
      <c r="G169" s="17">
        <v>46349</v>
      </c>
      <c r="H169" s="18">
        <v>2.5</v>
      </c>
      <c r="I169" t="s">
        <v>195</v>
      </c>
      <c r="J169" t="s">
        <v>196</v>
      </c>
      <c r="K169" s="18">
        <v>2.5</v>
      </c>
      <c r="L169" t="s">
        <v>197</v>
      </c>
    </row>
    <row r="170" spans="1:12" x14ac:dyDescent="0.35">
      <c r="A170" t="s">
        <v>12</v>
      </c>
      <c r="B170" t="s">
        <v>20</v>
      </c>
      <c r="C170" t="s">
        <v>10</v>
      </c>
      <c r="D170" t="s">
        <v>9</v>
      </c>
      <c r="E170" t="s">
        <v>10</v>
      </c>
      <c r="F170" t="s">
        <v>43</v>
      </c>
      <c r="G170" s="17">
        <v>46349</v>
      </c>
      <c r="H170" s="18">
        <v>10</v>
      </c>
      <c r="I170" t="s">
        <v>195</v>
      </c>
      <c r="J170" t="s">
        <v>196</v>
      </c>
      <c r="K170" s="18">
        <v>22</v>
      </c>
      <c r="L170" t="s">
        <v>197</v>
      </c>
    </row>
    <row r="171" spans="1:12" x14ac:dyDescent="0.35">
      <c r="A171" t="s">
        <v>12</v>
      </c>
      <c r="B171" t="s">
        <v>27</v>
      </c>
      <c r="C171" t="s">
        <v>14</v>
      </c>
      <c r="D171" t="s">
        <v>26</v>
      </c>
      <c r="E171" t="s">
        <v>14</v>
      </c>
      <c r="F171" t="s">
        <v>79</v>
      </c>
      <c r="G171" s="17">
        <v>46349</v>
      </c>
      <c r="H171" s="18">
        <v>6</v>
      </c>
      <c r="I171" t="s">
        <v>195</v>
      </c>
      <c r="J171" t="s">
        <v>198</v>
      </c>
      <c r="K171" s="18">
        <v>6</v>
      </c>
      <c r="L171" t="s">
        <v>197</v>
      </c>
    </row>
    <row r="172" spans="1:12" x14ac:dyDescent="0.35">
      <c r="A172" t="s">
        <v>12</v>
      </c>
      <c r="B172" t="s">
        <v>21</v>
      </c>
      <c r="C172" t="s">
        <v>14</v>
      </c>
      <c r="D172" t="s">
        <v>30</v>
      </c>
      <c r="E172" t="s">
        <v>14</v>
      </c>
      <c r="F172" t="s">
        <v>81</v>
      </c>
      <c r="G172" s="17">
        <v>46349</v>
      </c>
      <c r="H172" s="18">
        <v>4</v>
      </c>
      <c r="I172" t="s">
        <v>195</v>
      </c>
      <c r="J172" t="s">
        <v>196</v>
      </c>
      <c r="K172" s="18">
        <v>6</v>
      </c>
      <c r="L172" t="s">
        <v>197</v>
      </c>
    </row>
    <row r="173" spans="1:12" x14ac:dyDescent="0.35">
      <c r="A173" t="s">
        <v>12</v>
      </c>
      <c r="B173" t="s">
        <v>21</v>
      </c>
      <c r="C173" t="s">
        <v>14</v>
      </c>
      <c r="D173" t="s">
        <v>13</v>
      </c>
      <c r="E173" t="s">
        <v>14</v>
      </c>
      <c r="F173" t="s">
        <v>43</v>
      </c>
      <c r="G173" s="17">
        <v>46349</v>
      </c>
      <c r="H173" s="18">
        <v>20</v>
      </c>
      <c r="I173" t="s">
        <v>195</v>
      </c>
      <c r="J173" t="s">
        <v>196</v>
      </c>
      <c r="K173" s="18">
        <v>35</v>
      </c>
      <c r="L173" t="s">
        <v>197</v>
      </c>
    </row>
    <row r="174" spans="1:12" x14ac:dyDescent="0.35">
      <c r="A174" t="s">
        <v>12</v>
      </c>
      <c r="B174" t="s">
        <v>174</v>
      </c>
      <c r="C174" t="s">
        <v>14</v>
      </c>
      <c r="D174" t="s">
        <v>30</v>
      </c>
      <c r="E174" t="s">
        <v>14</v>
      </c>
      <c r="F174" t="s">
        <v>81</v>
      </c>
      <c r="G174" s="17">
        <v>46349</v>
      </c>
      <c r="H174" s="18">
        <v>22</v>
      </c>
      <c r="I174" t="s">
        <v>199</v>
      </c>
      <c r="J174" t="s">
        <v>196</v>
      </c>
      <c r="K174" s="18">
        <v>28</v>
      </c>
      <c r="L174" t="s">
        <v>197</v>
      </c>
    </row>
    <row r="175" spans="1:12" x14ac:dyDescent="0.35">
      <c r="A175" t="s">
        <v>12</v>
      </c>
      <c r="B175" t="s">
        <v>45</v>
      </c>
      <c r="C175" t="s">
        <v>14</v>
      </c>
      <c r="D175" t="s">
        <v>17</v>
      </c>
      <c r="E175" t="s">
        <v>14</v>
      </c>
      <c r="F175" t="s">
        <v>46</v>
      </c>
      <c r="G175" s="17">
        <v>46349</v>
      </c>
      <c r="H175" s="18">
        <v>1.5</v>
      </c>
      <c r="I175" t="s">
        <v>200</v>
      </c>
      <c r="J175" t="s">
        <v>196</v>
      </c>
      <c r="K175" s="18">
        <v>9.5</v>
      </c>
      <c r="L175" t="s">
        <v>197</v>
      </c>
    </row>
    <row r="176" spans="1:12" x14ac:dyDescent="0.35">
      <c r="A176" t="s">
        <v>12</v>
      </c>
      <c r="B176" t="s">
        <v>184</v>
      </c>
      <c r="C176" t="s">
        <v>14</v>
      </c>
      <c r="D176" t="s">
        <v>26</v>
      </c>
      <c r="E176" t="s">
        <v>14</v>
      </c>
      <c r="F176" t="s">
        <v>80</v>
      </c>
      <c r="G176" s="17">
        <v>46349</v>
      </c>
      <c r="H176" s="18">
        <v>15</v>
      </c>
      <c r="I176" t="s">
        <v>199</v>
      </c>
      <c r="J176" t="s">
        <v>196</v>
      </c>
      <c r="K176" s="18">
        <v>21</v>
      </c>
      <c r="L176" t="s">
        <v>197</v>
      </c>
    </row>
    <row r="177" spans="1:12" x14ac:dyDescent="0.35">
      <c r="A177" t="s">
        <v>12</v>
      </c>
      <c r="B177" t="s">
        <v>178</v>
      </c>
      <c r="C177" t="s">
        <v>14</v>
      </c>
      <c r="D177" t="s">
        <v>24</v>
      </c>
      <c r="E177" t="s">
        <v>14</v>
      </c>
      <c r="F177" t="s">
        <v>103</v>
      </c>
      <c r="G177" s="17">
        <v>46349</v>
      </c>
      <c r="H177" s="18">
        <v>13.653846</v>
      </c>
      <c r="I177" t="s">
        <v>199</v>
      </c>
      <c r="J177" t="s">
        <v>196</v>
      </c>
      <c r="K177" s="18">
        <v>40</v>
      </c>
      <c r="L177" t="s">
        <v>197</v>
      </c>
    </row>
    <row r="178" spans="1:12" x14ac:dyDescent="0.35">
      <c r="A178" t="s">
        <v>12</v>
      </c>
      <c r="B178" t="s">
        <v>178</v>
      </c>
      <c r="C178" t="s">
        <v>14</v>
      </c>
      <c r="D178" t="s">
        <v>170</v>
      </c>
      <c r="E178" t="s">
        <v>14</v>
      </c>
      <c r="F178" t="s">
        <v>103</v>
      </c>
      <c r="G178" s="17">
        <v>46349</v>
      </c>
      <c r="H178" s="18">
        <v>1.3461540000000001</v>
      </c>
      <c r="I178" t="s">
        <v>199</v>
      </c>
      <c r="J178" t="s">
        <v>196</v>
      </c>
      <c r="K178" s="18">
        <v>1.3461540000000001</v>
      </c>
      <c r="L178" t="s">
        <v>197</v>
      </c>
    </row>
    <row r="179" spans="1:12" x14ac:dyDescent="0.35">
      <c r="A179" t="s">
        <v>12</v>
      </c>
      <c r="B179" t="s">
        <v>9</v>
      </c>
      <c r="C179" t="s">
        <v>10</v>
      </c>
      <c r="D179" t="s">
        <v>132</v>
      </c>
      <c r="E179" t="s">
        <v>10</v>
      </c>
      <c r="F179" t="s">
        <v>101</v>
      </c>
      <c r="G179" s="17">
        <v>46356</v>
      </c>
      <c r="H179" s="18">
        <v>9.9</v>
      </c>
      <c r="I179" t="s">
        <v>195</v>
      </c>
      <c r="J179" t="s">
        <v>196</v>
      </c>
      <c r="K179" s="18">
        <v>28.9</v>
      </c>
      <c r="L179" t="s">
        <v>197</v>
      </c>
    </row>
    <row r="180" spans="1:12" x14ac:dyDescent="0.35">
      <c r="A180" t="s">
        <v>12</v>
      </c>
      <c r="B180" t="s">
        <v>9</v>
      </c>
      <c r="C180" t="s">
        <v>10</v>
      </c>
      <c r="D180" t="s">
        <v>33</v>
      </c>
      <c r="E180" t="s">
        <v>10</v>
      </c>
      <c r="F180" t="s">
        <v>102</v>
      </c>
      <c r="G180" s="17">
        <v>46356</v>
      </c>
      <c r="H180" s="18">
        <v>2.5</v>
      </c>
      <c r="I180" t="s">
        <v>195</v>
      </c>
      <c r="J180" t="s">
        <v>196</v>
      </c>
      <c r="K180" s="18">
        <v>34.5</v>
      </c>
      <c r="L180" t="s">
        <v>197</v>
      </c>
    </row>
    <row r="181" spans="1:12" x14ac:dyDescent="0.35">
      <c r="A181" t="s">
        <v>12</v>
      </c>
      <c r="B181" t="s">
        <v>26</v>
      </c>
      <c r="C181" t="s">
        <v>14</v>
      </c>
      <c r="D181" t="s">
        <v>24</v>
      </c>
      <c r="E181" t="s">
        <v>14</v>
      </c>
      <c r="F181" t="s">
        <v>125</v>
      </c>
      <c r="G181" s="17">
        <v>46356</v>
      </c>
      <c r="H181" s="18">
        <v>3</v>
      </c>
      <c r="I181" t="s">
        <v>195</v>
      </c>
      <c r="J181" t="s">
        <v>196</v>
      </c>
      <c r="K181" s="18">
        <v>34.346153999999999</v>
      </c>
      <c r="L181" t="s">
        <v>197</v>
      </c>
    </row>
    <row r="182" spans="1:12" x14ac:dyDescent="0.35">
      <c r="A182" t="s">
        <v>12</v>
      </c>
      <c r="B182" t="s">
        <v>20</v>
      </c>
      <c r="C182" t="s">
        <v>10</v>
      </c>
      <c r="D182" t="s">
        <v>36</v>
      </c>
      <c r="E182" t="s">
        <v>10</v>
      </c>
      <c r="F182" t="s">
        <v>81</v>
      </c>
      <c r="G182" s="17">
        <v>46356</v>
      </c>
      <c r="H182" s="18">
        <v>4.5</v>
      </c>
      <c r="I182" t="s">
        <v>195</v>
      </c>
      <c r="J182" t="s">
        <v>196</v>
      </c>
      <c r="K182" s="18">
        <v>9.5</v>
      </c>
      <c r="L182" t="s">
        <v>197</v>
      </c>
    </row>
    <row r="183" spans="1:12" x14ac:dyDescent="0.35">
      <c r="A183" t="s">
        <v>12</v>
      </c>
      <c r="B183" t="s">
        <v>20</v>
      </c>
      <c r="C183" t="s">
        <v>10</v>
      </c>
      <c r="D183" t="s">
        <v>132</v>
      </c>
      <c r="E183" t="s">
        <v>10</v>
      </c>
      <c r="F183" t="s">
        <v>43</v>
      </c>
      <c r="G183" s="17">
        <v>46356</v>
      </c>
      <c r="H183" s="18">
        <v>10</v>
      </c>
      <c r="I183" t="s">
        <v>195</v>
      </c>
      <c r="J183" t="s">
        <v>196</v>
      </c>
      <c r="K183" s="18">
        <v>38.9</v>
      </c>
      <c r="L183" t="s">
        <v>197</v>
      </c>
    </row>
    <row r="184" spans="1:12" x14ac:dyDescent="0.35">
      <c r="A184" t="s">
        <v>12</v>
      </c>
      <c r="B184" t="s">
        <v>15</v>
      </c>
      <c r="C184" t="s">
        <v>16</v>
      </c>
      <c r="D184" t="s">
        <v>25</v>
      </c>
      <c r="E184" t="s">
        <v>16</v>
      </c>
      <c r="F184" t="s">
        <v>77</v>
      </c>
      <c r="G184" s="17">
        <v>46356</v>
      </c>
      <c r="H184" s="18">
        <v>1.4035089999999999</v>
      </c>
      <c r="I184" t="s">
        <v>195</v>
      </c>
      <c r="J184" t="s">
        <v>196</v>
      </c>
      <c r="K184" s="18">
        <v>18.557894999999998</v>
      </c>
      <c r="L184" t="s">
        <v>197</v>
      </c>
    </row>
    <row r="185" spans="1:12" x14ac:dyDescent="0.35">
      <c r="A185" t="s">
        <v>12</v>
      </c>
      <c r="B185" t="s">
        <v>15</v>
      </c>
      <c r="C185" t="s">
        <v>16</v>
      </c>
      <c r="D185" t="s">
        <v>25</v>
      </c>
      <c r="E185" t="s">
        <v>16</v>
      </c>
      <c r="F185" t="s">
        <v>40</v>
      </c>
      <c r="G185" s="17">
        <v>46356</v>
      </c>
      <c r="H185" s="18">
        <v>1.1000000000000001</v>
      </c>
      <c r="I185" t="s">
        <v>195</v>
      </c>
      <c r="J185" t="s">
        <v>196</v>
      </c>
      <c r="K185" s="18">
        <v>19.657895</v>
      </c>
      <c r="L185" t="s">
        <v>197</v>
      </c>
    </row>
    <row r="186" spans="1:12" x14ac:dyDescent="0.35">
      <c r="A186" t="s">
        <v>12</v>
      </c>
      <c r="B186" t="s">
        <v>15</v>
      </c>
      <c r="C186" t="s">
        <v>16</v>
      </c>
      <c r="D186" t="s">
        <v>25</v>
      </c>
      <c r="E186" t="s">
        <v>16</v>
      </c>
      <c r="F186" t="s">
        <v>82</v>
      </c>
      <c r="G186" s="17">
        <v>46356</v>
      </c>
      <c r="H186" s="18">
        <v>1</v>
      </c>
      <c r="I186" t="s">
        <v>195</v>
      </c>
      <c r="J186" t="s">
        <v>196</v>
      </c>
      <c r="K186" s="18">
        <v>15.754386</v>
      </c>
      <c r="L186" t="s">
        <v>197</v>
      </c>
    </row>
    <row r="187" spans="1:12" x14ac:dyDescent="0.35">
      <c r="A187" t="s">
        <v>12</v>
      </c>
      <c r="B187" t="s">
        <v>15</v>
      </c>
      <c r="C187" t="s">
        <v>16</v>
      </c>
      <c r="D187" t="s">
        <v>25</v>
      </c>
      <c r="E187" t="s">
        <v>16</v>
      </c>
      <c r="F187" t="s">
        <v>98</v>
      </c>
      <c r="G187" s="17">
        <v>46356</v>
      </c>
      <c r="H187" s="18">
        <v>1.4</v>
      </c>
      <c r="I187" t="s">
        <v>195</v>
      </c>
      <c r="J187" t="s">
        <v>196</v>
      </c>
      <c r="K187" s="18">
        <v>17.154385999999999</v>
      </c>
      <c r="L187" t="s">
        <v>197</v>
      </c>
    </row>
    <row r="188" spans="1:12" x14ac:dyDescent="0.35">
      <c r="A188" t="s">
        <v>12</v>
      </c>
      <c r="B188" t="s">
        <v>27</v>
      </c>
      <c r="C188" t="s">
        <v>14</v>
      </c>
      <c r="D188" t="s">
        <v>17</v>
      </c>
      <c r="E188" t="s">
        <v>14</v>
      </c>
      <c r="F188" t="s">
        <v>40</v>
      </c>
      <c r="G188" s="17">
        <v>46356</v>
      </c>
      <c r="H188" s="18">
        <v>5</v>
      </c>
      <c r="I188" t="s">
        <v>195</v>
      </c>
      <c r="J188" t="s">
        <v>196</v>
      </c>
      <c r="K188" s="18">
        <v>11</v>
      </c>
      <c r="L188" t="s">
        <v>197</v>
      </c>
    </row>
    <row r="189" spans="1:12" x14ac:dyDescent="0.35">
      <c r="A189" t="s">
        <v>12</v>
      </c>
      <c r="B189" t="s">
        <v>21</v>
      </c>
      <c r="C189" t="s">
        <v>14</v>
      </c>
      <c r="D189" t="s">
        <v>30</v>
      </c>
      <c r="E189" t="s">
        <v>14</v>
      </c>
      <c r="F189" t="s">
        <v>81</v>
      </c>
      <c r="G189" s="17">
        <v>46356</v>
      </c>
      <c r="H189" s="18">
        <v>7</v>
      </c>
      <c r="I189" t="s">
        <v>195</v>
      </c>
      <c r="J189" t="s">
        <v>196</v>
      </c>
      <c r="K189" s="18">
        <v>19</v>
      </c>
      <c r="L189" t="s">
        <v>197</v>
      </c>
    </row>
    <row r="190" spans="1:12" x14ac:dyDescent="0.35">
      <c r="A190" t="s">
        <v>12</v>
      </c>
      <c r="B190" t="s">
        <v>21</v>
      </c>
      <c r="C190" t="s">
        <v>14</v>
      </c>
      <c r="D190" t="s">
        <v>13</v>
      </c>
      <c r="E190" t="s">
        <v>14</v>
      </c>
      <c r="F190" t="s">
        <v>43</v>
      </c>
      <c r="G190" s="17">
        <v>46356</v>
      </c>
      <c r="H190" s="18">
        <v>10</v>
      </c>
      <c r="I190" t="s">
        <v>195</v>
      </c>
      <c r="J190" t="s">
        <v>196</v>
      </c>
      <c r="K190" s="18">
        <v>40</v>
      </c>
      <c r="L190" t="s">
        <v>197</v>
      </c>
    </row>
    <row r="191" spans="1:12" x14ac:dyDescent="0.35">
      <c r="A191" t="s">
        <v>12</v>
      </c>
      <c r="B191" t="s">
        <v>21</v>
      </c>
      <c r="C191" t="s">
        <v>14</v>
      </c>
      <c r="D191" t="s">
        <v>30</v>
      </c>
      <c r="E191" t="s">
        <v>14</v>
      </c>
      <c r="F191" t="s">
        <v>43</v>
      </c>
      <c r="G191" s="17">
        <v>46356</v>
      </c>
      <c r="H191" s="18">
        <v>10</v>
      </c>
      <c r="I191" t="s">
        <v>195</v>
      </c>
      <c r="J191" t="s">
        <v>198</v>
      </c>
      <c r="K191" s="18">
        <v>12</v>
      </c>
      <c r="L191" t="s">
        <v>197</v>
      </c>
    </row>
    <row r="192" spans="1:12" x14ac:dyDescent="0.35">
      <c r="A192" t="s">
        <v>12</v>
      </c>
      <c r="B192" t="s">
        <v>174</v>
      </c>
      <c r="C192" t="s">
        <v>14</v>
      </c>
      <c r="D192" t="s">
        <v>30</v>
      </c>
      <c r="E192" t="s">
        <v>14</v>
      </c>
      <c r="F192" t="s">
        <v>81</v>
      </c>
      <c r="G192" s="17">
        <v>46356</v>
      </c>
      <c r="H192" s="18">
        <v>21</v>
      </c>
      <c r="I192" t="s">
        <v>199</v>
      </c>
      <c r="J192" t="s">
        <v>196</v>
      </c>
      <c r="K192" s="18">
        <v>40</v>
      </c>
      <c r="L192" t="s">
        <v>197</v>
      </c>
    </row>
    <row r="193" spans="1:12" x14ac:dyDescent="0.35">
      <c r="A193" t="s">
        <v>12</v>
      </c>
      <c r="B193" t="s">
        <v>174</v>
      </c>
      <c r="C193" t="s">
        <v>14</v>
      </c>
      <c r="D193" t="s">
        <v>167</v>
      </c>
      <c r="E193" t="s">
        <v>14</v>
      </c>
      <c r="F193" t="s">
        <v>81</v>
      </c>
      <c r="G193" s="17">
        <v>46356</v>
      </c>
      <c r="H193" s="18">
        <v>1</v>
      </c>
      <c r="I193" t="s">
        <v>199</v>
      </c>
      <c r="J193" t="s">
        <v>196</v>
      </c>
      <c r="K193" s="18">
        <v>1</v>
      </c>
      <c r="L193" t="s">
        <v>197</v>
      </c>
    </row>
    <row r="194" spans="1:12" x14ac:dyDescent="0.35">
      <c r="A194" t="s">
        <v>12</v>
      </c>
      <c r="B194" t="s">
        <v>45</v>
      </c>
      <c r="C194" t="s">
        <v>14</v>
      </c>
      <c r="D194" t="s">
        <v>17</v>
      </c>
      <c r="E194" t="s">
        <v>14</v>
      </c>
      <c r="F194" t="s">
        <v>46</v>
      </c>
      <c r="G194" s="17">
        <v>46356</v>
      </c>
      <c r="H194" s="18">
        <v>1.5</v>
      </c>
      <c r="I194" t="s">
        <v>200</v>
      </c>
      <c r="J194" t="s">
        <v>196</v>
      </c>
      <c r="K194" s="18">
        <v>12.5</v>
      </c>
      <c r="L194" t="s">
        <v>197</v>
      </c>
    </row>
    <row r="195" spans="1:12" x14ac:dyDescent="0.35">
      <c r="A195" t="s">
        <v>12</v>
      </c>
      <c r="B195" t="s">
        <v>184</v>
      </c>
      <c r="C195" t="s">
        <v>14</v>
      </c>
      <c r="D195" t="s">
        <v>162</v>
      </c>
      <c r="E195" t="s">
        <v>14</v>
      </c>
      <c r="F195" t="s">
        <v>80</v>
      </c>
      <c r="G195" s="17">
        <v>46356</v>
      </c>
      <c r="H195" s="18">
        <v>10</v>
      </c>
      <c r="I195" t="s">
        <v>199</v>
      </c>
      <c r="J195" t="s">
        <v>198</v>
      </c>
      <c r="K195" s="18">
        <v>10</v>
      </c>
      <c r="L195" t="s">
        <v>197</v>
      </c>
    </row>
    <row r="196" spans="1:12" x14ac:dyDescent="0.35">
      <c r="A196" t="s">
        <v>12</v>
      </c>
      <c r="B196" t="s">
        <v>178</v>
      </c>
      <c r="C196" t="s">
        <v>14</v>
      </c>
      <c r="D196" t="s">
        <v>24</v>
      </c>
      <c r="E196" t="s">
        <v>14</v>
      </c>
      <c r="F196" t="s">
        <v>103</v>
      </c>
      <c r="G196" s="17">
        <v>46356</v>
      </c>
      <c r="H196" s="18">
        <v>10</v>
      </c>
      <c r="I196" t="s">
        <v>199</v>
      </c>
      <c r="J196" t="s">
        <v>196</v>
      </c>
      <c r="K196" s="18">
        <v>31.346153999999999</v>
      </c>
      <c r="L196" t="s">
        <v>197</v>
      </c>
    </row>
    <row r="197" spans="1:12" x14ac:dyDescent="0.35">
      <c r="A197" t="s">
        <v>12</v>
      </c>
      <c r="B197" t="s">
        <v>9</v>
      </c>
      <c r="C197" t="s">
        <v>10</v>
      </c>
      <c r="D197" t="s">
        <v>132</v>
      </c>
      <c r="E197" t="s">
        <v>10</v>
      </c>
      <c r="F197" t="s">
        <v>101</v>
      </c>
      <c r="G197" s="17">
        <v>46363</v>
      </c>
      <c r="H197" s="18">
        <v>11.8</v>
      </c>
      <c r="I197" t="s">
        <v>195</v>
      </c>
      <c r="J197" t="s">
        <v>196</v>
      </c>
      <c r="K197" s="18">
        <v>29.8</v>
      </c>
      <c r="L197" t="s">
        <v>197</v>
      </c>
    </row>
    <row r="198" spans="1:12" x14ac:dyDescent="0.35">
      <c r="A198" t="s">
        <v>12</v>
      </c>
      <c r="B198" t="s">
        <v>26</v>
      </c>
      <c r="C198" t="s">
        <v>14</v>
      </c>
      <c r="D198" t="s">
        <v>24</v>
      </c>
      <c r="E198" t="s">
        <v>14</v>
      </c>
      <c r="F198" t="s">
        <v>86</v>
      </c>
      <c r="G198" s="17">
        <v>46363</v>
      </c>
      <c r="H198" s="18">
        <v>5</v>
      </c>
      <c r="I198" t="s">
        <v>195</v>
      </c>
      <c r="J198" t="s">
        <v>196</v>
      </c>
      <c r="K198" s="18">
        <v>16.346153999999999</v>
      </c>
      <c r="L198" t="s">
        <v>197</v>
      </c>
    </row>
    <row r="199" spans="1:12" x14ac:dyDescent="0.35">
      <c r="A199" t="s">
        <v>12</v>
      </c>
      <c r="B199" t="s">
        <v>26</v>
      </c>
      <c r="C199" t="s">
        <v>14</v>
      </c>
      <c r="D199" t="s">
        <v>24</v>
      </c>
      <c r="E199" t="s">
        <v>14</v>
      </c>
      <c r="F199" t="s">
        <v>125</v>
      </c>
      <c r="G199" s="17">
        <v>46363</v>
      </c>
      <c r="H199" s="18">
        <v>5</v>
      </c>
      <c r="I199" t="s">
        <v>195</v>
      </c>
      <c r="J199" t="s">
        <v>196</v>
      </c>
      <c r="K199" s="18">
        <v>31.346153999999999</v>
      </c>
      <c r="L199" t="s">
        <v>197</v>
      </c>
    </row>
    <row r="200" spans="1:12" x14ac:dyDescent="0.35">
      <c r="A200" t="s">
        <v>12</v>
      </c>
      <c r="B200" t="s">
        <v>174</v>
      </c>
      <c r="C200" t="s">
        <v>14</v>
      </c>
      <c r="D200" t="s">
        <v>30</v>
      </c>
      <c r="E200" t="s">
        <v>14</v>
      </c>
      <c r="F200" t="s">
        <v>81</v>
      </c>
      <c r="G200" s="17">
        <v>46363</v>
      </c>
      <c r="H200" s="18">
        <v>25.5</v>
      </c>
      <c r="I200" t="s">
        <v>199</v>
      </c>
      <c r="J200" t="s">
        <v>196</v>
      </c>
      <c r="K200" s="18">
        <v>27.5</v>
      </c>
      <c r="L200" t="s">
        <v>197</v>
      </c>
    </row>
    <row r="201" spans="1:12" x14ac:dyDescent="0.35">
      <c r="A201" t="s">
        <v>12</v>
      </c>
      <c r="B201" t="s">
        <v>45</v>
      </c>
      <c r="C201" t="s">
        <v>14</v>
      </c>
      <c r="D201" t="s">
        <v>17</v>
      </c>
      <c r="E201" t="s">
        <v>14</v>
      </c>
      <c r="F201" t="s">
        <v>46</v>
      </c>
      <c r="G201" s="17">
        <v>46363</v>
      </c>
      <c r="H201" s="18">
        <v>3.8846150000000002</v>
      </c>
      <c r="I201" t="s">
        <v>200</v>
      </c>
      <c r="J201" t="s">
        <v>196</v>
      </c>
      <c r="K201" s="18">
        <v>25.884615</v>
      </c>
      <c r="L201" t="s">
        <v>197</v>
      </c>
    </row>
    <row r="202" spans="1:12" x14ac:dyDescent="0.35">
      <c r="A202" t="s">
        <v>12</v>
      </c>
      <c r="B202" t="s">
        <v>45</v>
      </c>
      <c r="C202" t="s">
        <v>14</v>
      </c>
      <c r="D202" t="s">
        <v>159</v>
      </c>
      <c r="E202" t="s">
        <v>14</v>
      </c>
      <c r="F202" t="s">
        <v>46</v>
      </c>
      <c r="G202" s="17">
        <v>46363</v>
      </c>
      <c r="H202" s="18">
        <v>18.615385</v>
      </c>
      <c r="I202" t="s">
        <v>200</v>
      </c>
      <c r="J202" t="s">
        <v>196</v>
      </c>
      <c r="K202" s="18">
        <v>20</v>
      </c>
      <c r="L202" t="s">
        <v>197</v>
      </c>
    </row>
    <row r="203" spans="1:12" x14ac:dyDescent="0.35">
      <c r="A203" t="s">
        <v>12</v>
      </c>
      <c r="B203" t="s">
        <v>183</v>
      </c>
      <c r="C203" t="s">
        <v>14</v>
      </c>
      <c r="D203" t="s">
        <v>162</v>
      </c>
      <c r="E203" t="s">
        <v>14</v>
      </c>
      <c r="F203" t="s">
        <v>122</v>
      </c>
      <c r="G203" s="17">
        <v>46363</v>
      </c>
      <c r="H203" s="18">
        <v>1</v>
      </c>
      <c r="I203" t="s">
        <v>199</v>
      </c>
      <c r="J203" t="s">
        <v>198</v>
      </c>
      <c r="K203" s="18">
        <v>1</v>
      </c>
      <c r="L203" t="s">
        <v>197</v>
      </c>
    </row>
    <row r="204" spans="1:12" x14ac:dyDescent="0.35">
      <c r="A204" t="s">
        <v>12</v>
      </c>
      <c r="B204" t="s">
        <v>184</v>
      </c>
      <c r="C204" t="s">
        <v>14</v>
      </c>
      <c r="D204" t="s">
        <v>163</v>
      </c>
      <c r="E204" t="s">
        <v>14</v>
      </c>
      <c r="F204" t="s">
        <v>80</v>
      </c>
      <c r="G204" s="17">
        <v>46363</v>
      </c>
      <c r="H204" s="18">
        <v>15</v>
      </c>
      <c r="I204" t="s">
        <v>199</v>
      </c>
      <c r="J204" t="s">
        <v>198</v>
      </c>
      <c r="K204" s="18">
        <v>15</v>
      </c>
      <c r="L204" t="s">
        <v>197</v>
      </c>
    </row>
    <row r="205" spans="1:12" x14ac:dyDescent="0.35">
      <c r="A205" t="s">
        <v>12</v>
      </c>
      <c r="B205" t="s">
        <v>178</v>
      </c>
      <c r="C205" t="s">
        <v>14</v>
      </c>
      <c r="D205" t="s">
        <v>24</v>
      </c>
      <c r="E205" t="s">
        <v>14</v>
      </c>
      <c r="F205" t="s">
        <v>103</v>
      </c>
      <c r="G205" s="17">
        <v>46363</v>
      </c>
      <c r="H205" s="18">
        <v>10</v>
      </c>
      <c r="I205" t="s">
        <v>199</v>
      </c>
      <c r="J205" t="s">
        <v>196</v>
      </c>
      <c r="K205" s="18">
        <v>26.346153999999999</v>
      </c>
      <c r="L205" t="s">
        <v>197</v>
      </c>
    </row>
    <row r="206" spans="1:12" x14ac:dyDescent="0.35">
      <c r="A206" t="s">
        <v>12</v>
      </c>
      <c r="B206" t="s">
        <v>26</v>
      </c>
      <c r="C206" t="s">
        <v>14</v>
      </c>
      <c r="D206" t="s">
        <v>24</v>
      </c>
      <c r="E206" t="s">
        <v>14</v>
      </c>
      <c r="F206" t="s">
        <v>86</v>
      </c>
      <c r="G206" s="17">
        <v>46370</v>
      </c>
      <c r="H206" s="18">
        <v>6</v>
      </c>
      <c r="I206" t="s">
        <v>195</v>
      </c>
      <c r="J206" t="s">
        <v>196</v>
      </c>
      <c r="K206" s="18">
        <v>12.346154</v>
      </c>
      <c r="L206" t="s">
        <v>197</v>
      </c>
    </row>
    <row r="207" spans="1:12" x14ac:dyDescent="0.35">
      <c r="A207" t="s">
        <v>12</v>
      </c>
      <c r="B207" t="s">
        <v>26</v>
      </c>
      <c r="C207" t="s">
        <v>14</v>
      </c>
      <c r="D207" t="s">
        <v>24</v>
      </c>
      <c r="E207" t="s">
        <v>14</v>
      </c>
      <c r="F207" t="s">
        <v>125</v>
      </c>
      <c r="G207" s="17">
        <v>46370</v>
      </c>
      <c r="H207" s="18">
        <v>7</v>
      </c>
      <c r="I207" t="s">
        <v>195</v>
      </c>
      <c r="J207" t="s">
        <v>196</v>
      </c>
      <c r="K207" s="18">
        <v>24.346153999999999</v>
      </c>
      <c r="L207" t="s">
        <v>197</v>
      </c>
    </row>
    <row r="208" spans="1:12" x14ac:dyDescent="0.35">
      <c r="A208" t="s">
        <v>12</v>
      </c>
      <c r="B208" t="s">
        <v>15</v>
      </c>
      <c r="C208" t="s">
        <v>16</v>
      </c>
      <c r="D208" t="s">
        <v>84</v>
      </c>
      <c r="E208" t="s">
        <v>16</v>
      </c>
      <c r="F208" t="s">
        <v>77</v>
      </c>
      <c r="G208" s="17">
        <v>46370</v>
      </c>
      <c r="H208" s="18">
        <v>1.4035089999999999</v>
      </c>
      <c r="I208" t="s">
        <v>195</v>
      </c>
      <c r="J208" t="s">
        <v>196</v>
      </c>
      <c r="K208" s="18">
        <v>11.333334000000001</v>
      </c>
      <c r="L208" t="s">
        <v>197</v>
      </c>
    </row>
    <row r="209" spans="1:12" x14ac:dyDescent="0.35">
      <c r="A209" t="s">
        <v>12</v>
      </c>
      <c r="B209" t="s">
        <v>15</v>
      </c>
      <c r="C209" t="s">
        <v>16</v>
      </c>
      <c r="D209" t="s">
        <v>84</v>
      </c>
      <c r="E209" t="s">
        <v>16</v>
      </c>
      <c r="F209" t="s">
        <v>40</v>
      </c>
      <c r="G209" s="17">
        <v>46370</v>
      </c>
      <c r="H209" s="18">
        <v>2.5</v>
      </c>
      <c r="I209" t="s">
        <v>195</v>
      </c>
      <c r="J209" t="s">
        <v>196</v>
      </c>
      <c r="K209" s="18">
        <v>13.833334000000001</v>
      </c>
      <c r="L209" t="s">
        <v>197</v>
      </c>
    </row>
    <row r="210" spans="1:12" x14ac:dyDescent="0.35">
      <c r="A210" t="s">
        <v>12</v>
      </c>
      <c r="B210" t="s">
        <v>15</v>
      </c>
      <c r="C210" t="s">
        <v>16</v>
      </c>
      <c r="D210" t="s">
        <v>25</v>
      </c>
      <c r="E210" t="s">
        <v>16</v>
      </c>
      <c r="F210" t="s">
        <v>82</v>
      </c>
      <c r="G210" s="17">
        <v>46370</v>
      </c>
      <c r="H210" s="18">
        <v>1</v>
      </c>
      <c r="I210" t="s">
        <v>195</v>
      </c>
      <c r="J210" t="s">
        <v>196</v>
      </c>
      <c r="K210" s="18">
        <v>25.754386</v>
      </c>
      <c r="L210" t="s">
        <v>197</v>
      </c>
    </row>
    <row r="211" spans="1:12" x14ac:dyDescent="0.35">
      <c r="A211" t="s">
        <v>12</v>
      </c>
      <c r="B211" t="s">
        <v>174</v>
      </c>
      <c r="C211" t="s">
        <v>14</v>
      </c>
      <c r="D211" t="s">
        <v>30</v>
      </c>
      <c r="E211" t="s">
        <v>14</v>
      </c>
      <c r="F211" t="s">
        <v>81</v>
      </c>
      <c r="G211" s="17">
        <v>46370</v>
      </c>
      <c r="H211" s="18">
        <v>5.5</v>
      </c>
      <c r="I211" t="s">
        <v>199</v>
      </c>
      <c r="J211" t="s">
        <v>196</v>
      </c>
      <c r="K211" s="18">
        <v>22.5</v>
      </c>
      <c r="L211" t="s">
        <v>197</v>
      </c>
    </row>
    <row r="212" spans="1:12" x14ac:dyDescent="0.35">
      <c r="A212" t="s">
        <v>12</v>
      </c>
      <c r="B212" t="s">
        <v>180</v>
      </c>
      <c r="C212" t="s">
        <v>14</v>
      </c>
      <c r="D212" t="s">
        <v>27</v>
      </c>
      <c r="E212" t="s">
        <v>14</v>
      </c>
      <c r="F212" t="s">
        <v>98</v>
      </c>
      <c r="G212" s="17">
        <v>46370</v>
      </c>
      <c r="H212" s="18">
        <v>25</v>
      </c>
      <c r="I212" t="s">
        <v>199</v>
      </c>
      <c r="J212" t="s">
        <v>196</v>
      </c>
      <c r="K212" s="18">
        <v>36</v>
      </c>
      <c r="L212" t="s">
        <v>197</v>
      </c>
    </row>
    <row r="213" spans="1:12" x14ac:dyDescent="0.35">
      <c r="A213" t="s">
        <v>12</v>
      </c>
      <c r="B213" t="s">
        <v>45</v>
      </c>
      <c r="C213" t="s">
        <v>14</v>
      </c>
      <c r="D213" t="s">
        <v>17</v>
      </c>
      <c r="E213" t="s">
        <v>14</v>
      </c>
      <c r="F213" t="s">
        <v>46</v>
      </c>
      <c r="G213" s="17">
        <v>46370</v>
      </c>
      <c r="H213" s="18">
        <v>1.5</v>
      </c>
      <c r="I213" t="s">
        <v>200</v>
      </c>
      <c r="J213" t="s">
        <v>196</v>
      </c>
      <c r="K213" s="18">
        <v>19.5</v>
      </c>
      <c r="L213" t="s">
        <v>197</v>
      </c>
    </row>
    <row r="214" spans="1:12" x14ac:dyDescent="0.35">
      <c r="A214" t="s">
        <v>12</v>
      </c>
      <c r="B214" t="s">
        <v>183</v>
      </c>
      <c r="C214" t="s">
        <v>14</v>
      </c>
      <c r="D214" t="s">
        <v>162</v>
      </c>
      <c r="E214" t="s">
        <v>14</v>
      </c>
      <c r="F214" t="s">
        <v>122</v>
      </c>
      <c r="G214" s="17">
        <v>46370</v>
      </c>
      <c r="H214" s="18">
        <v>1</v>
      </c>
      <c r="I214" t="s">
        <v>199</v>
      </c>
      <c r="J214" t="s">
        <v>198</v>
      </c>
      <c r="K214" s="18">
        <v>1</v>
      </c>
      <c r="L214" t="s">
        <v>197</v>
      </c>
    </row>
    <row r="215" spans="1:12" x14ac:dyDescent="0.35">
      <c r="A215" t="s">
        <v>12</v>
      </c>
      <c r="B215" t="s">
        <v>184</v>
      </c>
      <c r="C215" t="s">
        <v>14</v>
      </c>
      <c r="D215" t="s">
        <v>163</v>
      </c>
      <c r="E215" t="s">
        <v>14</v>
      </c>
      <c r="F215" t="s">
        <v>80</v>
      </c>
      <c r="G215" s="17">
        <v>46370</v>
      </c>
      <c r="H215" s="18">
        <v>10</v>
      </c>
      <c r="I215" t="s">
        <v>199</v>
      </c>
      <c r="J215" t="s">
        <v>198</v>
      </c>
      <c r="K215" s="18">
        <v>10</v>
      </c>
      <c r="L215" t="s">
        <v>197</v>
      </c>
    </row>
    <row r="216" spans="1:12" x14ac:dyDescent="0.35">
      <c r="A216" t="s">
        <v>12</v>
      </c>
      <c r="B216" t="s">
        <v>178</v>
      </c>
      <c r="C216" t="s">
        <v>14</v>
      </c>
      <c r="D216" t="s">
        <v>24</v>
      </c>
      <c r="E216" t="s">
        <v>14</v>
      </c>
      <c r="F216" t="s">
        <v>103</v>
      </c>
      <c r="G216" s="17">
        <v>46370</v>
      </c>
      <c r="H216" s="18">
        <v>5</v>
      </c>
      <c r="I216" t="s">
        <v>199</v>
      </c>
      <c r="J216" t="s">
        <v>196</v>
      </c>
      <c r="K216" s="18">
        <v>17.346153999999999</v>
      </c>
      <c r="L216" t="s">
        <v>197</v>
      </c>
    </row>
    <row r="217" spans="1:12" x14ac:dyDescent="0.35">
      <c r="A217" t="s">
        <v>12</v>
      </c>
      <c r="B217" t="s">
        <v>174</v>
      </c>
      <c r="C217" t="s">
        <v>14</v>
      </c>
      <c r="D217" t="s">
        <v>30</v>
      </c>
      <c r="E217" t="s">
        <v>14</v>
      </c>
      <c r="F217" t="s">
        <v>81</v>
      </c>
      <c r="G217" s="17">
        <v>46377</v>
      </c>
      <c r="H217" s="18">
        <v>2</v>
      </c>
      <c r="I217" t="s">
        <v>199</v>
      </c>
      <c r="J217" t="s">
        <v>196</v>
      </c>
      <c r="K217" s="18">
        <v>4</v>
      </c>
      <c r="L217" t="s">
        <v>197</v>
      </c>
    </row>
    <row r="218" spans="1:12" x14ac:dyDescent="0.35">
      <c r="A218" t="s">
        <v>12</v>
      </c>
      <c r="B218" t="s">
        <v>18</v>
      </c>
      <c r="C218" t="s">
        <v>16</v>
      </c>
      <c r="D218" t="s">
        <v>15</v>
      </c>
      <c r="E218" t="s">
        <v>16</v>
      </c>
      <c r="F218" t="s">
        <v>77</v>
      </c>
      <c r="G218" s="17">
        <v>46391</v>
      </c>
      <c r="H218" s="18">
        <v>0.40350900000000001</v>
      </c>
      <c r="I218" t="s">
        <v>195</v>
      </c>
      <c r="J218" t="s">
        <v>196</v>
      </c>
      <c r="K218" s="18">
        <v>4.3070180000000002</v>
      </c>
      <c r="L218" t="s">
        <v>197</v>
      </c>
    </row>
    <row r="219" spans="1:12" x14ac:dyDescent="0.35">
      <c r="A219" t="s">
        <v>12</v>
      </c>
      <c r="B219" t="s">
        <v>18</v>
      </c>
      <c r="C219" t="s">
        <v>16</v>
      </c>
      <c r="D219" t="s">
        <v>15</v>
      </c>
      <c r="E219" t="s">
        <v>16</v>
      </c>
      <c r="F219" t="s">
        <v>78</v>
      </c>
      <c r="G219" s="17">
        <v>46391</v>
      </c>
      <c r="H219" s="18">
        <v>0.5</v>
      </c>
      <c r="I219" t="s">
        <v>195</v>
      </c>
      <c r="J219" t="s">
        <v>196</v>
      </c>
      <c r="K219" s="18">
        <v>2.9035090000000001</v>
      </c>
      <c r="L219" t="s">
        <v>197</v>
      </c>
    </row>
    <row r="220" spans="1:12" x14ac:dyDescent="0.35">
      <c r="A220" t="s">
        <v>12</v>
      </c>
      <c r="B220" t="s">
        <v>18</v>
      </c>
      <c r="C220" t="s">
        <v>16</v>
      </c>
      <c r="D220" t="s">
        <v>15</v>
      </c>
      <c r="E220" t="s">
        <v>16</v>
      </c>
      <c r="F220" t="s">
        <v>98</v>
      </c>
      <c r="G220" s="17">
        <v>46391</v>
      </c>
      <c r="H220" s="18">
        <v>1</v>
      </c>
      <c r="I220" t="s">
        <v>195</v>
      </c>
      <c r="J220" t="s">
        <v>196</v>
      </c>
      <c r="K220" s="18">
        <v>3.9035090000000001</v>
      </c>
      <c r="L220" t="s">
        <v>197</v>
      </c>
    </row>
    <row r="221" spans="1:12" x14ac:dyDescent="0.35">
      <c r="A221" t="s">
        <v>12</v>
      </c>
      <c r="B221" t="s">
        <v>174</v>
      </c>
      <c r="C221" t="s">
        <v>14</v>
      </c>
      <c r="D221" t="s">
        <v>30</v>
      </c>
      <c r="E221" t="s">
        <v>14</v>
      </c>
      <c r="F221" t="s">
        <v>81</v>
      </c>
      <c r="G221" s="17">
        <v>46391</v>
      </c>
      <c r="H221" s="18">
        <v>6</v>
      </c>
      <c r="I221" t="s">
        <v>199</v>
      </c>
      <c r="J221" t="s">
        <v>196</v>
      </c>
      <c r="K221" s="18">
        <v>15</v>
      </c>
      <c r="L221" t="s">
        <v>197</v>
      </c>
    </row>
    <row r="222" spans="1:12" x14ac:dyDescent="0.35">
      <c r="A222" t="s">
        <v>12</v>
      </c>
      <c r="B222" t="s">
        <v>180</v>
      </c>
      <c r="C222" t="s">
        <v>14</v>
      </c>
      <c r="D222" t="s">
        <v>30</v>
      </c>
      <c r="E222" t="s">
        <v>14</v>
      </c>
      <c r="F222" t="s">
        <v>98</v>
      </c>
      <c r="G222" s="17">
        <v>46391</v>
      </c>
      <c r="H222" s="18">
        <v>40</v>
      </c>
      <c r="I222" t="s">
        <v>199</v>
      </c>
      <c r="J222" t="s">
        <v>196</v>
      </c>
      <c r="K222" s="18">
        <v>55</v>
      </c>
      <c r="L222" t="s">
        <v>197</v>
      </c>
    </row>
    <row r="223" spans="1:12" x14ac:dyDescent="0.35">
      <c r="A223" t="s">
        <v>12</v>
      </c>
      <c r="B223" t="s">
        <v>45</v>
      </c>
      <c r="C223" t="s">
        <v>14</v>
      </c>
      <c r="D223" t="s">
        <v>17</v>
      </c>
      <c r="E223" t="s">
        <v>14</v>
      </c>
      <c r="F223" t="s">
        <v>46</v>
      </c>
      <c r="G223" s="17">
        <v>46391</v>
      </c>
      <c r="H223" s="18">
        <v>1.5</v>
      </c>
      <c r="I223" t="s">
        <v>200</v>
      </c>
      <c r="J223" t="s">
        <v>196</v>
      </c>
      <c r="K223" s="18">
        <v>27.5</v>
      </c>
      <c r="L223" t="s">
        <v>197</v>
      </c>
    </row>
    <row r="224" spans="1:12" x14ac:dyDescent="0.35">
      <c r="A224" t="s">
        <v>12</v>
      </c>
      <c r="B224" t="s">
        <v>183</v>
      </c>
      <c r="C224" t="s">
        <v>14</v>
      </c>
      <c r="D224" t="s">
        <v>13</v>
      </c>
      <c r="E224" t="s">
        <v>14</v>
      </c>
      <c r="F224" t="s">
        <v>122</v>
      </c>
      <c r="G224" s="17">
        <v>46391</v>
      </c>
      <c r="H224" s="18">
        <v>21</v>
      </c>
      <c r="I224" t="s">
        <v>199</v>
      </c>
      <c r="J224" t="s">
        <v>198</v>
      </c>
      <c r="K224" s="18">
        <v>37</v>
      </c>
      <c r="L224" t="s">
        <v>197</v>
      </c>
    </row>
    <row r="225" spans="1:12" x14ac:dyDescent="0.35">
      <c r="A225" t="s">
        <v>12</v>
      </c>
      <c r="B225" t="s">
        <v>184</v>
      </c>
      <c r="C225" t="s">
        <v>14</v>
      </c>
      <c r="D225" t="s">
        <v>26</v>
      </c>
      <c r="E225" t="s">
        <v>14</v>
      </c>
      <c r="F225" t="s">
        <v>80</v>
      </c>
      <c r="G225" s="17">
        <v>46391</v>
      </c>
      <c r="H225" s="18">
        <v>5.3</v>
      </c>
      <c r="I225" t="s">
        <v>199</v>
      </c>
      <c r="J225" t="s">
        <v>196</v>
      </c>
      <c r="K225" s="18">
        <v>55</v>
      </c>
      <c r="L225" t="s">
        <v>197</v>
      </c>
    </row>
    <row r="226" spans="1:12" x14ac:dyDescent="0.35">
      <c r="A226" t="s">
        <v>12</v>
      </c>
      <c r="B226" t="s">
        <v>184</v>
      </c>
      <c r="C226" t="s">
        <v>14</v>
      </c>
      <c r="D226" t="s">
        <v>162</v>
      </c>
      <c r="E226" t="s">
        <v>14</v>
      </c>
      <c r="F226" t="s">
        <v>80</v>
      </c>
      <c r="G226" s="17">
        <v>46391</v>
      </c>
      <c r="H226" s="18">
        <v>30.7</v>
      </c>
      <c r="I226" t="s">
        <v>199</v>
      </c>
      <c r="J226" t="s">
        <v>198</v>
      </c>
      <c r="K226" s="18">
        <v>30.7</v>
      </c>
      <c r="L226" t="s">
        <v>197</v>
      </c>
    </row>
    <row r="227" spans="1:12" x14ac:dyDescent="0.35">
      <c r="A227" t="s">
        <v>12</v>
      </c>
      <c r="B227" t="s">
        <v>176</v>
      </c>
      <c r="C227" t="s">
        <v>14</v>
      </c>
      <c r="D227" t="s">
        <v>24</v>
      </c>
      <c r="E227" t="s">
        <v>14</v>
      </c>
      <c r="F227" t="s">
        <v>103</v>
      </c>
      <c r="G227" s="17">
        <v>46391</v>
      </c>
      <c r="H227" s="18">
        <v>17.5</v>
      </c>
      <c r="I227" t="s">
        <v>199</v>
      </c>
      <c r="J227" t="s">
        <v>196</v>
      </c>
      <c r="K227" s="18">
        <v>55</v>
      </c>
      <c r="L227" t="s">
        <v>197</v>
      </c>
    </row>
    <row r="228" spans="1:12" x14ac:dyDescent="0.35">
      <c r="A228" t="s">
        <v>12</v>
      </c>
      <c r="B228" t="s">
        <v>176</v>
      </c>
      <c r="C228" t="s">
        <v>14</v>
      </c>
      <c r="D228" t="s">
        <v>170</v>
      </c>
      <c r="E228" t="s">
        <v>14</v>
      </c>
      <c r="F228" t="s">
        <v>103</v>
      </c>
      <c r="G228" s="17">
        <v>46391</v>
      </c>
      <c r="H228" s="18">
        <v>17.5</v>
      </c>
      <c r="I228" t="s">
        <v>199</v>
      </c>
      <c r="J228" t="s">
        <v>196</v>
      </c>
      <c r="K228" s="18">
        <v>17.5</v>
      </c>
      <c r="L228" t="s">
        <v>197</v>
      </c>
    </row>
    <row r="229" spans="1:12" x14ac:dyDescent="0.35">
      <c r="A229" t="s">
        <v>12</v>
      </c>
      <c r="B229" t="s">
        <v>178</v>
      </c>
      <c r="C229" t="s">
        <v>14</v>
      </c>
      <c r="D229" t="s">
        <v>17</v>
      </c>
      <c r="E229" t="s">
        <v>14</v>
      </c>
      <c r="F229" t="s">
        <v>103</v>
      </c>
      <c r="G229" s="17">
        <v>46391</v>
      </c>
      <c r="H229" s="18">
        <v>20</v>
      </c>
      <c r="I229" t="s">
        <v>199</v>
      </c>
      <c r="J229" t="s">
        <v>198</v>
      </c>
      <c r="K229" s="18">
        <v>26</v>
      </c>
      <c r="L229" t="s">
        <v>197</v>
      </c>
    </row>
    <row r="230" spans="1:12" x14ac:dyDescent="0.35">
      <c r="A230" t="s">
        <v>29</v>
      </c>
      <c r="B230" t="s">
        <v>18</v>
      </c>
      <c r="C230" t="s">
        <v>16</v>
      </c>
      <c r="D230" t="s">
        <v>94</v>
      </c>
      <c r="E230" t="s">
        <v>16</v>
      </c>
      <c r="F230" t="s">
        <v>75</v>
      </c>
      <c r="G230" s="17">
        <v>46398</v>
      </c>
      <c r="H230" s="18">
        <v>5</v>
      </c>
      <c r="I230" t="s">
        <v>195</v>
      </c>
      <c r="J230" t="s">
        <v>196</v>
      </c>
      <c r="K230" s="18">
        <v>28</v>
      </c>
      <c r="L230" t="s">
        <v>197</v>
      </c>
    </row>
    <row r="231" spans="1:12" x14ac:dyDescent="0.35">
      <c r="A231" t="s">
        <v>12</v>
      </c>
      <c r="B231" t="s">
        <v>18</v>
      </c>
      <c r="C231" t="s">
        <v>16</v>
      </c>
      <c r="D231" t="s">
        <v>15</v>
      </c>
      <c r="E231" t="s">
        <v>16</v>
      </c>
      <c r="F231" t="s">
        <v>77</v>
      </c>
      <c r="G231" s="17">
        <v>46398</v>
      </c>
      <c r="H231" s="18">
        <v>1.4035089999999999</v>
      </c>
      <c r="I231" t="s">
        <v>195</v>
      </c>
      <c r="J231" t="s">
        <v>196</v>
      </c>
      <c r="K231" s="18">
        <v>8.8070179999999993</v>
      </c>
      <c r="L231" t="s">
        <v>197</v>
      </c>
    </row>
    <row r="232" spans="1:12" x14ac:dyDescent="0.35">
      <c r="A232" t="s">
        <v>12</v>
      </c>
      <c r="B232" t="s">
        <v>18</v>
      </c>
      <c r="C232" t="s">
        <v>16</v>
      </c>
      <c r="D232" t="s">
        <v>15</v>
      </c>
      <c r="E232" t="s">
        <v>16</v>
      </c>
      <c r="F232" t="s">
        <v>78</v>
      </c>
      <c r="G232" s="17">
        <v>46398</v>
      </c>
      <c r="H232" s="18">
        <v>0.5</v>
      </c>
      <c r="I232" t="s">
        <v>195</v>
      </c>
      <c r="J232" t="s">
        <v>196</v>
      </c>
      <c r="K232" s="18">
        <v>7.4035089999999997</v>
      </c>
      <c r="L232" t="s">
        <v>197</v>
      </c>
    </row>
    <row r="233" spans="1:12" x14ac:dyDescent="0.35">
      <c r="A233" t="s">
        <v>12</v>
      </c>
      <c r="B233" t="s">
        <v>18</v>
      </c>
      <c r="C233" t="s">
        <v>16</v>
      </c>
      <c r="D233" t="s">
        <v>84</v>
      </c>
      <c r="E233" t="s">
        <v>16</v>
      </c>
      <c r="F233" t="s">
        <v>81</v>
      </c>
      <c r="G233" s="17">
        <v>46398</v>
      </c>
      <c r="H233" s="18">
        <v>1</v>
      </c>
      <c r="I233" t="s">
        <v>195</v>
      </c>
      <c r="J233" t="s">
        <v>196</v>
      </c>
      <c r="K233" s="18">
        <v>21.903509</v>
      </c>
      <c r="L233" t="s">
        <v>197</v>
      </c>
    </row>
    <row r="234" spans="1:12" x14ac:dyDescent="0.35">
      <c r="A234" t="s">
        <v>12</v>
      </c>
      <c r="B234" t="s">
        <v>18</v>
      </c>
      <c r="C234" t="s">
        <v>16</v>
      </c>
      <c r="D234" t="s">
        <v>15</v>
      </c>
      <c r="E234" t="s">
        <v>16</v>
      </c>
      <c r="F234" t="s">
        <v>98</v>
      </c>
      <c r="G234" s="17">
        <v>46398</v>
      </c>
      <c r="H234" s="18">
        <v>3</v>
      </c>
      <c r="I234" t="s">
        <v>195</v>
      </c>
      <c r="J234" t="s">
        <v>196</v>
      </c>
      <c r="K234" s="18">
        <v>11.807017999999999</v>
      </c>
      <c r="L234" t="s">
        <v>197</v>
      </c>
    </row>
    <row r="235" spans="1:12" x14ac:dyDescent="0.35">
      <c r="A235" t="s">
        <v>12</v>
      </c>
      <c r="B235" t="s">
        <v>107</v>
      </c>
      <c r="C235" t="s">
        <v>14</v>
      </c>
      <c r="D235" t="s">
        <v>13</v>
      </c>
      <c r="E235" t="s">
        <v>14</v>
      </c>
      <c r="F235" t="s">
        <v>102</v>
      </c>
      <c r="G235" s="17">
        <v>46398</v>
      </c>
      <c r="H235" s="18">
        <v>10</v>
      </c>
      <c r="I235" t="s">
        <v>199</v>
      </c>
      <c r="J235" t="s">
        <v>196</v>
      </c>
      <c r="K235" s="18">
        <v>34</v>
      </c>
      <c r="L235" t="s">
        <v>197</v>
      </c>
    </row>
    <row r="236" spans="1:12" x14ac:dyDescent="0.35">
      <c r="A236" t="s">
        <v>12</v>
      </c>
      <c r="B236" t="s">
        <v>174</v>
      </c>
      <c r="C236" t="s">
        <v>14</v>
      </c>
      <c r="D236" t="s">
        <v>21</v>
      </c>
      <c r="E236" t="s">
        <v>14</v>
      </c>
      <c r="F236" t="s">
        <v>81</v>
      </c>
      <c r="G236" s="17">
        <v>46398</v>
      </c>
      <c r="H236" s="18">
        <v>2</v>
      </c>
      <c r="I236" t="s">
        <v>199</v>
      </c>
      <c r="J236" t="s">
        <v>196</v>
      </c>
      <c r="K236" s="18">
        <v>34.5</v>
      </c>
      <c r="L236" t="s">
        <v>197</v>
      </c>
    </row>
    <row r="237" spans="1:12" x14ac:dyDescent="0.35">
      <c r="A237" t="s">
        <v>12</v>
      </c>
      <c r="B237" t="s">
        <v>179</v>
      </c>
      <c r="C237" t="s">
        <v>14</v>
      </c>
      <c r="D237" t="s">
        <v>27</v>
      </c>
      <c r="E237" t="s">
        <v>14</v>
      </c>
      <c r="F237" t="s">
        <v>100</v>
      </c>
      <c r="G237" s="17">
        <v>46398</v>
      </c>
      <c r="H237" s="18">
        <v>17</v>
      </c>
      <c r="I237" t="s">
        <v>199</v>
      </c>
      <c r="J237" t="s">
        <v>196</v>
      </c>
      <c r="K237" s="18">
        <v>55</v>
      </c>
      <c r="L237" t="s">
        <v>197</v>
      </c>
    </row>
    <row r="238" spans="1:12" x14ac:dyDescent="0.35">
      <c r="A238" t="s">
        <v>12</v>
      </c>
      <c r="B238" t="s">
        <v>179</v>
      </c>
      <c r="C238" t="s">
        <v>14</v>
      </c>
      <c r="D238" t="s">
        <v>30</v>
      </c>
      <c r="E238" t="s">
        <v>14</v>
      </c>
      <c r="F238" t="s">
        <v>100</v>
      </c>
      <c r="G238" s="17">
        <v>46398</v>
      </c>
      <c r="H238" s="18">
        <v>8</v>
      </c>
      <c r="I238" t="s">
        <v>199</v>
      </c>
      <c r="J238" t="s">
        <v>198</v>
      </c>
      <c r="K238" s="18">
        <v>48</v>
      </c>
      <c r="L238" t="s">
        <v>197</v>
      </c>
    </row>
    <row r="239" spans="1:12" x14ac:dyDescent="0.35">
      <c r="A239" t="s">
        <v>12</v>
      </c>
      <c r="B239" t="s">
        <v>180</v>
      </c>
      <c r="C239" t="s">
        <v>14</v>
      </c>
      <c r="D239" t="s">
        <v>26</v>
      </c>
      <c r="E239" t="s">
        <v>14</v>
      </c>
      <c r="F239" t="s">
        <v>98</v>
      </c>
      <c r="G239" s="17">
        <v>46398</v>
      </c>
      <c r="H239" s="18">
        <v>1.8</v>
      </c>
      <c r="I239" t="s">
        <v>199</v>
      </c>
      <c r="J239" t="s">
        <v>198</v>
      </c>
      <c r="K239" s="18">
        <v>55</v>
      </c>
      <c r="L239" t="s">
        <v>197</v>
      </c>
    </row>
    <row r="240" spans="1:12" x14ac:dyDescent="0.35">
      <c r="A240" t="s">
        <v>12</v>
      </c>
      <c r="B240" t="s">
        <v>180</v>
      </c>
      <c r="C240" t="s">
        <v>14</v>
      </c>
      <c r="D240" t="s">
        <v>149</v>
      </c>
      <c r="E240" t="s">
        <v>14</v>
      </c>
      <c r="F240" t="s">
        <v>98</v>
      </c>
      <c r="G240" s="17">
        <v>46398</v>
      </c>
      <c r="H240" s="18">
        <v>9.1999999999999993</v>
      </c>
      <c r="I240" t="s">
        <v>202</v>
      </c>
      <c r="J240" t="s">
        <v>198</v>
      </c>
      <c r="K240" s="18">
        <v>9.1999999999999993</v>
      </c>
      <c r="L240" t="s">
        <v>201</v>
      </c>
    </row>
    <row r="241" spans="1:12" x14ac:dyDescent="0.35">
      <c r="A241" t="s">
        <v>12</v>
      </c>
      <c r="B241" t="s">
        <v>180</v>
      </c>
      <c r="C241" t="s">
        <v>14</v>
      </c>
      <c r="D241" t="s">
        <v>159</v>
      </c>
      <c r="E241" t="s">
        <v>14</v>
      </c>
      <c r="F241" t="s">
        <v>98</v>
      </c>
      <c r="G241" s="17">
        <v>46398</v>
      </c>
      <c r="H241" s="18">
        <v>7.5</v>
      </c>
      <c r="I241" t="s">
        <v>199</v>
      </c>
      <c r="J241" t="s">
        <v>198</v>
      </c>
      <c r="K241" s="18">
        <v>20</v>
      </c>
      <c r="L241" t="s">
        <v>197</v>
      </c>
    </row>
    <row r="242" spans="1:12" x14ac:dyDescent="0.35">
      <c r="A242" t="s">
        <v>12</v>
      </c>
      <c r="B242" t="s">
        <v>180</v>
      </c>
      <c r="C242" t="s">
        <v>14</v>
      </c>
      <c r="D242" t="s">
        <v>21</v>
      </c>
      <c r="E242" t="s">
        <v>14</v>
      </c>
      <c r="F242" t="s">
        <v>98</v>
      </c>
      <c r="G242" s="17">
        <v>46398</v>
      </c>
      <c r="H242" s="18">
        <v>12</v>
      </c>
      <c r="I242" t="s">
        <v>199</v>
      </c>
      <c r="J242" t="s">
        <v>198</v>
      </c>
      <c r="K242" s="18">
        <v>55</v>
      </c>
      <c r="L242" t="s">
        <v>197</v>
      </c>
    </row>
    <row r="243" spans="1:12" x14ac:dyDescent="0.35">
      <c r="A243" t="s">
        <v>12</v>
      </c>
      <c r="B243" t="s">
        <v>180</v>
      </c>
      <c r="C243" t="s">
        <v>14</v>
      </c>
      <c r="D243" t="s">
        <v>30</v>
      </c>
      <c r="E243" t="s">
        <v>14</v>
      </c>
      <c r="F243" t="s">
        <v>98</v>
      </c>
      <c r="G243" s="17">
        <v>46398</v>
      </c>
      <c r="H243" s="18">
        <v>7</v>
      </c>
      <c r="I243" t="s">
        <v>199</v>
      </c>
      <c r="J243" t="s">
        <v>196</v>
      </c>
      <c r="K243" s="18">
        <v>55</v>
      </c>
      <c r="L243" t="s">
        <v>197</v>
      </c>
    </row>
    <row r="244" spans="1:12" x14ac:dyDescent="0.35">
      <c r="A244" t="s">
        <v>12</v>
      </c>
      <c r="B244" t="s">
        <v>180</v>
      </c>
      <c r="C244" t="s">
        <v>14</v>
      </c>
      <c r="D244" t="s">
        <v>179</v>
      </c>
      <c r="E244" t="s">
        <v>14</v>
      </c>
      <c r="F244" t="s">
        <v>98</v>
      </c>
      <c r="G244" s="17">
        <v>46398</v>
      </c>
      <c r="H244" s="18">
        <v>12.5</v>
      </c>
      <c r="I244" t="s">
        <v>199</v>
      </c>
      <c r="J244" t="s">
        <v>196</v>
      </c>
      <c r="K244" s="18">
        <v>12.5</v>
      </c>
      <c r="L244" t="s">
        <v>197</v>
      </c>
    </row>
    <row r="245" spans="1:12" x14ac:dyDescent="0.35">
      <c r="A245" t="s">
        <v>12</v>
      </c>
      <c r="B245" t="s">
        <v>45</v>
      </c>
      <c r="C245" t="s">
        <v>14</v>
      </c>
      <c r="D245" t="s">
        <v>147</v>
      </c>
      <c r="E245" t="s">
        <v>14</v>
      </c>
      <c r="F245" t="s">
        <v>46</v>
      </c>
      <c r="G245" s="17">
        <v>46398</v>
      </c>
      <c r="H245" s="18">
        <v>12.5</v>
      </c>
      <c r="I245" t="s">
        <v>200</v>
      </c>
      <c r="J245" t="s">
        <v>198</v>
      </c>
      <c r="K245" s="18">
        <v>12.5</v>
      </c>
      <c r="L245" t="s">
        <v>201</v>
      </c>
    </row>
    <row r="246" spans="1:12" x14ac:dyDescent="0.35">
      <c r="A246" t="s">
        <v>12</v>
      </c>
      <c r="B246" t="s">
        <v>183</v>
      </c>
      <c r="C246" t="s">
        <v>14</v>
      </c>
      <c r="D246" t="s">
        <v>145</v>
      </c>
      <c r="E246" t="s">
        <v>14</v>
      </c>
      <c r="F246" t="s">
        <v>122</v>
      </c>
      <c r="G246" s="17">
        <v>46398</v>
      </c>
      <c r="H246" s="18">
        <v>31</v>
      </c>
      <c r="I246" t="s">
        <v>202</v>
      </c>
      <c r="J246" t="s">
        <v>198</v>
      </c>
      <c r="K246" s="18">
        <v>31</v>
      </c>
      <c r="L246" t="s">
        <v>201</v>
      </c>
    </row>
    <row r="247" spans="1:12" x14ac:dyDescent="0.35">
      <c r="A247" t="s">
        <v>12</v>
      </c>
      <c r="B247" t="s">
        <v>184</v>
      </c>
      <c r="C247" t="s">
        <v>14</v>
      </c>
      <c r="D247" t="s">
        <v>145</v>
      </c>
      <c r="E247" t="s">
        <v>14</v>
      </c>
      <c r="F247" t="s">
        <v>80</v>
      </c>
      <c r="G247" s="17">
        <v>46398</v>
      </c>
      <c r="H247" s="18">
        <v>24</v>
      </c>
      <c r="I247" t="s">
        <v>202</v>
      </c>
      <c r="J247" t="s">
        <v>198</v>
      </c>
      <c r="K247" s="18">
        <v>55</v>
      </c>
      <c r="L247" t="s">
        <v>201</v>
      </c>
    </row>
    <row r="248" spans="1:12" x14ac:dyDescent="0.35">
      <c r="A248" t="s">
        <v>12</v>
      </c>
      <c r="B248" t="s">
        <v>184</v>
      </c>
      <c r="C248" t="s">
        <v>14</v>
      </c>
      <c r="D248" t="s">
        <v>146</v>
      </c>
      <c r="E248" t="s">
        <v>14</v>
      </c>
      <c r="F248" t="s">
        <v>80</v>
      </c>
      <c r="G248" s="17">
        <v>46398</v>
      </c>
      <c r="H248" s="18">
        <v>17</v>
      </c>
      <c r="I248" t="s">
        <v>202</v>
      </c>
      <c r="J248" t="s">
        <v>198</v>
      </c>
      <c r="K248" s="18">
        <v>17</v>
      </c>
      <c r="L248" t="s">
        <v>201</v>
      </c>
    </row>
    <row r="249" spans="1:12" x14ac:dyDescent="0.35">
      <c r="A249" t="s">
        <v>12</v>
      </c>
      <c r="B249" t="s">
        <v>176</v>
      </c>
      <c r="C249" t="s">
        <v>14</v>
      </c>
      <c r="D249" t="s">
        <v>24</v>
      </c>
      <c r="E249" t="s">
        <v>14</v>
      </c>
      <c r="F249" t="s">
        <v>103</v>
      </c>
      <c r="G249" s="17">
        <v>46398</v>
      </c>
      <c r="H249" s="18">
        <v>2.5</v>
      </c>
      <c r="I249" t="s">
        <v>199</v>
      </c>
      <c r="J249" t="s">
        <v>196</v>
      </c>
      <c r="K249" s="18">
        <v>55</v>
      </c>
      <c r="L249" t="s">
        <v>197</v>
      </c>
    </row>
    <row r="250" spans="1:12" x14ac:dyDescent="0.35">
      <c r="A250" t="s">
        <v>12</v>
      </c>
      <c r="B250" t="s">
        <v>176</v>
      </c>
      <c r="C250" t="s">
        <v>14</v>
      </c>
      <c r="D250" t="s">
        <v>170</v>
      </c>
      <c r="E250" t="s">
        <v>14</v>
      </c>
      <c r="F250" t="s">
        <v>103</v>
      </c>
      <c r="G250" s="17">
        <v>46398</v>
      </c>
      <c r="H250" s="18">
        <v>42.5</v>
      </c>
      <c r="I250" t="s">
        <v>199</v>
      </c>
      <c r="J250" t="s">
        <v>196</v>
      </c>
      <c r="K250" s="18">
        <v>42.5</v>
      </c>
      <c r="L250" t="s">
        <v>197</v>
      </c>
    </row>
    <row r="251" spans="1:12" x14ac:dyDescent="0.35">
      <c r="A251" t="s">
        <v>12</v>
      </c>
      <c r="B251" t="s">
        <v>178</v>
      </c>
      <c r="C251" t="s">
        <v>14</v>
      </c>
      <c r="D251" t="s">
        <v>13</v>
      </c>
      <c r="E251" t="s">
        <v>14</v>
      </c>
      <c r="F251" t="s">
        <v>103</v>
      </c>
      <c r="G251" s="17">
        <v>46398</v>
      </c>
      <c r="H251" s="18">
        <v>21</v>
      </c>
      <c r="I251" t="s">
        <v>199</v>
      </c>
      <c r="J251" t="s">
        <v>198</v>
      </c>
      <c r="K251" s="18">
        <v>55</v>
      </c>
      <c r="L251" t="s">
        <v>197</v>
      </c>
    </row>
    <row r="252" spans="1:12" x14ac:dyDescent="0.35">
      <c r="A252" t="s">
        <v>12</v>
      </c>
      <c r="B252" t="s">
        <v>178</v>
      </c>
      <c r="C252" t="s">
        <v>14</v>
      </c>
      <c r="D252" t="s">
        <v>17</v>
      </c>
      <c r="E252" t="s">
        <v>14</v>
      </c>
      <c r="F252" t="s">
        <v>103</v>
      </c>
      <c r="G252" s="17">
        <v>46398</v>
      </c>
      <c r="H252" s="18">
        <v>20.5</v>
      </c>
      <c r="I252" t="s">
        <v>199</v>
      </c>
      <c r="J252" t="s">
        <v>198</v>
      </c>
      <c r="K252" s="18">
        <v>55</v>
      </c>
      <c r="L252" t="s">
        <v>197</v>
      </c>
    </row>
    <row r="253" spans="1:12" x14ac:dyDescent="0.35">
      <c r="A253" t="s">
        <v>12</v>
      </c>
      <c r="B253" t="s">
        <v>178</v>
      </c>
      <c r="C253" t="s">
        <v>14</v>
      </c>
      <c r="D253" t="s">
        <v>21</v>
      </c>
      <c r="E253" t="s">
        <v>14</v>
      </c>
      <c r="F253" t="s">
        <v>103</v>
      </c>
      <c r="G253" s="17">
        <v>46398</v>
      </c>
      <c r="H253" s="18">
        <v>8.5</v>
      </c>
      <c r="I253" t="s">
        <v>199</v>
      </c>
      <c r="J253" t="s">
        <v>198</v>
      </c>
      <c r="K253" s="18">
        <v>43</v>
      </c>
      <c r="L253" t="s">
        <v>197</v>
      </c>
    </row>
    <row r="254" spans="1:12" x14ac:dyDescent="0.35">
      <c r="A254" t="s">
        <v>12</v>
      </c>
      <c r="B254" t="s">
        <v>25</v>
      </c>
      <c r="C254" t="s">
        <v>16</v>
      </c>
      <c r="D254" t="s">
        <v>15</v>
      </c>
      <c r="E254" t="s">
        <v>16</v>
      </c>
      <c r="F254" t="s">
        <v>77</v>
      </c>
      <c r="G254" s="17">
        <v>46398</v>
      </c>
      <c r="H254" s="18">
        <v>1.4035089999999999</v>
      </c>
      <c r="I254" t="s">
        <v>195</v>
      </c>
      <c r="J254" t="s">
        <v>196</v>
      </c>
      <c r="K254" s="18">
        <v>13.810527</v>
      </c>
      <c r="L254" t="s">
        <v>197</v>
      </c>
    </row>
    <row r="255" spans="1:12" x14ac:dyDescent="0.35">
      <c r="A255" t="s">
        <v>12</v>
      </c>
      <c r="B255" t="s">
        <v>25</v>
      </c>
      <c r="C255" t="s">
        <v>16</v>
      </c>
      <c r="D255" t="s">
        <v>84</v>
      </c>
      <c r="E255" t="s">
        <v>16</v>
      </c>
      <c r="F255" t="s">
        <v>86</v>
      </c>
      <c r="G255" s="17">
        <v>46398</v>
      </c>
      <c r="H255" s="18">
        <v>0.100000000000003</v>
      </c>
      <c r="I255" t="s">
        <v>195</v>
      </c>
      <c r="J255" t="s">
        <v>196</v>
      </c>
      <c r="K255" s="18">
        <v>22.003509000000001</v>
      </c>
      <c r="L255" t="s">
        <v>197</v>
      </c>
    </row>
    <row r="256" spans="1:12" x14ac:dyDescent="0.35">
      <c r="A256" t="s">
        <v>12</v>
      </c>
      <c r="B256" t="s">
        <v>25</v>
      </c>
      <c r="C256" t="s">
        <v>16</v>
      </c>
      <c r="D256" t="s">
        <v>15</v>
      </c>
      <c r="E256" t="s">
        <v>16</v>
      </c>
      <c r="F256" t="s">
        <v>78</v>
      </c>
      <c r="G256" s="17">
        <v>46398</v>
      </c>
      <c r="H256" s="18">
        <v>0.6</v>
      </c>
      <c r="I256" t="s">
        <v>195</v>
      </c>
      <c r="J256" t="s">
        <v>196</v>
      </c>
      <c r="K256" s="18">
        <v>12.407018000000001</v>
      </c>
      <c r="L256" t="s">
        <v>197</v>
      </c>
    </row>
    <row r="257" spans="1:12" x14ac:dyDescent="0.35">
      <c r="A257" t="s">
        <v>12</v>
      </c>
      <c r="B257" t="s">
        <v>26</v>
      </c>
      <c r="C257" t="s">
        <v>14</v>
      </c>
      <c r="D257" t="s">
        <v>13</v>
      </c>
      <c r="E257" t="s">
        <v>14</v>
      </c>
      <c r="F257" t="s">
        <v>82</v>
      </c>
      <c r="G257" s="17">
        <v>46405</v>
      </c>
      <c r="H257" s="18">
        <v>3</v>
      </c>
      <c r="I257" t="s">
        <v>195</v>
      </c>
      <c r="J257" t="s">
        <v>196</v>
      </c>
      <c r="K257" s="18">
        <v>27</v>
      </c>
      <c r="L257" t="s">
        <v>197</v>
      </c>
    </row>
    <row r="258" spans="1:12" x14ac:dyDescent="0.35">
      <c r="A258" t="s">
        <v>12</v>
      </c>
      <c r="B258" t="s">
        <v>22</v>
      </c>
      <c r="C258" t="s">
        <v>10</v>
      </c>
      <c r="D258" t="s">
        <v>132</v>
      </c>
      <c r="E258" t="s">
        <v>10</v>
      </c>
      <c r="F258" t="s">
        <v>98</v>
      </c>
      <c r="G258" s="17">
        <v>46405</v>
      </c>
      <c r="H258" s="18">
        <v>5</v>
      </c>
      <c r="I258" t="s">
        <v>195</v>
      </c>
      <c r="J258" t="s">
        <v>196</v>
      </c>
      <c r="K258" s="18">
        <v>32</v>
      </c>
      <c r="L258" t="s">
        <v>197</v>
      </c>
    </row>
    <row r="259" spans="1:12" x14ac:dyDescent="0.35">
      <c r="A259" t="s">
        <v>12</v>
      </c>
      <c r="B259" t="s">
        <v>23</v>
      </c>
      <c r="C259" t="s">
        <v>10</v>
      </c>
      <c r="D259" t="s">
        <v>133</v>
      </c>
      <c r="E259" t="s">
        <v>10</v>
      </c>
      <c r="F259" t="s">
        <v>86</v>
      </c>
      <c r="G259" s="17">
        <v>46405</v>
      </c>
      <c r="H259" s="18">
        <v>2</v>
      </c>
      <c r="I259" t="s">
        <v>195</v>
      </c>
      <c r="J259" t="s">
        <v>198</v>
      </c>
      <c r="K259" s="18">
        <v>2</v>
      </c>
      <c r="L259" t="s">
        <v>197</v>
      </c>
    </row>
    <row r="260" spans="1:12" x14ac:dyDescent="0.35">
      <c r="A260" t="s">
        <v>12</v>
      </c>
      <c r="B260" t="s">
        <v>23</v>
      </c>
      <c r="C260" t="s">
        <v>10</v>
      </c>
      <c r="D260" t="s">
        <v>9</v>
      </c>
      <c r="E260" t="s">
        <v>10</v>
      </c>
      <c r="F260" t="s">
        <v>78</v>
      </c>
      <c r="G260" s="17">
        <v>46405</v>
      </c>
      <c r="H260" s="18">
        <v>1.5</v>
      </c>
      <c r="I260" t="s">
        <v>195</v>
      </c>
      <c r="J260" t="s">
        <v>196</v>
      </c>
      <c r="K260" s="18">
        <v>31.5</v>
      </c>
      <c r="L260" t="s">
        <v>197</v>
      </c>
    </row>
    <row r="261" spans="1:12" x14ac:dyDescent="0.35">
      <c r="A261" t="s">
        <v>12</v>
      </c>
      <c r="B261" t="s">
        <v>159</v>
      </c>
      <c r="C261" t="s">
        <v>14</v>
      </c>
      <c r="D261" t="s">
        <v>13</v>
      </c>
      <c r="E261" t="s">
        <v>14</v>
      </c>
      <c r="F261" t="s">
        <v>78</v>
      </c>
      <c r="G261" s="17">
        <v>46405</v>
      </c>
      <c r="H261" s="18">
        <v>2</v>
      </c>
      <c r="I261" t="s">
        <v>195</v>
      </c>
      <c r="J261" t="s">
        <v>196</v>
      </c>
      <c r="K261" s="18">
        <v>29</v>
      </c>
      <c r="L261" t="s">
        <v>197</v>
      </c>
    </row>
    <row r="262" spans="1:12" x14ac:dyDescent="0.35">
      <c r="A262" t="s">
        <v>12</v>
      </c>
      <c r="B262" t="s">
        <v>159</v>
      </c>
      <c r="C262" t="s">
        <v>14</v>
      </c>
      <c r="D262" t="s">
        <v>17</v>
      </c>
      <c r="E262" t="s">
        <v>14</v>
      </c>
      <c r="F262" t="s">
        <v>46</v>
      </c>
      <c r="G262" s="17">
        <v>46405</v>
      </c>
      <c r="H262" s="18">
        <v>7</v>
      </c>
      <c r="I262" t="s">
        <v>195</v>
      </c>
      <c r="J262" t="s">
        <v>196</v>
      </c>
      <c r="K262" s="18">
        <v>42</v>
      </c>
      <c r="L262" t="s">
        <v>197</v>
      </c>
    </row>
    <row r="263" spans="1:12" x14ac:dyDescent="0.35">
      <c r="A263" t="s">
        <v>12</v>
      </c>
      <c r="B263" t="s">
        <v>33</v>
      </c>
      <c r="C263" t="s">
        <v>10</v>
      </c>
      <c r="D263" t="s">
        <v>133</v>
      </c>
      <c r="E263" t="s">
        <v>10</v>
      </c>
      <c r="F263" t="s">
        <v>103</v>
      </c>
      <c r="G263" s="17">
        <v>46405</v>
      </c>
      <c r="H263" s="18">
        <v>10</v>
      </c>
      <c r="I263" t="s">
        <v>195</v>
      </c>
      <c r="J263" t="s">
        <v>198</v>
      </c>
      <c r="K263" s="18">
        <v>12</v>
      </c>
      <c r="L263" t="s">
        <v>197</v>
      </c>
    </row>
    <row r="264" spans="1:12" x14ac:dyDescent="0.35">
      <c r="A264" t="s">
        <v>12</v>
      </c>
      <c r="B264" t="s">
        <v>24</v>
      </c>
      <c r="C264" t="s">
        <v>14</v>
      </c>
      <c r="D264" t="s">
        <v>13</v>
      </c>
      <c r="E264" t="s">
        <v>14</v>
      </c>
      <c r="F264" t="s">
        <v>78</v>
      </c>
      <c r="G264" s="17">
        <v>46405</v>
      </c>
      <c r="H264" s="18">
        <v>3.1</v>
      </c>
      <c r="I264" t="s">
        <v>195</v>
      </c>
      <c r="J264" t="s">
        <v>196</v>
      </c>
      <c r="K264" s="18">
        <v>32.1</v>
      </c>
      <c r="L264" t="s">
        <v>197</v>
      </c>
    </row>
    <row r="265" spans="1:12" x14ac:dyDescent="0.35">
      <c r="A265" t="s">
        <v>12</v>
      </c>
      <c r="B265" t="s">
        <v>24</v>
      </c>
      <c r="C265" t="s">
        <v>14</v>
      </c>
      <c r="D265" t="s">
        <v>170</v>
      </c>
      <c r="E265" t="s">
        <v>14</v>
      </c>
      <c r="F265" t="s">
        <v>103</v>
      </c>
      <c r="G265" s="17">
        <v>46405</v>
      </c>
      <c r="H265" s="18">
        <v>5</v>
      </c>
      <c r="I265" t="s">
        <v>195</v>
      </c>
      <c r="J265" t="s">
        <v>196</v>
      </c>
      <c r="K265" s="18">
        <v>5</v>
      </c>
      <c r="L265" t="s">
        <v>197</v>
      </c>
    </row>
    <row r="266" spans="1:12" x14ac:dyDescent="0.35">
      <c r="A266" t="s">
        <v>12</v>
      </c>
      <c r="B266" t="s">
        <v>107</v>
      </c>
      <c r="C266" t="s">
        <v>14</v>
      </c>
      <c r="D266" t="s">
        <v>13</v>
      </c>
      <c r="E266" t="s">
        <v>14</v>
      </c>
      <c r="F266" t="s">
        <v>78</v>
      </c>
      <c r="G266" s="17">
        <v>46405</v>
      </c>
      <c r="H266" s="18">
        <v>8</v>
      </c>
      <c r="I266" t="s">
        <v>199</v>
      </c>
      <c r="J266" t="s">
        <v>196</v>
      </c>
      <c r="K266" s="18">
        <v>40.1</v>
      </c>
      <c r="L266" t="s">
        <v>197</v>
      </c>
    </row>
    <row r="267" spans="1:12" x14ac:dyDescent="0.35">
      <c r="A267" t="s">
        <v>12</v>
      </c>
      <c r="B267" t="s">
        <v>107</v>
      </c>
      <c r="C267" t="s">
        <v>14</v>
      </c>
      <c r="D267" t="s">
        <v>30</v>
      </c>
      <c r="E267" t="s">
        <v>14</v>
      </c>
      <c r="F267" t="s">
        <v>102</v>
      </c>
      <c r="G267" s="17">
        <v>46405</v>
      </c>
      <c r="H267" s="18">
        <v>15</v>
      </c>
      <c r="I267" t="s">
        <v>199</v>
      </c>
      <c r="J267" t="s">
        <v>196</v>
      </c>
      <c r="K267" s="18">
        <v>27</v>
      </c>
      <c r="L267" t="s">
        <v>197</v>
      </c>
    </row>
    <row r="268" spans="1:12" x14ac:dyDescent="0.35">
      <c r="A268" t="s">
        <v>12</v>
      </c>
      <c r="B268" t="s">
        <v>168</v>
      </c>
      <c r="C268" t="s">
        <v>14</v>
      </c>
      <c r="D268" t="s">
        <v>21</v>
      </c>
      <c r="E268" t="s">
        <v>14</v>
      </c>
      <c r="F268" t="s">
        <v>43</v>
      </c>
      <c r="G268" s="17">
        <v>46405</v>
      </c>
      <c r="H268" s="18">
        <v>27</v>
      </c>
      <c r="I268" t="s">
        <v>199</v>
      </c>
      <c r="J268" t="s">
        <v>196</v>
      </c>
      <c r="K268" s="18">
        <v>49.5</v>
      </c>
      <c r="L268" t="s">
        <v>197</v>
      </c>
    </row>
    <row r="269" spans="1:12" x14ac:dyDescent="0.35">
      <c r="A269" t="s">
        <v>12</v>
      </c>
      <c r="B269" t="s">
        <v>174</v>
      </c>
      <c r="C269" t="s">
        <v>14</v>
      </c>
      <c r="D269" t="s">
        <v>21</v>
      </c>
      <c r="E269" t="s">
        <v>14</v>
      </c>
      <c r="F269" t="s">
        <v>81</v>
      </c>
      <c r="G269" s="17">
        <v>46405</v>
      </c>
      <c r="H269" s="18">
        <v>1</v>
      </c>
      <c r="I269" t="s">
        <v>199</v>
      </c>
      <c r="J269" t="s">
        <v>196</v>
      </c>
      <c r="K269" s="18">
        <v>50.5</v>
      </c>
      <c r="L269" t="s">
        <v>197</v>
      </c>
    </row>
    <row r="270" spans="1:12" x14ac:dyDescent="0.35">
      <c r="A270" t="s">
        <v>12</v>
      </c>
      <c r="B270" t="s">
        <v>174</v>
      </c>
      <c r="C270" t="s">
        <v>14</v>
      </c>
      <c r="D270" t="s">
        <v>30</v>
      </c>
      <c r="E270" t="s">
        <v>14</v>
      </c>
      <c r="F270" t="s">
        <v>81</v>
      </c>
      <c r="G270" s="17">
        <v>46405</v>
      </c>
      <c r="H270" s="18">
        <v>28</v>
      </c>
      <c r="I270" t="s">
        <v>199</v>
      </c>
      <c r="J270" t="s">
        <v>196</v>
      </c>
      <c r="K270" s="18">
        <v>55</v>
      </c>
      <c r="L270" t="s">
        <v>197</v>
      </c>
    </row>
    <row r="271" spans="1:12" x14ac:dyDescent="0.35">
      <c r="A271" t="s">
        <v>12</v>
      </c>
      <c r="B271" t="s">
        <v>179</v>
      </c>
      <c r="C271" t="s">
        <v>14</v>
      </c>
      <c r="D271" t="s">
        <v>145</v>
      </c>
      <c r="E271" t="s">
        <v>14</v>
      </c>
      <c r="F271" t="s">
        <v>100</v>
      </c>
      <c r="G271" s="17">
        <v>46405</v>
      </c>
      <c r="H271" s="18">
        <v>34.5</v>
      </c>
      <c r="I271" t="s">
        <v>202</v>
      </c>
      <c r="J271" t="s">
        <v>198</v>
      </c>
      <c r="K271" s="18">
        <v>55</v>
      </c>
      <c r="L271" t="s">
        <v>201</v>
      </c>
    </row>
    <row r="272" spans="1:12" x14ac:dyDescent="0.35">
      <c r="A272" t="s">
        <v>12</v>
      </c>
      <c r="B272" t="s">
        <v>179</v>
      </c>
      <c r="C272" t="s">
        <v>14</v>
      </c>
      <c r="D272" t="s">
        <v>146</v>
      </c>
      <c r="E272" t="s">
        <v>14</v>
      </c>
      <c r="F272" t="s">
        <v>100</v>
      </c>
      <c r="G272" s="17">
        <v>46405</v>
      </c>
      <c r="H272" s="18">
        <v>4.5</v>
      </c>
      <c r="I272" t="s">
        <v>202</v>
      </c>
      <c r="J272" t="s">
        <v>198</v>
      </c>
      <c r="K272" s="18">
        <v>52.5</v>
      </c>
      <c r="L272" t="s">
        <v>201</v>
      </c>
    </row>
    <row r="273" spans="1:12" x14ac:dyDescent="0.35">
      <c r="A273" t="s">
        <v>12</v>
      </c>
      <c r="B273" t="s">
        <v>180</v>
      </c>
      <c r="C273" t="s">
        <v>14</v>
      </c>
      <c r="D273" t="s">
        <v>149</v>
      </c>
      <c r="E273" t="s">
        <v>14</v>
      </c>
      <c r="F273" t="s">
        <v>98</v>
      </c>
      <c r="G273" s="17">
        <v>46405</v>
      </c>
      <c r="H273" s="18">
        <v>50</v>
      </c>
      <c r="I273" t="s">
        <v>202</v>
      </c>
      <c r="J273" t="s">
        <v>196</v>
      </c>
      <c r="K273" s="18">
        <v>51.1</v>
      </c>
      <c r="L273" t="s">
        <v>201</v>
      </c>
    </row>
    <row r="274" spans="1:12" x14ac:dyDescent="0.35">
      <c r="A274" t="s">
        <v>12</v>
      </c>
      <c r="B274" t="s">
        <v>45</v>
      </c>
      <c r="C274" t="s">
        <v>14</v>
      </c>
      <c r="D274" t="s">
        <v>147</v>
      </c>
      <c r="E274" t="s">
        <v>14</v>
      </c>
      <c r="F274" t="s">
        <v>46</v>
      </c>
      <c r="G274" s="17">
        <v>46405</v>
      </c>
      <c r="H274" s="18">
        <v>31.4</v>
      </c>
      <c r="I274" t="s">
        <v>200</v>
      </c>
      <c r="J274" t="s">
        <v>196</v>
      </c>
      <c r="K274" s="18">
        <v>55</v>
      </c>
      <c r="L274" t="s">
        <v>201</v>
      </c>
    </row>
    <row r="275" spans="1:12" x14ac:dyDescent="0.35">
      <c r="A275" t="s">
        <v>12</v>
      </c>
      <c r="B275" t="s">
        <v>45</v>
      </c>
      <c r="C275" t="s">
        <v>14</v>
      </c>
      <c r="D275" t="s">
        <v>149</v>
      </c>
      <c r="E275" t="s">
        <v>14</v>
      </c>
      <c r="F275" t="s">
        <v>46</v>
      </c>
      <c r="G275" s="17">
        <v>46405</v>
      </c>
      <c r="H275" s="18">
        <v>1.1000000000000001</v>
      </c>
      <c r="I275" t="s">
        <v>200</v>
      </c>
      <c r="J275" t="s">
        <v>198</v>
      </c>
      <c r="K275" s="18">
        <v>1.1000000000000001</v>
      </c>
      <c r="L275" t="s">
        <v>201</v>
      </c>
    </row>
    <row r="276" spans="1:12" x14ac:dyDescent="0.35">
      <c r="A276" t="s">
        <v>12</v>
      </c>
      <c r="B276" t="s">
        <v>183</v>
      </c>
      <c r="C276" t="s">
        <v>14</v>
      </c>
      <c r="D276" t="s">
        <v>145</v>
      </c>
      <c r="E276" t="s">
        <v>14</v>
      </c>
      <c r="F276" t="s">
        <v>122</v>
      </c>
      <c r="G276" s="17">
        <v>46405</v>
      </c>
      <c r="H276" s="18">
        <v>20.5</v>
      </c>
      <c r="I276" t="s">
        <v>202</v>
      </c>
      <c r="J276" t="s">
        <v>196</v>
      </c>
      <c r="K276" s="18">
        <v>20.5</v>
      </c>
      <c r="L276" t="s">
        <v>201</v>
      </c>
    </row>
    <row r="277" spans="1:12" x14ac:dyDescent="0.35">
      <c r="A277" t="s">
        <v>12</v>
      </c>
      <c r="B277" t="s">
        <v>184</v>
      </c>
      <c r="C277" t="s">
        <v>14</v>
      </c>
      <c r="D277" t="s">
        <v>146</v>
      </c>
      <c r="E277" t="s">
        <v>14</v>
      </c>
      <c r="F277" t="s">
        <v>80</v>
      </c>
      <c r="G277" s="17">
        <v>46405</v>
      </c>
      <c r="H277" s="18">
        <v>48</v>
      </c>
      <c r="I277" t="s">
        <v>202</v>
      </c>
      <c r="J277" t="s">
        <v>196</v>
      </c>
      <c r="K277" s="18">
        <v>48</v>
      </c>
      <c r="L277" t="s">
        <v>201</v>
      </c>
    </row>
    <row r="278" spans="1:12" x14ac:dyDescent="0.35">
      <c r="A278" t="s">
        <v>12</v>
      </c>
      <c r="B278" t="s">
        <v>176</v>
      </c>
      <c r="C278" t="s">
        <v>14</v>
      </c>
      <c r="D278" t="s">
        <v>13</v>
      </c>
      <c r="E278" t="s">
        <v>14</v>
      </c>
      <c r="F278" t="s">
        <v>103</v>
      </c>
      <c r="G278" s="17">
        <v>46405</v>
      </c>
      <c r="H278" s="18">
        <v>5</v>
      </c>
      <c r="I278" t="s">
        <v>199</v>
      </c>
      <c r="J278" t="s">
        <v>198</v>
      </c>
      <c r="K278" s="18">
        <v>45.1</v>
      </c>
      <c r="L278" t="s">
        <v>197</v>
      </c>
    </row>
    <row r="279" spans="1:12" x14ac:dyDescent="0.35">
      <c r="A279" t="s">
        <v>12</v>
      </c>
      <c r="B279" t="s">
        <v>176</v>
      </c>
      <c r="C279" t="s">
        <v>14</v>
      </c>
      <c r="D279" t="s">
        <v>178</v>
      </c>
      <c r="E279" t="s">
        <v>14</v>
      </c>
      <c r="F279" t="s">
        <v>103</v>
      </c>
      <c r="G279" s="17">
        <v>46405</v>
      </c>
      <c r="H279" s="18">
        <v>50</v>
      </c>
      <c r="I279" t="s">
        <v>199</v>
      </c>
      <c r="J279" t="s">
        <v>196</v>
      </c>
      <c r="K279" s="18">
        <v>50</v>
      </c>
      <c r="L279" t="s">
        <v>197</v>
      </c>
    </row>
    <row r="280" spans="1:12" x14ac:dyDescent="0.35">
      <c r="A280" t="s">
        <v>12</v>
      </c>
      <c r="B280" t="s">
        <v>178</v>
      </c>
      <c r="C280" t="s">
        <v>14</v>
      </c>
      <c r="D280" t="s">
        <v>13</v>
      </c>
      <c r="E280" t="s">
        <v>14</v>
      </c>
      <c r="F280" t="s">
        <v>103</v>
      </c>
      <c r="G280" s="17">
        <v>46405</v>
      </c>
      <c r="H280" s="18">
        <v>9.9</v>
      </c>
      <c r="I280" t="s">
        <v>199</v>
      </c>
      <c r="J280" t="s">
        <v>198</v>
      </c>
      <c r="K280" s="18">
        <v>55</v>
      </c>
      <c r="L280" t="s">
        <v>197</v>
      </c>
    </row>
    <row r="281" spans="1:12" x14ac:dyDescent="0.35">
      <c r="A281" t="s">
        <v>12</v>
      </c>
      <c r="B281" t="s">
        <v>178</v>
      </c>
      <c r="C281" t="s">
        <v>14</v>
      </c>
      <c r="D281" t="s">
        <v>147</v>
      </c>
      <c r="E281" t="s">
        <v>14</v>
      </c>
      <c r="F281" t="s">
        <v>103</v>
      </c>
      <c r="G281" s="17">
        <v>46405</v>
      </c>
      <c r="H281" s="18">
        <v>23.6</v>
      </c>
      <c r="I281" t="s">
        <v>202</v>
      </c>
      <c r="J281" t="s">
        <v>198</v>
      </c>
      <c r="K281" s="18">
        <v>23.6</v>
      </c>
      <c r="L281" t="s">
        <v>201</v>
      </c>
    </row>
    <row r="282" spans="1:12" x14ac:dyDescent="0.35">
      <c r="A282" t="s">
        <v>12</v>
      </c>
      <c r="B282" t="s">
        <v>178</v>
      </c>
      <c r="C282" t="s">
        <v>14</v>
      </c>
      <c r="D282" t="s">
        <v>17</v>
      </c>
      <c r="E282" t="s">
        <v>14</v>
      </c>
      <c r="F282" t="s">
        <v>103</v>
      </c>
      <c r="G282" s="17">
        <v>46405</v>
      </c>
      <c r="H282" s="18">
        <v>13</v>
      </c>
      <c r="I282" t="s">
        <v>199</v>
      </c>
      <c r="J282" t="s">
        <v>198</v>
      </c>
      <c r="K282" s="18">
        <v>55</v>
      </c>
      <c r="L282" t="s">
        <v>197</v>
      </c>
    </row>
    <row r="283" spans="1:12" x14ac:dyDescent="0.35">
      <c r="A283" t="s">
        <v>12</v>
      </c>
      <c r="B283" t="s">
        <v>178</v>
      </c>
      <c r="C283" t="s">
        <v>14</v>
      </c>
      <c r="D283" t="s">
        <v>27</v>
      </c>
      <c r="E283" t="s">
        <v>14</v>
      </c>
      <c r="F283" t="s">
        <v>103</v>
      </c>
      <c r="G283" s="17">
        <v>46405</v>
      </c>
      <c r="H283" s="18">
        <v>4</v>
      </c>
      <c r="I283" t="s">
        <v>199</v>
      </c>
      <c r="J283" t="s">
        <v>198</v>
      </c>
      <c r="K283" s="18">
        <v>55</v>
      </c>
      <c r="L283" t="s">
        <v>197</v>
      </c>
    </row>
    <row r="284" spans="1:12" x14ac:dyDescent="0.35">
      <c r="A284" t="s">
        <v>12</v>
      </c>
      <c r="B284" t="s">
        <v>178</v>
      </c>
      <c r="C284" t="s">
        <v>14</v>
      </c>
      <c r="D284" t="s">
        <v>21</v>
      </c>
      <c r="E284" t="s">
        <v>14</v>
      </c>
      <c r="F284" t="s">
        <v>103</v>
      </c>
      <c r="G284" s="17">
        <v>46405</v>
      </c>
      <c r="H284" s="18">
        <v>4.5</v>
      </c>
      <c r="I284" t="s">
        <v>199</v>
      </c>
      <c r="J284" t="s">
        <v>198</v>
      </c>
      <c r="K284" s="18">
        <v>55</v>
      </c>
      <c r="L284" t="s">
        <v>197</v>
      </c>
    </row>
    <row r="285" spans="1:12" x14ac:dyDescent="0.35">
      <c r="A285" t="s">
        <v>12</v>
      </c>
      <c r="B285" t="s">
        <v>22</v>
      </c>
      <c r="C285" t="s">
        <v>10</v>
      </c>
      <c r="D285" t="s">
        <v>132</v>
      </c>
      <c r="E285" t="s">
        <v>10</v>
      </c>
      <c r="F285" t="s">
        <v>98</v>
      </c>
      <c r="G285" s="17">
        <v>46412</v>
      </c>
      <c r="H285" s="18">
        <v>15</v>
      </c>
      <c r="I285" t="s">
        <v>195</v>
      </c>
      <c r="J285" t="s">
        <v>196</v>
      </c>
      <c r="K285" s="18">
        <v>42</v>
      </c>
      <c r="L285" t="s">
        <v>197</v>
      </c>
    </row>
    <row r="286" spans="1:12" x14ac:dyDescent="0.35">
      <c r="A286" t="s">
        <v>12</v>
      </c>
      <c r="B286" t="s">
        <v>23</v>
      </c>
      <c r="C286" t="s">
        <v>10</v>
      </c>
      <c r="D286" t="s">
        <v>133</v>
      </c>
      <c r="E286" t="s">
        <v>10</v>
      </c>
      <c r="F286" t="s">
        <v>86</v>
      </c>
      <c r="G286" s="17">
        <v>46412</v>
      </c>
      <c r="H286" s="18">
        <v>2</v>
      </c>
      <c r="I286" t="s">
        <v>195</v>
      </c>
      <c r="J286" t="s">
        <v>198</v>
      </c>
      <c r="K286" s="18">
        <v>2</v>
      </c>
      <c r="L286" t="s">
        <v>197</v>
      </c>
    </row>
    <row r="287" spans="1:12" x14ac:dyDescent="0.35">
      <c r="A287" t="s">
        <v>12</v>
      </c>
      <c r="B287" t="s">
        <v>23</v>
      </c>
      <c r="C287" t="s">
        <v>10</v>
      </c>
      <c r="D287" t="s">
        <v>9</v>
      </c>
      <c r="E287" t="s">
        <v>10</v>
      </c>
      <c r="F287" t="s">
        <v>78</v>
      </c>
      <c r="G287" s="17">
        <v>46412</v>
      </c>
      <c r="H287" s="18">
        <v>1.5</v>
      </c>
      <c r="I287" t="s">
        <v>195</v>
      </c>
      <c r="J287" t="s">
        <v>196</v>
      </c>
      <c r="K287" s="18">
        <v>30.5</v>
      </c>
      <c r="L287" t="s">
        <v>197</v>
      </c>
    </row>
    <row r="288" spans="1:12" x14ac:dyDescent="0.35">
      <c r="A288" t="s">
        <v>12</v>
      </c>
      <c r="B288" t="s">
        <v>23</v>
      </c>
      <c r="C288" t="s">
        <v>10</v>
      </c>
      <c r="D288" t="s">
        <v>133</v>
      </c>
      <c r="E288" t="s">
        <v>10</v>
      </c>
      <c r="F288" t="s">
        <v>80</v>
      </c>
      <c r="G288" s="17">
        <v>46412</v>
      </c>
      <c r="H288" s="18">
        <v>5</v>
      </c>
      <c r="I288" t="s">
        <v>195</v>
      </c>
      <c r="J288" t="s">
        <v>198</v>
      </c>
      <c r="K288" s="18">
        <v>7</v>
      </c>
      <c r="L288" t="s">
        <v>197</v>
      </c>
    </row>
    <row r="289" spans="1:12" x14ac:dyDescent="0.35">
      <c r="A289" t="s">
        <v>12</v>
      </c>
      <c r="B289" t="s">
        <v>17</v>
      </c>
      <c r="C289" t="s">
        <v>14</v>
      </c>
      <c r="D289" t="s">
        <v>162</v>
      </c>
      <c r="E289" t="s">
        <v>14</v>
      </c>
      <c r="F289" t="s">
        <v>158</v>
      </c>
      <c r="G289" s="17">
        <v>46412</v>
      </c>
      <c r="H289" s="18">
        <v>3</v>
      </c>
      <c r="I289" t="s">
        <v>195</v>
      </c>
      <c r="J289" t="s">
        <v>198</v>
      </c>
      <c r="K289" s="18">
        <v>3</v>
      </c>
      <c r="L289" t="s">
        <v>197</v>
      </c>
    </row>
    <row r="290" spans="1:12" x14ac:dyDescent="0.35">
      <c r="A290" t="s">
        <v>12</v>
      </c>
      <c r="B290" t="s">
        <v>17</v>
      </c>
      <c r="C290" t="s">
        <v>14</v>
      </c>
      <c r="D290" t="s">
        <v>163</v>
      </c>
      <c r="E290" t="s">
        <v>14</v>
      </c>
      <c r="F290" t="s">
        <v>148</v>
      </c>
      <c r="G290" s="17">
        <v>46412</v>
      </c>
      <c r="H290" s="18">
        <v>10</v>
      </c>
      <c r="I290" t="s">
        <v>195</v>
      </c>
      <c r="J290" t="s">
        <v>198</v>
      </c>
      <c r="K290" s="18">
        <v>10</v>
      </c>
      <c r="L290" t="s">
        <v>197</v>
      </c>
    </row>
    <row r="291" spans="1:12" x14ac:dyDescent="0.35">
      <c r="A291" t="s">
        <v>12</v>
      </c>
      <c r="B291" t="s">
        <v>159</v>
      </c>
      <c r="C291" t="s">
        <v>14</v>
      </c>
      <c r="D291" t="s">
        <v>13</v>
      </c>
      <c r="E291" t="s">
        <v>14</v>
      </c>
      <c r="F291" t="s">
        <v>78</v>
      </c>
      <c r="G291" s="17">
        <v>46412</v>
      </c>
      <c r="H291" s="18">
        <v>2.5</v>
      </c>
      <c r="I291" t="s">
        <v>195</v>
      </c>
      <c r="J291" t="s">
        <v>196</v>
      </c>
      <c r="K291" s="18">
        <v>50.5</v>
      </c>
      <c r="L291" t="s">
        <v>197</v>
      </c>
    </row>
    <row r="292" spans="1:12" x14ac:dyDescent="0.35">
      <c r="A292" t="s">
        <v>12</v>
      </c>
      <c r="B292" t="s">
        <v>33</v>
      </c>
      <c r="C292" t="s">
        <v>10</v>
      </c>
      <c r="D292" t="s">
        <v>133</v>
      </c>
      <c r="E292" t="s">
        <v>10</v>
      </c>
      <c r="F292" t="s">
        <v>103</v>
      </c>
      <c r="G292" s="17">
        <v>46412</v>
      </c>
      <c r="H292" s="18">
        <v>8</v>
      </c>
      <c r="I292" t="s">
        <v>195</v>
      </c>
      <c r="J292" t="s">
        <v>198</v>
      </c>
      <c r="K292" s="18">
        <v>15</v>
      </c>
      <c r="L292" t="s">
        <v>197</v>
      </c>
    </row>
    <row r="293" spans="1:12" x14ac:dyDescent="0.35">
      <c r="A293" t="s">
        <v>12</v>
      </c>
      <c r="B293" t="s">
        <v>24</v>
      </c>
      <c r="C293" t="s">
        <v>14</v>
      </c>
      <c r="D293" t="s">
        <v>13</v>
      </c>
      <c r="E293" t="s">
        <v>14</v>
      </c>
      <c r="F293" t="s">
        <v>78</v>
      </c>
      <c r="G293" s="17">
        <v>46412</v>
      </c>
      <c r="H293" s="18">
        <v>3.5</v>
      </c>
      <c r="I293" t="s">
        <v>195</v>
      </c>
      <c r="J293" t="s">
        <v>196</v>
      </c>
      <c r="K293" s="18">
        <v>54</v>
      </c>
      <c r="L293" t="s">
        <v>197</v>
      </c>
    </row>
    <row r="294" spans="1:12" x14ac:dyDescent="0.35">
      <c r="A294" t="s">
        <v>12</v>
      </c>
      <c r="B294" t="s">
        <v>24</v>
      </c>
      <c r="C294" t="s">
        <v>14</v>
      </c>
      <c r="D294" t="s">
        <v>170</v>
      </c>
      <c r="E294" t="s">
        <v>14</v>
      </c>
      <c r="F294" t="s">
        <v>103</v>
      </c>
      <c r="G294" s="17">
        <v>46412</v>
      </c>
      <c r="H294" s="18">
        <v>10</v>
      </c>
      <c r="I294" t="s">
        <v>195</v>
      </c>
      <c r="J294" t="s">
        <v>196</v>
      </c>
      <c r="K294" s="18">
        <v>10</v>
      </c>
      <c r="L294" t="s">
        <v>197</v>
      </c>
    </row>
    <row r="295" spans="1:12" x14ac:dyDescent="0.35">
      <c r="A295" t="s">
        <v>12</v>
      </c>
      <c r="B295" t="s">
        <v>27</v>
      </c>
      <c r="C295" t="s">
        <v>14</v>
      </c>
      <c r="D295" t="s">
        <v>30</v>
      </c>
      <c r="E295" t="s">
        <v>14</v>
      </c>
      <c r="F295" t="s">
        <v>79</v>
      </c>
      <c r="G295" s="17">
        <v>46412</v>
      </c>
      <c r="H295" s="18">
        <v>5</v>
      </c>
      <c r="I295" t="s">
        <v>195</v>
      </c>
      <c r="J295" t="s">
        <v>198</v>
      </c>
      <c r="K295" s="18">
        <v>19</v>
      </c>
      <c r="L295" t="s">
        <v>197</v>
      </c>
    </row>
    <row r="296" spans="1:12" x14ac:dyDescent="0.35">
      <c r="A296" t="s">
        <v>12</v>
      </c>
      <c r="B296" t="s">
        <v>18</v>
      </c>
      <c r="C296" t="s">
        <v>16</v>
      </c>
      <c r="D296" t="s">
        <v>15</v>
      </c>
      <c r="E296" t="s">
        <v>16</v>
      </c>
      <c r="F296" t="s">
        <v>78</v>
      </c>
      <c r="G296" s="17">
        <v>46412</v>
      </c>
      <c r="H296" s="18">
        <v>0.5</v>
      </c>
      <c r="I296" t="s">
        <v>195</v>
      </c>
      <c r="J296" t="s">
        <v>196</v>
      </c>
      <c r="K296" s="18">
        <v>23.903509</v>
      </c>
      <c r="L296" t="s">
        <v>197</v>
      </c>
    </row>
    <row r="297" spans="1:12" x14ac:dyDescent="0.35">
      <c r="A297" t="s">
        <v>12</v>
      </c>
      <c r="B297" t="s">
        <v>18</v>
      </c>
      <c r="C297" t="s">
        <v>16</v>
      </c>
      <c r="D297" t="s">
        <v>84</v>
      </c>
      <c r="E297" t="s">
        <v>16</v>
      </c>
      <c r="F297" t="s">
        <v>81</v>
      </c>
      <c r="G297" s="17">
        <v>46412</v>
      </c>
      <c r="H297" s="18">
        <v>0.40350900000000001</v>
      </c>
      <c r="I297" t="s">
        <v>195</v>
      </c>
      <c r="J297" t="s">
        <v>196</v>
      </c>
      <c r="K297" s="18">
        <v>31.307017999999999</v>
      </c>
      <c r="L297" t="s">
        <v>197</v>
      </c>
    </row>
    <row r="298" spans="1:12" x14ac:dyDescent="0.35">
      <c r="A298" t="s">
        <v>12</v>
      </c>
      <c r="B298" t="s">
        <v>107</v>
      </c>
      <c r="C298" t="s">
        <v>14</v>
      </c>
      <c r="D298" t="s">
        <v>13</v>
      </c>
      <c r="E298" t="s">
        <v>14</v>
      </c>
      <c r="F298" t="s">
        <v>78</v>
      </c>
      <c r="G298" s="17">
        <v>46412</v>
      </c>
      <c r="H298" s="18">
        <v>1</v>
      </c>
      <c r="I298" t="s">
        <v>199</v>
      </c>
      <c r="J298" t="s">
        <v>196</v>
      </c>
      <c r="K298" s="18">
        <v>55</v>
      </c>
      <c r="L298" t="s">
        <v>197</v>
      </c>
    </row>
    <row r="299" spans="1:12" x14ac:dyDescent="0.35">
      <c r="A299" t="s">
        <v>12</v>
      </c>
      <c r="B299" t="s">
        <v>107</v>
      </c>
      <c r="C299" t="s">
        <v>14</v>
      </c>
      <c r="D299" t="s">
        <v>30</v>
      </c>
      <c r="E299" t="s">
        <v>14</v>
      </c>
      <c r="F299" t="s">
        <v>78</v>
      </c>
      <c r="G299" s="17">
        <v>46412</v>
      </c>
      <c r="H299" s="18">
        <v>7</v>
      </c>
      <c r="I299" t="s">
        <v>199</v>
      </c>
      <c r="J299" t="s">
        <v>198</v>
      </c>
      <c r="K299" s="18">
        <v>26</v>
      </c>
      <c r="L299" t="s">
        <v>197</v>
      </c>
    </row>
    <row r="300" spans="1:12" x14ac:dyDescent="0.35">
      <c r="A300" t="s">
        <v>12</v>
      </c>
      <c r="B300" t="s">
        <v>107</v>
      </c>
      <c r="C300" t="s">
        <v>14</v>
      </c>
      <c r="D300" t="s">
        <v>30</v>
      </c>
      <c r="E300" t="s">
        <v>14</v>
      </c>
      <c r="F300" t="s">
        <v>102</v>
      </c>
      <c r="G300" s="17">
        <v>46412</v>
      </c>
      <c r="H300" s="18">
        <v>25</v>
      </c>
      <c r="I300" t="s">
        <v>199</v>
      </c>
      <c r="J300" t="s">
        <v>196</v>
      </c>
      <c r="K300" s="18">
        <v>51</v>
      </c>
      <c r="L300" t="s">
        <v>197</v>
      </c>
    </row>
    <row r="301" spans="1:12" x14ac:dyDescent="0.35">
      <c r="A301" t="s">
        <v>12</v>
      </c>
      <c r="B301" t="s">
        <v>107</v>
      </c>
      <c r="C301" t="s">
        <v>16</v>
      </c>
      <c r="D301" t="s">
        <v>15</v>
      </c>
      <c r="E301" t="s">
        <v>16</v>
      </c>
      <c r="F301" t="s">
        <v>83</v>
      </c>
      <c r="G301" s="17">
        <v>46412</v>
      </c>
      <c r="H301" s="18">
        <v>4</v>
      </c>
      <c r="I301" t="s">
        <v>199</v>
      </c>
      <c r="J301" t="s">
        <v>198</v>
      </c>
      <c r="K301" s="18">
        <v>27.903509</v>
      </c>
      <c r="L301" t="s">
        <v>197</v>
      </c>
    </row>
    <row r="302" spans="1:12" x14ac:dyDescent="0.35">
      <c r="A302" t="s">
        <v>12</v>
      </c>
      <c r="B302" t="s">
        <v>108</v>
      </c>
      <c r="C302" t="s">
        <v>10</v>
      </c>
      <c r="D302" t="s">
        <v>133</v>
      </c>
      <c r="E302" t="s">
        <v>10</v>
      </c>
      <c r="F302" t="s">
        <v>83</v>
      </c>
      <c r="G302" s="17">
        <v>46412</v>
      </c>
      <c r="H302" s="18">
        <v>16</v>
      </c>
      <c r="I302" t="s">
        <v>199</v>
      </c>
      <c r="J302" t="s">
        <v>198</v>
      </c>
      <c r="K302" s="18">
        <v>31</v>
      </c>
      <c r="L302" t="s">
        <v>197</v>
      </c>
    </row>
    <row r="303" spans="1:12" x14ac:dyDescent="0.35">
      <c r="A303" t="s">
        <v>12</v>
      </c>
      <c r="B303" t="s">
        <v>109</v>
      </c>
      <c r="C303" t="s">
        <v>14</v>
      </c>
      <c r="D303" t="s">
        <v>21</v>
      </c>
      <c r="E303" t="s">
        <v>14</v>
      </c>
      <c r="F303" t="s">
        <v>83</v>
      </c>
      <c r="G303" s="17">
        <v>46412</v>
      </c>
      <c r="H303" s="18">
        <v>8</v>
      </c>
      <c r="I303" t="s">
        <v>199</v>
      </c>
      <c r="J303" t="s">
        <v>198</v>
      </c>
      <c r="K303" s="18">
        <v>43.5</v>
      </c>
      <c r="L303" t="s">
        <v>197</v>
      </c>
    </row>
    <row r="304" spans="1:12" x14ac:dyDescent="0.35">
      <c r="A304" t="s">
        <v>12</v>
      </c>
      <c r="B304" t="s">
        <v>109</v>
      </c>
      <c r="C304" t="s">
        <v>14</v>
      </c>
      <c r="D304" t="s">
        <v>164</v>
      </c>
      <c r="E304" t="s">
        <v>14</v>
      </c>
      <c r="F304" t="s">
        <v>83</v>
      </c>
      <c r="G304" s="17">
        <v>46412</v>
      </c>
      <c r="H304" s="18">
        <v>32</v>
      </c>
      <c r="I304" t="s">
        <v>199</v>
      </c>
      <c r="J304" t="s">
        <v>198</v>
      </c>
      <c r="K304" s="18">
        <v>32</v>
      </c>
      <c r="L304" t="s">
        <v>197</v>
      </c>
    </row>
    <row r="305" spans="1:12" x14ac:dyDescent="0.35">
      <c r="A305" t="s">
        <v>12</v>
      </c>
      <c r="B305" t="s">
        <v>168</v>
      </c>
      <c r="C305" t="s">
        <v>14</v>
      </c>
      <c r="D305" t="s">
        <v>153</v>
      </c>
      <c r="E305" t="s">
        <v>14</v>
      </c>
      <c r="F305" t="s">
        <v>43</v>
      </c>
      <c r="G305" s="17">
        <v>46412</v>
      </c>
      <c r="H305" s="18">
        <v>13.5</v>
      </c>
      <c r="I305" t="s">
        <v>202</v>
      </c>
      <c r="J305" t="s">
        <v>198</v>
      </c>
      <c r="K305" s="18">
        <v>13.5</v>
      </c>
      <c r="L305" t="s">
        <v>201</v>
      </c>
    </row>
    <row r="306" spans="1:12" x14ac:dyDescent="0.35">
      <c r="A306" t="s">
        <v>12</v>
      </c>
      <c r="B306" t="s">
        <v>168</v>
      </c>
      <c r="C306" t="s">
        <v>14</v>
      </c>
      <c r="D306" t="s">
        <v>21</v>
      </c>
      <c r="E306" t="s">
        <v>14</v>
      </c>
      <c r="F306" t="s">
        <v>43</v>
      </c>
      <c r="G306" s="17">
        <v>46412</v>
      </c>
      <c r="H306" s="18">
        <v>11.5</v>
      </c>
      <c r="I306" t="s">
        <v>199</v>
      </c>
      <c r="J306" t="s">
        <v>196</v>
      </c>
      <c r="K306" s="18">
        <v>55</v>
      </c>
      <c r="L306" t="s">
        <v>197</v>
      </c>
    </row>
    <row r="307" spans="1:12" x14ac:dyDescent="0.35">
      <c r="A307" t="s">
        <v>12</v>
      </c>
      <c r="B307" t="s">
        <v>168</v>
      </c>
      <c r="C307" t="s">
        <v>14</v>
      </c>
      <c r="D307" t="s">
        <v>30</v>
      </c>
      <c r="E307" t="s">
        <v>14</v>
      </c>
      <c r="F307" t="s">
        <v>43</v>
      </c>
      <c r="G307" s="17">
        <v>46412</v>
      </c>
      <c r="H307" s="18">
        <v>4</v>
      </c>
      <c r="I307" t="s">
        <v>199</v>
      </c>
      <c r="J307" t="s">
        <v>198</v>
      </c>
      <c r="K307" s="18">
        <v>55</v>
      </c>
      <c r="L307" t="s">
        <v>197</v>
      </c>
    </row>
    <row r="308" spans="1:12" x14ac:dyDescent="0.35">
      <c r="A308" t="s">
        <v>12</v>
      </c>
      <c r="B308" t="s">
        <v>174</v>
      </c>
      <c r="C308" t="s">
        <v>14</v>
      </c>
      <c r="D308" t="s">
        <v>147</v>
      </c>
      <c r="E308" t="s">
        <v>14</v>
      </c>
      <c r="F308" t="s">
        <v>81</v>
      </c>
      <c r="G308" s="17">
        <v>46412</v>
      </c>
      <c r="H308" s="18">
        <v>29</v>
      </c>
      <c r="I308" t="s">
        <v>202</v>
      </c>
      <c r="J308" t="s">
        <v>198</v>
      </c>
      <c r="K308" s="18">
        <v>29</v>
      </c>
      <c r="L308" t="s">
        <v>201</v>
      </c>
    </row>
    <row r="309" spans="1:12" x14ac:dyDescent="0.35">
      <c r="A309" t="s">
        <v>12</v>
      </c>
      <c r="B309" t="s">
        <v>179</v>
      </c>
      <c r="C309" t="s">
        <v>14</v>
      </c>
      <c r="D309" t="s">
        <v>145</v>
      </c>
      <c r="E309" t="s">
        <v>14</v>
      </c>
      <c r="F309" t="s">
        <v>100</v>
      </c>
      <c r="G309" s="17">
        <v>46412</v>
      </c>
      <c r="H309" s="18">
        <v>28</v>
      </c>
      <c r="I309" t="s">
        <v>202</v>
      </c>
      <c r="J309" t="s">
        <v>196</v>
      </c>
      <c r="K309" s="18">
        <v>50.5</v>
      </c>
      <c r="L309" t="s">
        <v>201</v>
      </c>
    </row>
    <row r="310" spans="1:12" x14ac:dyDescent="0.35">
      <c r="A310" t="s">
        <v>12</v>
      </c>
      <c r="B310" t="s">
        <v>179</v>
      </c>
      <c r="C310" t="s">
        <v>14</v>
      </c>
      <c r="D310" t="s">
        <v>152</v>
      </c>
      <c r="E310" t="s">
        <v>14</v>
      </c>
      <c r="F310" t="s">
        <v>98</v>
      </c>
      <c r="G310" s="17">
        <v>46412</v>
      </c>
      <c r="H310" s="18">
        <v>16</v>
      </c>
      <c r="I310" t="s">
        <v>202</v>
      </c>
      <c r="J310" t="s">
        <v>198</v>
      </c>
      <c r="K310" s="18">
        <v>16</v>
      </c>
      <c r="L310" t="s">
        <v>201</v>
      </c>
    </row>
    <row r="311" spans="1:12" x14ac:dyDescent="0.35">
      <c r="A311" t="s">
        <v>12</v>
      </c>
      <c r="B311" t="s">
        <v>180</v>
      </c>
      <c r="C311" t="s">
        <v>14</v>
      </c>
      <c r="D311" t="s">
        <v>151</v>
      </c>
      <c r="E311" t="s">
        <v>14</v>
      </c>
      <c r="F311" t="s">
        <v>98</v>
      </c>
      <c r="G311" s="17">
        <v>46412</v>
      </c>
      <c r="H311" s="18">
        <v>11</v>
      </c>
      <c r="I311" t="s">
        <v>202</v>
      </c>
      <c r="J311" t="s">
        <v>198</v>
      </c>
      <c r="K311" s="18">
        <v>35</v>
      </c>
      <c r="L311" t="s">
        <v>201</v>
      </c>
    </row>
    <row r="312" spans="1:12" x14ac:dyDescent="0.35">
      <c r="A312" t="s">
        <v>12</v>
      </c>
      <c r="B312" t="s">
        <v>180</v>
      </c>
      <c r="C312" t="s">
        <v>14</v>
      </c>
      <c r="D312" t="s">
        <v>152</v>
      </c>
      <c r="E312" t="s">
        <v>14</v>
      </c>
      <c r="F312" t="s">
        <v>98</v>
      </c>
      <c r="G312" s="17">
        <v>46412</v>
      </c>
      <c r="H312" s="18">
        <v>39</v>
      </c>
      <c r="I312" t="s">
        <v>202</v>
      </c>
      <c r="J312" t="s">
        <v>196</v>
      </c>
      <c r="K312" s="18">
        <v>55</v>
      </c>
      <c r="L312" t="s">
        <v>201</v>
      </c>
    </row>
    <row r="313" spans="1:12" x14ac:dyDescent="0.35">
      <c r="A313" t="s">
        <v>12</v>
      </c>
      <c r="B313" t="s">
        <v>45</v>
      </c>
      <c r="C313" t="s">
        <v>14</v>
      </c>
      <c r="D313" t="s">
        <v>151</v>
      </c>
      <c r="E313" t="s">
        <v>14</v>
      </c>
      <c r="F313" t="s">
        <v>46</v>
      </c>
      <c r="G313" s="17">
        <v>46412</v>
      </c>
      <c r="H313" s="18">
        <v>24</v>
      </c>
      <c r="I313" t="s">
        <v>200</v>
      </c>
      <c r="J313" t="s">
        <v>198</v>
      </c>
      <c r="K313" s="18">
        <v>24</v>
      </c>
      <c r="L313" t="s">
        <v>201</v>
      </c>
    </row>
    <row r="314" spans="1:12" x14ac:dyDescent="0.35">
      <c r="A314" t="s">
        <v>12</v>
      </c>
      <c r="B314" t="s">
        <v>183</v>
      </c>
      <c r="C314" t="s">
        <v>14</v>
      </c>
      <c r="D314" t="s">
        <v>145</v>
      </c>
      <c r="E314" t="s">
        <v>14</v>
      </c>
      <c r="F314" t="s">
        <v>122</v>
      </c>
      <c r="G314" s="17">
        <v>46412</v>
      </c>
      <c r="H314" s="18">
        <v>22.5</v>
      </c>
      <c r="I314" t="s">
        <v>202</v>
      </c>
      <c r="J314" t="s">
        <v>196</v>
      </c>
      <c r="K314" s="18">
        <v>22.5</v>
      </c>
      <c r="L314" t="s">
        <v>201</v>
      </c>
    </row>
    <row r="315" spans="1:12" x14ac:dyDescent="0.35">
      <c r="A315" t="s">
        <v>12</v>
      </c>
      <c r="B315" t="s">
        <v>184</v>
      </c>
      <c r="C315" t="s">
        <v>14</v>
      </c>
      <c r="D315" t="s">
        <v>146</v>
      </c>
      <c r="E315" t="s">
        <v>14</v>
      </c>
      <c r="F315" t="s">
        <v>80</v>
      </c>
      <c r="G315" s="17">
        <v>46412</v>
      </c>
      <c r="H315" s="18">
        <v>45</v>
      </c>
      <c r="I315" t="s">
        <v>202</v>
      </c>
      <c r="J315" t="s">
        <v>196</v>
      </c>
      <c r="K315" s="18">
        <v>45</v>
      </c>
      <c r="L315" t="s">
        <v>201</v>
      </c>
    </row>
    <row r="316" spans="1:12" x14ac:dyDescent="0.35">
      <c r="A316" t="s">
        <v>12</v>
      </c>
      <c r="B316" t="s">
        <v>176</v>
      </c>
      <c r="C316" t="s">
        <v>14</v>
      </c>
      <c r="D316" t="s">
        <v>147</v>
      </c>
      <c r="E316" t="s">
        <v>14</v>
      </c>
      <c r="F316" t="s">
        <v>103</v>
      </c>
      <c r="G316" s="17">
        <v>46412</v>
      </c>
      <c r="H316" s="18">
        <v>26</v>
      </c>
      <c r="I316" t="s">
        <v>202</v>
      </c>
      <c r="J316" t="s">
        <v>196</v>
      </c>
      <c r="K316" s="18">
        <v>55</v>
      </c>
      <c r="L316" t="s">
        <v>201</v>
      </c>
    </row>
    <row r="317" spans="1:12" x14ac:dyDescent="0.35">
      <c r="A317" t="s">
        <v>12</v>
      </c>
      <c r="B317" t="s">
        <v>176</v>
      </c>
      <c r="C317" t="s">
        <v>14</v>
      </c>
      <c r="D317" t="s">
        <v>149</v>
      </c>
      <c r="E317" t="s">
        <v>14</v>
      </c>
      <c r="F317" t="s">
        <v>103</v>
      </c>
      <c r="G317" s="17">
        <v>46412</v>
      </c>
      <c r="H317" s="18">
        <v>39</v>
      </c>
      <c r="I317" t="s">
        <v>202</v>
      </c>
      <c r="J317" t="s">
        <v>198</v>
      </c>
      <c r="K317" s="18">
        <v>39</v>
      </c>
      <c r="L317" t="s">
        <v>201</v>
      </c>
    </row>
    <row r="318" spans="1:12" x14ac:dyDescent="0.35">
      <c r="A318" t="s">
        <v>12</v>
      </c>
      <c r="B318" t="s">
        <v>178</v>
      </c>
      <c r="C318" t="s">
        <v>14</v>
      </c>
      <c r="D318" t="s">
        <v>145</v>
      </c>
      <c r="E318" t="s">
        <v>14</v>
      </c>
      <c r="F318" t="s">
        <v>103</v>
      </c>
      <c r="G318" s="17">
        <v>46412</v>
      </c>
      <c r="H318" s="18">
        <v>4.5</v>
      </c>
      <c r="I318" t="s">
        <v>202</v>
      </c>
      <c r="J318" t="s">
        <v>198</v>
      </c>
      <c r="K318" s="18">
        <v>55</v>
      </c>
      <c r="L318" t="s">
        <v>201</v>
      </c>
    </row>
    <row r="319" spans="1:12" x14ac:dyDescent="0.35">
      <c r="A319" t="s">
        <v>12</v>
      </c>
      <c r="B319" t="s">
        <v>178</v>
      </c>
      <c r="C319" t="s">
        <v>14</v>
      </c>
      <c r="D319" t="s">
        <v>146</v>
      </c>
      <c r="E319" t="s">
        <v>14</v>
      </c>
      <c r="F319" t="s">
        <v>103</v>
      </c>
      <c r="G319" s="17">
        <v>46412</v>
      </c>
      <c r="H319" s="18">
        <v>10</v>
      </c>
      <c r="I319" t="s">
        <v>202</v>
      </c>
      <c r="J319" t="s">
        <v>198</v>
      </c>
      <c r="K319" s="18">
        <v>55</v>
      </c>
      <c r="L319" t="s">
        <v>201</v>
      </c>
    </row>
    <row r="320" spans="1:12" x14ac:dyDescent="0.35">
      <c r="A320" t="s">
        <v>12</v>
      </c>
      <c r="B320" t="s">
        <v>178</v>
      </c>
      <c r="C320" t="s">
        <v>14</v>
      </c>
      <c r="D320" t="s">
        <v>149</v>
      </c>
      <c r="E320" t="s">
        <v>14</v>
      </c>
      <c r="F320" t="s">
        <v>103</v>
      </c>
      <c r="G320" s="17">
        <v>46412</v>
      </c>
      <c r="H320" s="18">
        <v>16</v>
      </c>
      <c r="I320" t="s">
        <v>202</v>
      </c>
      <c r="J320" t="s">
        <v>196</v>
      </c>
      <c r="K320" s="18">
        <v>55</v>
      </c>
      <c r="L320" t="s">
        <v>201</v>
      </c>
    </row>
    <row r="321" spans="1:12" x14ac:dyDescent="0.35">
      <c r="A321" t="s">
        <v>12</v>
      </c>
      <c r="B321" t="s">
        <v>178</v>
      </c>
      <c r="C321" t="s">
        <v>14</v>
      </c>
      <c r="D321" t="s">
        <v>150</v>
      </c>
      <c r="E321" t="s">
        <v>14</v>
      </c>
      <c r="F321" t="s">
        <v>103</v>
      </c>
      <c r="G321" s="17">
        <v>46412</v>
      </c>
      <c r="H321" s="18">
        <v>29.5</v>
      </c>
      <c r="I321" t="s">
        <v>202</v>
      </c>
      <c r="J321" t="s">
        <v>198</v>
      </c>
      <c r="K321" s="18">
        <v>29.5</v>
      </c>
      <c r="L321" t="s">
        <v>201</v>
      </c>
    </row>
    <row r="322" spans="1:12" x14ac:dyDescent="0.35">
      <c r="A322" t="s">
        <v>12</v>
      </c>
      <c r="B322" t="s">
        <v>175</v>
      </c>
      <c r="C322" t="s">
        <v>14</v>
      </c>
      <c r="D322" t="s">
        <v>153</v>
      </c>
      <c r="E322" t="s">
        <v>14</v>
      </c>
      <c r="F322" t="s">
        <v>43</v>
      </c>
      <c r="G322" s="17">
        <v>46412</v>
      </c>
      <c r="H322" s="18">
        <v>10</v>
      </c>
      <c r="I322" t="s">
        <v>202</v>
      </c>
      <c r="J322" t="s">
        <v>196</v>
      </c>
      <c r="K322" s="18">
        <v>23.5</v>
      </c>
      <c r="L322" t="s">
        <v>201</v>
      </c>
    </row>
    <row r="323" spans="1:12" x14ac:dyDescent="0.35">
      <c r="A323" t="s">
        <v>29</v>
      </c>
      <c r="B323" t="s">
        <v>35</v>
      </c>
      <c r="C323" t="s">
        <v>10</v>
      </c>
      <c r="D323" t="s">
        <v>121</v>
      </c>
      <c r="E323" t="s">
        <v>10</v>
      </c>
      <c r="F323" t="s">
        <v>75</v>
      </c>
      <c r="G323" s="17">
        <v>46419</v>
      </c>
      <c r="H323" s="18">
        <v>5</v>
      </c>
      <c r="I323" t="s">
        <v>195</v>
      </c>
      <c r="J323" t="s">
        <v>196</v>
      </c>
      <c r="K323" s="18">
        <v>5</v>
      </c>
      <c r="L323" t="s">
        <v>201</v>
      </c>
    </row>
    <row r="324" spans="1:12" x14ac:dyDescent="0.35">
      <c r="A324" t="s">
        <v>29</v>
      </c>
      <c r="B324" t="s">
        <v>28</v>
      </c>
      <c r="C324" t="s">
        <v>10</v>
      </c>
      <c r="D324" t="s">
        <v>121</v>
      </c>
      <c r="E324" t="s">
        <v>10</v>
      </c>
      <c r="F324" t="s">
        <v>75</v>
      </c>
      <c r="G324" s="17">
        <v>46419</v>
      </c>
      <c r="H324" s="18">
        <v>5</v>
      </c>
      <c r="I324" t="s">
        <v>195</v>
      </c>
      <c r="J324" t="s">
        <v>196</v>
      </c>
      <c r="K324" s="18">
        <v>10</v>
      </c>
      <c r="L324" t="s">
        <v>201</v>
      </c>
    </row>
    <row r="325" spans="1:12" x14ac:dyDescent="0.35">
      <c r="A325" t="s">
        <v>12</v>
      </c>
      <c r="B325" t="s">
        <v>13</v>
      </c>
      <c r="C325" t="s">
        <v>14</v>
      </c>
      <c r="D325" t="s">
        <v>26</v>
      </c>
      <c r="E325" t="s">
        <v>14</v>
      </c>
      <c r="F325" t="s">
        <v>40</v>
      </c>
      <c r="G325" s="17">
        <v>46419</v>
      </c>
      <c r="H325" s="18">
        <v>12</v>
      </c>
      <c r="I325" t="s">
        <v>195</v>
      </c>
      <c r="J325" t="s">
        <v>196</v>
      </c>
      <c r="K325" s="18">
        <v>55</v>
      </c>
      <c r="L325" t="s">
        <v>197</v>
      </c>
    </row>
    <row r="326" spans="1:12" x14ac:dyDescent="0.35">
      <c r="A326" t="s">
        <v>12</v>
      </c>
      <c r="B326" t="s">
        <v>13</v>
      </c>
      <c r="C326" t="s">
        <v>14</v>
      </c>
      <c r="D326" t="s">
        <v>147</v>
      </c>
      <c r="E326" t="s">
        <v>14</v>
      </c>
      <c r="F326" t="s">
        <v>40</v>
      </c>
      <c r="G326" s="17">
        <v>46419</v>
      </c>
      <c r="H326" s="18">
        <v>7.5</v>
      </c>
      <c r="I326" t="s">
        <v>195</v>
      </c>
      <c r="J326" t="s">
        <v>198</v>
      </c>
      <c r="K326" s="18">
        <v>21.9</v>
      </c>
      <c r="L326" t="s">
        <v>201</v>
      </c>
    </row>
    <row r="327" spans="1:12" x14ac:dyDescent="0.35">
      <c r="A327" t="s">
        <v>12</v>
      </c>
      <c r="B327" t="s">
        <v>13</v>
      </c>
      <c r="C327" t="s">
        <v>14</v>
      </c>
      <c r="D327" t="s">
        <v>21</v>
      </c>
      <c r="E327" t="s">
        <v>14</v>
      </c>
      <c r="F327" t="s">
        <v>40</v>
      </c>
      <c r="G327" s="17">
        <v>46419</v>
      </c>
      <c r="H327" s="18">
        <v>0.5</v>
      </c>
      <c r="I327" t="s">
        <v>195</v>
      </c>
      <c r="J327" t="s">
        <v>196</v>
      </c>
      <c r="K327" s="18">
        <v>55</v>
      </c>
      <c r="L327" t="s">
        <v>197</v>
      </c>
    </row>
    <row r="328" spans="1:12" x14ac:dyDescent="0.35">
      <c r="A328" t="s">
        <v>12</v>
      </c>
      <c r="B328" t="s">
        <v>13</v>
      </c>
      <c r="C328" t="s">
        <v>14</v>
      </c>
      <c r="D328" t="s">
        <v>173</v>
      </c>
      <c r="E328" t="s">
        <v>14</v>
      </c>
      <c r="F328" t="s">
        <v>40</v>
      </c>
      <c r="G328" s="17">
        <v>46419</v>
      </c>
      <c r="H328" s="18">
        <v>30</v>
      </c>
      <c r="I328" t="s">
        <v>195</v>
      </c>
      <c r="J328" t="s">
        <v>196</v>
      </c>
      <c r="K328" s="18">
        <v>30</v>
      </c>
      <c r="L328" t="s">
        <v>197</v>
      </c>
    </row>
    <row r="329" spans="1:12" x14ac:dyDescent="0.35">
      <c r="A329" t="s">
        <v>12</v>
      </c>
      <c r="B329" t="s">
        <v>13</v>
      </c>
      <c r="C329" t="s">
        <v>14</v>
      </c>
      <c r="D329" t="s">
        <v>147</v>
      </c>
      <c r="E329" t="s">
        <v>14</v>
      </c>
      <c r="F329" t="s">
        <v>101</v>
      </c>
      <c r="G329" s="17">
        <v>46419</v>
      </c>
      <c r="H329" s="18">
        <v>11</v>
      </c>
      <c r="I329" t="s">
        <v>195</v>
      </c>
      <c r="J329" t="s">
        <v>198</v>
      </c>
      <c r="K329" s="18">
        <v>37.9</v>
      </c>
      <c r="L329" t="s">
        <v>201</v>
      </c>
    </row>
    <row r="330" spans="1:12" x14ac:dyDescent="0.35">
      <c r="A330" t="s">
        <v>12</v>
      </c>
      <c r="B330" t="s">
        <v>13</v>
      </c>
      <c r="C330" t="s">
        <v>14</v>
      </c>
      <c r="D330" t="s">
        <v>152</v>
      </c>
      <c r="E330" t="s">
        <v>14</v>
      </c>
      <c r="F330" t="s">
        <v>98</v>
      </c>
      <c r="G330" s="17">
        <v>46419</v>
      </c>
      <c r="H330" s="18">
        <v>0.100000000000001</v>
      </c>
      <c r="I330" t="s">
        <v>195</v>
      </c>
      <c r="J330" t="s">
        <v>196</v>
      </c>
      <c r="K330" s="18">
        <v>55</v>
      </c>
      <c r="L330" t="s">
        <v>201</v>
      </c>
    </row>
    <row r="331" spans="1:12" x14ac:dyDescent="0.35">
      <c r="A331" t="s">
        <v>12</v>
      </c>
      <c r="B331" t="s">
        <v>13</v>
      </c>
      <c r="C331" t="s">
        <v>14</v>
      </c>
      <c r="D331" t="s">
        <v>153</v>
      </c>
      <c r="E331" t="s">
        <v>14</v>
      </c>
      <c r="F331" t="s">
        <v>98</v>
      </c>
      <c r="G331" s="17">
        <v>46419</v>
      </c>
      <c r="H331" s="18">
        <v>8.9</v>
      </c>
      <c r="I331" t="s">
        <v>195</v>
      </c>
      <c r="J331" t="s">
        <v>198</v>
      </c>
      <c r="K331" s="18">
        <v>8.9</v>
      </c>
      <c r="L331" t="s">
        <v>201</v>
      </c>
    </row>
    <row r="332" spans="1:12" x14ac:dyDescent="0.35">
      <c r="A332" t="s">
        <v>12</v>
      </c>
      <c r="B332" t="s">
        <v>13</v>
      </c>
      <c r="C332" t="s">
        <v>14</v>
      </c>
      <c r="D332" t="s">
        <v>155</v>
      </c>
      <c r="E332" t="s">
        <v>14</v>
      </c>
      <c r="F332" t="s">
        <v>102</v>
      </c>
      <c r="G332" s="17">
        <v>46419</v>
      </c>
      <c r="H332" s="18">
        <v>7</v>
      </c>
      <c r="I332" t="s">
        <v>195</v>
      </c>
      <c r="J332" t="s">
        <v>198</v>
      </c>
      <c r="K332" s="18">
        <v>39.9</v>
      </c>
      <c r="L332" t="s">
        <v>201</v>
      </c>
    </row>
    <row r="333" spans="1:12" x14ac:dyDescent="0.35">
      <c r="A333" t="s">
        <v>12</v>
      </c>
      <c r="B333" t="s">
        <v>9</v>
      </c>
      <c r="C333" t="s">
        <v>10</v>
      </c>
      <c r="D333" t="s">
        <v>133</v>
      </c>
      <c r="E333" t="s">
        <v>10</v>
      </c>
      <c r="F333" t="s">
        <v>78</v>
      </c>
      <c r="G333" s="17">
        <v>46419</v>
      </c>
      <c r="H333" s="18">
        <v>8</v>
      </c>
      <c r="I333" t="s">
        <v>195</v>
      </c>
      <c r="J333" t="s">
        <v>198</v>
      </c>
      <c r="K333" s="18">
        <v>19</v>
      </c>
      <c r="L333" t="s">
        <v>197</v>
      </c>
    </row>
    <row r="334" spans="1:12" x14ac:dyDescent="0.35">
      <c r="A334" t="s">
        <v>12</v>
      </c>
      <c r="B334" t="s">
        <v>9</v>
      </c>
      <c r="C334" t="s">
        <v>10</v>
      </c>
      <c r="D334" t="s">
        <v>133</v>
      </c>
      <c r="E334" t="s">
        <v>10</v>
      </c>
      <c r="F334" t="s">
        <v>79</v>
      </c>
      <c r="G334" s="17">
        <v>46419</v>
      </c>
      <c r="H334" s="18">
        <v>5</v>
      </c>
      <c r="I334" t="s">
        <v>195</v>
      </c>
      <c r="J334" t="s">
        <v>198</v>
      </c>
      <c r="K334" s="18">
        <v>5</v>
      </c>
      <c r="L334" t="s">
        <v>197</v>
      </c>
    </row>
    <row r="335" spans="1:12" x14ac:dyDescent="0.35">
      <c r="A335" t="s">
        <v>12</v>
      </c>
      <c r="B335" t="s">
        <v>9</v>
      </c>
      <c r="C335" t="s">
        <v>10</v>
      </c>
      <c r="D335" t="s">
        <v>133</v>
      </c>
      <c r="E335" t="s">
        <v>10</v>
      </c>
      <c r="F335" t="s">
        <v>100</v>
      </c>
      <c r="G335" s="17">
        <v>46419</v>
      </c>
      <c r="H335" s="18">
        <v>3</v>
      </c>
      <c r="I335" t="s">
        <v>195</v>
      </c>
      <c r="J335" t="s">
        <v>198</v>
      </c>
      <c r="K335" s="18">
        <v>22</v>
      </c>
      <c r="L335" t="s">
        <v>197</v>
      </c>
    </row>
    <row r="336" spans="1:12" x14ac:dyDescent="0.35">
      <c r="A336" t="s">
        <v>12</v>
      </c>
      <c r="B336" t="s">
        <v>9</v>
      </c>
      <c r="C336" t="s">
        <v>10</v>
      </c>
      <c r="D336" t="s">
        <v>132</v>
      </c>
      <c r="E336" t="s">
        <v>10</v>
      </c>
      <c r="F336" t="s">
        <v>40</v>
      </c>
      <c r="G336" s="17">
        <v>46419</v>
      </c>
      <c r="H336" s="18">
        <v>5.5</v>
      </c>
      <c r="I336" t="s">
        <v>195</v>
      </c>
      <c r="J336" t="s">
        <v>196</v>
      </c>
      <c r="K336" s="18">
        <v>36</v>
      </c>
      <c r="L336" t="s">
        <v>197</v>
      </c>
    </row>
    <row r="337" spans="1:12" x14ac:dyDescent="0.35">
      <c r="A337" t="s">
        <v>12</v>
      </c>
      <c r="B337" t="s">
        <v>9</v>
      </c>
      <c r="C337" t="s">
        <v>10</v>
      </c>
      <c r="D337" t="s">
        <v>132</v>
      </c>
      <c r="E337" t="s">
        <v>10</v>
      </c>
      <c r="F337" t="s">
        <v>101</v>
      </c>
      <c r="G337" s="17">
        <v>46419</v>
      </c>
      <c r="H337" s="18">
        <v>1</v>
      </c>
      <c r="I337" t="s">
        <v>195</v>
      </c>
      <c r="J337" t="s">
        <v>196</v>
      </c>
      <c r="K337" s="18">
        <v>30.5</v>
      </c>
      <c r="L337" t="s">
        <v>197</v>
      </c>
    </row>
    <row r="338" spans="1:12" x14ac:dyDescent="0.35">
      <c r="A338" t="s">
        <v>12</v>
      </c>
      <c r="B338" t="s">
        <v>9</v>
      </c>
      <c r="C338" t="s">
        <v>10</v>
      </c>
      <c r="D338" t="s">
        <v>132</v>
      </c>
      <c r="E338" t="s">
        <v>10</v>
      </c>
      <c r="F338" t="s">
        <v>98</v>
      </c>
      <c r="G338" s="17">
        <v>46419</v>
      </c>
      <c r="H338" s="18">
        <v>10</v>
      </c>
      <c r="I338" t="s">
        <v>195</v>
      </c>
      <c r="J338" t="s">
        <v>196</v>
      </c>
      <c r="K338" s="18">
        <v>46</v>
      </c>
      <c r="L338" t="s">
        <v>197</v>
      </c>
    </row>
    <row r="339" spans="1:12" x14ac:dyDescent="0.35">
      <c r="A339" t="s">
        <v>12</v>
      </c>
      <c r="B339" t="s">
        <v>9</v>
      </c>
      <c r="C339" t="s">
        <v>10</v>
      </c>
      <c r="D339" t="s">
        <v>133</v>
      </c>
      <c r="E339" t="s">
        <v>10</v>
      </c>
      <c r="F339" t="s">
        <v>102</v>
      </c>
      <c r="G339" s="17">
        <v>46419</v>
      </c>
      <c r="H339" s="18">
        <v>6</v>
      </c>
      <c r="I339" t="s">
        <v>195</v>
      </c>
      <c r="J339" t="s">
        <v>198</v>
      </c>
      <c r="K339" s="18">
        <v>11</v>
      </c>
      <c r="L339" t="s">
        <v>197</v>
      </c>
    </row>
    <row r="340" spans="1:12" x14ac:dyDescent="0.35">
      <c r="A340" t="s">
        <v>12</v>
      </c>
      <c r="B340" t="s">
        <v>22</v>
      </c>
      <c r="C340" t="s">
        <v>10</v>
      </c>
      <c r="D340" t="s">
        <v>132</v>
      </c>
      <c r="E340" t="s">
        <v>10</v>
      </c>
      <c r="F340" t="s">
        <v>98</v>
      </c>
      <c r="G340" s="17">
        <v>46419</v>
      </c>
      <c r="H340" s="18">
        <v>9</v>
      </c>
      <c r="I340" t="s">
        <v>195</v>
      </c>
      <c r="J340" t="s">
        <v>196</v>
      </c>
      <c r="K340" s="18">
        <v>55</v>
      </c>
      <c r="L340" t="s">
        <v>197</v>
      </c>
    </row>
    <row r="341" spans="1:12" x14ac:dyDescent="0.35">
      <c r="A341" t="s">
        <v>12</v>
      </c>
      <c r="B341" t="s">
        <v>22</v>
      </c>
      <c r="C341" t="s">
        <v>10</v>
      </c>
      <c r="D341" t="s">
        <v>133</v>
      </c>
      <c r="E341" t="s">
        <v>10</v>
      </c>
      <c r="F341" t="s">
        <v>98</v>
      </c>
      <c r="G341" s="17">
        <v>46419</v>
      </c>
      <c r="H341" s="18">
        <v>6</v>
      </c>
      <c r="I341" t="s">
        <v>195</v>
      </c>
      <c r="J341" t="s">
        <v>198</v>
      </c>
      <c r="K341" s="18">
        <v>28</v>
      </c>
      <c r="L341" t="s">
        <v>197</v>
      </c>
    </row>
    <row r="342" spans="1:12" x14ac:dyDescent="0.35">
      <c r="A342" t="s">
        <v>12</v>
      </c>
      <c r="B342" t="s">
        <v>20</v>
      </c>
      <c r="C342" t="s">
        <v>10</v>
      </c>
      <c r="D342" t="s">
        <v>36</v>
      </c>
      <c r="E342" t="s">
        <v>10</v>
      </c>
      <c r="F342" t="s">
        <v>81</v>
      </c>
      <c r="G342" s="17">
        <v>46419</v>
      </c>
      <c r="H342" s="18">
        <v>5.5</v>
      </c>
      <c r="I342" t="s">
        <v>195</v>
      </c>
      <c r="J342" t="s">
        <v>196</v>
      </c>
      <c r="K342" s="18">
        <v>55</v>
      </c>
      <c r="L342" t="s">
        <v>197</v>
      </c>
    </row>
    <row r="343" spans="1:12" x14ac:dyDescent="0.35">
      <c r="A343" t="s">
        <v>12</v>
      </c>
      <c r="B343" t="s">
        <v>20</v>
      </c>
      <c r="C343" t="s">
        <v>10</v>
      </c>
      <c r="D343" t="s">
        <v>133</v>
      </c>
      <c r="E343" t="s">
        <v>10</v>
      </c>
      <c r="F343" t="s">
        <v>81</v>
      </c>
      <c r="G343" s="17">
        <v>46419</v>
      </c>
      <c r="H343" s="18">
        <v>2</v>
      </c>
      <c r="I343" t="s">
        <v>195</v>
      </c>
      <c r="J343" t="s">
        <v>198</v>
      </c>
      <c r="K343" s="18">
        <v>30</v>
      </c>
      <c r="L343" t="s">
        <v>197</v>
      </c>
    </row>
    <row r="344" spans="1:12" x14ac:dyDescent="0.35">
      <c r="A344" t="s">
        <v>12</v>
      </c>
      <c r="B344" t="s">
        <v>23</v>
      </c>
      <c r="C344" t="s">
        <v>10</v>
      </c>
      <c r="D344" t="s">
        <v>133</v>
      </c>
      <c r="E344" t="s">
        <v>10</v>
      </c>
      <c r="F344" t="s">
        <v>78</v>
      </c>
      <c r="G344" s="17">
        <v>46419</v>
      </c>
      <c r="H344" s="18">
        <v>1</v>
      </c>
      <c r="I344" t="s">
        <v>195</v>
      </c>
      <c r="J344" t="s">
        <v>198</v>
      </c>
      <c r="K344" s="18">
        <v>31</v>
      </c>
      <c r="L344" t="s">
        <v>197</v>
      </c>
    </row>
    <row r="345" spans="1:12" x14ac:dyDescent="0.35">
      <c r="A345" t="s">
        <v>12</v>
      </c>
      <c r="B345" t="s">
        <v>17</v>
      </c>
      <c r="C345" t="s">
        <v>14</v>
      </c>
      <c r="D345" t="s">
        <v>151</v>
      </c>
      <c r="E345" t="s">
        <v>14</v>
      </c>
      <c r="F345" t="s">
        <v>46</v>
      </c>
      <c r="G345" s="17">
        <v>46419</v>
      </c>
      <c r="H345" s="18">
        <v>21.1</v>
      </c>
      <c r="I345" t="s">
        <v>195</v>
      </c>
      <c r="J345" t="s">
        <v>196</v>
      </c>
      <c r="K345" s="18">
        <v>55</v>
      </c>
      <c r="L345" t="s">
        <v>201</v>
      </c>
    </row>
    <row r="346" spans="1:12" x14ac:dyDescent="0.35">
      <c r="A346" t="s">
        <v>12</v>
      </c>
      <c r="B346" t="s">
        <v>17</v>
      </c>
      <c r="C346" t="s">
        <v>14</v>
      </c>
      <c r="D346" t="s">
        <v>152</v>
      </c>
      <c r="E346" t="s">
        <v>14</v>
      </c>
      <c r="F346" t="s">
        <v>46</v>
      </c>
      <c r="G346" s="17">
        <v>46419</v>
      </c>
      <c r="H346" s="18">
        <v>13.9</v>
      </c>
      <c r="I346" t="s">
        <v>195</v>
      </c>
      <c r="J346" t="s">
        <v>198</v>
      </c>
      <c r="K346" s="18">
        <v>13.9</v>
      </c>
      <c r="L346" t="s">
        <v>201</v>
      </c>
    </row>
    <row r="347" spans="1:12" x14ac:dyDescent="0.35">
      <c r="A347" t="s">
        <v>12</v>
      </c>
      <c r="B347" t="s">
        <v>159</v>
      </c>
      <c r="C347" t="s">
        <v>14</v>
      </c>
      <c r="D347" t="s">
        <v>145</v>
      </c>
      <c r="E347" t="s">
        <v>14</v>
      </c>
      <c r="F347" t="s">
        <v>78</v>
      </c>
      <c r="G347" s="17">
        <v>46419</v>
      </c>
      <c r="H347" s="18">
        <v>2.4</v>
      </c>
      <c r="I347" t="s">
        <v>195</v>
      </c>
      <c r="J347" t="s">
        <v>198</v>
      </c>
      <c r="K347" s="18">
        <v>28.9</v>
      </c>
      <c r="L347" t="s">
        <v>201</v>
      </c>
    </row>
    <row r="348" spans="1:12" x14ac:dyDescent="0.35">
      <c r="A348" t="s">
        <v>12</v>
      </c>
      <c r="B348" t="s">
        <v>159</v>
      </c>
      <c r="C348" t="s">
        <v>14</v>
      </c>
      <c r="D348" t="s">
        <v>152</v>
      </c>
      <c r="E348" t="s">
        <v>14</v>
      </c>
      <c r="F348" t="s">
        <v>46</v>
      </c>
      <c r="G348" s="17">
        <v>46419</v>
      </c>
      <c r="H348" s="18">
        <v>7</v>
      </c>
      <c r="I348" t="s">
        <v>195</v>
      </c>
      <c r="J348" t="s">
        <v>196</v>
      </c>
      <c r="K348" s="18">
        <v>20.9</v>
      </c>
      <c r="L348" t="s">
        <v>201</v>
      </c>
    </row>
    <row r="349" spans="1:12" x14ac:dyDescent="0.35">
      <c r="A349" t="s">
        <v>12</v>
      </c>
      <c r="B349" t="s">
        <v>33</v>
      </c>
      <c r="C349" t="s">
        <v>10</v>
      </c>
      <c r="D349" t="s">
        <v>133</v>
      </c>
      <c r="E349" t="s">
        <v>10</v>
      </c>
      <c r="F349" t="s">
        <v>103</v>
      </c>
      <c r="G349" s="17">
        <v>46419</v>
      </c>
      <c r="H349" s="18">
        <v>7</v>
      </c>
      <c r="I349" t="s">
        <v>195</v>
      </c>
      <c r="J349" t="s">
        <v>198</v>
      </c>
      <c r="K349" s="18">
        <v>38</v>
      </c>
      <c r="L349" t="s">
        <v>197</v>
      </c>
    </row>
    <row r="350" spans="1:12" x14ac:dyDescent="0.35">
      <c r="A350" t="s">
        <v>12</v>
      </c>
      <c r="B350" t="s">
        <v>24</v>
      </c>
      <c r="C350" t="s">
        <v>14</v>
      </c>
      <c r="D350" t="s">
        <v>145</v>
      </c>
      <c r="E350" t="s">
        <v>14</v>
      </c>
      <c r="F350" t="s">
        <v>78</v>
      </c>
      <c r="G350" s="17">
        <v>46419</v>
      </c>
      <c r="H350" s="18">
        <v>3.5</v>
      </c>
      <c r="I350" t="s">
        <v>195</v>
      </c>
      <c r="J350" t="s">
        <v>196</v>
      </c>
      <c r="K350" s="18">
        <v>32.4</v>
      </c>
      <c r="L350" t="s">
        <v>201</v>
      </c>
    </row>
    <row r="351" spans="1:12" x14ac:dyDescent="0.35">
      <c r="A351" t="s">
        <v>12</v>
      </c>
      <c r="B351" t="s">
        <v>24</v>
      </c>
      <c r="C351" t="s">
        <v>14</v>
      </c>
      <c r="D351" t="s">
        <v>150</v>
      </c>
      <c r="E351" t="s">
        <v>14</v>
      </c>
      <c r="F351" t="s">
        <v>103</v>
      </c>
      <c r="G351" s="17">
        <v>46419</v>
      </c>
      <c r="H351" s="18">
        <v>5</v>
      </c>
      <c r="I351" t="s">
        <v>195</v>
      </c>
      <c r="J351" t="s">
        <v>196</v>
      </c>
      <c r="K351" s="18">
        <v>5</v>
      </c>
      <c r="L351" t="s">
        <v>201</v>
      </c>
    </row>
    <row r="352" spans="1:12" x14ac:dyDescent="0.35">
      <c r="A352" t="s">
        <v>12</v>
      </c>
      <c r="B352" t="s">
        <v>27</v>
      </c>
      <c r="C352" t="s">
        <v>14</v>
      </c>
      <c r="D352" t="s">
        <v>147</v>
      </c>
      <c r="E352" t="s">
        <v>14</v>
      </c>
      <c r="F352" t="s">
        <v>40</v>
      </c>
      <c r="G352" s="17">
        <v>46419</v>
      </c>
      <c r="H352" s="18">
        <v>5</v>
      </c>
      <c r="I352" t="s">
        <v>195</v>
      </c>
      <c r="J352" t="s">
        <v>196</v>
      </c>
      <c r="K352" s="18">
        <v>26.9</v>
      </c>
      <c r="L352" t="s">
        <v>201</v>
      </c>
    </row>
    <row r="353" spans="1:12" x14ac:dyDescent="0.35">
      <c r="A353" t="s">
        <v>12</v>
      </c>
      <c r="B353" t="s">
        <v>30</v>
      </c>
      <c r="C353" t="s">
        <v>14</v>
      </c>
      <c r="D353" t="s">
        <v>21</v>
      </c>
      <c r="E353" t="s">
        <v>14</v>
      </c>
      <c r="F353" t="s">
        <v>81</v>
      </c>
      <c r="G353" s="17">
        <v>46419</v>
      </c>
      <c r="H353" s="18">
        <v>25</v>
      </c>
      <c r="I353" t="s">
        <v>203</v>
      </c>
      <c r="J353" t="s">
        <v>196</v>
      </c>
      <c r="K353" s="18">
        <v>54.5</v>
      </c>
      <c r="L353" t="s">
        <v>197</v>
      </c>
    </row>
    <row r="354" spans="1:12" x14ac:dyDescent="0.35">
      <c r="A354" t="s">
        <v>12</v>
      </c>
      <c r="B354" t="s">
        <v>30</v>
      </c>
      <c r="C354" t="s">
        <v>14</v>
      </c>
      <c r="D354" t="s">
        <v>176</v>
      </c>
      <c r="E354" t="s">
        <v>14</v>
      </c>
      <c r="F354" t="s">
        <v>102</v>
      </c>
      <c r="G354" s="17">
        <v>46419</v>
      </c>
      <c r="H354" s="18">
        <v>25</v>
      </c>
      <c r="I354" t="s">
        <v>203</v>
      </c>
      <c r="J354" t="s">
        <v>196</v>
      </c>
      <c r="K354" s="18">
        <v>25</v>
      </c>
      <c r="L354" t="s">
        <v>197</v>
      </c>
    </row>
    <row r="355" spans="1:12" x14ac:dyDescent="0.35">
      <c r="A355" t="s">
        <v>12</v>
      </c>
      <c r="B355" t="s">
        <v>18</v>
      </c>
      <c r="C355" t="s">
        <v>16</v>
      </c>
      <c r="D355" t="s">
        <v>84</v>
      </c>
      <c r="E355" t="s">
        <v>16</v>
      </c>
      <c r="F355" t="s">
        <v>77</v>
      </c>
      <c r="G355" s="17">
        <v>46419</v>
      </c>
      <c r="H355" s="18">
        <v>1.4035089999999999</v>
      </c>
      <c r="I355" t="s">
        <v>195</v>
      </c>
      <c r="J355" t="s">
        <v>196</v>
      </c>
      <c r="K355" s="18">
        <v>38.907018000000001</v>
      </c>
      <c r="L355" t="s">
        <v>197</v>
      </c>
    </row>
    <row r="356" spans="1:12" x14ac:dyDescent="0.35">
      <c r="A356" t="s">
        <v>12</v>
      </c>
      <c r="B356" t="s">
        <v>18</v>
      </c>
      <c r="C356" t="s">
        <v>16</v>
      </c>
      <c r="D356" t="s">
        <v>84</v>
      </c>
      <c r="E356" t="s">
        <v>16</v>
      </c>
      <c r="F356" t="s">
        <v>78</v>
      </c>
      <c r="G356" s="17">
        <v>46419</v>
      </c>
      <c r="H356" s="18">
        <v>0.6</v>
      </c>
      <c r="I356" t="s">
        <v>195</v>
      </c>
      <c r="J356" t="s">
        <v>196</v>
      </c>
      <c r="K356" s="18">
        <v>37.503509000000001</v>
      </c>
      <c r="L356" t="s">
        <v>197</v>
      </c>
    </row>
    <row r="357" spans="1:12" x14ac:dyDescent="0.35">
      <c r="A357" t="s">
        <v>12</v>
      </c>
      <c r="B357" t="s">
        <v>107</v>
      </c>
      <c r="C357" t="s">
        <v>14</v>
      </c>
      <c r="D357" t="s">
        <v>145</v>
      </c>
      <c r="E357" t="s">
        <v>14</v>
      </c>
      <c r="F357" t="s">
        <v>78</v>
      </c>
      <c r="G357" s="17">
        <v>46419</v>
      </c>
      <c r="H357" s="18">
        <v>15</v>
      </c>
      <c r="I357" t="s">
        <v>202</v>
      </c>
      <c r="J357" t="s">
        <v>196</v>
      </c>
      <c r="K357" s="18">
        <v>47.4</v>
      </c>
      <c r="L357" t="s">
        <v>201</v>
      </c>
    </row>
    <row r="358" spans="1:12" x14ac:dyDescent="0.35">
      <c r="A358" t="s">
        <v>12</v>
      </c>
      <c r="B358" t="s">
        <v>107</v>
      </c>
      <c r="C358" t="s">
        <v>14</v>
      </c>
      <c r="D358" t="s">
        <v>155</v>
      </c>
      <c r="E358" t="s">
        <v>14</v>
      </c>
      <c r="F358" t="s">
        <v>102</v>
      </c>
      <c r="G358" s="17">
        <v>46419</v>
      </c>
      <c r="H358" s="18">
        <v>15.1</v>
      </c>
      <c r="I358" t="s">
        <v>202</v>
      </c>
      <c r="J358" t="s">
        <v>196</v>
      </c>
      <c r="K358" s="18">
        <v>55</v>
      </c>
      <c r="L358" t="s">
        <v>201</v>
      </c>
    </row>
    <row r="359" spans="1:12" x14ac:dyDescent="0.35">
      <c r="A359" t="s">
        <v>12</v>
      </c>
      <c r="B359" t="s">
        <v>107</v>
      </c>
      <c r="C359" t="s">
        <v>14</v>
      </c>
      <c r="D359" t="s">
        <v>156</v>
      </c>
      <c r="E359" t="s">
        <v>14</v>
      </c>
      <c r="F359" t="s">
        <v>102</v>
      </c>
      <c r="G359" s="17">
        <v>46419</v>
      </c>
      <c r="H359" s="18">
        <v>9.9</v>
      </c>
      <c r="I359" t="s">
        <v>202</v>
      </c>
      <c r="J359" t="s">
        <v>198</v>
      </c>
      <c r="K359" s="18">
        <v>9.9</v>
      </c>
      <c r="L359" t="s">
        <v>201</v>
      </c>
    </row>
    <row r="360" spans="1:12" x14ac:dyDescent="0.35">
      <c r="A360" t="s">
        <v>12</v>
      </c>
      <c r="B360" t="s">
        <v>107</v>
      </c>
      <c r="C360" t="s">
        <v>16</v>
      </c>
      <c r="D360" t="s">
        <v>94</v>
      </c>
      <c r="E360" t="s">
        <v>16</v>
      </c>
      <c r="F360" t="s">
        <v>83</v>
      </c>
      <c r="G360" s="17">
        <v>46419</v>
      </c>
      <c r="H360" s="18">
        <v>4</v>
      </c>
      <c r="I360" t="s">
        <v>199</v>
      </c>
      <c r="J360" t="s">
        <v>198</v>
      </c>
      <c r="K360" s="18">
        <v>42</v>
      </c>
      <c r="L360" t="s">
        <v>197</v>
      </c>
    </row>
    <row r="361" spans="1:12" x14ac:dyDescent="0.35">
      <c r="A361" t="s">
        <v>12</v>
      </c>
      <c r="B361" t="s">
        <v>108</v>
      </c>
      <c r="C361" t="s">
        <v>10</v>
      </c>
      <c r="D361" t="s">
        <v>133</v>
      </c>
      <c r="E361" t="s">
        <v>10</v>
      </c>
      <c r="F361" t="s">
        <v>83</v>
      </c>
      <c r="G361" s="17">
        <v>46419</v>
      </c>
      <c r="H361" s="18">
        <v>16</v>
      </c>
      <c r="I361" t="s">
        <v>199</v>
      </c>
      <c r="J361" t="s">
        <v>198</v>
      </c>
      <c r="K361" s="18">
        <v>54</v>
      </c>
      <c r="L361" t="s">
        <v>197</v>
      </c>
    </row>
    <row r="362" spans="1:12" x14ac:dyDescent="0.35">
      <c r="A362" t="s">
        <v>12</v>
      </c>
      <c r="B362" t="s">
        <v>109</v>
      </c>
      <c r="C362" t="s">
        <v>14</v>
      </c>
      <c r="D362" t="s">
        <v>156</v>
      </c>
      <c r="E362" t="s">
        <v>14</v>
      </c>
      <c r="F362" t="s">
        <v>83</v>
      </c>
      <c r="G362" s="17">
        <v>46419</v>
      </c>
      <c r="H362" s="18">
        <v>32.1</v>
      </c>
      <c r="I362" t="s">
        <v>202</v>
      </c>
      <c r="J362" t="s">
        <v>198</v>
      </c>
      <c r="K362" s="18">
        <v>55</v>
      </c>
      <c r="L362" t="s">
        <v>201</v>
      </c>
    </row>
    <row r="363" spans="1:12" x14ac:dyDescent="0.35">
      <c r="A363" t="s">
        <v>12</v>
      </c>
      <c r="B363" t="s">
        <v>109</v>
      </c>
      <c r="C363" t="s">
        <v>14</v>
      </c>
      <c r="D363" t="s">
        <v>157</v>
      </c>
      <c r="E363" t="s">
        <v>14</v>
      </c>
      <c r="F363" t="s">
        <v>83</v>
      </c>
      <c r="G363" s="17">
        <v>46419</v>
      </c>
      <c r="H363" s="18">
        <v>7.9</v>
      </c>
      <c r="I363" t="s">
        <v>202</v>
      </c>
      <c r="J363" t="s">
        <v>198</v>
      </c>
      <c r="K363" s="18">
        <v>7.9</v>
      </c>
      <c r="L363" t="s">
        <v>201</v>
      </c>
    </row>
    <row r="364" spans="1:12" x14ac:dyDescent="0.35">
      <c r="A364" t="s">
        <v>12</v>
      </c>
      <c r="B364" t="s">
        <v>168</v>
      </c>
      <c r="C364" t="s">
        <v>14</v>
      </c>
      <c r="D364" t="s">
        <v>154</v>
      </c>
      <c r="E364" t="s">
        <v>14</v>
      </c>
      <c r="F364" t="s">
        <v>43</v>
      </c>
      <c r="G364" s="17">
        <v>46419</v>
      </c>
      <c r="H364" s="18">
        <v>13.1</v>
      </c>
      <c r="I364" t="s">
        <v>202</v>
      </c>
      <c r="J364" t="s">
        <v>198</v>
      </c>
      <c r="K364" s="18">
        <v>55</v>
      </c>
      <c r="L364" t="s">
        <v>201</v>
      </c>
    </row>
    <row r="365" spans="1:12" x14ac:dyDescent="0.35">
      <c r="A365" t="s">
        <v>12</v>
      </c>
      <c r="B365" t="s">
        <v>168</v>
      </c>
      <c r="C365" t="s">
        <v>14</v>
      </c>
      <c r="D365" t="s">
        <v>155</v>
      </c>
      <c r="E365" t="s">
        <v>14</v>
      </c>
      <c r="F365" t="s">
        <v>43</v>
      </c>
      <c r="G365" s="17">
        <v>46419</v>
      </c>
      <c r="H365" s="18">
        <v>22.9</v>
      </c>
      <c r="I365" t="s">
        <v>202</v>
      </c>
      <c r="J365" t="s">
        <v>198</v>
      </c>
      <c r="K365" s="18">
        <v>22.9</v>
      </c>
      <c r="L365" t="s">
        <v>201</v>
      </c>
    </row>
    <row r="366" spans="1:12" x14ac:dyDescent="0.35">
      <c r="A366" t="s">
        <v>12</v>
      </c>
      <c r="B366" t="s">
        <v>174</v>
      </c>
      <c r="C366" t="s">
        <v>14</v>
      </c>
      <c r="D366" t="s">
        <v>147</v>
      </c>
      <c r="E366" t="s">
        <v>14</v>
      </c>
      <c r="F366" t="s">
        <v>81</v>
      </c>
      <c r="G366" s="17">
        <v>46419</v>
      </c>
      <c r="H366" s="18">
        <v>17.100000000000001</v>
      </c>
      <c r="I366" t="s">
        <v>202</v>
      </c>
      <c r="J366" t="s">
        <v>196</v>
      </c>
      <c r="K366" s="18">
        <v>55</v>
      </c>
      <c r="L366" t="s">
        <v>201</v>
      </c>
    </row>
    <row r="367" spans="1:12" x14ac:dyDescent="0.35">
      <c r="A367" t="s">
        <v>12</v>
      </c>
      <c r="B367" t="s">
        <v>174</v>
      </c>
      <c r="C367" t="s">
        <v>14</v>
      </c>
      <c r="D367" t="s">
        <v>149</v>
      </c>
      <c r="E367" t="s">
        <v>14</v>
      </c>
      <c r="F367" t="s">
        <v>81</v>
      </c>
      <c r="G367" s="17">
        <v>46419</v>
      </c>
      <c r="H367" s="18">
        <v>8.9</v>
      </c>
      <c r="I367" t="s">
        <v>202</v>
      </c>
      <c r="J367" t="s">
        <v>198</v>
      </c>
      <c r="K367" s="18">
        <v>8.9</v>
      </c>
      <c r="L367" t="s">
        <v>201</v>
      </c>
    </row>
    <row r="368" spans="1:12" x14ac:dyDescent="0.35">
      <c r="A368" t="s">
        <v>12</v>
      </c>
      <c r="B368" t="s">
        <v>179</v>
      </c>
      <c r="C368" t="s">
        <v>14</v>
      </c>
      <c r="D368" t="s">
        <v>145</v>
      </c>
      <c r="E368" t="s">
        <v>14</v>
      </c>
      <c r="F368" t="s">
        <v>100</v>
      </c>
      <c r="G368" s="17">
        <v>46419</v>
      </c>
      <c r="H368" s="18">
        <v>7.6</v>
      </c>
      <c r="I368" t="s">
        <v>202</v>
      </c>
      <c r="J368" t="s">
        <v>196</v>
      </c>
      <c r="K368" s="18">
        <v>55</v>
      </c>
      <c r="L368" t="s">
        <v>201</v>
      </c>
    </row>
    <row r="369" spans="1:12" x14ac:dyDescent="0.35">
      <c r="A369" t="s">
        <v>12</v>
      </c>
      <c r="B369" t="s">
        <v>179</v>
      </c>
      <c r="C369" t="s">
        <v>14</v>
      </c>
      <c r="D369" t="s">
        <v>146</v>
      </c>
      <c r="E369" t="s">
        <v>14</v>
      </c>
      <c r="F369" t="s">
        <v>100</v>
      </c>
      <c r="G369" s="17">
        <v>46419</v>
      </c>
      <c r="H369" s="18">
        <v>8</v>
      </c>
      <c r="I369" t="s">
        <v>202</v>
      </c>
      <c r="J369" t="s">
        <v>196</v>
      </c>
      <c r="K369" s="18">
        <v>55</v>
      </c>
      <c r="L369" t="s">
        <v>201</v>
      </c>
    </row>
    <row r="370" spans="1:12" x14ac:dyDescent="0.35">
      <c r="A370" t="s">
        <v>12</v>
      </c>
      <c r="B370" t="s">
        <v>179</v>
      </c>
      <c r="C370" t="s">
        <v>14</v>
      </c>
      <c r="D370" t="s">
        <v>147</v>
      </c>
      <c r="E370" t="s">
        <v>14</v>
      </c>
      <c r="F370" t="s">
        <v>100</v>
      </c>
      <c r="G370" s="17">
        <v>46419</v>
      </c>
      <c r="H370" s="18">
        <v>14.4</v>
      </c>
      <c r="I370" t="s">
        <v>202</v>
      </c>
      <c r="J370" t="s">
        <v>198</v>
      </c>
      <c r="K370" s="18">
        <v>14.4</v>
      </c>
      <c r="L370" t="s">
        <v>201</v>
      </c>
    </row>
    <row r="371" spans="1:12" x14ac:dyDescent="0.35">
      <c r="A371" t="s">
        <v>12</v>
      </c>
      <c r="B371" t="s">
        <v>179</v>
      </c>
      <c r="C371" t="s">
        <v>14</v>
      </c>
      <c r="D371" t="s">
        <v>153</v>
      </c>
      <c r="E371" t="s">
        <v>14</v>
      </c>
      <c r="F371" t="s">
        <v>98</v>
      </c>
      <c r="G371" s="17">
        <v>46419</v>
      </c>
      <c r="H371" s="18">
        <v>23</v>
      </c>
      <c r="I371" t="s">
        <v>202</v>
      </c>
      <c r="J371" t="s">
        <v>196</v>
      </c>
      <c r="K371" s="18">
        <v>31.9</v>
      </c>
      <c r="L371" t="s">
        <v>201</v>
      </c>
    </row>
    <row r="372" spans="1:12" x14ac:dyDescent="0.35">
      <c r="A372" t="s">
        <v>12</v>
      </c>
      <c r="B372" t="s">
        <v>179</v>
      </c>
      <c r="C372" t="s">
        <v>14</v>
      </c>
      <c r="D372" t="s">
        <v>156</v>
      </c>
      <c r="E372" t="s">
        <v>14</v>
      </c>
      <c r="F372" t="s">
        <v>102</v>
      </c>
      <c r="G372" s="17">
        <v>46419</v>
      </c>
      <c r="H372" s="18">
        <v>13</v>
      </c>
      <c r="I372" t="s">
        <v>202</v>
      </c>
      <c r="J372" t="s">
        <v>196</v>
      </c>
      <c r="K372" s="18">
        <v>22.9</v>
      </c>
      <c r="L372" t="s">
        <v>201</v>
      </c>
    </row>
    <row r="373" spans="1:12" x14ac:dyDescent="0.35">
      <c r="A373" t="s">
        <v>12</v>
      </c>
      <c r="B373" t="s">
        <v>180</v>
      </c>
      <c r="C373" t="s">
        <v>14</v>
      </c>
      <c r="D373" t="s">
        <v>153</v>
      </c>
      <c r="E373" t="s">
        <v>14</v>
      </c>
      <c r="F373" t="s">
        <v>98</v>
      </c>
      <c r="G373" s="17">
        <v>46419</v>
      </c>
      <c r="H373" s="18">
        <v>23.1</v>
      </c>
      <c r="I373" t="s">
        <v>202</v>
      </c>
      <c r="J373" t="s">
        <v>196</v>
      </c>
      <c r="K373" s="18">
        <v>55</v>
      </c>
      <c r="L373" t="s">
        <v>201</v>
      </c>
    </row>
    <row r="374" spans="1:12" x14ac:dyDescent="0.35">
      <c r="A374" t="s">
        <v>12</v>
      </c>
      <c r="B374" t="s">
        <v>180</v>
      </c>
      <c r="C374" t="s">
        <v>14</v>
      </c>
      <c r="D374" t="s">
        <v>154</v>
      </c>
      <c r="E374" t="s">
        <v>14</v>
      </c>
      <c r="F374" t="s">
        <v>98</v>
      </c>
      <c r="G374" s="17">
        <v>46419</v>
      </c>
      <c r="H374" s="18">
        <v>41.9</v>
      </c>
      <c r="I374" t="s">
        <v>202</v>
      </c>
      <c r="J374" t="s">
        <v>198</v>
      </c>
      <c r="K374" s="18">
        <v>41.9</v>
      </c>
      <c r="L374" t="s">
        <v>201</v>
      </c>
    </row>
    <row r="375" spans="1:12" x14ac:dyDescent="0.35">
      <c r="A375" t="s">
        <v>12</v>
      </c>
      <c r="B375" t="s">
        <v>45</v>
      </c>
      <c r="C375" t="s">
        <v>14</v>
      </c>
      <c r="D375" t="s">
        <v>152</v>
      </c>
      <c r="E375" t="s">
        <v>14</v>
      </c>
      <c r="F375" t="s">
        <v>46</v>
      </c>
      <c r="G375" s="17">
        <v>46419</v>
      </c>
      <c r="H375" s="18">
        <v>34</v>
      </c>
      <c r="I375" t="s">
        <v>200</v>
      </c>
      <c r="J375" t="s">
        <v>196</v>
      </c>
      <c r="K375" s="18">
        <v>54.9</v>
      </c>
      <c r="L375" t="s">
        <v>201</v>
      </c>
    </row>
    <row r="376" spans="1:12" x14ac:dyDescent="0.35">
      <c r="A376" t="s">
        <v>12</v>
      </c>
      <c r="B376" t="s">
        <v>183</v>
      </c>
      <c r="C376" t="s">
        <v>14</v>
      </c>
      <c r="D376" t="s">
        <v>145</v>
      </c>
      <c r="E376" t="s">
        <v>14</v>
      </c>
      <c r="F376" t="s">
        <v>122</v>
      </c>
      <c r="G376" s="17">
        <v>46419</v>
      </c>
      <c r="H376" s="18">
        <v>26.5</v>
      </c>
      <c r="I376" t="s">
        <v>202</v>
      </c>
      <c r="J376" t="s">
        <v>196</v>
      </c>
      <c r="K376" s="18">
        <v>26.5</v>
      </c>
      <c r="L376" t="s">
        <v>201</v>
      </c>
    </row>
    <row r="377" spans="1:12" x14ac:dyDescent="0.35">
      <c r="A377" t="s">
        <v>12</v>
      </c>
      <c r="B377" t="s">
        <v>184</v>
      </c>
      <c r="C377" t="s">
        <v>14</v>
      </c>
      <c r="D377" t="s">
        <v>146</v>
      </c>
      <c r="E377" t="s">
        <v>14</v>
      </c>
      <c r="F377" t="s">
        <v>80</v>
      </c>
      <c r="G377" s="17">
        <v>46419</v>
      </c>
      <c r="H377" s="18">
        <v>47</v>
      </c>
      <c r="I377" t="s">
        <v>202</v>
      </c>
      <c r="J377" t="s">
        <v>196</v>
      </c>
      <c r="K377" s="18">
        <v>47</v>
      </c>
      <c r="L377" t="s">
        <v>201</v>
      </c>
    </row>
    <row r="378" spans="1:12" x14ac:dyDescent="0.35">
      <c r="A378" t="s">
        <v>12</v>
      </c>
      <c r="B378" t="s">
        <v>176</v>
      </c>
      <c r="C378" t="s">
        <v>14</v>
      </c>
      <c r="D378" t="s">
        <v>149</v>
      </c>
      <c r="E378" t="s">
        <v>14</v>
      </c>
      <c r="F378" t="s">
        <v>103</v>
      </c>
      <c r="G378" s="17">
        <v>46419</v>
      </c>
      <c r="H378" s="18">
        <v>15</v>
      </c>
      <c r="I378" t="s">
        <v>202</v>
      </c>
      <c r="J378" t="s">
        <v>196</v>
      </c>
      <c r="K378" s="18">
        <v>23.9</v>
      </c>
      <c r="L378" t="s">
        <v>201</v>
      </c>
    </row>
    <row r="379" spans="1:12" x14ac:dyDescent="0.35">
      <c r="A379" t="s">
        <v>12</v>
      </c>
      <c r="B379" t="s">
        <v>176</v>
      </c>
      <c r="C379" t="s">
        <v>14</v>
      </c>
      <c r="D379" t="s">
        <v>150</v>
      </c>
      <c r="E379" t="s">
        <v>14</v>
      </c>
      <c r="F379" t="s">
        <v>103</v>
      </c>
      <c r="G379" s="17">
        <v>46419</v>
      </c>
      <c r="H379" s="18">
        <v>50</v>
      </c>
      <c r="I379" t="s">
        <v>202</v>
      </c>
      <c r="J379" t="s">
        <v>196</v>
      </c>
      <c r="K379" s="18">
        <v>55</v>
      </c>
      <c r="L379" t="s">
        <v>201</v>
      </c>
    </row>
    <row r="380" spans="1:12" x14ac:dyDescent="0.35">
      <c r="A380" t="s">
        <v>12</v>
      </c>
      <c r="B380" t="s">
        <v>178</v>
      </c>
      <c r="C380" t="s">
        <v>14</v>
      </c>
      <c r="D380" t="s">
        <v>149</v>
      </c>
      <c r="E380" t="s">
        <v>14</v>
      </c>
      <c r="F380" t="s">
        <v>103</v>
      </c>
      <c r="G380" s="17">
        <v>46419</v>
      </c>
      <c r="H380" s="18">
        <v>31.1</v>
      </c>
      <c r="I380" t="s">
        <v>202</v>
      </c>
      <c r="J380" t="s">
        <v>196</v>
      </c>
      <c r="K380" s="18">
        <v>55</v>
      </c>
      <c r="L380" t="s">
        <v>201</v>
      </c>
    </row>
    <row r="381" spans="1:12" x14ac:dyDescent="0.35">
      <c r="A381" t="s">
        <v>12</v>
      </c>
      <c r="B381" t="s">
        <v>178</v>
      </c>
      <c r="C381" t="s">
        <v>14</v>
      </c>
      <c r="D381" t="s">
        <v>151</v>
      </c>
      <c r="E381" t="s">
        <v>14</v>
      </c>
      <c r="F381" t="s">
        <v>103</v>
      </c>
      <c r="G381" s="17">
        <v>46419</v>
      </c>
      <c r="H381" s="18">
        <v>33.9</v>
      </c>
      <c r="I381" t="s">
        <v>202</v>
      </c>
      <c r="J381" t="s">
        <v>198</v>
      </c>
      <c r="K381" s="18">
        <v>33.9</v>
      </c>
      <c r="L381" t="s">
        <v>201</v>
      </c>
    </row>
    <row r="382" spans="1:12" x14ac:dyDescent="0.35">
      <c r="A382" t="s">
        <v>12</v>
      </c>
      <c r="B382" t="s">
        <v>175</v>
      </c>
      <c r="C382" t="s">
        <v>14</v>
      </c>
      <c r="D382" t="s">
        <v>155</v>
      </c>
      <c r="E382" t="s">
        <v>14</v>
      </c>
      <c r="F382" t="s">
        <v>43</v>
      </c>
      <c r="G382" s="17">
        <v>46419</v>
      </c>
      <c r="H382" s="18">
        <v>10</v>
      </c>
      <c r="I382" t="s">
        <v>202</v>
      </c>
      <c r="J382" t="s">
        <v>196</v>
      </c>
      <c r="K382" s="18">
        <v>32.9</v>
      </c>
      <c r="L382" t="s">
        <v>201</v>
      </c>
    </row>
    <row r="383" spans="1:12" x14ac:dyDescent="0.35">
      <c r="A383" t="s">
        <v>29</v>
      </c>
      <c r="B383" t="s">
        <v>35</v>
      </c>
      <c r="C383" t="s">
        <v>10</v>
      </c>
      <c r="D383" t="s">
        <v>121</v>
      </c>
      <c r="E383" t="s">
        <v>10</v>
      </c>
      <c r="F383" t="s">
        <v>75</v>
      </c>
      <c r="G383" s="17">
        <v>46426</v>
      </c>
      <c r="H383" s="18">
        <v>5</v>
      </c>
      <c r="I383" t="s">
        <v>195</v>
      </c>
      <c r="J383" t="s">
        <v>196</v>
      </c>
      <c r="K383" s="18">
        <v>5</v>
      </c>
      <c r="L383" t="s">
        <v>201</v>
      </c>
    </row>
    <row r="384" spans="1:12" x14ac:dyDescent="0.35">
      <c r="A384" t="s">
        <v>29</v>
      </c>
      <c r="B384" t="s">
        <v>28</v>
      </c>
      <c r="C384" t="s">
        <v>10</v>
      </c>
      <c r="D384" t="s">
        <v>121</v>
      </c>
      <c r="E384" t="s">
        <v>10</v>
      </c>
      <c r="F384" t="s">
        <v>75</v>
      </c>
      <c r="G384" s="17">
        <v>46426</v>
      </c>
      <c r="H384" s="18">
        <v>5</v>
      </c>
      <c r="I384" t="s">
        <v>195</v>
      </c>
      <c r="J384" t="s">
        <v>196</v>
      </c>
      <c r="K384" s="18">
        <v>10</v>
      </c>
      <c r="L384" t="s">
        <v>201</v>
      </c>
    </row>
    <row r="385" spans="1:12" x14ac:dyDescent="0.35">
      <c r="A385" t="s">
        <v>12</v>
      </c>
      <c r="B385" t="s">
        <v>13</v>
      </c>
      <c r="C385" t="s">
        <v>14</v>
      </c>
      <c r="D385" t="s">
        <v>145</v>
      </c>
      <c r="E385" t="s">
        <v>14</v>
      </c>
      <c r="F385" t="s">
        <v>78</v>
      </c>
      <c r="G385" s="17">
        <v>46426</v>
      </c>
      <c r="H385" s="18">
        <v>11</v>
      </c>
      <c r="I385" t="s">
        <v>195</v>
      </c>
      <c r="J385" t="s">
        <v>196</v>
      </c>
      <c r="K385" s="18">
        <v>14.5</v>
      </c>
      <c r="L385" t="s">
        <v>201</v>
      </c>
    </row>
    <row r="386" spans="1:12" x14ac:dyDescent="0.35">
      <c r="A386" t="s">
        <v>12</v>
      </c>
      <c r="B386" t="s">
        <v>13</v>
      </c>
      <c r="C386" t="s">
        <v>14</v>
      </c>
      <c r="D386" t="s">
        <v>159</v>
      </c>
      <c r="E386" t="s">
        <v>14</v>
      </c>
      <c r="F386" t="s">
        <v>78</v>
      </c>
      <c r="G386" s="17">
        <v>46426</v>
      </c>
      <c r="H386" s="18">
        <v>2</v>
      </c>
      <c r="I386" t="s">
        <v>195</v>
      </c>
      <c r="J386" t="s">
        <v>196</v>
      </c>
      <c r="K386" s="18">
        <v>20</v>
      </c>
      <c r="L386" t="s">
        <v>197</v>
      </c>
    </row>
    <row r="387" spans="1:12" x14ac:dyDescent="0.35">
      <c r="A387" t="s">
        <v>12</v>
      </c>
      <c r="B387" t="s">
        <v>13</v>
      </c>
      <c r="C387" t="s">
        <v>14</v>
      </c>
      <c r="D387" t="s">
        <v>182</v>
      </c>
      <c r="E387" t="s">
        <v>14</v>
      </c>
      <c r="F387" t="s">
        <v>78</v>
      </c>
      <c r="G387" s="17">
        <v>46426</v>
      </c>
      <c r="H387" s="18">
        <v>6</v>
      </c>
      <c r="I387" t="s">
        <v>195</v>
      </c>
      <c r="J387" t="s">
        <v>196</v>
      </c>
      <c r="K387" s="18">
        <v>6</v>
      </c>
      <c r="L387" t="s">
        <v>197</v>
      </c>
    </row>
    <row r="388" spans="1:12" x14ac:dyDescent="0.35">
      <c r="A388" t="s">
        <v>12</v>
      </c>
      <c r="B388" t="s">
        <v>13</v>
      </c>
      <c r="C388" t="s">
        <v>14</v>
      </c>
      <c r="D388" t="s">
        <v>26</v>
      </c>
      <c r="E388" t="s">
        <v>14</v>
      </c>
      <c r="F388" t="s">
        <v>40</v>
      </c>
      <c r="G388" s="17">
        <v>46426</v>
      </c>
      <c r="H388" s="18">
        <v>16</v>
      </c>
      <c r="I388" t="s">
        <v>195</v>
      </c>
      <c r="J388" t="s">
        <v>196</v>
      </c>
      <c r="K388" s="18">
        <v>55</v>
      </c>
      <c r="L388" t="s">
        <v>197</v>
      </c>
    </row>
    <row r="389" spans="1:12" x14ac:dyDescent="0.35">
      <c r="A389" t="s">
        <v>12</v>
      </c>
      <c r="B389" t="s">
        <v>13</v>
      </c>
      <c r="C389" t="s">
        <v>14</v>
      </c>
      <c r="D389" t="s">
        <v>173</v>
      </c>
      <c r="E389" t="s">
        <v>14</v>
      </c>
      <c r="F389" t="s">
        <v>40</v>
      </c>
      <c r="G389" s="17">
        <v>46426</v>
      </c>
      <c r="H389" s="18">
        <v>14</v>
      </c>
      <c r="I389" t="s">
        <v>195</v>
      </c>
      <c r="J389" t="s">
        <v>196</v>
      </c>
      <c r="K389" s="18">
        <v>14</v>
      </c>
      <c r="L389" t="s">
        <v>197</v>
      </c>
    </row>
    <row r="390" spans="1:12" x14ac:dyDescent="0.35">
      <c r="A390" t="s">
        <v>12</v>
      </c>
      <c r="B390" t="s">
        <v>13</v>
      </c>
      <c r="C390" t="s">
        <v>14</v>
      </c>
      <c r="D390" t="s">
        <v>27</v>
      </c>
      <c r="E390" t="s">
        <v>14</v>
      </c>
      <c r="F390" t="s">
        <v>98</v>
      </c>
      <c r="G390" s="17">
        <v>46426</v>
      </c>
      <c r="H390" s="18">
        <v>7</v>
      </c>
      <c r="I390" t="s">
        <v>195</v>
      </c>
      <c r="J390" t="s">
        <v>196</v>
      </c>
      <c r="K390" s="18">
        <v>55</v>
      </c>
      <c r="L390" t="s">
        <v>197</v>
      </c>
    </row>
    <row r="391" spans="1:12" x14ac:dyDescent="0.35">
      <c r="A391" t="s">
        <v>12</v>
      </c>
      <c r="B391" t="s">
        <v>13</v>
      </c>
      <c r="C391" t="s">
        <v>14</v>
      </c>
      <c r="D391" t="s">
        <v>179</v>
      </c>
      <c r="E391" t="s">
        <v>14</v>
      </c>
      <c r="F391" t="s">
        <v>98</v>
      </c>
      <c r="G391" s="17">
        <v>46426</v>
      </c>
      <c r="H391" s="18">
        <v>3.5</v>
      </c>
      <c r="I391" t="s">
        <v>195</v>
      </c>
      <c r="J391" t="s">
        <v>196</v>
      </c>
      <c r="K391" s="18">
        <v>3.5</v>
      </c>
      <c r="L391" t="s">
        <v>197</v>
      </c>
    </row>
    <row r="392" spans="1:12" x14ac:dyDescent="0.35">
      <c r="A392" t="s">
        <v>12</v>
      </c>
      <c r="B392" t="s">
        <v>13</v>
      </c>
      <c r="C392" t="s">
        <v>14</v>
      </c>
      <c r="D392" t="s">
        <v>21</v>
      </c>
      <c r="E392" t="s">
        <v>14</v>
      </c>
      <c r="F392" t="s">
        <v>43</v>
      </c>
      <c r="G392" s="17">
        <v>46426</v>
      </c>
      <c r="H392" s="18">
        <v>9.5</v>
      </c>
      <c r="I392" t="s">
        <v>195</v>
      </c>
      <c r="J392" t="s">
        <v>196</v>
      </c>
      <c r="K392" s="18">
        <v>55</v>
      </c>
      <c r="L392" t="s">
        <v>197</v>
      </c>
    </row>
    <row r="393" spans="1:12" x14ac:dyDescent="0.35">
      <c r="A393" t="s">
        <v>12</v>
      </c>
      <c r="B393" t="s">
        <v>13</v>
      </c>
      <c r="C393" t="s">
        <v>14</v>
      </c>
      <c r="D393" t="s">
        <v>168</v>
      </c>
      <c r="E393" t="s">
        <v>14</v>
      </c>
      <c r="F393" t="s">
        <v>43</v>
      </c>
      <c r="G393" s="17">
        <v>46426</v>
      </c>
      <c r="H393" s="18">
        <v>1.5</v>
      </c>
      <c r="I393" t="s">
        <v>195</v>
      </c>
      <c r="J393" t="s">
        <v>196</v>
      </c>
      <c r="K393" s="18">
        <v>1.5</v>
      </c>
      <c r="L393" t="s">
        <v>197</v>
      </c>
    </row>
    <row r="394" spans="1:12" x14ac:dyDescent="0.35">
      <c r="A394" t="s">
        <v>12</v>
      </c>
      <c r="B394" t="s">
        <v>9</v>
      </c>
      <c r="C394" t="s">
        <v>10</v>
      </c>
      <c r="D394" t="s">
        <v>133</v>
      </c>
      <c r="E394" t="s">
        <v>10</v>
      </c>
      <c r="F394" t="s">
        <v>78</v>
      </c>
      <c r="G394" s="17">
        <v>46426</v>
      </c>
      <c r="H394" s="18">
        <v>24</v>
      </c>
      <c r="I394" t="s">
        <v>195</v>
      </c>
      <c r="J394" t="s">
        <v>198</v>
      </c>
      <c r="K394" s="18">
        <v>50.5</v>
      </c>
      <c r="L394" t="s">
        <v>197</v>
      </c>
    </row>
    <row r="395" spans="1:12" x14ac:dyDescent="0.35">
      <c r="A395" t="s">
        <v>12</v>
      </c>
      <c r="B395" t="s">
        <v>9</v>
      </c>
      <c r="C395" t="s">
        <v>10</v>
      </c>
      <c r="D395" t="s">
        <v>36</v>
      </c>
      <c r="E395" t="s">
        <v>10</v>
      </c>
      <c r="F395" t="s">
        <v>79</v>
      </c>
      <c r="G395" s="17">
        <v>46426</v>
      </c>
      <c r="H395" s="18">
        <v>9.5</v>
      </c>
      <c r="I395" t="s">
        <v>195</v>
      </c>
      <c r="J395" t="s">
        <v>198</v>
      </c>
      <c r="K395" s="18">
        <v>55</v>
      </c>
      <c r="L395" t="s">
        <v>197</v>
      </c>
    </row>
    <row r="396" spans="1:12" x14ac:dyDescent="0.35">
      <c r="A396" t="s">
        <v>12</v>
      </c>
      <c r="B396" t="s">
        <v>9</v>
      </c>
      <c r="C396" t="s">
        <v>10</v>
      </c>
      <c r="D396" t="s">
        <v>129</v>
      </c>
      <c r="E396" t="s">
        <v>10</v>
      </c>
      <c r="F396" t="s">
        <v>79</v>
      </c>
      <c r="G396" s="17">
        <v>46426</v>
      </c>
      <c r="H396" s="18">
        <v>22</v>
      </c>
      <c r="I396" t="s">
        <v>195</v>
      </c>
      <c r="J396" t="s">
        <v>198</v>
      </c>
      <c r="K396" s="18">
        <v>23.5</v>
      </c>
      <c r="L396" t="s">
        <v>201</v>
      </c>
    </row>
    <row r="397" spans="1:12" x14ac:dyDescent="0.35">
      <c r="A397" t="s">
        <v>12</v>
      </c>
      <c r="B397" t="s">
        <v>9</v>
      </c>
      <c r="C397" t="s">
        <v>10</v>
      </c>
      <c r="D397" t="s">
        <v>133</v>
      </c>
      <c r="E397" t="s">
        <v>10</v>
      </c>
      <c r="F397" t="s">
        <v>79</v>
      </c>
      <c r="G397" s="17">
        <v>46426</v>
      </c>
      <c r="H397" s="18">
        <v>4.5</v>
      </c>
      <c r="I397" t="s">
        <v>195</v>
      </c>
      <c r="J397" t="s">
        <v>198</v>
      </c>
      <c r="K397" s="18">
        <v>55</v>
      </c>
      <c r="L397" t="s">
        <v>197</v>
      </c>
    </row>
    <row r="398" spans="1:12" x14ac:dyDescent="0.35">
      <c r="A398" t="s">
        <v>12</v>
      </c>
      <c r="B398" t="s">
        <v>9</v>
      </c>
      <c r="C398" t="s">
        <v>10</v>
      </c>
      <c r="D398" t="s">
        <v>129</v>
      </c>
      <c r="E398" t="s">
        <v>10</v>
      </c>
      <c r="F398" t="s">
        <v>100</v>
      </c>
      <c r="G398" s="17">
        <v>46426</v>
      </c>
      <c r="H398" s="18">
        <v>12</v>
      </c>
      <c r="I398" t="s">
        <v>195</v>
      </c>
      <c r="J398" t="s">
        <v>198</v>
      </c>
      <c r="K398" s="18">
        <v>51.5</v>
      </c>
      <c r="L398" t="s">
        <v>201</v>
      </c>
    </row>
    <row r="399" spans="1:12" x14ac:dyDescent="0.35">
      <c r="A399" t="s">
        <v>12</v>
      </c>
      <c r="B399" t="s">
        <v>9</v>
      </c>
      <c r="C399" t="s">
        <v>10</v>
      </c>
      <c r="D399" t="s">
        <v>132</v>
      </c>
      <c r="E399" t="s">
        <v>10</v>
      </c>
      <c r="F399" t="s">
        <v>40</v>
      </c>
      <c r="G399" s="17">
        <v>46426</v>
      </c>
      <c r="H399" s="18">
        <v>1.5</v>
      </c>
      <c r="I399" t="s">
        <v>195</v>
      </c>
      <c r="J399" t="s">
        <v>196</v>
      </c>
      <c r="K399" s="18">
        <v>20</v>
      </c>
      <c r="L399" t="s">
        <v>197</v>
      </c>
    </row>
    <row r="400" spans="1:12" x14ac:dyDescent="0.35">
      <c r="A400" t="s">
        <v>12</v>
      </c>
      <c r="B400" t="s">
        <v>9</v>
      </c>
      <c r="C400" t="s">
        <v>10</v>
      </c>
      <c r="D400" t="s">
        <v>132</v>
      </c>
      <c r="E400" t="s">
        <v>10</v>
      </c>
      <c r="F400" t="s">
        <v>101</v>
      </c>
      <c r="G400" s="17">
        <v>46426</v>
      </c>
      <c r="H400" s="18">
        <v>14</v>
      </c>
      <c r="I400" t="s">
        <v>195</v>
      </c>
      <c r="J400" t="s">
        <v>196</v>
      </c>
      <c r="K400" s="18">
        <v>55</v>
      </c>
      <c r="L400" t="s">
        <v>197</v>
      </c>
    </row>
    <row r="401" spans="1:12" x14ac:dyDescent="0.35">
      <c r="A401" t="s">
        <v>12</v>
      </c>
      <c r="B401" t="s">
        <v>9</v>
      </c>
      <c r="C401" t="s">
        <v>10</v>
      </c>
      <c r="D401" t="s">
        <v>133</v>
      </c>
      <c r="E401" t="s">
        <v>10</v>
      </c>
      <c r="F401" t="s">
        <v>101</v>
      </c>
      <c r="G401" s="17">
        <v>46426</v>
      </c>
      <c r="H401" s="18">
        <v>7.5</v>
      </c>
      <c r="I401" t="s">
        <v>195</v>
      </c>
      <c r="J401" t="s">
        <v>198</v>
      </c>
      <c r="K401" s="18">
        <v>7.5</v>
      </c>
      <c r="L401" t="s">
        <v>197</v>
      </c>
    </row>
    <row r="402" spans="1:12" x14ac:dyDescent="0.35">
      <c r="A402" t="s">
        <v>12</v>
      </c>
      <c r="B402" t="s">
        <v>9</v>
      </c>
      <c r="C402" t="s">
        <v>10</v>
      </c>
      <c r="D402" t="s">
        <v>132</v>
      </c>
      <c r="E402" t="s">
        <v>10</v>
      </c>
      <c r="F402" t="s">
        <v>98</v>
      </c>
      <c r="G402" s="17">
        <v>46426</v>
      </c>
      <c r="H402" s="18">
        <v>15</v>
      </c>
      <c r="I402" t="s">
        <v>195</v>
      </c>
      <c r="J402" t="s">
        <v>196</v>
      </c>
      <c r="K402" s="18">
        <v>41</v>
      </c>
      <c r="L402" t="s">
        <v>197</v>
      </c>
    </row>
    <row r="403" spans="1:12" x14ac:dyDescent="0.35">
      <c r="A403" t="s">
        <v>12</v>
      </c>
      <c r="B403" t="s">
        <v>9</v>
      </c>
      <c r="C403" t="s">
        <v>10</v>
      </c>
      <c r="D403" t="s">
        <v>132</v>
      </c>
      <c r="E403" t="s">
        <v>10</v>
      </c>
      <c r="F403" t="s">
        <v>43</v>
      </c>
      <c r="G403" s="17">
        <v>46426</v>
      </c>
      <c r="H403" s="18">
        <v>6</v>
      </c>
      <c r="I403" t="s">
        <v>195</v>
      </c>
      <c r="J403" t="s">
        <v>196</v>
      </c>
      <c r="K403" s="18">
        <v>26</v>
      </c>
      <c r="L403" t="s">
        <v>197</v>
      </c>
    </row>
    <row r="404" spans="1:12" x14ac:dyDescent="0.35">
      <c r="A404" t="s">
        <v>12</v>
      </c>
      <c r="B404" t="s">
        <v>9</v>
      </c>
      <c r="C404" t="s">
        <v>10</v>
      </c>
      <c r="D404" t="s">
        <v>133</v>
      </c>
      <c r="E404" t="s">
        <v>10</v>
      </c>
      <c r="F404" t="s">
        <v>102</v>
      </c>
      <c r="G404" s="17">
        <v>46426</v>
      </c>
      <c r="H404" s="18">
        <v>19</v>
      </c>
      <c r="I404" t="s">
        <v>195</v>
      </c>
      <c r="J404" t="s">
        <v>198</v>
      </c>
      <c r="K404" s="18">
        <v>26.5</v>
      </c>
      <c r="L404" t="s">
        <v>197</v>
      </c>
    </row>
    <row r="405" spans="1:12" x14ac:dyDescent="0.35">
      <c r="A405" t="s">
        <v>12</v>
      </c>
      <c r="B405" t="s">
        <v>22</v>
      </c>
      <c r="C405" t="s">
        <v>10</v>
      </c>
      <c r="D405" t="s">
        <v>129</v>
      </c>
      <c r="E405" t="s">
        <v>10</v>
      </c>
      <c r="F405" t="s">
        <v>80</v>
      </c>
      <c r="G405" s="17">
        <v>46426</v>
      </c>
      <c r="H405" s="18">
        <v>6</v>
      </c>
      <c r="I405" t="s">
        <v>195</v>
      </c>
      <c r="J405" t="s">
        <v>198</v>
      </c>
      <c r="K405" s="18">
        <v>29.5</v>
      </c>
      <c r="L405" t="s">
        <v>201</v>
      </c>
    </row>
    <row r="406" spans="1:12" x14ac:dyDescent="0.35">
      <c r="A406" t="s">
        <v>12</v>
      </c>
      <c r="B406" t="s">
        <v>20</v>
      </c>
      <c r="C406" t="s">
        <v>10</v>
      </c>
      <c r="D406" t="s">
        <v>129</v>
      </c>
      <c r="E406" t="s">
        <v>10</v>
      </c>
      <c r="F406" t="s">
        <v>81</v>
      </c>
      <c r="G406" s="17">
        <v>46426</v>
      </c>
      <c r="H406" s="18">
        <v>0.5</v>
      </c>
      <c r="I406" t="s">
        <v>195</v>
      </c>
      <c r="J406" t="s">
        <v>198</v>
      </c>
      <c r="K406" s="18">
        <v>55</v>
      </c>
      <c r="L406" t="s">
        <v>201</v>
      </c>
    </row>
    <row r="407" spans="1:12" x14ac:dyDescent="0.35">
      <c r="A407" t="s">
        <v>12</v>
      </c>
      <c r="B407" t="s">
        <v>20</v>
      </c>
      <c r="C407" t="s">
        <v>10</v>
      </c>
      <c r="D407" t="s">
        <v>130</v>
      </c>
      <c r="E407" t="s">
        <v>10</v>
      </c>
      <c r="F407" t="s">
        <v>81</v>
      </c>
      <c r="G407" s="17">
        <v>46426</v>
      </c>
      <c r="H407" s="18">
        <v>4</v>
      </c>
      <c r="I407" t="s">
        <v>195</v>
      </c>
      <c r="J407" t="s">
        <v>198</v>
      </c>
      <c r="K407" s="18">
        <v>4</v>
      </c>
      <c r="L407" t="s">
        <v>201</v>
      </c>
    </row>
    <row r="408" spans="1:12" x14ac:dyDescent="0.35">
      <c r="A408" t="s">
        <v>12</v>
      </c>
      <c r="B408" t="s">
        <v>23</v>
      </c>
      <c r="C408" t="s">
        <v>10</v>
      </c>
      <c r="D408" t="s">
        <v>129</v>
      </c>
      <c r="E408" t="s">
        <v>10</v>
      </c>
      <c r="F408" t="s">
        <v>78</v>
      </c>
      <c r="G408" s="17">
        <v>46426</v>
      </c>
      <c r="H408" s="18">
        <v>1.5</v>
      </c>
      <c r="I408" t="s">
        <v>195</v>
      </c>
      <c r="J408" t="s">
        <v>198</v>
      </c>
      <c r="K408" s="18">
        <v>1.5</v>
      </c>
      <c r="L408" t="s">
        <v>201</v>
      </c>
    </row>
    <row r="409" spans="1:12" x14ac:dyDescent="0.35">
      <c r="A409" t="s">
        <v>12</v>
      </c>
      <c r="B409" t="s">
        <v>23</v>
      </c>
      <c r="C409" t="s">
        <v>10</v>
      </c>
      <c r="D409" t="s">
        <v>129</v>
      </c>
      <c r="E409" t="s">
        <v>10</v>
      </c>
      <c r="F409" t="s">
        <v>80</v>
      </c>
      <c r="G409" s="17">
        <v>46426</v>
      </c>
      <c r="H409" s="18">
        <v>10</v>
      </c>
      <c r="I409" t="s">
        <v>195</v>
      </c>
      <c r="J409" t="s">
        <v>196</v>
      </c>
      <c r="K409" s="18">
        <v>39.5</v>
      </c>
      <c r="L409" t="s">
        <v>201</v>
      </c>
    </row>
    <row r="410" spans="1:12" x14ac:dyDescent="0.35">
      <c r="A410" t="s">
        <v>12</v>
      </c>
      <c r="B410" t="s">
        <v>23</v>
      </c>
      <c r="C410" t="s">
        <v>10</v>
      </c>
      <c r="D410" t="s">
        <v>129</v>
      </c>
      <c r="E410" t="s">
        <v>10</v>
      </c>
      <c r="F410" t="s">
        <v>40</v>
      </c>
      <c r="G410" s="17">
        <v>46426</v>
      </c>
      <c r="H410" s="18">
        <v>3</v>
      </c>
      <c r="I410" t="s">
        <v>195</v>
      </c>
      <c r="J410" t="s">
        <v>198</v>
      </c>
      <c r="K410" s="18">
        <v>54.5</v>
      </c>
      <c r="L410" t="s">
        <v>201</v>
      </c>
    </row>
    <row r="411" spans="1:12" x14ac:dyDescent="0.35">
      <c r="A411" t="s">
        <v>12</v>
      </c>
      <c r="B411" t="s">
        <v>17</v>
      </c>
      <c r="C411" t="s">
        <v>14</v>
      </c>
      <c r="D411" t="s">
        <v>147</v>
      </c>
      <c r="E411" t="s">
        <v>14</v>
      </c>
      <c r="F411" t="s">
        <v>40</v>
      </c>
      <c r="G411" s="17">
        <v>46426</v>
      </c>
      <c r="H411" s="18">
        <v>8</v>
      </c>
      <c r="I411" t="s">
        <v>195</v>
      </c>
      <c r="J411" t="s">
        <v>196</v>
      </c>
      <c r="K411" s="18">
        <v>8</v>
      </c>
      <c r="L411" t="s">
        <v>201</v>
      </c>
    </row>
    <row r="412" spans="1:12" x14ac:dyDescent="0.35">
      <c r="A412" t="s">
        <v>12</v>
      </c>
      <c r="B412" t="s">
        <v>17</v>
      </c>
      <c r="C412" t="s">
        <v>14</v>
      </c>
      <c r="D412" t="s">
        <v>147</v>
      </c>
      <c r="E412" t="s">
        <v>14</v>
      </c>
      <c r="F412" t="s">
        <v>148</v>
      </c>
      <c r="G412" s="17">
        <v>46426</v>
      </c>
      <c r="H412" s="18">
        <v>12.5</v>
      </c>
      <c r="I412" t="s">
        <v>195</v>
      </c>
      <c r="J412" t="s">
        <v>198</v>
      </c>
      <c r="K412" s="18">
        <v>41.5</v>
      </c>
      <c r="L412" t="s">
        <v>201</v>
      </c>
    </row>
    <row r="413" spans="1:12" x14ac:dyDescent="0.35">
      <c r="A413" t="s">
        <v>12</v>
      </c>
      <c r="B413" t="s">
        <v>33</v>
      </c>
      <c r="C413" t="s">
        <v>10</v>
      </c>
      <c r="D413" t="s">
        <v>130</v>
      </c>
      <c r="E413" t="s">
        <v>10</v>
      </c>
      <c r="F413" t="s">
        <v>103</v>
      </c>
      <c r="G413" s="17">
        <v>46426</v>
      </c>
      <c r="H413" s="18">
        <v>10</v>
      </c>
      <c r="I413" t="s">
        <v>195</v>
      </c>
      <c r="J413" t="s">
        <v>198</v>
      </c>
      <c r="K413" s="18">
        <v>14</v>
      </c>
      <c r="L413" t="s">
        <v>201</v>
      </c>
    </row>
    <row r="414" spans="1:12" x14ac:dyDescent="0.35">
      <c r="A414" t="s">
        <v>12</v>
      </c>
      <c r="B414" t="s">
        <v>24</v>
      </c>
      <c r="C414" t="s">
        <v>14</v>
      </c>
      <c r="D414" t="s">
        <v>145</v>
      </c>
      <c r="E414" t="s">
        <v>14</v>
      </c>
      <c r="F414" t="s">
        <v>78</v>
      </c>
      <c r="G414" s="17">
        <v>46426</v>
      </c>
      <c r="H414" s="18">
        <v>3.5</v>
      </c>
      <c r="I414" t="s">
        <v>195</v>
      </c>
      <c r="J414" t="s">
        <v>196</v>
      </c>
      <c r="K414" s="18">
        <v>18</v>
      </c>
      <c r="L414" t="s">
        <v>201</v>
      </c>
    </row>
    <row r="415" spans="1:12" x14ac:dyDescent="0.35">
      <c r="A415" t="s">
        <v>12</v>
      </c>
      <c r="B415" t="s">
        <v>24</v>
      </c>
      <c r="C415" t="s">
        <v>14</v>
      </c>
      <c r="D415" t="s">
        <v>147</v>
      </c>
      <c r="E415" t="s">
        <v>14</v>
      </c>
      <c r="F415" t="s">
        <v>40</v>
      </c>
      <c r="G415" s="17">
        <v>46426</v>
      </c>
      <c r="H415" s="18">
        <v>11</v>
      </c>
      <c r="I415" t="s">
        <v>195</v>
      </c>
      <c r="J415" t="s">
        <v>196</v>
      </c>
      <c r="K415" s="18">
        <v>19</v>
      </c>
      <c r="L415" t="s">
        <v>201</v>
      </c>
    </row>
    <row r="416" spans="1:12" x14ac:dyDescent="0.35">
      <c r="A416" t="s">
        <v>12</v>
      </c>
      <c r="B416" t="s">
        <v>15</v>
      </c>
      <c r="C416" t="s">
        <v>16</v>
      </c>
      <c r="D416" t="s">
        <v>84</v>
      </c>
      <c r="E416" t="s">
        <v>16</v>
      </c>
      <c r="F416" t="s">
        <v>77</v>
      </c>
      <c r="G416" s="17">
        <v>46426</v>
      </c>
      <c r="H416" s="18">
        <v>1.4035089999999999</v>
      </c>
      <c r="I416" t="s">
        <v>195</v>
      </c>
      <c r="J416" t="s">
        <v>196</v>
      </c>
      <c r="K416" s="18">
        <v>49.307017999999999</v>
      </c>
      <c r="L416" t="s">
        <v>197</v>
      </c>
    </row>
    <row r="417" spans="1:12" x14ac:dyDescent="0.35">
      <c r="A417" t="s">
        <v>12</v>
      </c>
      <c r="B417" t="s">
        <v>15</v>
      </c>
      <c r="C417" t="s">
        <v>16</v>
      </c>
      <c r="D417" t="s">
        <v>94</v>
      </c>
      <c r="E417" t="s">
        <v>16</v>
      </c>
      <c r="F417" t="s">
        <v>78</v>
      </c>
      <c r="G417" s="17">
        <v>46426</v>
      </c>
      <c r="H417" s="18">
        <v>7.9</v>
      </c>
      <c r="I417" t="s">
        <v>195</v>
      </c>
      <c r="J417" t="s">
        <v>198</v>
      </c>
      <c r="K417" s="18">
        <v>47.407018000000001</v>
      </c>
      <c r="L417" t="s">
        <v>197</v>
      </c>
    </row>
    <row r="418" spans="1:12" x14ac:dyDescent="0.35">
      <c r="A418" t="s">
        <v>12</v>
      </c>
      <c r="B418" t="s">
        <v>15</v>
      </c>
      <c r="C418" t="s">
        <v>16</v>
      </c>
      <c r="D418" t="s">
        <v>76</v>
      </c>
      <c r="E418" t="s">
        <v>16</v>
      </c>
      <c r="F418" t="s">
        <v>79</v>
      </c>
      <c r="G418" s="17">
        <v>46426</v>
      </c>
      <c r="H418" s="18">
        <v>0.107018000000005</v>
      </c>
      <c r="I418" t="s">
        <v>195</v>
      </c>
      <c r="J418" t="s">
        <v>198</v>
      </c>
      <c r="K418" s="18">
        <v>4.4140360000000101</v>
      </c>
      <c r="L418" t="s">
        <v>201</v>
      </c>
    </row>
    <row r="419" spans="1:12" x14ac:dyDescent="0.35">
      <c r="A419" t="s">
        <v>12</v>
      </c>
      <c r="B419" t="s">
        <v>15</v>
      </c>
      <c r="C419" t="s">
        <v>16</v>
      </c>
      <c r="D419" t="s">
        <v>94</v>
      </c>
      <c r="E419" t="s">
        <v>16</v>
      </c>
      <c r="F419" t="s">
        <v>79</v>
      </c>
      <c r="G419" s="17">
        <v>46426</v>
      </c>
      <c r="H419" s="18">
        <v>3.5929820000000099</v>
      </c>
      <c r="I419" t="s">
        <v>195</v>
      </c>
      <c r="J419" t="s">
        <v>198</v>
      </c>
      <c r="K419" s="18">
        <v>55</v>
      </c>
      <c r="L419" t="s">
        <v>197</v>
      </c>
    </row>
    <row r="420" spans="1:12" x14ac:dyDescent="0.35">
      <c r="A420" t="s">
        <v>12</v>
      </c>
      <c r="B420" t="s">
        <v>15</v>
      </c>
      <c r="C420" t="s">
        <v>16</v>
      </c>
      <c r="D420" t="s">
        <v>84</v>
      </c>
      <c r="E420" t="s">
        <v>16</v>
      </c>
      <c r="F420" t="s">
        <v>40</v>
      </c>
      <c r="G420" s="17">
        <v>46426</v>
      </c>
      <c r="H420" s="18">
        <v>2.9</v>
      </c>
      <c r="I420" t="s">
        <v>195</v>
      </c>
      <c r="J420" t="s">
        <v>196</v>
      </c>
      <c r="K420" s="18">
        <v>52.207017999999998</v>
      </c>
      <c r="L420" t="s">
        <v>197</v>
      </c>
    </row>
    <row r="421" spans="1:12" x14ac:dyDescent="0.35">
      <c r="A421" t="s">
        <v>12</v>
      </c>
      <c r="B421" t="s">
        <v>15</v>
      </c>
      <c r="C421" t="s">
        <v>16</v>
      </c>
      <c r="D421" t="s">
        <v>94</v>
      </c>
      <c r="E421" t="s">
        <v>16</v>
      </c>
      <c r="F421" t="s">
        <v>97</v>
      </c>
      <c r="G421" s="17">
        <v>46426</v>
      </c>
      <c r="H421" s="18">
        <v>4</v>
      </c>
      <c r="I421" t="s">
        <v>195</v>
      </c>
      <c r="J421" t="s">
        <v>198</v>
      </c>
      <c r="K421" s="18">
        <v>51.407018000000001</v>
      </c>
      <c r="L421" t="s">
        <v>197</v>
      </c>
    </row>
    <row r="422" spans="1:12" x14ac:dyDescent="0.35">
      <c r="A422" t="s">
        <v>12</v>
      </c>
      <c r="B422" t="s">
        <v>15</v>
      </c>
      <c r="C422" t="s">
        <v>16</v>
      </c>
      <c r="D422" t="s">
        <v>84</v>
      </c>
      <c r="E422" t="s">
        <v>16</v>
      </c>
      <c r="F422" t="s">
        <v>43</v>
      </c>
      <c r="G422" s="17">
        <v>46426</v>
      </c>
      <c r="H422" s="18">
        <v>2.7929819999999999</v>
      </c>
      <c r="I422" t="s">
        <v>195</v>
      </c>
      <c r="J422" t="s">
        <v>196</v>
      </c>
      <c r="K422" s="18">
        <v>55</v>
      </c>
      <c r="L422" t="s">
        <v>197</v>
      </c>
    </row>
    <row r="423" spans="1:12" x14ac:dyDescent="0.35">
      <c r="A423" t="s">
        <v>12</v>
      </c>
      <c r="B423" t="s">
        <v>15</v>
      </c>
      <c r="C423" t="s">
        <v>16</v>
      </c>
      <c r="D423" t="s">
        <v>94</v>
      </c>
      <c r="E423" t="s">
        <v>16</v>
      </c>
      <c r="F423" t="s">
        <v>43</v>
      </c>
      <c r="G423" s="17">
        <v>46426</v>
      </c>
      <c r="H423" s="18">
        <v>1.507018</v>
      </c>
      <c r="I423" t="s">
        <v>195</v>
      </c>
      <c r="J423" t="s">
        <v>198</v>
      </c>
      <c r="K423" s="18">
        <v>39.507018000000002</v>
      </c>
      <c r="L423" t="s">
        <v>197</v>
      </c>
    </row>
    <row r="424" spans="1:12" x14ac:dyDescent="0.35">
      <c r="A424" t="s">
        <v>12</v>
      </c>
      <c r="B424" t="s">
        <v>30</v>
      </c>
      <c r="C424" t="s">
        <v>14</v>
      </c>
      <c r="D424" t="s">
        <v>21</v>
      </c>
      <c r="E424" t="s">
        <v>14</v>
      </c>
      <c r="F424" t="s">
        <v>81</v>
      </c>
      <c r="G424" s="17">
        <v>46426</v>
      </c>
      <c r="H424" s="18">
        <v>14</v>
      </c>
      <c r="I424" t="s">
        <v>203</v>
      </c>
      <c r="J424" t="s">
        <v>196</v>
      </c>
      <c r="K424" s="18">
        <v>45.5</v>
      </c>
      <c r="L424" t="s">
        <v>197</v>
      </c>
    </row>
    <row r="425" spans="1:12" x14ac:dyDescent="0.35">
      <c r="A425" t="s">
        <v>12</v>
      </c>
      <c r="B425" t="s">
        <v>30</v>
      </c>
      <c r="C425" t="s">
        <v>14</v>
      </c>
      <c r="D425" t="s">
        <v>176</v>
      </c>
      <c r="E425" t="s">
        <v>14</v>
      </c>
      <c r="F425" t="s">
        <v>102</v>
      </c>
      <c r="G425" s="17">
        <v>46426</v>
      </c>
      <c r="H425" s="18">
        <v>30</v>
      </c>
      <c r="I425" t="s">
        <v>203</v>
      </c>
      <c r="J425" t="s">
        <v>196</v>
      </c>
      <c r="K425" s="18">
        <v>30</v>
      </c>
      <c r="L425" t="s">
        <v>197</v>
      </c>
    </row>
    <row r="426" spans="1:12" x14ac:dyDescent="0.35">
      <c r="A426" t="s">
        <v>12</v>
      </c>
      <c r="B426" t="s">
        <v>18</v>
      </c>
      <c r="C426" t="s">
        <v>16</v>
      </c>
      <c r="D426" t="s">
        <v>76</v>
      </c>
      <c r="E426" t="s">
        <v>16</v>
      </c>
      <c r="F426" t="s">
        <v>77</v>
      </c>
      <c r="G426" s="17">
        <v>46426</v>
      </c>
      <c r="H426" s="18">
        <v>1.4035089999999999</v>
      </c>
      <c r="I426" t="s">
        <v>195</v>
      </c>
      <c r="J426" t="s">
        <v>198</v>
      </c>
      <c r="K426" s="18">
        <v>1.4035089999999999</v>
      </c>
      <c r="L426" t="s">
        <v>201</v>
      </c>
    </row>
    <row r="427" spans="1:12" x14ac:dyDescent="0.35">
      <c r="A427" t="s">
        <v>12</v>
      </c>
      <c r="B427" t="s">
        <v>18</v>
      </c>
      <c r="C427" t="s">
        <v>16</v>
      </c>
      <c r="D427" t="s">
        <v>76</v>
      </c>
      <c r="E427" t="s">
        <v>16</v>
      </c>
      <c r="F427" t="s">
        <v>78</v>
      </c>
      <c r="G427" s="17">
        <v>46426</v>
      </c>
      <c r="H427" s="18">
        <v>0.5</v>
      </c>
      <c r="I427" t="s">
        <v>195</v>
      </c>
      <c r="J427" t="s">
        <v>198</v>
      </c>
      <c r="K427" s="18">
        <v>3.3070179999999998</v>
      </c>
      <c r="L427" t="s">
        <v>201</v>
      </c>
    </row>
    <row r="428" spans="1:12" x14ac:dyDescent="0.35">
      <c r="A428" t="s">
        <v>12</v>
      </c>
      <c r="B428" t="s">
        <v>18</v>
      </c>
      <c r="C428" t="s">
        <v>16</v>
      </c>
      <c r="D428" t="s">
        <v>76</v>
      </c>
      <c r="E428" t="s">
        <v>16</v>
      </c>
      <c r="F428" t="s">
        <v>40</v>
      </c>
      <c r="G428" s="17">
        <v>46426</v>
      </c>
      <c r="H428" s="18">
        <v>5</v>
      </c>
      <c r="I428" t="s">
        <v>195</v>
      </c>
      <c r="J428" t="s">
        <v>198</v>
      </c>
      <c r="K428" s="18">
        <v>9.4140360000000101</v>
      </c>
      <c r="L428" t="s">
        <v>201</v>
      </c>
    </row>
    <row r="429" spans="1:12" x14ac:dyDescent="0.35">
      <c r="A429" t="s">
        <v>12</v>
      </c>
      <c r="B429" t="s">
        <v>18</v>
      </c>
      <c r="C429" t="s">
        <v>16</v>
      </c>
      <c r="D429" t="s">
        <v>76</v>
      </c>
      <c r="E429" t="s">
        <v>16</v>
      </c>
      <c r="F429" t="s">
        <v>81</v>
      </c>
      <c r="G429" s="17">
        <v>46426</v>
      </c>
      <c r="H429" s="18">
        <v>8</v>
      </c>
      <c r="I429" t="s">
        <v>195</v>
      </c>
      <c r="J429" t="s">
        <v>198</v>
      </c>
      <c r="K429" s="18">
        <v>17.414035999999999</v>
      </c>
      <c r="L429" t="s">
        <v>201</v>
      </c>
    </row>
    <row r="430" spans="1:12" x14ac:dyDescent="0.35">
      <c r="A430" t="s">
        <v>12</v>
      </c>
      <c r="B430" t="s">
        <v>107</v>
      </c>
      <c r="C430" t="s">
        <v>14</v>
      </c>
      <c r="D430" t="s">
        <v>145</v>
      </c>
      <c r="E430" t="s">
        <v>14</v>
      </c>
      <c r="F430" t="s">
        <v>78</v>
      </c>
      <c r="G430" s="17">
        <v>46426</v>
      </c>
      <c r="H430" s="18">
        <v>15</v>
      </c>
      <c r="I430" t="s">
        <v>202</v>
      </c>
      <c r="J430" t="s">
        <v>196</v>
      </c>
      <c r="K430" s="18">
        <v>33</v>
      </c>
      <c r="L430" t="s">
        <v>201</v>
      </c>
    </row>
    <row r="431" spans="1:12" x14ac:dyDescent="0.35">
      <c r="A431" t="s">
        <v>12</v>
      </c>
      <c r="B431" t="s">
        <v>107</v>
      </c>
      <c r="C431" t="s">
        <v>14</v>
      </c>
      <c r="D431" t="s">
        <v>156</v>
      </c>
      <c r="E431" t="s">
        <v>14</v>
      </c>
      <c r="F431" t="s">
        <v>102</v>
      </c>
      <c r="G431" s="17">
        <v>46426</v>
      </c>
      <c r="H431" s="18">
        <v>35</v>
      </c>
      <c r="I431" t="s">
        <v>202</v>
      </c>
      <c r="J431" t="s">
        <v>196</v>
      </c>
      <c r="K431" s="18">
        <v>35</v>
      </c>
      <c r="L431" t="s">
        <v>201</v>
      </c>
    </row>
    <row r="432" spans="1:12" x14ac:dyDescent="0.35">
      <c r="A432" t="s">
        <v>12</v>
      </c>
      <c r="B432" t="s">
        <v>107</v>
      </c>
      <c r="C432" t="s">
        <v>16</v>
      </c>
      <c r="D432" t="s">
        <v>76</v>
      </c>
      <c r="E432" t="s">
        <v>16</v>
      </c>
      <c r="F432" t="s">
        <v>83</v>
      </c>
      <c r="G432" s="17">
        <v>46426</v>
      </c>
      <c r="H432" s="18">
        <v>4</v>
      </c>
      <c r="I432" t="s">
        <v>202</v>
      </c>
      <c r="J432" t="s">
        <v>198</v>
      </c>
      <c r="K432" s="18">
        <v>23.414035999999999</v>
      </c>
      <c r="L432" t="s">
        <v>201</v>
      </c>
    </row>
    <row r="433" spans="1:12" x14ac:dyDescent="0.35">
      <c r="A433" t="s">
        <v>12</v>
      </c>
      <c r="B433" t="s">
        <v>108</v>
      </c>
      <c r="C433" t="s">
        <v>10</v>
      </c>
      <c r="D433" t="s">
        <v>130</v>
      </c>
      <c r="E433" t="s">
        <v>10</v>
      </c>
      <c r="F433" t="s">
        <v>83</v>
      </c>
      <c r="G433" s="17">
        <v>46426</v>
      </c>
      <c r="H433" s="18">
        <v>16</v>
      </c>
      <c r="I433" t="s">
        <v>202</v>
      </c>
      <c r="J433" t="s">
        <v>198</v>
      </c>
      <c r="K433" s="18">
        <v>30</v>
      </c>
      <c r="L433" t="s">
        <v>201</v>
      </c>
    </row>
    <row r="434" spans="1:12" x14ac:dyDescent="0.35">
      <c r="A434" t="s">
        <v>12</v>
      </c>
      <c r="B434" t="s">
        <v>109</v>
      </c>
      <c r="C434" t="s">
        <v>14</v>
      </c>
      <c r="D434" t="s">
        <v>157</v>
      </c>
      <c r="E434" t="s">
        <v>14</v>
      </c>
      <c r="F434" t="s">
        <v>83</v>
      </c>
      <c r="G434" s="17">
        <v>46426</v>
      </c>
      <c r="H434" s="18">
        <v>40</v>
      </c>
      <c r="I434" t="s">
        <v>202</v>
      </c>
      <c r="J434" t="s">
        <v>196</v>
      </c>
      <c r="K434" s="18">
        <v>40</v>
      </c>
      <c r="L434" t="s">
        <v>201</v>
      </c>
    </row>
    <row r="435" spans="1:12" x14ac:dyDescent="0.35">
      <c r="A435" t="s">
        <v>12</v>
      </c>
      <c r="B435" t="s">
        <v>168</v>
      </c>
      <c r="C435" t="s">
        <v>14</v>
      </c>
      <c r="D435" t="s">
        <v>155</v>
      </c>
      <c r="E435" t="s">
        <v>14</v>
      </c>
      <c r="F435" t="s">
        <v>43</v>
      </c>
      <c r="G435" s="17">
        <v>46426</v>
      </c>
      <c r="H435" s="18">
        <v>33</v>
      </c>
      <c r="I435" t="s">
        <v>202</v>
      </c>
      <c r="J435" t="s">
        <v>196</v>
      </c>
      <c r="K435" s="18">
        <v>33</v>
      </c>
      <c r="L435" t="s">
        <v>201</v>
      </c>
    </row>
    <row r="436" spans="1:12" x14ac:dyDescent="0.35">
      <c r="A436" t="s">
        <v>12</v>
      </c>
      <c r="B436" t="s">
        <v>173</v>
      </c>
      <c r="C436" t="s">
        <v>14</v>
      </c>
      <c r="D436" t="s">
        <v>147</v>
      </c>
      <c r="E436" t="s">
        <v>14</v>
      </c>
      <c r="F436" t="s">
        <v>40</v>
      </c>
      <c r="G436" s="17">
        <v>46426</v>
      </c>
      <c r="H436" s="18">
        <v>10</v>
      </c>
      <c r="I436" t="s">
        <v>202</v>
      </c>
      <c r="J436" t="s">
        <v>196</v>
      </c>
      <c r="K436" s="18">
        <v>29</v>
      </c>
      <c r="L436" t="s">
        <v>201</v>
      </c>
    </row>
    <row r="437" spans="1:12" x14ac:dyDescent="0.35">
      <c r="A437" t="s">
        <v>12</v>
      </c>
      <c r="B437" t="s">
        <v>174</v>
      </c>
      <c r="C437" t="s">
        <v>14</v>
      </c>
      <c r="D437" t="s">
        <v>149</v>
      </c>
      <c r="E437" t="s">
        <v>14</v>
      </c>
      <c r="F437" t="s">
        <v>81</v>
      </c>
      <c r="G437" s="17">
        <v>46426</v>
      </c>
      <c r="H437" s="18">
        <v>2</v>
      </c>
      <c r="I437" t="s">
        <v>202</v>
      </c>
      <c r="J437" t="s">
        <v>196</v>
      </c>
      <c r="K437" s="18">
        <v>2</v>
      </c>
      <c r="L437" t="s">
        <v>201</v>
      </c>
    </row>
    <row r="438" spans="1:12" x14ac:dyDescent="0.35">
      <c r="A438" t="s">
        <v>12</v>
      </c>
      <c r="B438" t="s">
        <v>179</v>
      </c>
      <c r="C438" t="s">
        <v>14</v>
      </c>
      <c r="D438" t="s">
        <v>153</v>
      </c>
      <c r="E438" t="s">
        <v>14</v>
      </c>
      <c r="F438" t="s">
        <v>98</v>
      </c>
      <c r="G438" s="17">
        <v>46426</v>
      </c>
      <c r="H438" s="18">
        <v>24</v>
      </c>
      <c r="I438" t="s">
        <v>202</v>
      </c>
      <c r="J438" t="s">
        <v>196</v>
      </c>
      <c r="K438" s="18">
        <v>24</v>
      </c>
      <c r="L438" t="s">
        <v>201</v>
      </c>
    </row>
    <row r="439" spans="1:12" x14ac:dyDescent="0.35">
      <c r="A439" t="s">
        <v>12</v>
      </c>
      <c r="B439" t="s">
        <v>179</v>
      </c>
      <c r="C439" t="s">
        <v>14</v>
      </c>
      <c r="D439" t="s">
        <v>155</v>
      </c>
      <c r="E439" t="s">
        <v>14</v>
      </c>
      <c r="F439" t="s">
        <v>43</v>
      </c>
      <c r="G439" s="17">
        <v>46426</v>
      </c>
      <c r="H439" s="18">
        <v>18</v>
      </c>
      <c r="I439" t="s">
        <v>202</v>
      </c>
      <c r="J439" t="s">
        <v>196</v>
      </c>
      <c r="K439" s="18">
        <v>51</v>
      </c>
      <c r="L439" t="s">
        <v>201</v>
      </c>
    </row>
    <row r="440" spans="1:12" x14ac:dyDescent="0.35">
      <c r="A440" t="s">
        <v>12</v>
      </c>
      <c r="B440" t="s">
        <v>179</v>
      </c>
      <c r="C440" t="s">
        <v>14</v>
      </c>
      <c r="D440" t="s">
        <v>156</v>
      </c>
      <c r="E440" t="s">
        <v>14</v>
      </c>
      <c r="F440" t="s">
        <v>102</v>
      </c>
      <c r="G440" s="17">
        <v>46426</v>
      </c>
      <c r="H440" s="18">
        <v>5</v>
      </c>
      <c r="I440" t="s">
        <v>202</v>
      </c>
      <c r="J440" t="s">
        <v>196</v>
      </c>
      <c r="K440" s="18">
        <v>40</v>
      </c>
      <c r="L440" t="s">
        <v>201</v>
      </c>
    </row>
    <row r="441" spans="1:12" x14ac:dyDescent="0.35">
      <c r="A441" t="s">
        <v>12</v>
      </c>
      <c r="B441" t="s">
        <v>180</v>
      </c>
      <c r="C441" t="s">
        <v>14</v>
      </c>
      <c r="D441" t="s">
        <v>151</v>
      </c>
      <c r="E441" t="s">
        <v>14</v>
      </c>
      <c r="F441" t="s">
        <v>98</v>
      </c>
      <c r="G441" s="17">
        <v>46426</v>
      </c>
      <c r="H441" s="18">
        <v>10</v>
      </c>
      <c r="I441" t="s">
        <v>202</v>
      </c>
      <c r="J441" t="s">
        <v>196</v>
      </c>
      <c r="K441" s="18">
        <v>32</v>
      </c>
      <c r="L441" t="s">
        <v>201</v>
      </c>
    </row>
    <row r="442" spans="1:12" x14ac:dyDescent="0.35">
      <c r="A442" t="s">
        <v>12</v>
      </c>
      <c r="B442" t="s">
        <v>180</v>
      </c>
      <c r="C442" t="s">
        <v>14</v>
      </c>
      <c r="D442" t="s">
        <v>154</v>
      </c>
      <c r="E442" t="s">
        <v>14</v>
      </c>
      <c r="F442" t="s">
        <v>98</v>
      </c>
      <c r="G442" s="17">
        <v>46426</v>
      </c>
      <c r="H442" s="18">
        <v>55</v>
      </c>
      <c r="I442" t="s">
        <v>202</v>
      </c>
      <c r="J442" t="s">
        <v>196</v>
      </c>
      <c r="K442" s="18">
        <v>55</v>
      </c>
      <c r="L442" t="s">
        <v>201</v>
      </c>
    </row>
    <row r="443" spans="1:12" x14ac:dyDescent="0.35">
      <c r="A443" t="s">
        <v>12</v>
      </c>
      <c r="B443" t="s">
        <v>45</v>
      </c>
      <c r="C443" t="s">
        <v>14</v>
      </c>
      <c r="D443" t="s">
        <v>152</v>
      </c>
      <c r="E443" t="s">
        <v>14</v>
      </c>
      <c r="F443" t="s">
        <v>46</v>
      </c>
      <c r="G443" s="17">
        <v>46426</v>
      </c>
      <c r="H443" s="18">
        <v>34</v>
      </c>
      <c r="I443" t="s">
        <v>200</v>
      </c>
      <c r="J443" t="s">
        <v>196</v>
      </c>
      <c r="K443" s="18">
        <v>34</v>
      </c>
      <c r="L443" t="s">
        <v>201</v>
      </c>
    </row>
    <row r="444" spans="1:12" x14ac:dyDescent="0.35">
      <c r="A444" t="s">
        <v>12</v>
      </c>
      <c r="B444" t="s">
        <v>183</v>
      </c>
      <c r="C444" t="s">
        <v>14</v>
      </c>
      <c r="D444" t="s">
        <v>145</v>
      </c>
      <c r="E444" t="s">
        <v>14</v>
      </c>
      <c r="F444" t="s">
        <v>122</v>
      </c>
      <c r="G444" s="17">
        <v>46426</v>
      </c>
      <c r="H444" s="18">
        <v>3.5</v>
      </c>
      <c r="I444" t="s">
        <v>202</v>
      </c>
      <c r="J444" t="s">
        <v>196</v>
      </c>
      <c r="K444" s="18">
        <v>3.5</v>
      </c>
      <c r="L444" t="s">
        <v>201</v>
      </c>
    </row>
    <row r="445" spans="1:12" x14ac:dyDescent="0.35">
      <c r="A445" t="s">
        <v>12</v>
      </c>
      <c r="B445" t="s">
        <v>184</v>
      </c>
      <c r="C445" t="s">
        <v>14</v>
      </c>
      <c r="D445" t="s">
        <v>146</v>
      </c>
      <c r="E445" t="s">
        <v>14</v>
      </c>
      <c r="F445" t="s">
        <v>80</v>
      </c>
      <c r="G445" s="17">
        <v>46426</v>
      </c>
      <c r="H445" s="18">
        <v>38</v>
      </c>
      <c r="I445" t="s">
        <v>202</v>
      </c>
      <c r="J445" t="s">
        <v>196</v>
      </c>
      <c r="K445" s="18">
        <v>38</v>
      </c>
      <c r="L445" t="s">
        <v>201</v>
      </c>
    </row>
    <row r="446" spans="1:12" x14ac:dyDescent="0.35">
      <c r="A446" t="s">
        <v>12</v>
      </c>
      <c r="B446" t="s">
        <v>176</v>
      </c>
      <c r="C446" t="s">
        <v>14</v>
      </c>
      <c r="D446" t="s">
        <v>150</v>
      </c>
      <c r="E446" t="s">
        <v>14</v>
      </c>
      <c r="F446" t="s">
        <v>103</v>
      </c>
      <c r="G446" s="17">
        <v>46426</v>
      </c>
      <c r="H446" s="18">
        <v>55</v>
      </c>
      <c r="I446" t="s">
        <v>202</v>
      </c>
      <c r="J446" t="s">
        <v>196</v>
      </c>
      <c r="K446" s="18">
        <v>55</v>
      </c>
      <c r="L446" t="s">
        <v>201</v>
      </c>
    </row>
    <row r="447" spans="1:12" x14ac:dyDescent="0.35">
      <c r="A447" t="s">
        <v>12</v>
      </c>
      <c r="B447" t="s">
        <v>176</v>
      </c>
      <c r="C447" t="s">
        <v>14</v>
      </c>
      <c r="D447" t="s">
        <v>151</v>
      </c>
      <c r="E447" t="s">
        <v>14</v>
      </c>
      <c r="F447" t="s">
        <v>103</v>
      </c>
      <c r="G447" s="17">
        <v>46426</v>
      </c>
      <c r="H447" s="18">
        <v>10</v>
      </c>
      <c r="I447" t="s">
        <v>202</v>
      </c>
      <c r="J447" t="s">
        <v>196</v>
      </c>
      <c r="K447" s="18">
        <v>10</v>
      </c>
      <c r="L447" t="s">
        <v>201</v>
      </c>
    </row>
    <row r="448" spans="1:12" x14ac:dyDescent="0.35">
      <c r="A448" t="s">
        <v>12</v>
      </c>
      <c r="B448" t="s">
        <v>178</v>
      </c>
      <c r="C448" t="s">
        <v>14</v>
      </c>
      <c r="D448" t="s">
        <v>149</v>
      </c>
      <c r="E448" t="s">
        <v>14</v>
      </c>
      <c r="F448" t="s">
        <v>103</v>
      </c>
      <c r="G448" s="17">
        <v>46426</v>
      </c>
      <c r="H448" s="18">
        <v>53</v>
      </c>
      <c r="I448" t="s">
        <v>202</v>
      </c>
      <c r="J448" t="s">
        <v>196</v>
      </c>
      <c r="K448" s="18">
        <v>55</v>
      </c>
      <c r="L448" t="s">
        <v>201</v>
      </c>
    </row>
    <row r="449" spans="1:12" x14ac:dyDescent="0.35">
      <c r="A449" t="s">
        <v>12</v>
      </c>
      <c r="B449" t="s">
        <v>178</v>
      </c>
      <c r="C449" t="s">
        <v>14</v>
      </c>
      <c r="D449" t="s">
        <v>151</v>
      </c>
      <c r="E449" t="s">
        <v>14</v>
      </c>
      <c r="F449" t="s">
        <v>103</v>
      </c>
      <c r="G449" s="17">
        <v>46426</v>
      </c>
      <c r="H449" s="18">
        <v>12</v>
      </c>
      <c r="I449" t="s">
        <v>202</v>
      </c>
      <c r="J449" t="s">
        <v>196</v>
      </c>
      <c r="K449" s="18">
        <v>22</v>
      </c>
      <c r="L449" t="s">
        <v>201</v>
      </c>
    </row>
    <row r="450" spans="1:12" x14ac:dyDescent="0.35">
      <c r="A450" t="s">
        <v>12</v>
      </c>
      <c r="B450" t="s">
        <v>175</v>
      </c>
      <c r="C450" t="s">
        <v>14</v>
      </c>
      <c r="D450" t="s">
        <v>153</v>
      </c>
      <c r="E450" t="s">
        <v>14</v>
      </c>
      <c r="F450" t="s">
        <v>43</v>
      </c>
      <c r="G450" s="17">
        <v>46426</v>
      </c>
      <c r="H450" s="18">
        <v>20</v>
      </c>
      <c r="I450" t="s">
        <v>202</v>
      </c>
      <c r="J450" t="s">
        <v>196</v>
      </c>
      <c r="K450" s="18">
        <v>44</v>
      </c>
      <c r="L450" t="s">
        <v>201</v>
      </c>
    </row>
    <row r="451" spans="1:12" x14ac:dyDescent="0.35">
      <c r="A451" t="s">
        <v>12</v>
      </c>
      <c r="B451" t="s">
        <v>25</v>
      </c>
      <c r="C451" t="s">
        <v>16</v>
      </c>
      <c r="D451" t="s">
        <v>76</v>
      </c>
      <c r="E451" t="s">
        <v>16</v>
      </c>
      <c r="F451" t="s">
        <v>77</v>
      </c>
      <c r="G451" s="17">
        <v>46426</v>
      </c>
      <c r="H451" s="18">
        <v>1.4035089999999999</v>
      </c>
      <c r="I451" t="s">
        <v>195</v>
      </c>
      <c r="J451" t="s">
        <v>196</v>
      </c>
      <c r="K451" s="18">
        <v>2.8070179999999998</v>
      </c>
      <c r="L451" t="s">
        <v>201</v>
      </c>
    </row>
    <row r="452" spans="1:12" x14ac:dyDescent="0.35">
      <c r="A452" t="s">
        <v>12</v>
      </c>
      <c r="B452" t="s">
        <v>25</v>
      </c>
      <c r="C452" t="s">
        <v>16</v>
      </c>
      <c r="D452" t="s">
        <v>76</v>
      </c>
      <c r="E452" t="s">
        <v>16</v>
      </c>
      <c r="F452" t="s">
        <v>78</v>
      </c>
      <c r="G452" s="17">
        <v>46426</v>
      </c>
      <c r="H452" s="18">
        <v>1</v>
      </c>
      <c r="I452" t="s">
        <v>195</v>
      </c>
      <c r="J452" t="s">
        <v>196</v>
      </c>
      <c r="K452" s="18">
        <v>4.3070180000000002</v>
      </c>
      <c r="L452" t="s">
        <v>201</v>
      </c>
    </row>
    <row r="453" spans="1:12" x14ac:dyDescent="0.35">
      <c r="A453" t="s">
        <v>12</v>
      </c>
      <c r="B453" t="s">
        <v>25</v>
      </c>
      <c r="C453" t="s">
        <v>16</v>
      </c>
      <c r="D453" t="s">
        <v>76</v>
      </c>
      <c r="E453" t="s">
        <v>16</v>
      </c>
      <c r="F453" t="s">
        <v>82</v>
      </c>
      <c r="G453" s="17">
        <v>46426</v>
      </c>
      <c r="H453" s="18">
        <v>2</v>
      </c>
      <c r="I453" t="s">
        <v>195</v>
      </c>
      <c r="J453" t="s">
        <v>198</v>
      </c>
      <c r="K453" s="18">
        <v>19.414035999999999</v>
      </c>
      <c r="L453" t="s">
        <v>201</v>
      </c>
    </row>
    <row r="454" spans="1:12" x14ac:dyDescent="0.35">
      <c r="A454" t="s">
        <v>29</v>
      </c>
      <c r="B454" t="s">
        <v>35</v>
      </c>
      <c r="C454" t="s">
        <v>10</v>
      </c>
      <c r="D454" t="s">
        <v>121</v>
      </c>
      <c r="E454" t="s">
        <v>10</v>
      </c>
      <c r="F454" t="s">
        <v>75</v>
      </c>
      <c r="G454" s="17">
        <v>46433</v>
      </c>
      <c r="H454" s="18">
        <v>5</v>
      </c>
      <c r="I454" t="s">
        <v>195</v>
      </c>
      <c r="J454" t="s">
        <v>196</v>
      </c>
      <c r="K454" s="18">
        <v>5</v>
      </c>
      <c r="L454" t="s">
        <v>201</v>
      </c>
    </row>
    <row r="455" spans="1:12" x14ac:dyDescent="0.35">
      <c r="A455" t="s">
        <v>29</v>
      </c>
      <c r="B455" t="s">
        <v>28</v>
      </c>
      <c r="C455" t="s">
        <v>10</v>
      </c>
      <c r="D455" t="s">
        <v>121</v>
      </c>
      <c r="E455" t="s">
        <v>10</v>
      </c>
      <c r="F455" t="s">
        <v>75</v>
      </c>
      <c r="G455" s="17">
        <v>46433</v>
      </c>
      <c r="H455" s="18">
        <v>5</v>
      </c>
      <c r="I455" t="s">
        <v>195</v>
      </c>
      <c r="J455" t="s">
        <v>196</v>
      </c>
      <c r="K455" s="18">
        <v>10</v>
      </c>
      <c r="L455" t="s">
        <v>201</v>
      </c>
    </row>
    <row r="456" spans="1:12" x14ac:dyDescent="0.35">
      <c r="A456" t="s">
        <v>29</v>
      </c>
      <c r="B456" t="s">
        <v>18</v>
      </c>
      <c r="C456" t="s">
        <v>16</v>
      </c>
      <c r="D456" t="s">
        <v>71</v>
      </c>
      <c r="E456" t="s">
        <v>16</v>
      </c>
      <c r="F456" t="s">
        <v>75</v>
      </c>
      <c r="G456" s="17">
        <v>46433</v>
      </c>
      <c r="H456" s="18">
        <v>10.107018</v>
      </c>
      <c r="I456" t="s">
        <v>195</v>
      </c>
      <c r="J456" t="s">
        <v>198</v>
      </c>
      <c r="K456" s="18">
        <v>10.107018</v>
      </c>
      <c r="L456" t="s">
        <v>201</v>
      </c>
    </row>
    <row r="457" spans="1:12" x14ac:dyDescent="0.35">
      <c r="A457" t="s">
        <v>29</v>
      </c>
      <c r="B457" t="s">
        <v>18</v>
      </c>
      <c r="C457" t="s">
        <v>16</v>
      </c>
      <c r="D457" t="s">
        <v>94</v>
      </c>
      <c r="E457" t="s">
        <v>16</v>
      </c>
      <c r="F457" t="s">
        <v>75</v>
      </c>
      <c r="G457" s="17">
        <v>46433</v>
      </c>
      <c r="H457" s="18">
        <v>4.8929819999999999</v>
      </c>
      <c r="I457" t="s">
        <v>195</v>
      </c>
      <c r="J457" t="s">
        <v>196</v>
      </c>
      <c r="K457" s="18">
        <v>55</v>
      </c>
      <c r="L457" t="s">
        <v>197</v>
      </c>
    </row>
    <row r="458" spans="1:12" x14ac:dyDescent="0.35">
      <c r="A458" t="s">
        <v>12</v>
      </c>
      <c r="B458" t="s">
        <v>13</v>
      </c>
      <c r="C458" t="s">
        <v>14</v>
      </c>
      <c r="D458" t="s">
        <v>159</v>
      </c>
      <c r="E458" t="s">
        <v>14</v>
      </c>
      <c r="F458" t="s">
        <v>78</v>
      </c>
      <c r="G458" s="17">
        <v>46433</v>
      </c>
      <c r="H458" s="18">
        <v>7</v>
      </c>
      <c r="I458" t="s">
        <v>195</v>
      </c>
      <c r="J458" t="s">
        <v>196</v>
      </c>
      <c r="K458" s="18">
        <v>9</v>
      </c>
      <c r="L458" t="s">
        <v>197</v>
      </c>
    </row>
    <row r="459" spans="1:12" x14ac:dyDescent="0.35">
      <c r="A459" t="s">
        <v>12</v>
      </c>
      <c r="B459" t="s">
        <v>13</v>
      </c>
      <c r="C459" t="s">
        <v>14</v>
      </c>
      <c r="D459" t="s">
        <v>27</v>
      </c>
      <c r="E459" t="s">
        <v>14</v>
      </c>
      <c r="F459" t="s">
        <v>40</v>
      </c>
      <c r="G459" s="17">
        <v>46433</v>
      </c>
      <c r="H459" s="18">
        <v>15</v>
      </c>
      <c r="I459" t="s">
        <v>195</v>
      </c>
      <c r="J459" t="s">
        <v>196</v>
      </c>
      <c r="K459" s="18">
        <v>49.5</v>
      </c>
      <c r="L459" t="s">
        <v>197</v>
      </c>
    </row>
    <row r="460" spans="1:12" x14ac:dyDescent="0.35">
      <c r="A460" t="s">
        <v>12</v>
      </c>
      <c r="B460" t="s">
        <v>13</v>
      </c>
      <c r="C460" t="s">
        <v>14</v>
      </c>
      <c r="D460" t="s">
        <v>27</v>
      </c>
      <c r="E460" t="s">
        <v>14</v>
      </c>
      <c r="F460" t="s">
        <v>98</v>
      </c>
      <c r="G460" s="17">
        <v>46433</v>
      </c>
      <c r="H460" s="18">
        <v>7.5</v>
      </c>
      <c r="I460" t="s">
        <v>195</v>
      </c>
      <c r="J460" t="s">
        <v>196</v>
      </c>
      <c r="K460" s="18">
        <v>34.5</v>
      </c>
      <c r="L460" t="s">
        <v>197</v>
      </c>
    </row>
    <row r="461" spans="1:12" x14ac:dyDescent="0.35">
      <c r="A461" t="s">
        <v>12</v>
      </c>
      <c r="B461" t="s">
        <v>13</v>
      </c>
      <c r="C461" t="s">
        <v>14</v>
      </c>
      <c r="D461" t="s">
        <v>21</v>
      </c>
      <c r="E461" t="s">
        <v>14</v>
      </c>
      <c r="F461" t="s">
        <v>43</v>
      </c>
      <c r="G461" s="17">
        <v>46433</v>
      </c>
      <c r="H461" s="18">
        <v>14.5</v>
      </c>
      <c r="I461" t="s">
        <v>195</v>
      </c>
      <c r="J461" t="s">
        <v>196</v>
      </c>
      <c r="K461" s="18">
        <v>55</v>
      </c>
      <c r="L461" t="s">
        <v>197</v>
      </c>
    </row>
    <row r="462" spans="1:12" x14ac:dyDescent="0.35">
      <c r="A462" t="s">
        <v>12</v>
      </c>
      <c r="B462" t="s">
        <v>13</v>
      </c>
      <c r="C462" t="s">
        <v>14</v>
      </c>
      <c r="D462" t="s">
        <v>168</v>
      </c>
      <c r="E462" t="s">
        <v>14</v>
      </c>
      <c r="F462" t="s">
        <v>43</v>
      </c>
      <c r="G462" s="17">
        <v>46433</v>
      </c>
      <c r="H462" s="18">
        <v>3.5</v>
      </c>
      <c r="I462" t="s">
        <v>195</v>
      </c>
      <c r="J462" t="s">
        <v>196</v>
      </c>
      <c r="K462" s="18">
        <v>3.5</v>
      </c>
      <c r="L462" t="s">
        <v>197</v>
      </c>
    </row>
    <row r="463" spans="1:12" x14ac:dyDescent="0.35">
      <c r="A463" t="s">
        <v>12</v>
      </c>
      <c r="B463" t="s">
        <v>13</v>
      </c>
      <c r="C463" t="s">
        <v>14</v>
      </c>
      <c r="D463" t="s">
        <v>30</v>
      </c>
      <c r="E463" t="s">
        <v>14</v>
      </c>
      <c r="F463" t="s">
        <v>102</v>
      </c>
      <c r="G463" s="17">
        <v>46433</v>
      </c>
      <c r="H463" s="18">
        <v>1</v>
      </c>
      <c r="I463" t="s">
        <v>195</v>
      </c>
      <c r="J463" t="s">
        <v>196</v>
      </c>
      <c r="K463" s="18">
        <v>41</v>
      </c>
      <c r="L463" t="s">
        <v>197</v>
      </c>
    </row>
    <row r="464" spans="1:12" x14ac:dyDescent="0.35">
      <c r="A464" t="s">
        <v>12</v>
      </c>
      <c r="B464" t="s">
        <v>9</v>
      </c>
      <c r="C464" t="s">
        <v>10</v>
      </c>
      <c r="D464" t="s">
        <v>23</v>
      </c>
      <c r="E464" t="s">
        <v>10</v>
      </c>
      <c r="F464" t="s">
        <v>78</v>
      </c>
      <c r="G464" s="17">
        <v>46433</v>
      </c>
      <c r="H464" s="18">
        <v>8</v>
      </c>
      <c r="I464" t="s">
        <v>195</v>
      </c>
      <c r="J464" t="s">
        <v>196</v>
      </c>
      <c r="K464" s="18">
        <v>54.5</v>
      </c>
      <c r="L464" t="s">
        <v>197</v>
      </c>
    </row>
    <row r="465" spans="1:12" x14ac:dyDescent="0.35">
      <c r="A465" t="s">
        <v>12</v>
      </c>
      <c r="B465" t="s">
        <v>9</v>
      </c>
      <c r="C465" t="s">
        <v>10</v>
      </c>
      <c r="D465" t="s">
        <v>132</v>
      </c>
      <c r="E465" t="s">
        <v>10</v>
      </c>
      <c r="F465" t="s">
        <v>40</v>
      </c>
      <c r="G465" s="17">
        <v>46433</v>
      </c>
      <c r="H465" s="18">
        <v>4.9000000000000101</v>
      </c>
      <c r="I465" t="s">
        <v>195</v>
      </c>
      <c r="J465" t="s">
        <v>196</v>
      </c>
      <c r="K465" s="18">
        <v>49.4</v>
      </c>
      <c r="L465" t="s">
        <v>197</v>
      </c>
    </row>
    <row r="466" spans="1:12" x14ac:dyDescent="0.35">
      <c r="A466" t="s">
        <v>12</v>
      </c>
      <c r="B466" t="s">
        <v>9</v>
      </c>
      <c r="C466" t="s">
        <v>10</v>
      </c>
      <c r="D466" t="s">
        <v>132</v>
      </c>
      <c r="E466" t="s">
        <v>10</v>
      </c>
      <c r="F466" t="s">
        <v>98</v>
      </c>
      <c r="G466" s="17">
        <v>46433</v>
      </c>
      <c r="H466" s="18">
        <v>8.5</v>
      </c>
      <c r="I466" t="s">
        <v>195</v>
      </c>
      <c r="J466" t="s">
        <v>196</v>
      </c>
      <c r="K466" s="18">
        <v>36</v>
      </c>
      <c r="L466" t="s">
        <v>197</v>
      </c>
    </row>
    <row r="467" spans="1:12" x14ac:dyDescent="0.35">
      <c r="A467" t="s">
        <v>12</v>
      </c>
      <c r="B467" t="s">
        <v>9</v>
      </c>
      <c r="C467" t="s">
        <v>10</v>
      </c>
      <c r="D467" t="s">
        <v>132</v>
      </c>
      <c r="E467" t="s">
        <v>10</v>
      </c>
      <c r="F467" t="s">
        <v>43</v>
      </c>
      <c r="G467" s="17">
        <v>46433</v>
      </c>
      <c r="H467" s="18">
        <v>8.5</v>
      </c>
      <c r="I467" t="s">
        <v>195</v>
      </c>
      <c r="J467" t="s">
        <v>196</v>
      </c>
      <c r="K467" s="18">
        <v>44.5</v>
      </c>
      <c r="L467" t="s">
        <v>197</v>
      </c>
    </row>
    <row r="468" spans="1:12" x14ac:dyDescent="0.35">
      <c r="A468" t="s">
        <v>12</v>
      </c>
      <c r="B468" t="s">
        <v>9</v>
      </c>
      <c r="C468" t="s">
        <v>10</v>
      </c>
      <c r="D468" t="s">
        <v>33</v>
      </c>
      <c r="E468" t="s">
        <v>10</v>
      </c>
      <c r="F468" t="s">
        <v>102</v>
      </c>
      <c r="G468" s="17">
        <v>46433</v>
      </c>
      <c r="H468" s="18">
        <v>1</v>
      </c>
      <c r="I468" t="s">
        <v>195</v>
      </c>
      <c r="J468" t="s">
        <v>196</v>
      </c>
      <c r="K468" s="18">
        <v>26</v>
      </c>
      <c r="L468" t="s">
        <v>197</v>
      </c>
    </row>
    <row r="469" spans="1:12" x14ac:dyDescent="0.35">
      <c r="A469" t="s">
        <v>12</v>
      </c>
      <c r="B469" t="s">
        <v>22</v>
      </c>
      <c r="C469" t="s">
        <v>10</v>
      </c>
      <c r="D469" t="s">
        <v>23</v>
      </c>
      <c r="E469" t="s">
        <v>10</v>
      </c>
      <c r="F469" t="s">
        <v>80</v>
      </c>
      <c r="G469" s="17">
        <v>46433</v>
      </c>
      <c r="H469" s="18">
        <v>0.5</v>
      </c>
      <c r="I469" t="s">
        <v>195</v>
      </c>
      <c r="J469" t="s">
        <v>196</v>
      </c>
      <c r="K469" s="18">
        <v>55</v>
      </c>
      <c r="L469" t="s">
        <v>197</v>
      </c>
    </row>
    <row r="470" spans="1:12" x14ac:dyDescent="0.35">
      <c r="A470" t="s">
        <v>12</v>
      </c>
      <c r="B470" t="s">
        <v>22</v>
      </c>
      <c r="C470" t="s">
        <v>10</v>
      </c>
      <c r="D470" t="s">
        <v>133</v>
      </c>
      <c r="E470" t="s">
        <v>10</v>
      </c>
      <c r="F470" t="s">
        <v>80</v>
      </c>
      <c r="G470" s="17">
        <v>46433</v>
      </c>
      <c r="H470" s="18">
        <v>1.5</v>
      </c>
      <c r="I470" t="s">
        <v>195</v>
      </c>
      <c r="J470" t="s">
        <v>198</v>
      </c>
      <c r="K470" s="18">
        <v>1.5</v>
      </c>
      <c r="L470" t="s">
        <v>197</v>
      </c>
    </row>
    <row r="471" spans="1:12" x14ac:dyDescent="0.35">
      <c r="A471" t="s">
        <v>12</v>
      </c>
      <c r="B471" t="s">
        <v>20</v>
      </c>
      <c r="C471" t="s">
        <v>10</v>
      </c>
      <c r="D471" t="s">
        <v>132</v>
      </c>
      <c r="E471" t="s">
        <v>10</v>
      </c>
      <c r="F471" t="s">
        <v>40</v>
      </c>
      <c r="G471" s="17">
        <v>46433</v>
      </c>
      <c r="H471" s="18">
        <v>5.5999999999999899</v>
      </c>
      <c r="I471" t="s">
        <v>195</v>
      </c>
      <c r="J471" t="s">
        <v>196</v>
      </c>
      <c r="K471" s="18">
        <v>55</v>
      </c>
      <c r="L471" t="s">
        <v>197</v>
      </c>
    </row>
    <row r="472" spans="1:12" x14ac:dyDescent="0.35">
      <c r="A472" t="s">
        <v>12</v>
      </c>
      <c r="B472" t="s">
        <v>20</v>
      </c>
      <c r="C472" t="s">
        <v>10</v>
      </c>
      <c r="D472" t="s">
        <v>133</v>
      </c>
      <c r="E472" t="s">
        <v>10</v>
      </c>
      <c r="F472" t="s">
        <v>40</v>
      </c>
      <c r="G472" s="17">
        <v>46433</v>
      </c>
      <c r="H472" s="18">
        <v>0.40000000000000602</v>
      </c>
      <c r="I472" t="s">
        <v>195</v>
      </c>
      <c r="J472" t="s">
        <v>198</v>
      </c>
      <c r="K472" s="18">
        <v>1.9000000000000099</v>
      </c>
      <c r="L472" t="s">
        <v>197</v>
      </c>
    </row>
    <row r="473" spans="1:12" x14ac:dyDescent="0.35">
      <c r="A473" t="s">
        <v>12</v>
      </c>
      <c r="B473" t="s">
        <v>20</v>
      </c>
      <c r="C473" t="s">
        <v>10</v>
      </c>
      <c r="D473" t="s">
        <v>36</v>
      </c>
      <c r="E473" t="s">
        <v>10</v>
      </c>
      <c r="F473" t="s">
        <v>81</v>
      </c>
      <c r="G473" s="17">
        <v>46433</v>
      </c>
      <c r="H473" s="18">
        <v>11.5</v>
      </c>
      <c r="I473" t="s">
        <v>195</v>
      </c>
      <c r="J473" t="s">
        <v>196</v>
      </c>
      <c r="K473" s="18">
        <v>54</v>
      </c>
      <c r="L473" t="s">
        <v>197</v>
      </c>
    </row>
    <row r="474" spans="1:12" x14ac:dyDescent="0.35">
      <c r="A474" t="s">
        <v>12</v>
      </c>
      <c r="B474" t="s">
        <v>17</v>
      </c>
      <c r="C474" t="s">
        <v>14</v>
      </c>
      <c r="D474" t="s">
        <v>26</v>
      </c>
      <c r="E474" t="s">
        <v>14</v>
      </c>
      <c r="F474" t="s">
        <v>40</v>
      </c>
      <c r="G474" s="17">
        <v>46433</v>
      </c>
      <c r="H474" s="18">
        <v>10</v>
      </c>
      <c r="I474" t="s">
        <v>195</v>
      </c>
      <c r="J474" t="s">
        <v>196</v>
      </c>
      <c r="K474" s="18">
        <v>55</v>
      </c>
      <c r="L474" t="s">
        <v>197</v>
      </c>
    </row>
    <row r="475" spans="1:12" x14ac:dyDescent="0.35">
      <c r="A475" t="s">
        <v>12</v>
      </c>
      <c r="B475" t="s">
        <v>17</v>
      </c>
      <c r="C475" t="s">
        <v>14</v>
      </c>
      <c r="D475" t="s">
        <v>159</v>
      </c>
      <c r="E475" t="s">
        <v>14</v>
      </c>
      <c r="F475" t="s">
        <v>46</v>
      </c>
      <c r="G475" s="17">
        <v>46433</v>
      </c>
      <c r="H475" s="18">
        <v>2</v>
      </c>
      <c r="I475" t="s">
        <v>195</v>
      </c>
      <c r="J475" t="s">
        <v>196</v>
      </c>
      <c r="K475" s="18">
        <v>11</v>
      </c>
      <c r="L475" t="s">
        <v>197</v>
      </c>
    </row>
    <row r="476" spans="1:12" x14ac:dyDescent="0.35">
      <c r="A476" t="s">
        <v>12</v>
      </c>
      <c r="B476" t="s">
        <v>15</v>
      </c>
      <c r="C476" t="s">
        <v>16</v>
      </c>
      <c r="D476" t="s">
        <v>84</v>
      </c>
      <c r="E476" t="s">
        <v>16</v>
      </c>
      <c r="F476" t="s">
        <v>77</v>
      </c>
      <c r="G476" s="17">
        <v>46433</v>
      </c>
      <c r="H476" s="18">
        <v>1.4035089999999999</v>
      </c>
      <c r="I476" t="s">
        <v>195</v>
      </c>
      <c r="J476" t="s">
        <v>196</v>
      </c>
      <c r="K476" s="18">
        <v>36.307017999999999</v>
      </c>
      <c r="L476" t="s">
        <v>197</v>
      </c>
    </row>
    <row r="477" spans="1:12" x14ac:dyDescent="0.35">
      <c r="A477" t="s">
        <v>12</v>
      </c>
      <c r="B477" t="s">
        <v>15</v>
      </c>
      <c r="C477" t="s">
        <v>16</v>
      </c>
      <c r="D477" t="s">
        <v>84</v>
      </c>
      <c r="E477" t="s">
        <v>16</v>
      </c>
      <c r="F477" t="s">
        <v>78</v>
      </c>
      <c r="G477" s="17">
        <v>46433</v>
      </c>
      <c r="H477" s="18">
        <v>3.8929819999999999</v>
      </c>
      <c r="I477" t="s">
        <v>195</v>
      </c>
      <c r="J477" t="s">
        <v>196</v>
      </c>
      <c r="K477" s="18">
        <v>55</v>
      </c>
      <c r="L477" t="s">
        <v>197</v>
      </c>
    </row>
    <row r="478" spans="1:12" x14ac:dyDescent="0.35">
      <c r="A478" t="s">
        <v>12</v>
      </c>
      <c r="B478" t="s">
        <v>15</v>
      </c>
      <c r="C478" t="s">
        <v>16</v>
      </c>
      <c r="D478" t="s">
        <v>94</v>
      </c>
      <c r="E478" t="s">
        <v>16</v>
      </c>
      <c r="F478" t="s">
        <v>78</v>
      </c>
      <c r="G478" s="17">
        <v>46433</v>
      </c>
      <c r="H478" s="18">
        <v>9.8070179999999993</v>
      </c>
      <c r="I478" t="s">
        <v>195</v>
      </c>
      <c r="J478" t="s">
        <v>198</v>
      </c>
      <c r="K478" s="18">
        <v>39.807017999999999</v>
      </c>
      <c r="L478" t="s">
        <v>197</v>
      </c>
    </row>
    <row r="479" spans="1:12" x14ac:dyDescent="0.35">
      <c r="A479" t="s">
        <v>12</v>
      </c>
      <c r="B479" t="s">
        <v>15</v>
      </c>
      <c r="C479" t="s">
        <v>16</v>
      </c>
      <c r="D479" t="s">
        <v>94</v>
      </c>
      <c r="E479" t="s">
        <v>16</v>
      </c>
      <c r="F479" t="s">
        <v>79</v>
      </c>
      <c r="G479" s="17">
        <v>46433</v>
      </c>
      <c r="H479" s="18">
        <v>4.2</v>
      </c>
      <c r="I479" t="s">
        <v>195</v>
      </c>
      <c r="J479" t="s">
        <v>198</v>
      </c>
      <c r="K479" s="18">
        <v>50.107017999999997</v>
      </c>
      <c r="L479" t="s">
        <v>197</v>
      </c>
    </row>
    <row r="480" spans="1:12" x14ac:dyDescent="0.35">
      <c r="A480" t="s">
        <v>12</v>
      </c>
      <c r="B480" t="s">
        <v>15</v>
      </c>
      <c r="C480" t="s">
        <v>16</v>
      </c>
      <c r="D480" t="s">
        <v>84</v>
      </c>
      <c r="E480" t="s">
        <v>16</v>
      </c>
      <c r="F480" t="s">
        <v>40</v>
      </c>
      <c r="G480" s="17">
        <v>46433</v>
      </c>
      <c r="H480" s="18">
        <v>9.8000000000000007</v>
      </c>
      <c r="I480" t="s">
        <v>195</v>
      </c>
      <c r="J480" t="s">
        <v>196</v>
      </c>
      <c r="K480" s="18">
        <v>51.107017999999997</v>
      </c>
      <c r="L480" t="s">
        <v>197</v>
      </c>
    </row>
    <row r="481" spans="1:12" x14ac:dyDescent="0.35">
      <c r="A481" t="s">
        <v>12</v>
      </c>
      <c r="B481" t="s">
        <v>15</v>
      </c>
      <c r="C481" t="s">
        <v>16</v>
      </c>
      <c r="D481" t="s">
        <v>94</v>
      </c>
      <c r="E481" t="s">
        <v>16</v>
      </c>
      <c r="F481" t="s">
        <v>97</v>
      </c>
      <c r="G481" s="17">
        <v>46433</v>
      </c>
      <c r="H481" s="18">
        <v>4</v>
      </c>
      <c r="I481" t="s">
        <v>195</v>
      </c>
      <c r="J481" t="s">
        <v>198</v>
      </c>
      <c r="K481" s="18">
        <v>45.907018000000001</v>
      </c>
      <c r="L481" t="s">
        <v>197</v>
      </c>
    </row>
    <row r="482" spans="1:12" x14ac:dyDescent="0.35">
      <c r="A482" t="s">
        <v>12</v>
      </c>
      <c r="B482" t="s">
        <v>15</v>
      </c>
      <c r="C482" t="s">
        <v>16</v>
      </c>
      <c r="D482" t="s">
        <v>94</v>
      </c>
      <c r="E482" t="s">
        <v>16</v>
      </c>
      <c r="F482" t="s">
        <v>98</v>
      </c>
      <c r="G482" s="17">
        <v>46433</v>
      </c>
      <c r="H482" s="18">
        <v>2.1</v>
      </c>
      <c r="I482" t="s">
        <v>195</v>
      </c>
      <c r="J482" t="s">
        <v>198</v>
      </c>
      <c r="K482" s="18">
        <v>41.907018000000001</v>
      </c>
      <c r="L482" t="s">
        <v>197</v>
      </c>
    </row>
    <row r="483" spans="1:12" x14ac:dyDescent="0.35">
      <c r="A483" t="s">
        <v>12</v>
      </c>
      <c r="B483" t="s">
        <v>15</v>
      </c>
      <c r="C483" t="s">
        <v>16</v>
      </c>
      <c r="D483" t="s">
        <v>84</v>
      </c>
      <c r="E483" t="s">
        <v>16</v>
      </c>
      <c r="F483" t="s">
        <v>43</v>
      </c>
      <c r="G483" s="17">
        <v>46433</v>
      </c>
      <c r="H483" s="18">
        <v>5</v>
      </c>
      <c r="I483" t="s">
        <v>195</v>
      </c>
      <c r="J483" t="s">
        <v>196</v>
      </c>
      <c r="K483" s="18">
        <v>41.307017999999999</v>
      </c>
      <c r="L483" t="s">
        <v>197</v>
      </c>
    </row>
    <row r="484" spans="1:12" x14ac:dyDescent="0.35">
      <c r="A484" t="s">
        <v>12</v>
      </c>
      <c r="B484" t="s">
        <v>18</v>
      </c>
      <c r="C484" t="s">
        <v>16</v>
      </c>
      <c r="D484" t="s">
        <v>76</v>
      </c>
      <c r="E484" t="s">
        <v>16</v>
      </c>
      <c r="F484" t="s">
        <v>77</v>
      </c>
      <c r="G484" s="17">
        <v>46433</v>
      </c>
      <c r="H484" s="18">
        <v>1.4035089999999999</v>
      </c>
      <c r="I484" t="s">
        <v>195</v>
      </c>
      <c r="J484" t="s">
        <v>196</v>
      </c>
      <c r="K484" s="18">
        <v>1.4035089999999999</v>
      </c>
      <c r="L484" t="s">
        <v>201</v>
      </c>
    </row>
    <row r="485" spans="1:12" x14ac:dyDescent="0.35">
      <c r="A485" t="s">
        <v>12</v>
      </c>
      <c r="B485" t="s">
        <v>18</v>
      </c>
      <c r="C485" t="s">
        <v>16</v>
      </c>
      <c r="D485" t="s">
        <v>76</v>
      </c>
      <c r="E485" t="s">
        <v>16</v>
      </c>
      <c r="F485" t="s">
        <v>78</v>
      </c>
      <c r="G485" s="17">
        <v>46433</v>
      </c>
      <c r="H485" s="18">
        <v>1</v>
      </c>
      <c r="I485" t="s">
        <v>195</v>
      </c>
      <c r="J485" t="s">
        <v>196</v>
      </c>
      <c r="K485" s="18">
        <v>3.8070179999999998</v>
      </c>
      <c r="L485" t="s">
        <v>201</v>
      </c>
    </row>
    <row r="486" spans="1:12" x14ac:dyDescent="0.35">
      <c r="A486" t="s">
        <v>12</v>
      </c>
      <c r="B486" t="s">
        <v>18</v>
      </c>
      <c r="C486" t="s">
        <v>16</v>
      </c>
      <c r="D486" t="s">
        <v>76</v>
      </c>
      <c r="E486" t="s">
        <v>16</v>
      </c>
      <c r="F486" t="s">
        <v>40</v>
      </c>
      <c r="G486" s="17">
        <v>46433</v>
      </c>
      <c r="H486" s="18">
        <v>1</v>
      </c>
      <c r="I486" t="s">
        <v>195</v>
      </c>
      <c r="J486" t="s">
        <v>196</v>
      </c>
      <c r="K486" s="18">
        <v>10.807017999999999</v>
      </c>
      <c r="L486" t="s">
        <v>201</v>
      </c>
    </row>
    <row r="487" spans="1:12" x14ac:dyDescent="0.35">
      <c r="A487" t="s">
        <v>12</v>
      </c>
      <c r="B487" t="s">
        <v>107</v>
      </c>
      <c r="C487" t="s">
        <v>14</v>
      </c>
      <c r="D487" t="s">
        <v>159</v>
      </c>
      <c r="E487" t="s">
        <v>14</v>
      </c>
      <c r="F487" t="s">
        <v>78</v>
      </c>
      <c r="G487" s="17">
        <v>46433</v>
      </c>
      <c r="H487" s="18">
        <v>9</v>
      </c>
      <c r="I487" t="s">
        <v>199</v>
      </c>
      <c r="J487" t="s">
        <v>196</v>
      </c>
      <c r="K487" s="18">
        <v>20</v>
      </c>
      <c r="L487" t="s">
        <v>197</v>
      </c>
    </row>
    <row r="488" spans="1:12" x14ac:dyDescent="0.35">
      <c r="A488" t="s">
        <v>12</v>
      </c>
      <c r="B488" t="s">
        <v>107</v>
      </c>
      <c r="C488" t="s">
        <v>14</v>
      </c>
      <c r="D488" t="s">
        <v>24</v>
      </c>
      <c r="E488" t="s">
        <v>14</v>
      </c>
      <c r="F488" t="s">
        <v>78</v>
      </c>
      <c r="G488" s="17">
        <v>46433</v>
      </c>
      <c r="H488" s="18">
        <v>1.5</v>
      </c>
      <c r="I488" t="s">
        <v>199</v>
      </c>
      <c r="J488" t="s">
        <v>196</v>
      </c>
      <c r="K488" s="18">
        <v>55</v>
      </c>
      <c r="L488" t="s">
        <v>197</v>
      </c>
    </row>
    <row r="489" spans="1:12" x14ac:dyDescent="0.35">
      <c r="A489" t="s">
        <v>12</v>
      </c>
      <c r="B489" t="s">
        <v>107</v>
      </c>
      <c r="C489" t="s">
        <v>14</v>
      </c>
      <c r="D489" t="s">
        <v>27</v>
      </c>
      <c r="E489" t="s">
        <v>14</v>
      </c>
      <c r="F489" t="s">
        <v>78</v>
      </c>
      <c r="G489" s="17">
        <v>46433</v>
      </c>
      <c r="H489" s="18">
        <v>5.5</v>
      </c>
      <c r="I489" t="s">
        <v>199</v>
      </c>
      <c r="J489" t="s">
        <v>196</v>
      </c>
      <c r="K489" s="18">
        <v>55</v>
      </c>
      <c r="L489" t="s">
        <v>197</v>
      </c>
    </row>
    <row r="490" spans="1:12" x14ac:dyDescent="0.35">
      <c r="A490" t="s">
        <v>12</v>
      </c>
      <c r="B490" t="s">
        <v>107</v>
      </c>
      <c r="C490" t="s">
        <v>14</v>
      </c>
      <c r="D490" t="s">
        <v>182</v>
      </c>
      <c r="E490" t="s">
        <v>14</v>
      </c>
      <c r="F490" t="s">
        <v>78</v>
      </c>
      <c r="G490" s="17">
        <v>46433</v>
      </c>
      <c r="H490" s="18">
        <v>12</v>
      </c>
      <c r="I490" t="s">
        <v>199</v>
      </c>
      <c r="J490" t="s">
        <v>196</v>
      </c>
      <c r="K490" s="18">
        <v>12</v>
      </c>
      <c r="L490" t="s">
        <v>197</v>
      </c>
    </row>
    <row r="491" spans="1:12" x14ac:dyDescent="0.35">
      <c r="A491" t="s">
        <v>12</v>
      </c>
      <c r="B491" t="s">
        <v>107</v>
      </c>
      <c r="C491" t="s">
        <v>14</v>
      </c>
      <c r="D491" t="s">
        <v>30</v>
      </c>
      <c r="E491" t="s">
        <v>14</v>
      </c>
      <c r="F491" t="s">
        <v>102</v>
      </c>
      <c r="G491" s="17">
        <v>46433</v>
      </c>
      <c r="H491" s="18">
        <v>14</v>
      </c>
      <c r="I491" t="s">
        <v>199</v>
      </c>
      <c r="J491" t="s">
        <v>196</v>
      </c>
      <c r="K491" s="18">
        <v>55</v>
      </c>
      <c r="L491" t="s">
        <v>197</v>
      </c>
    </row>
    <row r="492" spans="1:12" x14ac:dyDescent="0.35">
      <c r="A492" t="s">
        <v>12</v>
      </c>
      <c r="B492" t="s">
        <v>107</v>
      </c>
      <c r="C492" t="s">
        <v>14</v>
      </c>
      <c r="D492" t="s">
        <v>176</v>
      </c>
      <c r="E492" t="s">
        <v>14</v>
      </c>
      <c r="F492" t="s">
        <v>102</v>
      </c>
      <c r="G492" s="17">
        <v>46433</v>
      </c>
      <c r="H492" s="18">
        <v>21</v>
      </c>
      <c r="I492" t="s">
        <v>199</v>
      </c>
      <c r="J492" t="s">
        <v>196</v>
      </c>
      <c r="K492" s="18">
        <v>21</v>
      </c>
      <c r="L492" t="s">
        <v>197</v>
      </c>
    </row>
    <row r="493" spans="1:12" x14ac:dyDescent="0.35">
      <c r="A493" t="s">
        <v>12</v>
      </c>
      <c r="B493" t="s">
        <v>107</v>
      </c>
      <c r="C493" t="s">
        <v>16</v>
      </c>
      <c r="D493" t="s">
        <v>76</v>
      </c>
      <c r="E493" t="s">
        <v>16</v>
      </c>
      <c r="F493" t="s">
        <v>83</v>
      </c>
      <c r="G493" s="17">
        <v>46433</v>
      </c>
      <c r="H493" s="18">
        <v>4</v>
      </c>
      <c r="I493" t="s">
        <v>202</v>
      </c>
      <c r="J493" t="s">
        <v>196</v>
      </c>
      <c r="K493" s="18">
        <v>21.807017999999999</v>
      </c>
      <c r="L493" t="s">
        <v>201</v>
      </c>
    </row>
    <row r="494" spans="1:12" x14ac:dyDescent="0.35">
      <c r="A494" t="s">
        <v>12</v>
      </c>
      <c r="B494" t="s">
        <v>108</v>
      </c>
      <c r="C494" t="s">
        <v>10</v>
      </c>
      <c r="D494" t="s">
        <v>133</v>
      </c>
      <c r="E494" t="s">
        <v>10</v>
      </c>
      <c r="F494" t="s">
        <v>83</v>
      </c>
      <c r="G494" s="17">
        <v>46433</v>
      </c>
      <c r="H494" s="18">
        <v>16</v>
      </c>
      <c r="I494" t="s">
        <v>199</v>
      </c>
      <c r="J494" t="s">
        <v>198</v>
      </c>
      <c r="K494" s="18">
        <v>17.899999999999999</v>
      </c>
      <c r="L494" t="s">
        <v>197</v>
      </c>
    </row>
    <row r="495" spans="1:12" x14ac:dyDescent="0.35">
      <c r="A495" t="s">
        <v>12</v>
      </c>
      <c r="B495" t="s">
        <v>109</v>
      </c>
      <c r="C495" t="s">
        <v>14</v>
      </c>
      <c r="D495" t="s">
        <v>157</v>
      </c>
      <c r="E495" t="s">
        <v>14</v>
      </c>
      <c r="F495" t="s">
        <v>83</v>
      </c>
      <c r="G495" s="17">
        <v>46433</v>
      </c>
      <c r="H495" s="18">
        <v>29.5</v>
      </c>
      <c r="I495" t="s">
        <v>202</v>
      </c>
      <c r="J495" t="s">
        <v>196</v>
      </c>
      <c r="K495" s="18">
        <v>29.5</v>
      </c>
      <c r="L495" t="s">
        <v>201</v>
      </c>
    </row>
    <row r="496" spans="1:12" x14ac:dyDescent="0.35">
      <c r="A496" t="s">
        <v>12</v>
      </c>
      <c r="B496" t="s">
        <v>109</v>
      </c>
      <c r="C496" t="s">
        <v>14</v>
      </c>
      <c r="D496" t="s">
        <v>163</v>
      </c>
      <c r="E496" t="s">
        <v>14</v>
      </c>
      <c r="F496" t="s">
        <v>83</v>
      </c>
      <c r="G496" s="17">
        <v>46433</v>
      </c>
      <c r="H496" s="18">
        <v>10.5</v>
      </c>
      <c r="I496" t="s">
        <v>199</v>
      </c>
      <c r="J496" t="s">
        <v>198</v>
      </c>
      <c r="K496" s="18">
        <v>10.5</v>
      </c>
      <c r="L496" t="s">
        <v>197</v>
      </c>
    </row>
    <row r="497" spans="1:12" x14ac:dyDescent="0.35">
      <c r="A497" t="s">
        <v>12</v>
      </c>
      <c r="B497" t="s">
        <v>168</v>
      </c>
      <c r="C497" t="s">
        <v>14</v>
      </c>
      <c r="D497" t="s">
        <v>154</v>
      </c>
      <c r="E497" t="s">
        <v>14</v>
      </c>
      <c r="F497" t="s">
        <v>43</v>
      </c>
      <c r="G497" s="17">
        <v>46433</v>
      </c>
      <c r="H497" s="18">
        <v>8</v>
      </c>
      <c r="I497" t="s">
        <v>202</v>
      </c>
      <c r="J497" t="s">
        <v>196</v>
      </c>
      <c r="K497" s="18">
        <v>8</v>
      </c>
      <c r="L497" t="s">
        <v>201</v>
      </c>
    </row>
    <row r="498" spans="1:12" x14ac:dyDescent="0.35">
      <c r="A498" t="s">
        <v>12</v>
      </c>
      <c r="B498" t="s">
        <v>173</v>
      </c>
      <c r="C498" t="s">
        <v>14</v>
      </c>
      <c r="D498" t="s">
        <v>162</v>
      </c>
      <c r="E498" t="s">
        <v>14</v>
      </c>
      <c r="F498" t="s">
        <v>40</v>
      </c>
      <c r="G498" s="17">
        <v>46433</v>
      </c>
      <c r="H498" s="18">
        <v>8</v>
      </c>
      <c r="I498" t="s">
        <v>199</v>
      </c>
      <c r="J498" t="s">
        <v>198</v>
      </c>
      <c r="K498" s="18">
        <v>8</v>
      </c>
      <c r="L498" t="s">
        <v>197</v>
      </c>
    </row>
    <row r="499" spans="1:12" x14ac:dyDescent="0.35">
      <c r="A499" t="s">
        <v>12</v>
      </c>
      <c r="B499" t="s">
        <v>174</v>
      </c>
      <c r="C499" t="s">
        <v>14</v>
      </c>
      <c r="D499" t="s">
        <v>147</v>
      </c>
      <c r="E499" t="s">
        <v>14</v>
      </c>
      <c r="F499" t="s">
        <v>81</v>
      </c>
      <c r="G499" s="17">
        <v>46433</v>
      </c>
      <c r="H499" s="18">
        <v>6</v>
      </c>
      <c r="I499" t="s">
        <v>202</v>
      </c>
      <c r="J499" t="s">
        <v>196</v>
      </c>
      <c r="K499" s="18">
        <v>6</v>
      </c>
      <c r="L499" t="s">
        <v>201</v>
      </c>
    </row>
    <row r="500" spans="1:12" x14ac:dyDescent="0.35">
      <c r="A500" t="s">
        <v>12</v>
      </c>
      <c r="B500" t="s">
        <v>179</v>
      </c>
      <c r="C500" t="s">
        <v>14</v>
      </c>
      <c r="D500" t="s">
        <v>153</v>
      </c>
      <c r="E500" t="s">
        <v>14</v>
      </c>
      <c r="F500" t="s">
        <v>43</v>
      </c>
      <c r="G500" s="17">
        <v>46433</v>
      </c>
      <c r="H500" s="18">
        <v>7</v>
      </c>
      <c r="I500" t="s">
        <v>202</v>
      </c>
      <c r="J500" t="s">
        <v>196</v>
      </c>
      <c r="K500" s="18">
        <v>12</v>
      </c>
      <c r="L500" t="s">
        <v>201</v>
      </c>
    </row>
    <row r="501" spans="1:12" x14ac:dyDescent="0.35">
      <c r="A501" t="s">
        <v>12</v>
      </c>
      <c r="B501" t="s">
        <v>179</v>
      </c>
      <c r="C501" t="s">
        <v>14</v>
      </c>
      <c r="D501" t="s">
        <v>156</v>
      </c>
      <c r="E501" t="s">
        <v>14</v>
      </c>
      <c r="F501" t="s">
        <v>102</v>
      </c>
      <c r="G501" s="17">
        <v>46433</v>
      </c>
      <c r="H501" s="18">
        <v>2</v>
      </c>
      <c r="I501" t="s">
        <v>202</v>
      </c>
      <c r="J501" t="s">
        <v>196</v>
      </c>
      <c r="K501" s="18">
        <v>12</v>
      </c>
      <c r="L501" t="s">
        <v>201</v>
      </c>
    </row>
    <row r="502" spans="1:12" x14ac:dyDescent="0.35">
      <c r="A502" t="s">
        <v>12</v>
      </c>
      <c r="B502" t="s">
        <v>180</v>
      </c>
      <c r="C502" t="s">
        <v>14</v>
      </c>
      <c r="D502" t="s">
        <v>152</v>
      </c>
      <c r="E502" t="s">
        <v>14</v>
      </c>
      <c r="F502" t="s">
        <v>98</v>
      </c>
      <c r="G502" s="17">
        <v>46433</v>
      </c>
      <c r="H502" s="18">
        <v>55</v>
      </c>
      <c r="I502" t="s">
        <v>202</v>
      </c>
      <c r="J502" t="s">
        <v>196</v>
      </c>
      <c r="K502" s="18">
        <v>55</v>
      </c>
      <c r="L502" t="s">
        <v>201</v>
      </c>
    </row>
    <row r="503" spans="1:12" x14ac:dyDescent="0.35">
      <c r="A503" t="s">
        <v>12</v>
      </c>
      <c r="B503" t="s">
        <v>180</v>
      </c>
      <c r="C503" t="s">
        <v>14</v>
      </c>
      <c r="D503" t="s">
        <v>153</v>
      </c>
      <c r="E503" t="s">
        <v>14</v>
      </c>
      <c r="F503" t="s">
        <v>98</v>
      </c>
      <c r="G503" s="17">
        <v>46433</v>
      </c>
      <c r="H503" s="18">
        <v>5</v>
      </c>
      <c r="I503" t="s">
        <v>202</v>
      </c>
      <c r="J503" t="s">
        <v>196</v>
      </c>
      <c r="K503" s="18">
        <v>5</v>
      </c>
      <c r="L503" t="s">
        <v>201</v>
      </c>
    </row>
    <row r="504" spans="1:12" x14ac:dyDescent="0.35">
      <c r="A504" t="s">
        <v>12</v>
      </c>
      <c r="B504" t="s">
        <v>45</v>
      </c>
      <c r="C504" t="s">
        <v>14</v>
      </c>
      <c r="D504" t="s">
        <v>151</v>
      </c>
      <c r="E504" t="s">
        <v>14</v>
      </c>
      <c r="F504" t="s">
        <v>46</v>
      </c>
      <c r="G504" s="17">
        <v>46433</v>
      </c>
      <c r="H504" s="18">
        <v>25</v>
      </c>
      <c r="I504" t="s">
        <v>200</v>
      </c>
      <c r="J504" t="s">
        <v>196</v>
      </c>
      <c r="K504" s="18">
        <v>25</v>
      </c>
      <c r="L504" t="s">
        <v>201</v>
      </c>
    </row>
    <row r="505" spans="1:12" x14ac:dyDescent="0.35">
      <c r="A505" t="s">
        <v>12</v>
      </c>
      <c r="B505" t="s">
        <v>184</v>
      </c>
      <c r="C505" t="s">
        <v>14</v>
      </c>
      <c r="D505" t="s">
        <v>145</v>
      </c>
      <c r="E505" t="s">
        <v>14</v>
      </c>
      <c r="F505" t="s">
        <v>80</v>
      </c>
      <c r="G505" s="17">
        <v>46433</v>
      </c>
      <c r="H505" s="18">
        <v>17</v>
      </c>
      <c r="I505" t="s">
        <v>202</v>
      </c>
      <c r="J505" t="s">
        <v>196</v>
      </c>
      <c r="K505" s="18">
        <v>17</v>
      </c>
      <c r="L505" t="s">
        <v>201</v>
      </c>
    </row>
    <row r="506" spans="1:12" x14ac:dyDescent="0.35">
      <c r="A506" t="s">
        <v>12</v>
      </c>
      <c r="B506" t="s">
        <v>176</v>
      </c>
      <c r="C506" t="s">
        <v>14</v>
      </c>
      <c r="D506" t="s">
        <v>146</v>
      </c>
      <c r="E506" t="s">
        <v>14</v>
      </c>
      <c r="F506" t="s">
        <v>103</v>
      </c>
      <c r="G506" s="17">
        <v>46433</v>
      </c>
      <c r="H506" s="18">
        <v>55</v>
      </c>
      <c r="I506" t="s">
        <v>202</v>
      </c>
      <c r="J506" t="s">
        <v>196</v>
      </c>
      <c r="K506" s="18">
        <v>55</v>
      </c>
      <c r="L506" t="s">
        <v>201</v>
      </c>
    </row>
    <row r="507" spans="1:12" x14ac:dyDescent="0.35">
      <c r="A507" t="s">
        <v>12</v>
      </c>
      <c r="B507" t="s">
        <v>178</v>
      </c>
      <c r="C507" t="s">
        <v>14</v>
      </c>
      <c r="D507" t="s">
        <v>149</v>
      </c>
      <c r="E507" t="s">
        <v>14</v>
      </c>
      <c r="F507" t="s">
        <v>103</v>
      </c>
      <c r="G507" s="17">
        <v>46433</v>
      </c>
      <c r="H507" s="18">
        <v>55</v>
      </c>
      <c r="I507" t="s">
        <v>202</v>
      </c>
      <c r="J507" t="s">
        <v>196</v>
      </c>
      <c r="K507" s="18">
        <v>55</v>
      </c>
      <c r="L507" t="s">
        <v>201</v>
      </c>
    </row>
    <row r="508" spans="1:12" x14ac:dyDescent="0.35">
      <c r="A508" t="s">
        <v>12</v>
      </c>
      <c r="B508" t="s">
        <v>175</v>
      </c>
      <c r="C508" t="s">
        <v>14</v>
      </c>
      <c r="D508" t="s">
        <v>155</v>
      </c>
      <c r="E508" t="s">
        <v>14</v>
      </c>
      <c r="F508" t="s">
        <v>43</v>
      </c>
      <c r="G508" s="17">
        <v>46433</v>
      </c>
      <c r="H508" s="18">
        <v>20</v>
      </c>
      <c r="I508" t="s">
        <v>202</v>
      </c>
      <c r="J508" t="s">
        <v>196</v>
      </c>
      <c r="K508" s="18">
        <v>20</v>
      </c>
      <c r="L508" t="s">
        <v>201</v>
      </c>
    </row>
    <row r="509" spans="1:12" x14ac:dyDescent="0.35">
      <c r="A509" t="s">
        <v>12</v>
      </c>
      <c r="B509" t="s">
        <v>177</v>
      </c>
      <c r="C509" t="s">
        <v>14</v>
      </c>
      <c r="D509" t="s">
        <v>156</v>
      </c>
      <c r="E509" t="s">
        <v>14</v>
      </c>
      <c r="F509" t="s">
        <v>102</v>
      </c>
      <c r="G509" s="17">
        <v>46433</v>
      </c>
      <c r="H509" s="18">
        <v>10</v>
      </c>
      <c r="I509" t="s">
        <v>202</v>
      </c>
      <c r="J509" t="s">
        <v>196</v>
      </c>
      <c r="K509" s="18">
        <v>10</v>
      </c>
      <c r="L509" t="s">
        <v>201</v>
      </c>
    </row>
    <row r="510" spans="1:12" x14ac:dyDescent="0.35">
      <c r="A510" t="s">
        <v>12</v>
      </c>
      <c r="B510" t="s">
        <v>25</v>
      </c>
      <c r="C510" t="s">
        <v>16</v>
      </c>
      <c r="D510" t="s">
        <v>76</v>
      </c>
      <c r="E510" t="s">
        <v>16</v>
      </c>
      <c r="F510" t="s">
        <v>77</v>
      </c>
      <c r="G510" s="17">
        <v>46433</v>
      </c>
      <c r="H510" s="18">
        <v>1.4035089999999999</v>
      </c>
      <c r="I510" t="s">
        <v>195</v>
      </c>
      <c r="J510" t="s">
        <v>196</v>
      </c>
      <c r="K510" s="18">
        <v>2.8070179999999998</v>
      </c>
      <c r="L510" t="s">
        <v>201</v>
      </c>
    </row>
    <row r="511" spans="1:12" x14ac:dyDescent="0.35">
      <c r="A511" t="s">
        <v>12</v>
      </c>
      <c r="B511" t="s">
        <v>25</v>
      </c>
      <c r="C511" t="s">
        <v>16</v>
      </c>
      <c r="D511" t="s">
        <v>76</v>
      </c>
      <c r="E511" t="s">
        <v>16</v>
      </c>
      <c r="F511" t="s">
        <v>78</v>
      </c>
      <c r="G511" s="17">
        <v>46433</v>
      </c>
      <c r="H511" s="18">
        <v>1</v>
      </c>
      <c r="I511" t="s">
        <v>195</v>
      </c>
      <c r="J511" t="s">
        <v>196</v>
      </c>
      <c r="K511" s="18">
        <v>4.8070180000000002</v>
      </c>
      <c r="L511" t="s">
        <v>201</v>
      </c>
    </row>
    <row r="512" spans="1:12" x14ac:dyDescent="0.35">
      <c r="A512" t="s">
        <v>12</v>
      </c>
      <c r="B512" t="s">
        <v>25</v>
      </c>
      <c r="C512" t="s">
        <v>16</v>
      </c>
      <c r="D512" t="s">
        <v>76</v>
      </c>
      <c r="E512" t="s">
        <v>16</v>
      </c>
      <c r="F512" t="s">
        <v>80</v>
      </c>
      <c r="G512" s="17">
        <v>46433</v>
      </c>
      <c r="H512" s="18">
        <v>5</v>
      </c>
      <c r="I512" t="s">
        <v>195</v>
      </c>
      <c r="J512" t="s">
        <v>198</v>
      </c>
      <c r="K512" s="18">
        <v>9.8070179999999993</v>
      </c>
      <c r="L512" t="s">
        <v>201</v>
      </c>
    </row>
    <row r="513" spans="1:12" x14ac:dyDescent="0.35">
      <c r="A513" t="s">
        <v>12</v>
      </c>
      <c r="B513" t="s">
        <v>25</v>
      </c>
      <c r="C513" t="s">
        <v>16</v>
      </c>
      <c r="D513" t="s">
        <v>76</v>
      </c>
      <c r="E513" t="s">
        <v>16</v>
      </c>
      <c r="F513" t="s">
        <v>40</v>
      </c>
      <c r="G513" s="17">
        <v>46433</v>
      </c>
      <c r="H513" s="18">
        <v>5</v>
      </c>
      <c r="I513" t="s">
        <v>195</v>
      </c>
      <c r="J513" t="s">
        <v>196</v>
      </c>
      <c r="K513" s="18">
        <v>15.807017999999999</v>
      </c>
      <c r="L513" t="s">
        <v>201</v>
      </c>
    </row>
    <row r="514" spans="1:12" x14ac:dyDescent="0.35">
      <c r="A514" t="s">
        <v>12</v>
      </c>
      <c r="B514" t="s">
        <v>25</v>
      </c>
      <c r="C514" t="s">
        <v>16</v>
      </c>
      <c r="D514" t="s">
        <v>76</v>
      </c>
      <c r="E514" t="s">
        <v>16</v>
      </c>
      <c r="F514" t="s">
        <v>82</v>
      </c>
      <c r="G514" s="17">
        <v>46433</v>
      </c>
      <c r="H514" s="18">
        <v>2</v>
      </c>
      <c r="I514" t="s">
        <v>195</v>
      </c>
      <c r="J514" t="s">
        <v>196</v>
      </c>
      <c r="K514" s="18">
        <v>17.807017999999999</v>
      </c>
      <c r="L514" t="s">
        <v>201</v>
      </c>
    </row>
    <row r="515" spans="1:12" x14ac:dyDescent="0.35">
      <c r="A515" t="s">
        <v>12</v>
      </c>
      <c r="B515" t="s">
        <v>20</v>
      </c>
      <c r="C515" t="s">
        <v>10</v>
      </c>
      <c r="D515" t="s">
        <v>132</v>
      </c>
      <c r="E515" t="s">
        <v>10</v>
      </c>
      <c r="F515" t="s">
        <v>40</v>
      </c>
      <c r="G515" s="17">
        <v>46440</v>
      </c>
      <c r="H515" s="18">
        <v>10</v>
      </c>
      <c r="I515" t="s">
        <v>195</v>
      </c>
      <c r="J515" t="s">
        <v>196</v>
      </c>
      <c r="K515" s="18">
        <v>16</v>
      </c>
      <c r="L515" t="s">
        <v>197</v>
      </c>
    </row>
    <row r="516" spans="1:12" x14ac:dyDescent="0.35">
      <c r="A516" t="s">
        <v>12</v>
      </c>
      <c r="B516" t="s">
        <v>20</v>
      </c>
      <c r="C516" t="s">
        <v>10</v>
      </c>
      <c r="D516" t="s">
        <v>132</v>
      </c>
      <c r="E516" t="s">
        <v>10</v>
      </c>
      <c r="F516" t="s">
        <v>81</v>
      </c>
      <c r="G516" s="17">
        <v>46440</v>
      </c>
      <c r="H516" s="18">
        <v>1.5</v>
      </c>
      <c r="I516" t="s">
        <v>195</v>
      </c>
      <c r="J516" t="s">
        <v>196</v>
      </c>
      <c r="K516" s="18">
        <v>17.5</v>
      </c>
      <c r="L516" t="s">
        <v>197</v>
      </c>
    </row>
    <row r="517" spans="1:12" x14ac:dyDescent="0.35">
      <c r="A517" t="s">
        <v>12</v>
      </c>
      <c r="B517" t="s">
        <v>107</v>
      </c>
      <c r="C517" t="s">
        <v>14</v>
      </c>
      <c r="D517" t="s">
        <v>27</v>
      </c>
      <c r="E517" t="s">
        <v>14</v>
      </c>
      <c r="F517" t="s">
        <v>78</v>
      </c>
      <c r="G517" s="17">
        <v>46440</v>
      </c>
      <c r="H517" s="18">
        <v>2</v>
      </c>
      <c r="I517" t="s">
        <v>199</v>
      </c>
      <c r="J517" t="s">
        <v>196</v>
      </c>
      <c r="K517" s="18">
        <v>10</v>
      </c>
      <c r="L517" t="s">
        <v>197</v>
      </c>
    </row>
    <row r="518" spans="1:12" x14ac:dyDescent="0.35">
      <c r="A518" t="s">
        <v>12</v>
      </c>
      <c r="B518" t="s">
        <v>107</v>
      </c>
      <c r="C518" t="s">
        <v>14</v>
      </c>
      <c r="D518" t="s">
        <v>13</v>
      </c>
      <c r="E518" t="s">
        <v>14</v>
      </c>
      <c r="F518" t="s">
        <v>102</v>
      </c>
      <c r="G518" s="17">
        <v>46440</v>
      </c>
      <c r="H518" s="18">
        <v>35</v>
      </c>
      <c r="I518" t="s">
        <v>199</v>
      </c>
      <c r="J518" t="s">
        <v>196</v>
      </c>
      <c r="K518" s="18">
        <v>49</v>
      </c>
      <c r="L518" t="s">
        <v>197</v>
      </c>
    </row>
    <row r="519" spans="1:12" x14ac:dyDescent="0.35">
      <c r="A519" t="s">
        <v>12</v>
      </c>
      <c r="B519" t="s">
        <v>168</v>
      </c>
      <c r="C519" t="s">
        <v>14</v>
      </c>
      <c r="D519" t="s">
        <v>21</v>
      </c>
      <c r="E519" t="s">
        <v>14</v>
      </c>
      <c r="F519" t="s">
        <v>43</v>
      </c>
      <c r="G519" s="17">
        <v>46440</v>
      </c>
      <c r="H519" s="18">
        <v>7.5</v>
      </c>
      <c r="I519" t="s">
        <v>199</v>
      </c>
      <c r="J519" t="s">
        <v>196</v>
      </c>
      <c r="K519" s="18">
        <v>20</v>
      </c>
      <c r="L519" t="s">
        <v>197</v>
      </c>
    </row>
    <row r="520" spans="1:12" x14ac:dyDescent="0.35">
      <c r="A520" t="s">
        <v>12</v>
      </c>
      <c r="B520" t="s">
        <v>173</v>
      </c>
      <c r="C520" t="s">
        <v>14</v>
      </c>
      <c r="D520" t="s">
        <v>21</v>
      </c>
      <c r="E520" t="s">
        <v>14</v>
      </c>
      <c r="F520" t="s">
        <v>40</v>
      </c>
      <c r="G520" s="17">
        <v>46440</v>
      </c>
      <c r="H520" s="18">
        <v>10</v>
      </c>
      <c r="I520" t="s">
        <v>199</v>
      </c>
      <c r="J520" t="s">
        <v>196</v>
      </c>
      <c r="K520" s="18">
        <v>12.5</v>
      </c>
      <c r="L520" t="s">
        <v>197</v>
      </c>
    </row>
    <row r="521" spans="1:12" x14ac:dyDescent="0.35">
      <c r="A521" t="s">
        <v>12</v>
      </c>
      <c r="B521" t="s">
        <v>174</v>
      </c>
      <c r="C521" t="s">
        <v>14</v>
      </c>
      <c r="D521" t="s">
        <v>21</v>
      </c>
      <c r="E521" t="s">
        <v>14</v>
      </c>
      <c r="F521" t="s">
        <v>81</v>
      </c>
      <c r="G521" s="17">
        <v>46440</v>
      </c>
      <c r="H521" s="18">
        <v>2</v>
      </c>
      <c r="I521" t="s">
        <v>199</v>
      </c>
      <c r="J521" t="s">
        <v>196</v>
      </c>
      <c r="K521" s="18">
        <v>22</v>
      </c>
      <c r="L521" t="s">
        <v>197</v>
      </c>
    </row>
    <row r="522" spans="1:12" x14ac:dyDescent="0.35">
      <c r="A522" t="s">
        <v>12</v>
      </c>
      <c r="B522" t="s">
        <v>180</v>
      </c>
      <c r="C522" t="s">
        <v>14</v>
      </c>
      <c r="D522" t="s">
        <v>27</v>
      </c>
      <c r="E522" t="s">
        <v>14</v>
      </c>
      <c r="F522" t="s">
        <v>98</v>
      </c>
      <c r="G522" s="17">
        <v>46440</v>
      </c>
      <c r="H522" s="18">
        <v>40</v>
      </c>
      <c r="I522" t="s">
        <v>199</v>
      </c>
      <c r="J522" t="s">
        <v>196</v>
      </c>
      <c r="K522" s="18">
        <v>50</v>
      </c>
      <c r="L522" t="s">
        <v>197</v>
      </c>
    </row>
    <row r="523" spans="1:12" x14ac:dyDescent="0.35">
      <c r="A523" t="s">
        <v>12</v>
      </c>
      <c r="B523" t="s">
        <v>45</v>
      </c>
      <c r="C523" t="s">
        <v>14</v>
      </c>
      <c r="D523" t="s">
        <v>17</v>
      </c>
      <c r="E523" t="s">
        <v>14</v>
      </c>
      <c r="F523" t="s">
        <v>46</v>
      </c>
      <c r="G523" s="17">
        <v>46440</v>
      </c>
      <c r="H523" s="18">
        <v>7.5</v>
      </c>
      <c r="I523" t="s">
        <v>200</v>
      </c>
      <c r="J523" t="s">
        <v>196</v>
      </c>
      <c r="K523" s="18">
        <v>35.5</v>
      </c>
      <c r="L523" t="s">
        <v>197</v>
      </c>
    </row>
    <row r="524" spans="1:12" x14ac:dyDescent="0.35">
      <c r="A524" t="s">
        <v>12</v>
      </c>
      <c r="B524" t="s">
        <v>175</v>
      </c>
      <c r="C524" t="s">
        <v>14</v>
      </c>
      <c r="D524" t="s">
        <v>21</v>
      </c>
      <c r="E524" t="s">
        <v>14</v>
      </c>
      <c r="F524" t="s">
        <v>43</v>
      </c>
      <c r="G524" s="17">
        <v>46440</v>
      </c>
      <c r="H524" s="18">
        <v>30</v>
      </c>
      <c r="I524" t="s">
        <v>199</v>
      </c>
      <c r="J524" t="s">
        <v>196</v>
      </c>
      <c r="K524" s="18">
        <v>52</v>
      </c>
      <c r="L524" t="s">
        <v>197</v>
      </c>
    </row>
    <row r="525" spans="1:12" x14ac:dyDescent="0.35">
      <c r="A525" t="s">
        <v>12</v>
      </c>
      <c r="B525" t="s">
        <v>177</v>
      </c>
      <c r="C525" t="s">
        <v>14</v>
      </c>
      <c r="D525" t="s">
        <v>30</v>
      </c>
      <c r="E525" t="s">
        <v>14</v>
      </c>
      <c r="F525" t="s">
        <v>102</v>
      </c>
      <c r="G525" s="17">
        <v>46440</v>
      </c>
      <c r="H525" s="18">
        <v>5</v>
      </c>
      <c r="I525" t="s">
        <v>199</v>
      </c>
      <c r="J525" t="s">
        <v>196</v>
      </c>
      <c r="K525" s="18">
        <v>37</v>
      </c>
      <c r="L525" t="s">
        <v>197</v>
      </c>
    </row>
    <row r="526" spans="1:12" x14ac:dyDescent="0.35">
      <c r="A526" t="s">
        <v>12</v>
      </c>
      <c r="B526" t="s">
        <v>24</v>
      </c>
      <c r="C526" t="s">
        <v>14</v>
      </c>
      <c r="D526" t="s">
        <v>26</v>
      </c>
      <c r="E526" t="s">
        <v>14</v>
      </c>
      <c r="F526" t="s">
        <v>86</v>
      </c>
      <c r="G526" s="17">
        <v>46447</v>
      </c>
      <c r="H526" s="18">
        <v>5</v>
      </c>
      <c r="I526" t="s">
        <v>195</v>
      </c>
      <c r="J526" t="s">
        <v>196</v>
      </c>
      <c r="K526" s="18">
        <v>11.3</v>
      </c>
      <c r="L526" t="s">
        <v>197</v>
      </c>
    </row>
    <row r="527" spans="1:12" x14ac:dyDescent="0.35">
      <c r="A527" t="s">
        <v>12</v>
      </c>
      <c r="B527" t="s">
        <v>45</v>
      </c>
      <c r="C527" t="s">
        <v>14</v>
      </c>
      <c r="D527" t="s">
        <v>17</v>
      </c>
      <c r="E527" t="s">
        <v>14</v>
      </c>
      <c r="F527" t="s">
        <v>46</v>
      </c>
      <c r="G527" s="17">
        <v>46447</v>
      </c>
      <c r="H527" s="18">
        <v>1.5</v>
      </c>
      <c r="I527" t="s">
        <v>200</v>
      </c>
      <c r="J527" t="s">
        <v>196</v>
      </c>
      <c r="K527" s="18">
        <v>4.5</v>
      </c>
      <c r="L527" t="s">
        <v>197</v>
      </c>
    </row>
    <row r="528" spans="1:12" x14ac:dyDescent="0.35">
      <c r="A528" t="s">
        <v>12</v>
      </c>
      <c r="B528" t="s">
        <v>24</v>
      </c>
      <c r="C528" t="s">
        <v>14</v>
      </c>
      <c r="D528" t="s">
        <v>26</v>
      </c>
      <c r="E528" t="s">
        <v>14</v>
      </c>
      <c r="F528" t="s">
        <v>86</v>
      </c>
      <c r="G528" s="17">
        <v>46454</v>
      </c>
      <c r="H528" s="18">
        <v>21</v>
      </c>
      <c r="I528" t="s">
        <v>195</v>
      </c>
      <c r="J528" t="s">
        <v>196</v>
      </c>
      <c r="K528" s="18">
        <v>29.7</v>
      </c>
      <c r="L528" t="s">
        <v>197</v>
      </c>
    </row>
    <row r="529" spans="1:12" x14ac:dyDescent="0.35">
      <c r="A529" t="s">
        <v>12</v>
      </c>
      <c r="B529" t="s">
        <v>45</v>
      </c>
      <c r="C529" t="s">
        <v>14</v>
      </c>
      <c r="D529" t="s">
        <v>17</v>
      </c>
      <c r="E529" t="s">
        <v>14</v>
      </c>
      <c r="F529" t="s">
        <v>46</v>
      </c>
      <c r="G529" s="17">
        <v>46454</v>
      </c>
      <c r="H529" s="18">
        <v>1.5</v>
      </c>
      <c r="I529" t="s">
        <v>200</v>
      </c>
      <c r="J529" t="s">
        <v>196</v>
      </c>
      <c r="K529" s="18">
        <v>4.5</v>
      </c>
      <c r="L529" t="s">
        <v>197</v>
      </c>
    </row>
    <row r="530" spans="1:12" x14ac:dyDescent="0.35">
      <c r="A530" t="s">
        <v>12</v>
      </c>
      <c r="B530" t="s">
        <v>24</v>
      </c>
      <c r="C530" t="s">
        <v>14</v>
      </c>
      <c r="D530" t="s">
        <v>26</v>
      </c>
      <c r="E530" t="s">
        <v>14</v>
      </c>
      <c r="F530" t="s">
        <v>86</v>
      </c>
      <c r="G530" s="17">
        <v>46461</v>
      </c>
      <c r="H530" s="18">
        <v>6</v>
      </c>
      <c r="I530" t="s">
        <v>195</v>
      </c>
      <c r="J530" t="s">
        <v>196</v>
      </c>
      <c r="K530" s="18">
        <v>22</v>
      </c>
      <c r="L530" t="s">
        <v>197</v>
      </c>
    </row>
    <row r="531" spans="1:12" x14ac:dyDescent="0.35">
      <c r="A531" t="s">
        <v>12</v>
      </c>
      <c r="B531" t="s">
        <v>45</v>
      </c>
      <c r="C531" t="s">
        <v>14</v>
      </c>
      <c r="D531" t="s">
        <v>17</v>
      </c>
      <c r="E531" t="s">
        <v>14</v>
      </c>
      <c r="F531" t="s">
        <v>46</v>
      </c>
      <c r="G531" s="17">
        <v>46461</v>
      </c>
      <c r="H531" s="18">
        <v>1.5</v>
      </c>
      <c r="I531" t="s">
        <v>200</v>
      </c>
      <c r="J531" t="s">
        <v>196</v>
      </c>
      <c r="K531" s="18">
        <v>4.5</v>
      </c>
      <c r="L531" t="s">
        <v>197</v>
      </c>
    </row>
  </sheetData>
  <autoFilter ref="A1:L53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554"/>
  <sheetViews>
    <sheetView showGridLines="0" tabSelected="1" zoomScaleNormal="100" workbookViewId="0"/>
  </sheetViews>
  <sheetFormatPr defaultColWidth="8.6328125" defaultRowHeight="15" customHeight="1" x14ac:dyDescent="0.35"/>
  <cols>
    <col min="1" max="1" width="8" customWidth="1"/>
    <col min="2" max="2" width="50" customWidth="1"/>
    <col min="3" max="3" width="26" customWidth="1"/>
    <col min="4" max="4" width="24" customWidth="1"/>
    <col min="5" max="5" width="16" customWidth="1"/>
    <col min="6" max="6" width="42" customWidth="1"/>
    <col min="7" max="7" width="16" customWidth="1"/>
    <col min="8" max="8" width="14" customWidth="1"/>
    <col min="9" max="9" width="18" customWidth="1"/>
    <col min="10" max="10" width="12" customWidth="1"/>
    <col min="11" max="136" width="13" customWidth="1"/>
  </cols>
  <sheetData>
    <row r="1" spans="1:136" ht="28" x14ac:dyDescent="0.35">
      <c r="A1" s="19" t="s">
        <v>64</v>
      </c>
      <c r="B1" s="19" t="s">
        <v>2</v>
      </c>
      <c r="C1" s="19" t="s">
        <v>204</v>
      </c>
      <c r="D1" s="19" t="s">
        <v>205</v>
      </c>
      <c r="E1" s="19" t="s">
        <v>3</v>
      </c>
      <c r="F1" s="19" t="s">
        <v>66</v>
      </c>
      <c r="G1" s="19" t="s">
        <v>67</v>
      </c>
      <c r="H1" s="19" t="s">
        <v>68</v>
      </c>
      <c r="I1" s="19" t="s">
        <v>69</v>
      </c>
      <c r="J1" s="19" t="s">
        <v>70</v>
      </c>
      <c r="K1" s="19" t="s">
        <v>206</v>
      </c>
      <c r="L1" s="19" t="s">
        <v>207</v>
      </c>
      <c r="M1" s="19" t="s">
        <v>208</v>
      </c>
      <c r="N1" s="19" t="s">
        <v>209</v>
      </c>
      <c r="O1" s="19" t="s">
        <v>210</v>
      </c>
      <c r="P1" s="19" t="s">
        <v>211</v>
      </c>
      <c r="Q1" s="19" t="s">
        <v>212</v>
      </c>
      <c r="R1" s="19" t="s">
        <v>213</v>
      </c>
      <c r="S1" s="19" t="s">
        <v>214</v>
      </c>
      <c r="T1" s="19" t="s">
        <v>215</v>
      </c>
      <c r="U1" s="19" t="s">
        <v>216</v>
      </c>
      <c r="V1" s="19" t="s">
        <v>217</v>
      </c>
      <c r="W1" s="19" t="s">
        <v>218</v>
      </c>
      <c r="X1" s="19" t="s">
        <v>219</v>
      </c>
      <c r="Y1" s="19" t="s">
        <v>220</v>
      </c>
      <c r="Z1" s="19" t="s">
        <v>221</v>
      </c>
      <c r="AA1" s="19" t="s">
        <v>222</v>
      </c>
      <c r="AB1" s="19" t="s">
        <v>223</v>
      </c>
      <c r="AC1" s="19" t="s">
        <v>224</v>
      </c>
      <c r="AD1" s="19" t="s">
        <v>225</v>
      </c>
      <c r="AE1" s="19" t="s">
        <v>226</v>
      </c>
      <c r="AF1" s="19" t="s">
        <v>227</v>
      </c>
      <c r="AG1" s="19" t="s">
        <v>228</v>
      </c>
      <c r="AH1" s="19" t="s">
        <v>229</v>
      </c>
      <c r="AI1" s="19" t="s">
        <v>230</v>
      </c>
      <c r="AJ1" s="19" t="s">
        <v>231</v>
      </c>
      <c r="AK1" s="19" t="s">
        <v>232</v>
      </c>
      <c r="AL1" s="19" t="s">
        <v>233</v>
      </c>
      <c r="AM1" s="19" t="s">
        <v>234</v>
      </c>
      <c r="AN1" s="19" t="s">
        <v>235</v>
      </c>
      <c r="AO1" s="19" t="s">
        <v>236</v>
      </c>
      <c r="AP1" s="19" t="s">
        <v>237</v>
      </c>
      <c r="AQ1" s="19" t="s">
        <v>238</v>
      </c>
      <c r="AR1" s="19" t="s">
        <v>239</v>
      </c>
      <c r="AS1" s="19" t="s">
        <v>240</v>
      </c>
      <c r="AT1" s="19" t="s">
        <v>241</v>
      </c>
      <c r="AU1" s="19" t="s">
        <v>242</v>
      </c>
      <c r="AV1" s="19" t="s">
        <v>243</v>
      </c>
      <c r="AW1" s="19" t="s">
        <v>244</v>
      </c>
      <c r="AX1" s="19" t="s">
        <v>245</v>
      </c>
      <c r="AY1" s="19" t="s">
        <v>246</v>
      </c>
      <c r="AZ1" s="19" t="s">
        <v>247</v>
      </c>
      <c r="BA1" s="19" t="s">
        <v>248</v>
      </c>
      <c r="BB1" s="19" t="s">
        <v>249</v>
      </c>
      <c r="BC1" s="19" t="s">
        <v>250</v>
      </c>
      <c r="BD1" s="19" t="s">
        <v>251</v>
      </c>
      <c r="BE1" s="19" t="s">
        <v>252</v>
      </c>
      <c r="BF1" s="19" t="s">
        <v>253</v>
      </c>
      <c r="BG1" s="19" t="s">
        <v>254</v>
      </c>
      <c r="BH1" s="19" t="s">
        <v>255</v>
      </c>
      <c r="BI1" s="19" t="s">
        <v>256</v>
      </c>
      <c r="BJ1" s="19" t="s">
        <v>257</v>
      </c>
      <c r="BK1" s="19" t="s">
        <v>258</v>
      </c>
      <c r="BL1" s="19" t="s">
        <v>259</v>
      </c>
      <c r="BM1" s="19" t="s">
        <v>260</v>
      </c>
      <c r="BN1" s="19" t="s">
        <v>261</v>
      </c>
      <c r="BO1" s="19" t="s">
        <v>262</v>
      </c>
      <c r="BP1" s="19" t="s">
        <v>263</v>
      </c>
      <c r="BQ1" s="19" t="s">
        <v>264</v>
      </c>
      <c r="BR1" s="19" t="s">
        <v>265</v>
      </c>
      <c r="BS1" s="19" t="s">
        <v>266</v>
      </c>
      <c r="BT1" s="19" t="s">
        <v>267</v>
      </c>
      <c r="BU1" s="19" t="s">
        <v>268</v>
      </c>
      <c r="BV1" s="19" t="s">
        <v>269</v>
      </c>
      <c r="BW1" s="19" t="s">
        <v>270</v>
      </c>
      <c r="BX1" s="19" t="s">
        <v>271</v>
      </c>
      <c r="BY1" s="19" t="s">
        <v>272</v>
      </c>
      <c r="BZ1" s="19" t="s">
        <v>273</v>
      </c>
      <c r="CA1" s="19" t="s">
        <v>274</v>
      </c>
      <c r="CB1" s="19" t="s">
        <v>275</v>
      </c>
      <c r="CC1" s="19" t="s">
        <v>276</v>
      </c>
      <c r="CD1" s="19" t="s">
        <v>277</v>
      </c>
      <c r="CE1" s="19" t="s">
        <v>278</v>
      </c>
      <c r="CF1" s="19" t="s">
        <v>279</v>
      </c>
      <c r="CG1" s="19" t="s">
        <v>280</v>
      </c>
      <c r="CH1" s="19" t="s">
        <v>281</v>
      </c>
      <c r="CI1" s="19" t="s">
        <v>282</v>
      </c>
      <c r="CJ1" s="19" t="s">
        <v>283</v>
      </c>
      <c r="CK1" s="19" t="s">
        <v>284</v>
      </c>
      <c r="CL1" s="19" t="s">
        <v>285</v>
      </c>
      <c r="CM1" s="19" t="s">
        <v>286</v>
      </c>
      <c r="CN1" s="19" t="s">
        <v>287</v>
      </c>
      <c r="CO1" s="19" t="s">
        <v>288</v>
      </c>
      <c r="CP1" s="19" t="s">
        <v>289</v>
      </c>
      <c r="CQ1" s="19" t="s">
        <v>290</v>
      </c>
      <c r="CR1" s="19" t="s">
        <v>291</v>
      </c>
      <c r="CS1" s="19" t="s">
        <v>292</v>
      </c>
      <c r="CT1" s="19" t="s">
        <v>293</v>
      </c>
      <c r="CU1" s="19" t="s">
        <v>294</v>
      </c>
      <c r="CV1" s="19" t="s">
        <v>295</v>
      </c>
      <c r="CW1" s="19" t="s">
        <v>296</v>
      </c>
      <c r="CX1" s="19" t="s">
        <v>297</v>
      </c>
      <c r="CY1" s="19" t="s">
        <v>298</v>
      </c>
      <c r="CZ1" s="19" t="s">
        <v>299</v>
      </c>
      <c r="DA1" s="19" t="s">
        <v>300</v>
      </c>
      <c r="DB1" s="19" t="s">
        <v>301</v>
      </c>
      <c r="DC1" s="19" t="s">
        <v>302</v>
      </c>
      <c r="DD1" s="19" t="s">
        <v>303</v>
      </c>
      <c r="DE1" s="19" t="s">
        <v>304</v>
      </c>
      <c r="DF1" s="19" t="s">
        <v>305</v>
      </c>
      <c r="DG1" s="19" t="s">
        <v>306</v>
      </c>
      <c r="DH1" s="19" t="s">
        <v>307</v>
      </c>
      <c r="DI1" s="19" t="s">
        <v>308</v>
      </c>
      <c r="DJ1" s="19" t="s">
        <v>309</v>
      </c>
      <c r="DK1" s="19" t="s">
        <v>310</v>
      </c>
      <c r="DL1" s="19" t="s">
        <v>311</v>
      </c>
      <c r="DM1" s="19" t="s">
        <v>312</v>
      </c>
      <c r="DN1" s="19" t="s">
        <v>313</v>
      </c>
      <c r="DO1" s="19" t="s">
        <v>314</v>
      </c>
      <c r="DP1" s="19" t="s">
        <v>315</v>
      </c>
      <c r="DQ1" s="19" t="s">
        <v>316</v>
      </c>
      <c r="DR1" s="19" t="s">
        <v>317</v>
      </c>
      <c r="DS1" s="19" t="s">
        <v>318</v>
      </c>
      <c r="DT1" s="19" t="s">
        <v>319</v>
      </c>
      <c r="DU1" s="19" t="s">
        <v>320</v>
      </c>
      <c r="DV1" s="19" t="s">
        <v>321</v>
      </c>
      <c r="DW1" s="19" t="s">
        <v>322</v>
      </c>
      <c r="DX1" s="19" t="s">
        <v>323</v>
      </c>
      <c r="DY1" s="19" t="s">
        <v>324</v>
      </c>
      <c r="DZ1" s="19" t="s">
        <v>325</v>
      </c>
      <c r="EA1" s="19" t="s">
        <v>326</v>
      </c>
      <c r="EB1" s="19" t="s">
        <v>327</v>
      </c>
      <c r="EC1" s="19" t="s">
        <v>328</v>
      </c>
      <c r="ED1" s="19" t="s">
        <v>329</v>
      </c>
      <c r="EE1" s="19" t="s">
        <v>330</v>
      </c>
      <c r="EF1" s="19" t="s">
        <v>331</v>
      </c>
    </row>
    <row r="2" spans="1:136" ht="14.5" x14ac:dyDescent="0.35">
      <c r="A2" s="20" t="s">
        <v>29</v>
      </c>
      <c r="B2" s="20" t="s">
        <v>31</v>
      </c>
      <c r="C2" s="20" t="s">
        <v>31</v>
      </c>
      <c r="D2" s="20" t="s">
        <v>332</v>
      </c>
      <c r="E2" s="20" t="s">
        <v>14</v>
      </c>
      <c r="F2" s="20" t="s">
        <v>95</v>
      </c>
      <c r="G2" s="21">
        <v>51</v>
      </c>
      <c r="H2" s="21">
        <v>456</v>
      </c>
      <c r="I2" s="21">
        <v>405</v>
      </c>
      <c r="J2" s="21">
        <v>51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0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  <c r="BP2" s="21">
        <v>0</v>
      </c>
      <c r="BQ2" s="21">
        <v>0</v>
      </c>
      <c r="BR2" s="21">
        <v>0</v>
      </c>
      <c r="BS2" s="21">
        <v>0</v>
      </c>
      <c r="BT2" s="21">
        <v>0</v>
      </c>
      <c r="BU2" s="21">
        <v>0</v>
      </c>
      <c r="BV2" s="21">
        <v>0</v>
      </c>
      <c r="BW2" s="21">
        <v>0</v>
      </c>
      <c r="BX2" s="21">
        <v>0</v>
      </c>
      <c r="BY2" s="21">
        <v>0</v>
      </c>
      <c r="BZ2" s="21">
        <v>0</v>
      </c>
      <c r="CA2" s="21">
        <v>0</v>
      </c>
      <c r="CB2" s="21">
        <v>0</v>
      </c>
      <c r="CC2" s="21">
        <v>0</v>
      </c>
      <c r="CD2" s="21">
        <v>0</v>
      </c>
      <c r="CE2" s="21">
        <v>0</v>
      </c>
      <c r="CF2" s="21">
        <v>0</v>
      </c>
      <c r="CG2" s="21">
        <v>0</v>
      </c>
      <c r="CH2" s="21">
        <v>0</v>
      </c>
      <c r="CI2" s="21">
        <v>0</v>
      </c>
      <c r="CJ2" s="21">
        <v>0</v>
      </c>
      <c r="CK2" s="21">
        <v>0</v>
      </c>
      <c r="CL2" s="21">
        <v>0</v>
      </c>
      <c r="CM2" s="21">
        <v>0</v>
      </c>
      <c r="CN2" s="21">
        <v>0</v>
      </c>
      <c r="CO2" s="21">
        <v>0</v>
      </c>
      <c r="CP2" s="21">
        <v>0</v>
      </c>
      <c r="CQ2" s="21">
        <v>0</v>
      </c>
      <c r="CR2" s="21">
        <v>0</v>
      </c>
      <c r="CS2" s="21">
        <v>10</v>
      </c>
      <c r="CT2" s="21">
        <v>10</v>
      </c>
      <c r="CU2" s="21">
        <v>10</v>
      </c>
      <c r="CV2" s="21">
        <v>10</v>
      </c>
      <c r="CW2" s="21">
        <v>20</v>
      </c>
      <c r="CX2" s="21">
        <v>30</v>
      </c>
      <c r="CY2" s="21">
        <v>30</v>
      </c>
      <c r="CZ2" s="21">
        <v>20</v>
      </c>
      <c r="DA2" s="21">
        <v>20</v>
      </c>
      <c r="DB2" s="21">
        <v>10</v>
      </c>
      <c r="DC2" s="21">
        <v>10</v>
      </c>
      <c r="DD2" s="21">
        <v>10</v>
      </c>
      <c r="DE2" s="21">
        <v>10</v>
      </c>
      <c r="DF2" s="21">
        <v>0</v>
      </c>
      <c r="DG2" s="21">
        <v>0</v>
      </c>
      <c r="DH2" s="21">
        <v>0</v>
      </c>
      <c r="DI2" s="21">
        <v>0</v>
      </c>
      <c r="DJ2" s="21">
        <v>0</v>
      </c>
      <c r="DK2" s="21">
        <v>0</v>
      </c>
      <c r="DL2" s="21">
        <v>0</v>
      </c>
      <c r="DM2" s="21">
        <v>0</v>
      </c>
      <c r="DN2" s="21">
        <v>0</v>
      </c>
      <c r="DO2" s="21">
        <v>0</v>
      </c>
      <c r="DP2" s="21">
        <v>0</v>
      </c>
      <c r="DQ2" s="21">
        <v>0</v>
      </c>
      <c r="DR2" s="21">
        <v>5</v>
      </c>
      <c r="DS2" s="21">
        <v>25</v>
      </c>
      <c r="DT2" s="21">
        <v>25</v>
      </c>
      <c r="DU2" s="21">
        <v>25</v>
      </c>
      <c r="DV2" s="21">
        <v>25</v>
      </c>
      <c r="DW2" s="21">
        <v>25</v>
      </c>
      <c r="DX2" s="21">
        <v>25</v>
      </c>
      <c r="DY2" s="21">
        <v>25</v>
      </c>
      <c r="DZ2" s="21">
        <v>10</v>
      </c>
      <c r="EA2" s="21">
        <v>10</v>
      </c>
      <c r="EB2" s="21">
        <v>5</v>
      </c>
      <c r="EC2" s="21">
        <v>0</v>
      </c>
      <c r="ED2" s="21">
        <v>0</v>
      </c>
      <c r="EE2" s="21">
        <v>0</v>
      </c>
      <c r="EF2" s="21">
        <v>0</v>
      </c>
    </row>
    <row r="3" spans="1:136" ht="14.5" x14ac:dyDescent="0.35">
      <c r="A3" s="20" t="s">
        <v>29</v>
      </c>
      <c r="B3" s="20" t="s">
        <v>31</v>
      </c>
      <c r="C3" s="20" t="s">
        <v>31</v>
      </c>
      <c r="D3" s="20" t="s">
        <v>332</v>
      </c>
      <c r="E3" s="20" t="s">
        <v>14</v>
      </c>
      <c r="F3" s="20" t="s">
        <v>75</v>
      </c>
      <c r="G3" s="21">
        <v>318</v>
      </c>
      <c r="H3" s="21">
        <v>858</v>
      </c>
      <c r="I3" s="21">
        <v>689.5</v>
      </c>
      <c r="J3" s="21">
        <v>168.5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3.5</v>
      </c>
      <c r="AK3" s="21">
        <v>12</v>
      </c>
      <c r="AL3" s="21">
        <v>20</v>
      </c>
      <c r="AM3" s="21">
        <v>19</v>
      </c>
      <c r="AN3" s="21">
        <v>35</v>
      </c>
      <c r="AO3" s="21">
        <v>25</v>
      </c>
      <c r="AP3" s="21">
        <v>21</v>
      </c>
      <c r="AQ3" s="21">
        <v>17</v>
      </c>
      <c r="AR3" s="21">
        <v>23</v>
      </c>
      <c r="AS3" s="21">
        <v>6</v>
      </c>
      <c r="AT3" s="21">
        <v>0</v>
      </c>
      <c r="AU3" s="21">
        <v>0</v>
      </c>
      <c r="AV3" s="21">
        <v>0</v>
      </c>
      <c r="AW3" s="21">
        <v>0</v>
      </c>
      <c r="AX3" s="21">
        <v>0</v>
      </c>
      <c r="AY3" s="21">
        <v>0</v>
      </c>
      <c r="AZ3" s="21">
        <v>0</v>
      </c>
      <c r="BA3" s="21">
        <v>0</v>
      </c>
      <c r="BB3" s="21">
        <v>0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  <c r="BP3" s="21">
        <v>0</v>
      </c>
      <c r="BQ3" s="21">
        <v>0</v>
      </c>
      <c r="BR3" s="21">
        <v>0</v>
      </c>
      <c r="BS3" s="21">
        <v>0</v>
      </c>
      <c r="BT3" s="21">
        <v>0</v>
      </c>
      <c r="BU3" s="21">
        <v>0</v>
      </c>
      <c r="BV3" s="21">
        <v>0</v>
      </c>
      <c r="BW3" s="21">
        <v>0</v>
      </c>
      <c r="BX3" s="21">
        <v>0</v>
      </c>
      <c r="BY3" s="21">
        <v>0</v>
      </c>
      <c r="BZ3" s="21">
        <v>0</v>
      </c>
      <c r="CA3" s="21">
        <v>0</v>
      </c>
      <c r="CB3" s="21">
        <v>0</v>
      </c>
      <c r="CC3" s="21">
        <v>0</v>
      </c>
      <c r="CD3" s="21">
        <v>0</v>
      </c>
      <c r="CE3" s="21">
        <v>0</v>
      </c>
      <c r="CF3" s="21">
        <v>0</v>
      </c>
      <c r="CG3" s="21">
        <v>0</v>
      </c>
      <c r="CH3" s="21">
        <v>0</v>
      </c>
      <c r="CI3" s="21">
        <v>0</v>
      </c>
      <c r="CJ3" s="21">
        <v>0</v>
      </c>
      <c r="CK3" s="21">
        <v>0</v>
      </c>
      <c r="CL3" s="21">
        <v>0</v>
      </c>
      <c r="CM3" s="21">
        <v>0</v>
      </c>
      <c r="CN3" s="21">
        <v>0</v>
      </c>
      <c r="CO3" s="21">
        <v>0</v>
      </c>
      <c r="CP3" s="21">
        <v>0</v>
      </c>
      <c r="CQ3" s="21">
        <v>0</v>
      </c>
      <c r="CR3" s="21">
        <v>0</v>
      </c>
      <c r="CS3" s="21">
        <v>8</v>
      </c>
      <c r="CT3" s="21">
        <v>8</v>
      </c>
      <c r="CU3" s="21">
        <v>8</v>
      </c>
      <c r="CV3" s="21">
        <v>5</v>
      </c>
      <c r="CW3" s="21">
        <v>5</v>
      </c>
      <c r="CX3" s="21">
        <v>5</v>
      </c>
      <c r="CY3" s="21">
        <v>20</v>
      </c>
      <c r="CZ3" s="21">
        <v>20</v>
      </c>
      <c r="DA3" s="21">
        <v>20</v>
      </c>
      <c r="DB3" s="21">
        <v>5</v>
      </c>
      <c r="DC3" s="21">
        <v>5</v>
      </c>
      <c r="DD3" s="21">
        <v>5</v>
      </c>
      <c r="DE3" s="21">
        <v>15</v>
      </c>
      <c r="DF3" s="21">
        <v>15</v>
      </c>
      <c r="DG3" s="21">
        <v>15</v>
      </c>
      <c r="DH3" s="21">
        <v>15</v>
      </c>
      <c r="DI3" s="21">
        <v>0</v>
      </c>
      <c r="DJ3" s="21">
        <v>0</v>
      </c>
      <c r="DK3" s="21">
        <v>20</v>
      </c>
      <c r="DL3" s="21">
        <v>40</v>
      </c>
      <c r="DM3" s="21">
        <v>55</v>
      </c>
      <c r="DN3" s="21">
        <v>50</v>
      </c>
      <c r="DO3" s="21">
        <v>50</v>
      </c>
      <c r="DP3" s="21">
        <v>55</v>
      </c>
      <c r="DQ3" s="21">
        <v>50</v>
      </c>
      <c r="DR3" s="21">
        <v>20</v>
      </c>
      <c r="DS3" s="21">
        <v>0</v>
      </c>
      <c r="DT3" s="21">
        <v>0</v>
      </c>
      <c r="DU3" s="21">
        <v>0</v>
      </c>
      <c r="DV3" s="21">
        <v>0</v>
      </c>
      <c r="DW3" s="21">
        <v>0</v>
      </c>
      <c r="DX3" s="21">
        <v>0</v>
      </c>
      <c r="DY3" s="21">
        <v>0</v>
      </c>
      <c r="DZ3" s="21">
        <v>0</v>
      </c>
      <c r="EA3" s="21">
        <v>0</v>
      </c>
      <c r="EB3" s="21">
        <v>0</v>
      </c>
      <c r="EC3" s="21">
        <v>0</v>
      </c>
      <c r="ED3" s="21">
        <v>0</v>
      </c>
      <c r="EE3" s="21">
        <v>0</v>
      </c>
      <c r="EF3" s="21">
        <v>0</v>
      </c>
    </row>
    <row r="4" spans="1:136" ht="14.5" x14ac:dyDescent="0.35">
      <c r="A4" s="20" t="s">
        <v>29</v>
      </c>
      <c r="B4" s="20" t="s">
        <v>31</v>
      </c>
      <c r="C4" s="20" t="s">
        <v>31</v>
      </c>
      <c r="D4" s="20" t="s">
        <v>333</v>
      </c>
      <c r="E4" s="20" t="s">
        <v>14</v>
      </c>
      <c r="F4" s="20" t="s">
        <v>75</v>
      </c>
      <c r="G4" s="21">
        <v>0</v>
      </c>
      <c r="H4" s="21">
        <v>0</v>
      </c>
      <c r="I4" s="21">
        <v>71</v>
      </c>
      <c r="J4" s="21">
        <v>-71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3</v>
      </c>
      <c r="AE4" s="21">
        <v>2</v>
      </c>
      <c r="AF4" s="21">
        <v>10</v>
      </c>
      <c r="AG4" s="21">
        <v>18.5</v>
      </c>
      <c r="AH4" s="21">
        <v>15</v>
      </c>
      <c r="AI4" s="21">
        <v>6.5</v>
      </c>
      <c r="AJ4" s="21">
        <v>16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1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1">
        <v>0</v>
      </c>
      <c r="CG4" s="21">
        <v>0</v>
      </c>
      <c r="CH4" s="21">
        <v>0</v>
      </c>
      <c r="CI4" s="21">
        <v>0</v>
      </c>
      <c r="CJ4" s="21">
        <v>0</v>
      </c>
      <c r="CK4" s="21">
        <v>0</v>
      </c>
      <c r="CL4" s="21">
        <v>0</v>
      </c>
      <c r="CM4" s="21">
        <v>0</v>
      </c>
      <c r="CN4" s="21">
        <v>0</v>
      </c>
      <c r="CO4" s="21">
        <v>0</v>
      </c>
      <c r="CP4" s="21">
        <v>0</v>
      </c>
      <c r="CQ4" s="21">
        <v>0</v>
      </c>
      <c r="CR4" s="21">
        <v>0</v>
      </c>
      <c r="CS4" s="21">
        <v>0</v>
      </c>
      <c r="CT4" s="21">
        <v>0</v>
      </c>
      <c r="CU4" s="21">
        <v>0</v>
      </c>
      <c r="CV4" s="21">
        <v>0</v>
      </c>
      <c r="CW4" s="21">
        <v>0</v>
      </c>
      <c r="CX4" s="21">
        <v>0</v>
      </c>
      <c r="CY4" s="21">
        <v>0</v>
      </c>
      <c r="CZ4" s="21">
        <v>0</v>
      </c>
      <c r="DA4" s="21">
        <v>0</v>
      </c>
      <c r="DB4" s="21">
        <v>0</v>
      </c>
      <c r="DC4" s="21">
        <v>0</v>
      </c>
      <c r="DD4" s="21">
        <v>0</v>
      </c>
      <c r="DE4" s="21">
        <v>0</v>
      </c>
      <c r="DF4" s="21">
        <v>0</v>
      </c>
      <c r="DG4" s="21">
        <v>0</v>
      </c>
      <c r="DH4" s="21">
        <v>0</v>
      </c>
      <c r="DI4" s="21">
        <v>0</v>
      </c>
      <c r="DJ4" s="21">
        <v>0</v>
      </c>
      <c r="DK4" s="21">
        <v>0</v>
      </c>
      <c r="DL4" s="21">
        <v>0</v>
      </c>
      <c r="DM4" s="21">
        <v>0</v>
      </c>
      <c r="DN4" s="21">
        <v>0</v>
      </c>
      <c r="DO4" s="21">
        <v>0</v>
      </c>
      <c r="DP4" s="21">
        <v>0</v>
      </c>
      <c r="DQ4" s="21">
        <v>0</v>
      </c>
      <c r="DR4" s="21">
        <v>0</v>
      </c>
      <c r="DS4" s="21">
        <v>0</v>
      </c>
      <c r="DT4" s="21">
        <v>0</v>
      </c>
      <c r="DU4" s="21">
        <v>0</v>
      </c>
      <c r="DV4" s="21">
        <v>0</v>
      </c>
      <c r="DW4" s="21">
        <v>0</v>
      </c>
      <c r="DX4" s="21">
        <v>0</v>
      </c>
      <c r="DY4" s="21">
        <v>0</v>
      </c>
      <c r="DZ4" s="21">
        <v>0</v>
      </c>
      <c r="EA4" s="21">
        <v>0</v>
      </c>
      <c r="EB4" s="21">
        <v>0</v>
      </c>
      <c r="EC4" s="21">
        <v>0</v>
      </c>
      <c r="ED4" s="21">
        <v>0</v>
      </c>
      <c r="EE4" s="21">
        <v>0</v>
      </c>
      <c r="EF4" s="21">
        <v>0</v>
      </c>
    </row>
    <row r="5" spans="1:136" ht="14.5" x14ac:dyDescent="0.35">
      <c r="A5" s="20" t="s">
        <v>29</v>
      </c>
      <c r="B5" s="20" t="s">
        <v>144</v>
      </c>
      <c r="C5" s="20" t="s">
        <v>144</v>
      </c>
      <c r="D5" s="20" t="s">
        <v>332</v>
      </c>
      <c r="E5" s="20" t="s">
        <v>14</v>
      </c>
      <c r="F5" s="20" t="s">
        <v>95</v>
      </c>
      <c r="G5" s="21">
        <v>0</v>
      </c>
      <c r="H5" s="21">
        <v>200</v>
      </c>
      <c r="I5" s="21">
        <v>200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1">
        <v>0</v>
      </c>
      <c r="CG5" s="21">
        <v>0</v>
      </c>
      <c r="CH5" s="21">
        <v>0</v>
      </c>
      <c r="CI5" s="21">
        <v>0</v>
      </c>
      <c r="CJ5" s="21">
        <v>0</v>
      </c>
      <c r="CK5" s="21">
        <v>0</v>
      </c>
      <c r="CL5" s="21">
        <v>0</v>
      </c>
      <c r="CM5" s="21">
        <v>0</v>
      </c>
      <c r="CN5" s="21">
        <v>0</v>
      </c>
      <c r="CO5" s="21">
        <v>0</v>
      </c>
      <c r="CP5" s="21">
        <v>0</v>
      </c>
      <c r="CQ5" s="21">
        <v>0</v>
      </c>
      <c r="CR5" s="21">
        <v>0</v>
      </c>
      <c r="CS5" s="21">
        <v>0</v>
      </c>
      <c r="CT5" s="21">
        <v>0</v>
      </c>
      <c r="CU5" s="21">
        <v>0</v>
      </c>
      <c r="CV5" s="21">
        <v>0</v>
      </c>
      <c r="CW5" s="21">
        <v>0</v>
      </c>
      <c r="CX5" s="21">
        <v>0</v>
      </c>
      <c r="CY5" s="21">
        <v>0</v>
      </c>
      <c r="CZ5" s="21">
        <v>0</v>
      </c>
      <c r="DA5" s="21">
        <v>0</v>
      </c>
      <c r="DB5" s="21">
        <v>0</v>
      </c>
      <c r="DC5" s="21">
        <v>0</v>
      </c>
      <c r="DD5" s="21">
        <v>0</v>
      </c>
      <c r="DE5" s="21">
        <v>0</v>
      </c>
      <c r="DF5" s="21">
        <v>0</v>
      </c>
      <c r="DG5" s="21">
        <v>0</v>
      </c>
      <c r="DH5" s="21">
        <v>0</v>
      </c>
      <c r="DI5" s="21">
        <v>0</v>
      </c>
      <c r="DJ5" s="21">
        <v>0</v>
      </c>
      <c r="DK5" s="21">
        <v>0</v>
      </c>
      <c r="DL5" s="21">
        <v>0</v>
      </c>
      <c r="DM5" s="21">
        <v>0</v>
      </c>
      <c r="DN5" s="21">
        <v>0</v>
      </c>
      <c r="DO5" s="21">
        <v>0</v>
      </c>
      <c r="DP5" s="21">
        <v>0</v>
      </c>
      <c r="DQ5" s="21">
        <v>0</v>
      </c>
      <c r="DR5" s="21">
        <v>5</v>
      </c>
      <c r="DS5" s="21">
        <v>25</v>
      </c>
      <c r="DT5" s="21">
        <v>25</v>
      </c>
      <c r="DU5" s="21">
        <v>25</v>
      </c>
      <c r="DV5" s="21">
        <v>25</v>
      </c>
      <c r="DW5" s="21">
        <v>25</v>
      </c>
      <c r="DX5" s="21">
        <v>25</v>
      </c>
      <c r="DY5" s="21">
        <v>25</v>
      </c>
      <c r="DZ5" s="21">
        <v>10</v>
      </c>
      <c r="EA5" s="21">
        <v>10</v>
      </c>
      <c r="EB5" s="21">
        <v>0</v>
      </c>
      <c r="EC5" s="21">
        <v>0</v>
      </c>
      <c r="ED5" s="21">
        <v>0</v>
      </c>
      <c r="EE5" s="21">
        <v>0</v>
      </c>
      <c r="EF5" s="21">
        <v>0</v>
      </c>
    </row>
    <row r="6" spans="1:136" ht="14.5" x14ac:dyDescent="0.35">
      <c r="A6" s="20" t="s">
        <v>29</v>
      </c>
      <c r="B6" s="20" t="s">
        <v>144</v>
      </c>
      <c r="C6" s="20" t="s">
        <v>144</v>
      </c>
      <c r="D6" s="20" t="s">
        <v>332</v>
      </c>
      <c r="E6" s="20" t="s">
        <v>14</v>
      </c>
      <c r="F6" s="20" t="s">
        <v>75</v>
      </c>
      <c r="G6" s="21">
        <v>308</v>
      </c>
      <c r="H6" s="21">
        <v>888</v>
      </c>
      <c r="I6" s="21">
        <v>602</v>
      </c>
      <c r="J6" s="21">
        <v>286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15</v>
      </c>
      <c r="AK6" s="21">
        <v>28</v>
      </c>
      <c r="AL6" s="21">
        <v>3</v>
      </c>
      <c r="AM6" s="21">
        <v>3</v>
      </c>
      <c r="AN6" s="21">
        <v>26</v>
      </c>
      <c r="AO6" s="21">
        <v>17.5</v>
      </c>
      <c r="AP6" s="21">
        <v>3.5</v>
      </c>
      <c r="AQ6" s="21">
        <v>0</v>
      </c>
      <c r="AR6" s="21">
        <v>1</v>
      </c>
      <c r="AS6" s="21">
        <v>2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1">
        <v>0</v>
      </c>
      <c r="CG6" s="21">
        <v>0</v>
      </c>
      <c r="CH6" s="21">
        <v>0</v>
      </c>
      <c r="CI6" s="21">
        <v>0</v>
      </c>
      <c r="CJ6" s="21">
        <v>0</v>
      </c>
      <c r="CK6" s="21">
        <v>0</v>
      </c>
      <c r="CL6" s="21">
        <v>0</v>
      </c>
      <c r="CM6" s="21">
        <v>0</v>
      </c>
      <c r="CN6" s="21">
        <v>0</v>
      </c>
      <c r="CO6" s="21">
        <v>0</v>
      </c>
      <c r="CP6" s="21">
        <v>0</v>
      </c>
      <c r="CQ6" s="21">
        <v>0</v>
      </c>
      <c r="CR6" s="21">
        <v>0</v>
      </c>
      <c r="CS6" s="21">
        <v>5</v>
      </c>
      <c r="CT6" s="21">
        <v>0</v>
      </c>
      <c r="CU6" s="21">
        <v>0</v>
      </c>
      <c r="CV6" s="21">
        <v>5</v>
      </c>
      <c r="CW6" s="21">
        <v>5</v>
      </c>
      <c r="CX6" s="21">
        <v>5</v>
      </c>
      <c r="CY6" s="21">
        <v>20</v>
      </c>
      <c r="CZ6" s="21">
        <v>20</v>
      </c>
      <c r="DA6" s="21">
        <v>20</v>
      </c>
      <c r="DB6" s="21">
        <v>5</v>
      </c>
      <c r="DC6" s="21">
        <v>5</v>
      </c>
      <c r="DD6" s="21">
        <v>5</v>
      </c>
      <c r="DE6" s="21">
        <v>15</v>
      </c>
      <c r="DF6" s="21">
        <v>15</v>
      </c>
      <c r="DG6" s="21">
        <v>15</v>
      </c>
      <c r="DH6" s="21">
        <v>15</v>
      </c>
      <c r="DI6" s="21">
        <v>0</v>
      </c>
      <c r="DJ6" s="21">
        <v>0</v>
      </c>
      <c r="DK6" s="21">
        <v>20</v>
      </c>
      <c r="DL6" s="21">
        <v>40</v>
      </c>
      <c r="DM6" s="21">
        <v>55</v>
      </c>
      <c r="DN6" s="21">
        <v>55</v>
      </c>
      <c r="DO6" s="21">
        <v>55</v>
      </c>
      <c r="DP6" s="21">
        <v>55</v>
      </c>
      <c r="DQ6" s="21">
        <v>50</v>
      </c>
      <c r="DR6" s="21">
        <v>20</v>
      </c>
      <c r="DS6" s="21">
        <v>0</v>
      </c>
      <c r="DT6" s="21">
        <v>0</v>
      </c>
      <c r="DU6" s="21">
        <v>0</v>
      </c>
      <c r="DV6" s="21">
        <v>0</v>
      </c>
      <c r="DW6" s="21">
        <v>0</v>
      </c>
      <c r="DX6" s="21">
        <v>0</v>
      </c>
      <c r="DY6" s="21">
        <v>0</v>
      </c>
      <c r="DZ6" s="21">
        <v>0</v>
      </c>
      <c r="EA6" s="21">
        <v>0</v>
      </c>
      <c r="EB6" s="21">
        <v>0</v>
      </c>
      <c r="EC6" s="21">
        <v>0</v>
      </c>
      <c r="ED6" s="21">
        <v>0</v>
      </c>
      <c r="EE6" s="21">
        <v>0</v>
      </c>
      <c r="EF6" s="21">
        <v>0</v>
      </c>
    </row>
    <row r="7" spans="1:136" ht="14.5" x14ac:dyDescent="0.35">
      <c r="A7" s="20" t="s">
        <v>29</v>
      </c>
      <c r="B7" s="20" t="s">
        <v>144</v>
      </c>
      <c r="C7" s="20" t="s">
        <v>144</v>
      </c>
      <c r="D7" s="20" t="s">
        <v>333</v>
      </c>
      <c r="E7" s="20" t="s">
        <v>14</v>
      </c>
      <c r="F7" s="20" t="s">
        <v>75</v>
      </c>
      <c r="G7" s="21">
        <v>0</v>
      </c>
      <c r="H7" s="21">
        <v>0</v>
      </c>
      <c r="I7" s="21">
        <v>133.5</v>
      </c>
      <c r="J7" s="21">
        <v>-133.5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19</v>
      </c>
      <c r="AE7" s="21">
        <v>8</v>
      </c>
      <c r="AF7" s="21">
        <v>9</v>
      </c>
      <c r="AG7" s="21">
        <v>29.5</v>
      </c>
      <c r="AH7" s="21">
        <v>27</v>
      </c>
      <c r="AI7" s="21">
        <v>29</v>
      </c>
      <c r="AJ7" s="21">
        <v>12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1">
        <v>0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0</v>
      </c>
      <c r="DK7" s="21">
        <v>0</v>
      </c>
      <c r="DL7" s="21">
        <v>0</v>
      </c>
      <c r="DM7" s="21">
        <v>0</v>
      </c>
      <c r="DN7" s="21">
        <v>0</v>
      </c>
      <c r="DO7" s="21">
        <v>0</v>
      </c>
      <c r="DP7" s="21">
        <v>0</v>
      </c>
      <c r="DQ7" s="21">
        <v>0</v>
      </c>
      <c r="DR7" s="21">
        <v>0</v>
      </c>
      <c r="DS7" s="21">
        <v>0</v>
      </c>
      <c r="DT7" s="21">
        <v>0</v>
      </c>
      <c r="DU7" s="21">
        <v>0</v>
      </c>
      <c r="DV7" s="21">
        <v>0</v>
      </c>
      <c r="DW7" s="21">
        <v>0</v>
      </c>
      <c r="DX7" s="21">
        <v>0</v>
      </c>
      <c r="DY7" s="21">
        <v>0</v>
      </c>
      <c r="DZ7" s="21">
        <v>0</v>
      </c>
      <c r="EA7" s="21">
        <v>0</v>
      </c>
      <c r="EB7" s="21">
        <v>0</v>
      </c>
      <c r="EC7" s="21">
        <v>0</v>
      </c>
      <c r="ED7" s="21">
        <v>0</v>
      </c>
      <c r="EE7" s="21">
        <v>0</v>
      </c>
      <c r="EF7" s="21">
        <v>0</v>
      </c>
    </row>
    <row r="8" spans="1:136" ht="14.5" x14ac:dyDescent="0.35">
      <c r="A8" s="20" t="s">
        <v>29</v>
      </c>
      <c r="B8" s="20" t="s">
        <v>35</v>
      </c>
      <c r="C8" s="20" t="s">
        <v>35</v>
      </c>
      <c r="D8" s="20" t="s">
        <v>334</v>
      </c>
      <c r="E8" s="20" t="s">
        <v>10</v>
      </c>
      <c r="F8" s="20" t="s">
        <v>95</v>
      </c>
      <c r="G8" s="21">
        <v>0</v>
      </c>
      <c r="H8" s="21">
        <v>265</v>
      </c>
      <c r="I8" s="21">
        <v>265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0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0</v>
      </c>
      <c r="DH8" s="21">
        <v>0</v>
      </c>
      <c r="DI8" s="21">
        <v>0</v>
      </c>
      <c r="DJ8" s="21">
        <v>0</v>
      </c>
      <c r="DK8" s="21">
        <v>0</v>
      </c>
      <c r="DL8" s="21">
        <v>0</v>
      </c>
      <c r="DM8" s="21">
        <v>0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25</v>
      </c>
      <c r="DT8" s="21">
        <v>40</v>
      </c>
      <c r="DU8" s="21">
        <v>30</v>
      </c>
      <c r="DV8" s="21">
        <v>30</v>
      </c>
      <c r="DW8" s="21">
        <v>25</v>
      </c>
      <c r="DX8" s="21">
        <v>25</v>
      </c>
      <c r="DY8" s="21">
        <v>25</v>
      </c>
      <c r="DZ8" s="21">
        <v>25</v>
      </c>
      <c r="EA8" s="21">
        <v>20</v>
      </c>
      <c r="EB8" s="21">
        <v>15</v>
      </c>
      <c r="EC8" s="21">
        <v>5</v>
      </c>
      <c r="ED8" s="21">
        <v>0</v>
      </c>
      <c r="EE8" s="21">
        <v>0</v>
      </c>
      <c r="EF8" s="21">
        <v>0</v>
      </c>
    </row>
    <row r="9" spans="1:136" ht="14.5" x14ac:dyDescent="0.35">
      <c r="A9" s="20" t="s">
        <v>29</v>
      </c>
      <c r="B9" s="20" t="s">
        <v>35</v>
      </c>
      <c r="C9" s="20" t="s">
        <v>35</v>
      </c>
      <c r="D9" s="20" t="s">
        <v>334</v>
      </c>
      <c r="E9" s="20" t="s">
        <v>10</v>
      </c>
      <c r="F9" s="20" t="s">
        <v>75</v>
      </c>
      <c r="G9" s="21">
        <v>275</v>
      </c>
      <c r="H9" s="21">
        <v>1065</v>
      </c>
      <c r="I9" s="21">
        <v>930</v>
      </c>
      <c r="J9" s="21">
        <v>135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14</v>
      </c>
      <c r="AK9" s="21">
        <v>0</v>
      </c>
      <c r="AL9" s="21">
        <v>26</v>
      </c>
      <c r="AM9" s="21">
        <v>25</v>
      </c>
      <c r="AN9" s="21">
        <v>22</v>
      </c>
      <c r="AO9" s="21">
        <v>18</v>
      </c>
      <c r="AP9" s="21">
        <v>13</v>
      </c>
      <c r="AQ9" s="21">
        <v>8</v>
      </c>
      <c r="AR9" s="21">
        <v>14</v>
      </c>
      <c r="AS9" s="21">
        <v>6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20</v>
      </c>
      <c r="CT9" s="21">
        <v>20</v>
      </c>
      <c r="CU9" s="21">
        <v>20</v>
      </c>
      <c r="CV9" s="21">
        <v>20</v>
      </c>
      <c r="CW9" s="21">
        <v>35</v>
      </c>
      <c r="CX9" s="21">
        <v>30</v>
      </c>
      <c r="CY9" s="21">
        <v>40</v>
      </c>
      <c r="CZ9" s="21">
        <v>40</v>
      </c>
      <c r="DA9" s="21">
        <v>40</v>
      </c>
      <c r="DB9" s="21">
        <v>20</v>
      </c>
      <c r="DC9" s="21">
        <v>15</v>
      </c>
      <c r="DD9" s="21">
        <v>15</v>
      </c>
      <c r="DE9" s="21">
        <v>15</v>
      </c>
      <c r="DF9" s="21">
        <v>15</v>
      </c>
      <c r="DG9" s="21">
        <v>15</v>
      </c>
      <c r="DH9" s="21">
        <v>3</v>
      </c>
      <c r="DI9" s="21">
        <v>2</v>
      </c>
      <c r="DJ9" s="21">
        <v>0</v>
      </c>
      <c r="DK9" s="21">
        <v>55</v>
      </c>
      <c r="DL9" s="21">
        <v>50</v>
      </c>
      <c r="DM9" s="21">
        <v>50</v>
      </c>
      <c r="DN9" s="21">
        <v>50</v>
      </c>
      <c r="DO9" s="21">
        <v>60</v>
      </c>
      <c r="DP9" s="21">
        <v>60</v>
      </c>
      <c r="DQ9" s="21">
        <v>60</v>
      </c>
      <c r="DR9" s="21">
        <v>40</v>
      </c>
      <c r="DS9" s="21">
        <v>0</v>
      </c>
      <c r="DT9" s="21">
        <v>0</v>
      </c>
      <c r="DU9" s="21">
        <v>0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0</v>
      </c>
      <c r="EC9" s="21">
        <v>0</v>
      </c>
      <c r="ED9" s="21">
        <v>0</v>
      </c>
      <c r="EE9" s="21">
        <v>0</v>
      </c>
      <c r="EF9" s="21">
        <v>0</v>
      </c>
    </row>
    <row r="10" spans="1:136" ht="14.5" x14ac:dyDescent="0.35">
      <c r="A10" s="20" t="s">
        <v>29</v>
      </c>
      <c r="B10" s="20" t="s">
        <v>35</v>
      </c>
      <c r="C10" s="20" t="s">
        <v>35</v>
      </c>
      <c r="D10" s="20" t="s">
        <v>335</v>
      </c>
      <c r="E10" s="20" t="s">
        <v>10</v>
      </c>
      <c r="F10" s="20" t="s">
        <v>75</v>
      </c>
      <c r="G10" s="21">
        <v>0</v>
      </c>
      <c r="H10" s="21">
        <v>0</v>
      </c>
      <c r="I10" s="21">
        <v>82</v>
      </c>
      <c r="J10" s="21">
        <v>-82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10</v>
      </c>
      <c r="AE10" s="21">
        <v>12</v>
      </c>
      <c r="AF10" s="21">
        <v>8</v>
      </c>
      <c r="AG10" s="21">
        <v>16.5</v>
      </c>
      <c r="AH10" s="21">
        <v>15.5</v>
      </c>
      <c r="AI10" s="21">
        <v>10</v>
      </c>
      <c r="AJ10" s="21">
        <v>10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0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</row>
    <row r="11" spans="1:136" ht="14.5" x14ac:dyDescent="0.35">
      <c r="A11" s="20" t="s">
        <v>29</v>
      </c>
      <c r="B11" s="20" t="s">
        <v>94</v>
      </c>
      <c r="C11" s="20" t="s">
        <v>94</v>
      </c>
      <c r="D11" s="20" t="s">
        <v>336</v>
      </c>
      <c r="E11" s="20" t="s">
        <v>16</v>
      </c>
      <c r="F11" s="20" t="s">
        <v>95</v>
      </c>
      <c r="G11" s="21">
        <v>0</v>
      </c>
      <c r="H11" s="21">
        <v>165</v>
      </c>
      <c r="I11" s="21">
        <v>183</v>
      </c>
      <c r="J11" s="21">
        <v>-18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1">
        <v>0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12</v>
      </c>
      <c r="DT11" s="21">
        <v>22</v>
      </c>
      <c r="DU11" s="21">
        <v>17</v>
      </c>
      <c r="DV11" s="21">
        <v>22</v>
      </c>
      <c r="DW11" s="21">
        <v>22</v>
      </c>
      <c r="DX11" s="21">
        <v>17</v>
      </c>
      <c r="DY11" s="21">
        <v>17</v>
      </c>
      <c r="DZ11" s="21">
        <v>17</v>
      </c>
      <c r="EA11" s="21">
        <v>17</v>
      </c>
      <c r="EB11" s="21">
        <v>15</v>
      </c>
      <c r="EC11" s="21">
        <v>5</v>
      </c>
      <c r="ED11" s="21">
        <v>0</v>
      </c>
      <c r="EE11" s="21">
        <v>0</v>
      </c>
      <c r="EF11" s="21">
        <v>0</v>
      </c>
    </row>
    <row r="12" spans="1:136" ht="14.5" x14ac:dyDescent="0.35">
      <c r="A12" s="20" t="s">
        <v>29</v>
      </c>
      <c r="B12" s="20" t="s">
        <v>94</v>
      </c>
      <c r="C12" s="20" t="s">
        <v>94</v>
      </c>
      <c r="D12" s="20" t="s">
        <v>336</v>
      </c>
      <c r="E12" s="20" t="s">
        <v>16</v>
      </c>
      <c r="F12" s="20" t="s">
        <v>75</v>
      </c>
      <c r="G12" s="21">
        <v>60</v>
      </c>
      <c r="H12" s="21">
        <v>398</v>
      </c>
      <c r="I12" s="21">
        <v>533.1</v>
      </c>
      <c r="J12" s="21">
        <v>-135.1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3</v>
      </c>
      <c r="AK12" s="21">
        <v>4</v>
      </c>
      <c r="AL12" s="21">
        <v>8</v>
      </c>
      <c r="AM12" s="21">
        <v>12</v>
      </c>
      <c r="AN12" s="21">
        <v>12</v>
      </c>
      <c r="AO12" s="21">
        <v>12</v>
      </c>
      <c r="AP12" s="21">
        <v>10</v>
      </c>
      <c r="AQ12" s="21">
        <v>3</v>
      </c>
      <c r="AR12" s="21">
        <v>15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0</v>
      </c>
      <c r="CQ12" s="21">
        <v>0</v>
      </c>
      <c r="CR12" s="21">
        <v>0</v>
      </c>
      <c r="CS12" s="21">
        <v>10</v>
      </c>
      <c r="CT12" s="21">
        <v>10</v>
      </c>
      <c r="CU12" s="21">
        <v>10</v>
      </c>
      <c r="CV12" s="21">
        <v>10</v>
      </c>
      <c r="CW12" s="21">
        <v>10</v>
      </c>
      <c r="CX12" s="21">
        <v>10.5</v>
      </c>
      <c r="CY12" s="21">
        <v>20.5</v>
      </c>
      <c r="CZ12" s="21">
        <v>20.5</v>
      </c>
      <c r="DA12" s="21">
        <v>20.5</v>
      </c>
      <c r="DB12" s="21">
        <v>10.5</v>
      </c>
      <c r="DC12" s="21">
        <v>10.5</v>
      </c>
      <c r="DD12" s="21">
        <v>10.5</v>
      </c>
      <c r="DE12" s="21">
        <v>10.5</v>
      </c>
      <c r="DF12" s="21">
        <v>0.5</v>
      </c>
      <c r="DG12" s="21">
        <v>0.5</v>
      </c>
      <c r="DH12" s="21">
        <v>3.5</v>
      </c>
      <c r="DI12" s="21">
        <v>0.5</v>
      </c>
      <c r="DJ12" s="21">
        <v>0</v>
      </c>
      <c r="DK12" s="21">
        <v>15</v>
      </c>
      <c r="DL12" s="21">
        <v>23</v>
      </c>
      <c r="DM12" s="21">
        <v>43</v>
      </c>
      <c r="DN12" s="21">
        <v>38</v>
      </c>
      <c r="DO12" s="21">
        <v>38</v>
      </c>
      <c r="DP12" s="21">
        <v>38</v>
      </c>
      <c r="DQ12" s="21">
        <v>30</v>
      </c>
      <c r="DR12" s="21">
        <v>35</v>
      </c>
      <c r="DS12" s="21">
        <v>0</v>
      </c>
      <c r="DT12" s="21">
        <v>1.5</v>
      </c>
      <c r="DU12" s="21">
        <v>6.5</v>
      </c>
      <c r="DV12" s="21">
        <v>2</v>
      </c>
      <c r="DW12" s="21">
        <v>2.8</v>
      </c>
      <c r="DX12" s="21">
        <v>2</v>
      </c>
      <c r="DY12" s="21">
        <v>8</v>
      </c>
      <c r="DZ12" s="21">
        <v>1.5</v>
      </c>
      <c r="EA12" s="21">
        <v>0.8</v>
      </c>
      <c r="EB12" s="21">
        <v>0</v>
      </c>
      <c r="EC12" s="21">
        <v>0</v>
      </c>
      <c r="ED12" s="21">
        <v>0</v>
      </c>
      <c r="EE12" s="21">
        <v>0</v>
      </c>
      <c r="EF12" s="21">
        <v>0</v>
      </c>
    </row>
    <row r="13" spans="1:136" ht="14.5" x14ac:dyDescent="0.35">
      <c r="A13" s="20" t="s">
        <v>29</v>
      </c>
      <c r="B13" s="20" t="s">
        <v>94</v>
      </c>
      <c r="C13" s="20" t="s">
        <v>94</v>
      </c>
      <c r="D13" s="20" t="s">
        <v>337</v>
      </c>
      <c r="E13" s="20" t="s">
        <v>16</v>
      </c>
      <c r="F13" s="20" t="s">
        <v>75</v>
      </c>
      <c r="G13" s="21">
        <v>0</v>
      </c>
      <c r="H13" s="21">
        <v>0</v>
      </c>
      <c r="I13" s="21">
        <v>7.5</v>
      </c>
      <c r="J13" s="21">
        <v>-7.5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1.5</v>
      </c>
      <c r="AI13" s="21">
        <v>4</v>
      </c>
      <c r="AJ13" s="21">
        <v>2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v>0</v>
      </c>
      <c r="EB13" s="21">
        <v>0</v>
      </c>
      <c r="EC13" s="21">
        <v>0</v>
      </c>
      <c r="ED13" s="21">
        <v>0</v>
      </c>
      <c r="EE13" s="21">
        <v>0</v>
      </c>
      <c r="EF13" s="21">
        <v>0</v>
      </c>
    </row>
    <row r="14" spans="1:136" ht="14.5" x14ac:dyDescent="0.35">
      <c r="A14" s="20" t="s">
        <v>29</v>
      </c>
      <c r="B14" s="20" t="s">
        <v>32</v>
      </c>
      <c r="C14" s="20" t="s">
        <v>32</v>
      </c>
      <c r="D14" s="20" t="s">
        <v>332</v>
      </c>
      <c r="E14" s="20" t="s">
        <v>14</v>
      </c>
      <c r="F14" s="20" t="s">
        <v>95</v>
      </c>
      <c r="G14" s="21">
        <v>50</v>
      </c>
      <c r="H14" s="21">
        <v>455</v>
      </c>
      <c r="I14" s="21">
        <v>474</v>
      </c>
      <c r="J14" s="21">
        <v>-19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4</v>
      </c>
      <c r="AK14" s="21">
        <v>10</v>
      </c>
      <c r="AL14" s="21">
        <v>10</v>
      </c>
      <c r="AM14" s="21">
        <v>0</v>
      </c>
      <c r="AN14" s="21">
        <v>3</v>
      </c>
      <c r="AO14" s="21">
        <v>12</v>
      </c>
      <c r="AP14" s="21">
        <v>5</v>
      </c>
      <c r="AQ14" s="21">
        <v>10</v>
      </c>
      <c r="AR14" s="21">
        <v>15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10</v>
      </c>
      <c r="CT14" s="21">
        <v>10</v>
      </c>
      <c r="CU14" s="21">
        <v>10</v>
      </c>
      <c r="CV14" s="21">
        <v>10</v>
      </c>
      <c r="CW14" s="21">
        <v>20</v>
      </c>
      <c r="CX14" s="21">
        <v>30</v>
      </c>
      <c r="CY14" s="21">
        <v>30</v>
      </c>
      <c r="CZ14" s="21">
        <v>20</v>
      </c>
      <c r="DA14" s="21">
        <v>20</v>
      </c>
      <c r="DB14" s="21">
        <v>10</v>
      </c>
      <c r="DC14" s="21">
        <v>10</v>
      </c>
      <c r="DD14" s="21">
        <v>10</v>
      </c>
      <c r="DE14" s="21">
        <v>10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0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5</v>
      </c>
      <c r="DS14" s="21">
        <v>25</v>
      </c>
      <c r="DT14" s="21">
        <v>25</v>
      </c>
      <c r="DU14" s="21">
        <v>25</v>
      </c>
      <c r="DV14" s="21">
        <v>25</v>
      </c>
      <c r="DW14" s="21">
        <v>25</v>
      </c>
      <c r="DX14" s="21">
        <v>25</v>
      </c>
      <c r="DY14" s="21">
        <v>25</v>
      </c>
      <c r="DZ14" s="21">
        <v>10</v>
      </c>
      <c r="EA14" s="21">
        <v>10</v>
      </c>
      <c r="EB14" s="21">
        <v>5</v>
      </c>
      <c r="EC14" s="21">
        <v>0</v>
      </c>
      <c r="ED14" s="21">
        <v>0</v>
      </c>
      <c r="EE14" s="21">
        <v>0</v>
      </c>
      <c r="EF14" s="21">
        <v>0</v>
      </c>
    </row>
    <row r="15" spans="1:136" ht="14.5" x14ac:dyDescent="0.35">
      <c r="A15" s="20" t="s">
        <v>29</v>
      </c>
      <c r="B15" s="20" t="s">
        <v>32</v>
      </c>
      <c r="C15" s="20" t="s">
        <v>32</v>
      </c>
      <c r="D15" s="20" t="s">
        <v>333</v>
      </c>
      <c r="E15" s="20" t="s">
        <v>14</v>
      </c>
      <c r="F15" s="20" t="s">
        <v>95</v>
      </c>
      <c r="G15" s="21">
        <v>0</v>
      </c>
      <c r="H15" s="21">
        <v>0</v>
      </c>
      <c r="I15" s="21">
        <v>74</v>
      </c>
      <c r="J15" s="21">
        <v>-74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9</v>
      </c>
      <c r="AE15" s="21">
        <v>0</v>
      </c>
      <c r="AF15" s="21">
        <v>14</v>
      </c>
      <c r="AG15" s="21">
        <v>26</v>
      </c>
      <c r="AH15" s="21">
        <v>11</v>
      </c>
      <c r="AI15" s="21">
        <v>8</v>
      </c>
      <c r="AJ15" s="21">
        <v>6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0</v>
      </c>
      <c r="DI15" s="21">
        <v>0</v>
      </c>
      <c r="DJ15" s="21">
        <v>0</v>
      </c>
      <c r="DK15" s="21">
        <v>0</v>
      </c>
      <c r="DL15" s="21">
        <v>0</v>
      </c>
      <c r="DM15" s="21">
        <v>0</v>
      </c>
      <c r="DN15" s="21">
        <v>0</v>
      </c>
      <c r="DO15" s="21">
        <v>0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v>0</v>
      </c>
      <c r="EB15" s="21">
        <v>0</v>
      </c>
      <c r="EC15" s="21">
        <v>0</v>
      </c>
      <c r="ED15" s="21">
        <v>0</v>
      </c>
      <c r="EE15" s="21">
        <v>0</v>
      </c>
      <c r="EF15" s="21">
        <v>0</v>
      </c>
    </row>
    <row r="16" spans="1:136" ht="14.5" x14ac:dyDescent="0.35">
      <c r="A16" s="20" t="s">
        <v>29</v>
      </c>
      <c r="B16" s="20" t="s">
        <v>32</v>
      </c>
      <c r="C16" s="20" t="s">
        <v>32</v>
      </c>
      <c r="D16" s="20" t="s">
        <v>332</v>
      </c>
      <c r="E16" s="20" t="s">
        <v>14</v>
      </c>
      <c r="F16" s="20" t="s">
        <v>75</v>
      </c>
      <c r="G16" s="21">
        <v>260</v>
      </c>
      <c r="H16" s="21">
        <v>800</v>
      </c>
      <c r="I16" s="21">
        <v>590.5</v>
      </c>
      <c r="J16" s="21">
        <v>209.5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4</v>
      </c>
      <c r="AK16" s="21">
        <v>3</v>
      </c>
      <c r="AL16" s="21">
        <v>13</v>
      </c>
      <c r="AM16" s="21">
        <v>5</v>
      </c>
      <c r="AN16" s="21">
        <v>14</v>
      </c>
      <c r="AO16" s="21">
        <v>20</v>
      </c>
      <c r="AP16" s="21">
        <v>23</v>
      </c>
      <c r="AQ16" s="21">
        <v>3.5</v>
      </c>
      <c r="AR16" s="21">
        <v>8</v>
      </c>
      <c r="AS16" s="21">
        <v>2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8</v>
      </c>
      <c r="CT16" s="21">
        <v>8</v>
      </c>
      <c r="CU16" s="21">
        <v>8</v>
      </c>
      <c r="CV16" s="21">
        <v>8</v>
      </c>
      <c r="CW16" s="21">
        <v>5</v>
      </c>
      <c r="CX16" s="21">
        <v>5</v>
      </c>
      <c r="CY16" s="21">
        <v>20</v>
      </c>
      <c r="CZ16" s="21">
        <v>20</v>
      </c>
      <c r="DA16" s="21">
        <v>20</v>
      </c>
      <c r="DB16" s="21">
        <v>5</v>
      </c>
      <c r="DC16" s="21">
        <v>5</v>
      </c>
      <c r="DD16" s="21">
        <v>5</v>
      </c>
      <c r="DE16" s="21">
        <v>5</v>
      </c>
      <c r="DF16" s="21">
        <v>5</v>
      </c>
      <c r="DG16" s="21">
        <v>5</v>
      </c>
      <c r="DH16" s="21">
        <v>5</v>
      </c>
      <c r="DI16" s="21">
        <v>0</v>
      </c>
      <c r="DJ16" s="21">
        <v>0</v>
      </c>
      <c r="DK16" s="21">
        <v>30</v>
      </c>
      <c r="DL16" s="21">
        <v>40</v>
      </c>
      <c r="DM16" s="21">
        <v>55</v>
      </c>
      <c r="DN16" s="21">
        <v>55</v>
      </c>
      <c r="DO16" s="21">
        <v>55</v>
      </c>
      <c r="DP16" s="21">
        <v>55</v>
      </c>
      <c r="DQ16" s="21">
        <v>50</v>
      </c>
      <c r="DR16" s="21">
        <v>20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0</v>
      </c>
      <c r="EC16" s="21">
        <v>0</v>
      </c>
      <c r="ED16" s="21">
        <v>0</v>
      </c>
      <c r="EE16" s="21">
        <v>0</v>
      </c>
      <c r="EF16" s="21">
        <v>0</v>
      </c>
    </row>
    <row r="17" spans="1:136" ht="14.5" x14ac:dyDescent="0.35">
      <c r="A17" s="20" t="s">
        <v>29</v>
      </c>
      <c r="B17" s="20" t="s">
        <v>32</v>
      </c>
      <c r="C17" s="20" t="s">
        <v>32</v>
      </c>
      <c r="D17" s="20" t="s">
        <v>333</v>
      </c>
      <c r="E17" s="20" t="s">
        <v>14</v>
      </c>
      <c r="F17" s="20" t="s">
        <v>75</v>
      </c>
      <c r="G17" s="21">
        <v>0</v>
      </c>
      <c r="H17" s="21">
        <v>0</v>
      </c>
      <c r="I17" s="21">
        <v>39.5</v>
      </c>
      <c r="J17" s="21">
        <v>-39.5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15</v>
      </c>
      <c r="AF17" s="21">
        <v>0</v>
      </c>
      <c r="AG17" s="21">
        <v>0</v>
      </c>
      <c r="AH17" s="21">
        <v>10.5</v>
      </c>
      <c r="AI17" s="21">
        <v>10</v>
      </c>
      <c r="AJ17" s="21">
        <v>4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0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0</v>
      </c>
      <c r="ED17" s="21">
        <v>0</v>
      </c>
      <c r="EE17" s="21">
        <v>0</v>
      </c>
      <c r="EF17" s="21">
        <v>0</v>
      </c>
    </row>
    <row r="18" spans="1:136" ht="14.5" x14ac:dyDescent="0.35">
      <c r="A18" s="20" t="s">
        <v>29</v>
      </c>
      <c r="B18" s="20" t="s">
        <v>28</v>
      </c>
      <c r="C18" s="20" t="s">
        <v>28</v>
      </c>
      <c r="D18" s="20" t="s">
        <v>334</v>
      </c>
      <c r="E18" s="20" t="s">
        <v>10</v>
      </c>
      <c r="F18" s="20" t="s">
        <v>95</v>
      </c>
      <c r="G18" s="21">
        <v>125</v>
      </c>
      <c r="H18" s="21">
        <v>565</v>
      </c>
      <c r="I18" s="21">
        <v>440.5</v>
      </c>
      <c r="J18" s="21">
        <v>124.5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5.5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5.5</v>
      </c>
      <c r="CT18" s="21">
        <v>5</v>
      </c>
      <c r="CU18" s="21">
        <v>5</v>
      </c>
      <c r="CV18" s="21">
        <v>5</v>
      </c>
      <c r="CW18" s="21">
        <v>15</v>
      </c>
      <c r="CX18" s="21">
        <v>10</v>
      </c>
      <c r="CY18" s="21">
        <v>20</v>
      </c>
      <c r="CZ18" s="21">
        <v>30</v>
      </c>
      <c r="DA18" s="21">
        <v>30</v>
      </c>
      <c r="DB18" s="21">
        <v>30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0</v>
      </c>
      <c r="DI18" s="21">
        <v>0</v>
      </c>
      <c r="DJ18" s="21">
        <v>0</v>
      </c>
      <c r="DK18" s="21">
        <v>0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25</v>
      </c>
      <c r="DT18" s="21">
        <v>40</v>
      </c>
      <c r="DU18" s="21">
        <v>30</v>
      </c>
      <c r="DV18" s="21">
        <v>30</v>
      </c>
      <c r="DW18" s="21">
        <v>30</v>
      </c>
      <c r="DX18" s="21">
        <v>30</v>
      </c>
      <c r="DY18" s="21">
        <v>30</v>
      </c>
      <c r="DZ18" s="21">
        <v>30</v>
      </c>
      <c r="EA18" s="21">
        <v>20</v>
      </c>
      <c r="EB18" s="21">
        <v>15</v>
      </c>
      <c r="EC18" s="21">
        <v>5</v>
      </c>
      <c r="ED18" s="21">
        <v>0</v>
      </c>
      <c r="EE18" s="21">
        <v>0</v>
      </c>
      <c r="EF18" s="21">
        <v>0</v>
      </c>
    </row>
    <row r="19" spans="1:136" ht="14.5" x14ac:dyDescent="0.35">
      <c r="A19" s="20" t="s">
        <v>29</v>
      </c>
      <c r="B19" s="20" t="s">
        <v>28</v>
      </c>
      <c r="C19" s="20" t="s">
        <v>28</v>
      </c>
      <c r="D19" s="20" t="s">
        <v>334</v>
      </c>
      <c r="E19" s="20" t="s">
        <v>10</v>
      </c>
      <c r="F19" s="20" t="s">
        <v>75</v>
      </c>
      <c r="G19" s="21">
        <v>210</v>
      </c>
      <c r="H19" s="21">
        <v>866</v>
      </c>
      <c r="I19" s="21">
        <v>837.5</v>
      </c>
      <c r="J19" s="21">
        <v>28.5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27</v>
      </c>
      <c r="AL19" s="21">
        <v>30.5</v>
      </c>
      <c r="AM19" s="21">
        <v>25.5</v>
      </c>
      <c r="AN19" s="21">
        <v>28.5</v>
      </c>
      <c r="AO19" s="21">
        <v>26</v>
      </c>
      <c r="AP19" s="21">
        <v>11.5</v>
      </c>
      <c r="AQ19" s="21">
        <v>16.5</v>
      </c>
      <c r="AR19" s="21">
        <v>16</v>
      </c>
      <c r="AS19" s="21">
        <v>0.5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20</v>
      </c>
      <c r="CT19" s="21">
        <v>20</v>
      </c>
      <c r="CU19" s="21">
        <v>20</v>
      </c>
      <c r="CV19" s="21">
        <v>20</v>
      </c>
      <c r="CW19" s="21">
        <v>30</v>
      </c>
      <c r="CX19" s="21">
        <v>30</v>
      </c>
      <c r="CY19" s="21">
        <v>20</v>
      </c>
      <c r="CZ19" s="21">
        <v>20</v>
      </c>
      <c r="DA19" s="21">
        <v>20</v>
      </c>
      <c r="DB19" s="21">
        <v>20</v>
      </c>
      <c r="DC19" s="21">
        <v>15</v>
      </c>
      <c r="DD19" s="21">
        <v>15</v>
      </c>
      <c r="DE19" s="21">
        <v>15</v>
      </c>
      <c r="DF19" s="21">
        <v>3</v>
      </c>
      <c r="DG19" s="21">
        <v>3</v>
      </c>
      <c r="DH19" s="21">
        <v>3</v>
      </c>
      <c r="DI19" s="21">
        <v>2</v>
      </c>
      <c r="DJ19" s="21">
        <v>0</v>
      </c>
      <c r="DK19" s="21">
        <v>10</v>
      </c>
      <c r="DL19" s="21">
        <v>50</v>
      </c>
      <c r="DM19" s="21">
        <v>50</v>
      </c>
      <c r="DN19" s="21">
        <v>50</v>
      </c>
      <c r="DO19" s="21">
        <v>60</v>
      </c>
      <c r="DP19" s="21">
        <v>60</v>
      </c>
      <c r="DQ19" s="21">
        <v>60</v>
      </c>
      <c r="DR19" s="21">
        <v>40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</row>
    <row r="20" spans="1:136" ht="14.5" x14ac:dyDescent="0.35">
      <c r="A20" s="20" t="s">
        <v>29</v>
      </c>
      <c r="B20" s="20" t="s">
        <v>28</v>
      </c>
      <c r="C20" s="20" t="s">
        <v>28</v>
      </c>
      <c r="D20" s="20" t="s">
        <v>335</v>
      </c>
      <c r="E20" s="20" t="s">
        <v>10</v>
      </c>
      <c r="F20" s="20" t="s">
        <v>75</v>
      </c>
      <c r="G20" s="21">
        <v>0</v>
      </c>
      <c r="H20" s="21">
        <v>0</v>
      </c>
      <c r="I20" s="21">
        <v>93.5</v>
      </c>
      <c r="J20" s="21">
        <v>-93.5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18</v>
      </c>
      <c r="AE20" s="21">
        <v>0</v>
      </c>
      <c r="AF20" s="21">
        <v>3</v>
      </c>
      <c r="AG20" s="21">
        <v>21</v>
      </c>
      <c r="AH20" s="21">
        <v>25</v>
      </c>
      <c r="AI20" s="21">
        <v>26.5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</row>
    <row r="21" spans="1:136" ht="14.5" x14ac:dyDescent="0.35">
      <c r="A21" s="20" t="s">
        <v>29</v>
      </c>
      <c r="B21" s="20" t="s">
        <v>18</v>
      </c>
      <c r="C21" s="20" t="s">
        <v>18</v>
      </c>
      <c r="D21" s="20" t="s">
        <v>338</v>
      </c>
      <c r="E21" s="20" t="s">
        <v>16</v>
      </c>
      <c r="F21" s="20" t="s">
        <v>95</v>
      </c>
      <c r="G21" s="21">
        <v>20</v>
      </c>
      <c r="H21" s="21">
        <v>250</v>
      </c>
      <c r="I21" s="21">
        <v>230</v>
      </c>
      <c r="J21" s="21">
        <v>20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5</v>
      </c>
      <c r="CY21" s="21">
        <v>5</v>
      </c>
      <c r="CZ21" s="21">
        <v>15</v>
      </c>
      <c r="DA21" s="21">
        <v>15</v>
      </c>
      <c r="DB21" s="21">
        <v>5</v>
      </c>
      <c r="DC21" s="21">
        <v>5</v>
      </c>
      <c r="DD21" s="21">
        <v>5</v>
      </c>
      <c r="DE21" s="21">
        <v>5</v>
      </c>
      <c r="DF21" s="21">
        <v>5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10</v>
      </c>
      <c r="DT21" s="21">
        <v>20</v>
      </c>
      <c r="DU21" s="21">
        <v>15</v>
      </c>
      <c r="DV21" s="21">
        <v>20</v>
      </c>
      <c r="DW21" s="21">
        <v>20</v>
      </c>
      <c r="DX21" s="21">
        <v>15</v>
      </c>
      <c r="DY21" s="21">
        <v>15</v>
      </c>
      <c r="DZ21" s="21">
        <v>15</v>
      </c>
      <c r="EA21" s="21">
        <v>15</v>
      </c>
      <c r="EB21" s="21">
        <v>15</v>
      </c>
      <c r="EC21" s="21">
        <v>5</v>
      </c>
      <c r="ED21" s="21">
        <v>0</v>
      </c>
      <c r="EE21" s="21">
        <v>0</v>
      </c>
      <c r="EF21" s="21">
        <v>0</v>
      </c>
    </row>
    <row r="22" spans="1:136" ht="14.5" x14ac:dyDescent="0.35">
      <c r="A22" s="20" t="s">
        <v>29</v>
      </c>
      <c r="B22" s="20" t="s">
        <v>18</v>
      </c>
      <c r="C22" s="20" t="s">
        <v>18</v>
      </c>
      <c r="D22" s="20" t="s">
        <v>338</v>
      </c>
      <c r="E22" s="20" t="s">
        <v>16</v>
      </c>
      <c r="F22" s="20" t="s">
        <v>75</v>
      </c>
      <c r="G22" s="21">
        <v>175</v>
      </c>
      <c r="H22" s="21">
        <v>693</v>
      </c>
      <c r="I22" s="21">
        <v>534.5</v>
      </c>
      <c r="J22" s="21">
        <v>158.5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4</v>
      </c>
      <c r="AK22" s="21">
        <v>4</v>
      </c>
      <c r="AL22" s="21">
        <v>16</v>
      </c>
      <c r="AM22" s="21">
        <v>11.5</v>
      </c>
      <c r="AN22" s="21">
        <v>7</v>
      </c>
      <c r="AO22" s="21">
        <v>4</v>
      </c>
      <c r="AP22" s="21">
        <v>2</v>
      </c>
      <c r="AQ22" s="21">
        <v>0</v>
      </c>
      <c r="AR22" s="21">
        <v>3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10</v>
      </c>
      <c r="CT22" s="21">
        <v>10</v>
      </c>
      <c r="CU22" s="21">
        <v>10</v>
      </c>
      <c r="CV22" s="21">
        <v>10</v>
      </c>
      <c r="CW22" s="21">
        <v>10</v>
      </c>
      <c r="CX22" s="21">
        <v>10</v>
      </c>
      <c r="CY22" s="21">
        <v>30</v>
      </c>
      <c r="CZ22" s="21">
        <v>30</v>
      </c>
      <c r="DA22" s="21">
        <v>30</v>
      </c>
      <c r="DB22" s="21">
        <v>25</v>
      </c>
      <c r="DC22" s="21">
        <v>25</v>
      </c>
      <c r="DD22" s="21">
        <v>25</v>
      </c>
      <c r="DE22" s="21">
        <v>25</v>
      </c>
      <c r="DF22" s="21">
        <v>0</v>
      </c>
      <c r="DG22" s="21">
        <v>0</v>
      </c>
      <c r="DH22" s="21">
        <v>3</v>
      </c>
      <c r="DI22" s="21">
        <v>0</v>
      </c>
      <c r="DJ22" s="21">
        <v>0</v>
      </c>
      <c r="DK22" s="21">
        <v>40</v>
      </c>
      <c r="DL22" s="21">
        <v>40</v>
      </c>
      <c r="DM22" s="21">
        <v>30</v>
      </c>
      <c r="DN22" s="21">
        <v>30</v>
      </c>
      <c r="DO22" s="21">
        <v>30</v>
      </c>
      <c r="DP22" s="21">
        <v>25</v>
      </c>
      <c r="DQ22" s="21">
        <v>15</v>
      </c>
      <c r="DR22" s="21">
        <v>20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0</v>
      </c>
      <c r="EC22" s="21">
        <v>0</v>
      </c>
      <c r="ED22" s="21">
        <v>0</v>
      </c>
      <c r="EE22" s="21">
        <v>0</v>
      </c>
      <c r="EF22" s="21">
        <v>0</v>
      </c>
    </row>
    <row r="23" spans="1:136" ht="14.5" x14ac:dyDescent="0.35">
      <c r="A23" s="20" t="s">
        <v>29</v>
      </c>
      <c r="B23" s="20" t="s">
        <v>18</v>
      </c>
      <c r="C23" s="20" t="s">
        <v>18</v>
      </c>
      <c r="D23" s="20" t="s">
        <v>337</v>
      </c>
      <c r="E23" s="20" t="s">
        <v>16</v>
      </c>
      <c r="F23" s="20" t="s">
        <v>75</v>
      </c>
      <c r="G23" s="21">
        <v>0</v>
      </c>
      <c r="H23" s="21">
        <v>0</v>
      </c>
      <c r="I23" s="21">
        <v>30.5</v>
      </c>
      <c r="J23" s="21">
        <v>-30.5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4</v>
      </c>
      <c r="AE23" s="21">
        <v>0</v>
      </c>
      <c r="AF23" s="21">
        <v>2</v>
      </c>
      <c r="AG23" s="21">
        <v>6.5</v>
      </c>
      <c r="AH23" s="21">
        <v>15</v>
      </c>
      <c r="AI23" s="21">
        <v>3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</row>
    <row r="24" spans="1:136" ht="14.5" x14ac:dyDescent="0.35">
      <c r="A24" s="20" t="s">
        <v>12</v>
      </c>
      <c r="B24" s="20" t="s">
        <v>13</v>
      </c>
      <c r="C24" s="20" t="s">
        <v>13</v>
      </c>
      <c r="D24" s="20" t="s">
        <v>333</v>
      </c>
      <c r="E24" s="20" t="s">
        <v>14</v>
      </c>
      <c r="F24" s="20" t="s">
        <v>78</v>
      </c>
      <c r="G24" s="21">
        <v>34</v>
      </c>
      <c r="H24" s="21">
        <v>222</v>
      </c>
      <c r="I24" s="21">
        <v>0</v>
      </c>
      <c r="J24" s="21">
        <v>222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v>0</v>
      </c>
      <c r="CL24" s="21">
        <v>0</v>
      </c>
      <c r="CM24" s="21">
        <v>0</v>
      </c>
      <c r="CN24" s="21">
        <v>0</v>
      </c>
      <c r="CO24" s="21">
        <v>0</v>
      </c>
      <c r="CP24" s="21">
        <v>0</v>
      </c>
      <c r="CQ24" s="21">
        <v>0</v>
      </c>
      <c r="CR24" s="21">
        <v>0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0</v>
      </c>
      <c r="DH24" s="21">
        <v>0</v>
      </c>
      <c r="DI24" s="21">
        <v>0</v>
      </c>
      <c r="DJ24" s="21">
        <v>0</v>
      </c>
      <c r="DK24" s="21">
        <v>0</v>
      </c>
      <c r="DL24" s="21">
        <v>0</v>
      </c>
      <c r="DM24" s="21">
        <v>0</v>
      </c>
      <c r="DN24" s="21">
        <v>0</v>
      </c>
      <c r="DO24" s="21">
        <v>0</v>
      </c>
      <c r="DP24" s="21"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v>0</v>
      </c>
      <c r="EB24" s="21">
        <v>0</v>
      </c>
      <c r="EC24" s="21">
        <v>0</v>
      </c>
      <c r="ED24" s="21">
        <v>0</v>
      </c>
      <c r="EE24" s="21">
        <v>0</v>
      </c>
      <c r="EF24" s="21">
        <v>0</v>
      </c>
    </row>
    <row r="25" spans="1:136" ht="14.5" x14ac:dyDescent="0.35">
      <c r="A25" s="20" t="s">
        <v>12</v>
      </c>
      <c r="B25" s="20" t="s">
        <v>13</v>
      </c>
      <c r="C25" s="20" t="s">
        <v>13</v>
      </c>
      <c r="D25" s="20" t="s">
        <v>339</v>
      </c>
      <c r="E25" s="20" t="s">
        <v>14</v>
      </c>
      <c r="F25" s="20" t="s">
        <v>78</v>
      </c>
      <c r="G25" s="21">
        <v>0</v>
      </c>
      <c r="H25" s="21">
        <v>0</v>
      </c>
      <c r="I25" s="21">
        <v>212</v>
      </c>
      <c r="J25" s="21">
        <v>-212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8</v>
      </c>
      <c r="AM25" s="21">
        <v>7</v>
      </c>
      <c r="AN25" s="21">
        <v>0</v>
      </c>
      <c r="AO25" s="21">
        <v>0</v>
      </c>
      <c r="AP25" s="21">
        <v>9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16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14</v>
      </c>
      <c r="DC25" s="21">
        <v>16</v>
      </c>
      <c r="DD25" s="21">
        <v>16</v>
      </c>
      <c r="DE25" s="21">
        <v>4</v>
      </c>
      <c r="DF25" s="21">
        <v>0</v>
      </c>
      <c r="DG25" s="21">
        <v>0</v>
      </c>
      <c r="DH25" s="21">
        <v>0</v>
      </c>
      <c r="DI25" s="21">
        <v>0</v>
      </c>
      <c r="DJ25" s="21">
        <v>0</v>
      </c>
      <c r="DK25" s="21">
        <v>0</v>
      </c>
      <c r="DL25" s="21">
        <v>0</v>
      </c>
      <c r="DM25" s="21">
        <v>0</v>
      </c>
      <c r="DN25" s="21">
        <v>18</v>
      </c>
      <c r="DO25" s="21">
        <v>36</v>
      </c>
      <c r="DP25" s="21">
        <v>36</v>
      </c>
      <c r="DQ25" s="21">
        <v>32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v>0</v>
      </c>
      <c r="EB25" s="21">
        <v>0</v>
      </c>
      <c r="EC25" s="21">
        <v>0</v>
      </c>
      <c r="ED25" s="21">
        <v>0</v>
      </c>
      <c r="EE25" s="21">
        <v>0</v>
      </c>
      <c r="EF25" s="21">
        <v>0</v>
      </c>
    </row>
    <row r="26" spans="1:136" ht="14.5" x14ac:dyDescent="0.35">
      <c r="A26" s="20" t="s">
        <v>12</v>
      </c>
      <c r="B26" s="20" t="s">
        <v>13</v>
      </c>
      <c r="C26" s="20" t="s">
        <v>13</v>
      </c>
      <c r="D26" s="20" t="s">
        <v>333</v>
      </c>
      <c r="E26" s="20" t="s">
        <v>14</v>
      </c>
      <c r="F26" s="20" t="s">
        <v>79</v>
      </c>
      <c r="G26" s="21">
        <v>10</v>
      </c>
      <c r="H26" s="21">
        <v>10</v>
      </c>
      <c r="I26" s="21">
        <v>0</v>
      </c>
      <c r="J26" s="21">
        <v>10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M26" s="21">
        <v>0</v>
      </c>
      <c r="CN26" s="21">
        <v>0</v>
      </c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v>0</v>
      </c>
      <c r="DE26" s="21">
        <v>0</v>
      </c>
      <c r="DF26" s="21">
        <v>0</v>
      </c>
      <c r="DG26" s="21">
        <v>0</v>
      </c>
      <c r="DH26" s="21">
        <v>0</v>
      </c>
      <c r="DI26" s="21">
        <v>0</v>
      </c>
      <c r="DJ26" s="21">
        <v>0</v>
      </c>
      <c r="DK26" s="21">
        <v>0</v>
      </c>
      <c r="DL26" s="21">
        <v>0</v>
      </c>
      <c r="DM26" s="21">
        <v>0</v>
      </c>
      <c r="DN26" s="21">
        <v>0</v>
      </c>
      <c r="DO26" s="21">
        <v>0</v>
      </c>
      <c r="DP26" s="21"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v>0</v>
      </c>
      <c r="EB26" s="21">
        <v>0</v>
      </c>
      <c r="EC26" s="21">
        <v>0</v>
      </c>
      <c r="ED26" s="21">
        <v>0</v>
      </c>
      <c r="EE26" s="21">
        <v>0</v>
      </c>
      <c r="EF26" s="21">
        <v>0</v>
      </c>
    </row>
    <row r="27" spans="1:136" ht="14.5" x14ac:dyDescent="0.35">
      <c r="A27" s="20" t="s">
        <v>12</v>
      </c>
      <c r="B27" s="20" t="s">
        <v>13</v>
      </c>
      <c r="C27" s="20" t="s">
        <v>13</v>
      </c>
      <c r="D27" s="20" t="s">
        <v>339</v>
      </c>
      <c r="E27" s="20" t="s">
        <v>14</v>
      </c>
      <c r="F27" s="20" t="s">
        <v>79</v>
      </c>
      <c r="G27" s="21">
        <v>0</v>
      </c>
      <c r="H27" s="21">
        <v>0</v>
      </c>
      <c r="I27" s="21">
        <v>5</v>
      </c>
      <c r="J27" s="21">
        <v>-5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5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0</v>
      </c>
      <c r="EE27" s="21">
        <v>0</v>
      </c>
      <c r="EF27" s="21">
        <v>0</v>
      </c>
    </row>
    <row r="28" spans="1:136" ht="14.5" x14ac:dyDescent="0.35">
      <c r="A28" s="20" t="s">
        <v>12</v>
      </c>
      <c r="B28" s="20" t="s">
        <v>13</v>
      </c>
      <c r="C28" s="20" t="s">
        <v>13</v>
      </c>
      <c r="D28" s="20" t="s">
        <v>333</v>
      </c>
      <c r="E28" s="20" t="s">
        <v>14</v>
      </c>
      <c r="F28" s="20" t="s">
        <v>87</v>
      </c>
      <c r="G28" s="21">
        <v>0</v>
      </c>
      <c r="H28" s="21">
        <v>0</v>
      </c>
      <c r="I28" s="21">
        <v>16</v>
      </c>
      <c r="J28" s="21">
        <v>-16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8</v>
      </c>
      <c r="AA28" s="21">
        <v>8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0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0</v>
      </c>
      <c r="EE28" s="21">
        <v>0</v>
      </c>
      <c r="EF28" s="21">
        <v>0</v>
      </c>
    </row>
    <row r="29" spans="1:136" ht="14.5" x14ac:dyDescent="0.35">
      <c r="A29" s="20" t="s">
        <v>12</v>
      </c>
      <c r="B29" s="20" t="s">
        <v>13</v>
      </c>
      <c r="C29" s="20" t="s">
        <v>13</v>
      </c>
      <c r="D29" s="20" t="s">
        <v>339</v>
      </c>
      <c r="E29" s="20" t="s">
        <v>14</v>
      </c>
      <c r="F29" s="20" t="s">
        <v>88</v>
      </c>
      <c r="G29" s="21">
        <v>0</v>
      </c>
      <c r="H29" s="21">
        <v>0</v>
      </c>
      <c r="I29" s="21">
        <v>19</v>
      </c>
      <c r="J29" s="21">
        <v>-19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19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v>0</v>
      </c>
      <c r="EB29" s="21">
        <v>0</v>
      </c>
      <c r="EC29" s="21">
        <v>0</v>
      </c>
      <c r="ED29" s="21">
        <v>0</v>
      </c>
      <c r="EE29" s="21">
        <v>0</v>
      </c>
      <c r="EF29" s="21">
        <v>0</v>
      </c>
    </row>
    <row r="30" spans="1:136" ht="14.5" x14ac:dyDescent="0.35">
      <c r="A30" s="20" t="s">
        <v>12</v>
      </c>
      <c r="B30" s="20" t="s">
        <v>13</v>
      </c>
      <c r="C30" s="20" t="s">
        <v>13</v>
      </c>
      <c r="D30" s="20" t="s">
        <v>333</v>
      </c>
      <c r="E30" s="20" t="s">
        <v>14</v>
      </c>
      <c r="F30" s="20" t="s">
        <v>40</v>
      </c>
      <c r="G30" s="21">
        <v>32</v>
      </c>
      <c r="H30" s="21">
        <v>162</v>
      </c>
      <c r="I30" s="21">
        <v>0</v>
      </c>
      <c r="J30" s="21">
        <v>162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0</v>
      </c>
      <c r="DJ30" s="21">
        <v>0</v>
      </c>
      <c r="DK30" s="21">
        <v>0</v>
      </c>
      <c r="DL30" s="21">
        <v>0</v>
      </c>
      <c r="DM30" s="21">
        <v>0</v>
      </c>
      <c r="DN30" s="21">
        <v>0</v>
      </c>
      <c r="DO30" s="21">
        <v>0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0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</row>
    <row r="31" spans="1:136" ht="14.5" x14ac:dyDescent="0.35">
      <c r="A31" s="20" t="s">
        <v>12</v>
      </c>
      <c r="B31" s="20" t="s">
        <v>13</v>
      </c>
      <c r="C31" s="20" t="s">
        <v>13</v>
      </c>
      <c r="D31" s="20" t="s">
        <v>339</v>
      </c>
      <c r="E31" s="20" t="s">
        <v>14</v>
      </c>
      <c r="F31" s="20" t="s">
        <v>40</v>
      </c>
      <c r="G31" s="21">
        <v>0</v>
      </c>
      <c r="H31" s="21">
        <v>0</v>
      </c>
      <c r="I31" s="21">
        <v>140</v>
      </c>
      <c r="J31" s="21">
        <v>-140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4</v>
      </c>
      <c r="AP31" s="21">
        <v>6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10</v>
      </c>
      <c r="DC31" s="21">
        <v>15</v>
      </c>
      <c r="DD31" s="21">
        <v>10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50</v>
      </c>
      <c r="DP31" s="21">
        <v>30</v>
      </c>
      <c r="DQ31" s="21">
        <v>15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21">
        <v>0</v>
      </c>
    </row>
    <row r="32" spans="1:136" ht="14.5" x14ac:dyDescent="0.35">
      <c r="A32" s="20" t="s">
        <v>12</v>
      </c>
      <c r="B32" s="20" t="s">
        <v>13</v>
      </c>
      <c r="C32" s="20" t="s">
        <v>13</v>
      </c>
      <c r="D32" s="20" t="s">
        <v>333</v>
      </c>
      <c r="E32" s="20" t="s">
        <v>14</v>
      </c>
      <c r="F32" s="20" t="s">
        <v>101</v>
      </c>
      <c r="G32" s="21">
        <v>230</v>
      </c>
      <c r="H32" s="21">
        <v>674</v>
      </c>
      <c r="I32" s="21">
        <v>0</v>
      </c>
      <c r="J32" s="21">
        <v>674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0</v>
      </c>
      <c r="DJ32" s="21">
        <v>0</v>
      </c>
      <c r="DK32" s="21">
        <v>0</v>
      </c>
      <c r="DL32" s="21">
        <v>0</v>
      </c>
      <c r="DM32" s="21">
        <v>0</v>
      </c>
      <c r="DN32" s="21">
        <v>0</v>
      </c>
      <c r="DO32" s="21">
        <v>0</v>
      </c>
      <c r="DP32" s="21"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0</v>
      </c>
      <c r="EF32" s="21">
        <v>0</v>
      </c>
    </row>
    <row r="33" spans="1:136" ht="14.5" x14ac:dyDescent="0.35">
      <c r="A33" s="20" t="s">
        <v>12</v>
      </c>
      <c r="B33" s="20" t="s">
        <v>13</v>
      </c>
      <c r="C33" s="20" t="s">
        <v>13</v>
      </c>
      <c r="D33" s="20" t="s">
        <v>339</v>
      </c>
      <c r="E33" s="20" t="s">
        <v>14</v>
      </c>
      <c r="F33" s="20" t="s">
        <v>101</v>
      </c>
      <c r="G33" s="21">
        <v>0</v>
      </c>
      <c r="H33" s="21">
        <v>0</v>
      </c>
      <c r="I33" s="21">
        <v>671.5</v>
      </c>
      <c r="J33" s="21">
        <v>-671.5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8</v>
      </c>
      <c r="AC33" s="21">
        <v>2</v>
      </c>
      <c r="AD33" s="21">
        <v>0</v>
      </c>
      <c r="AE33" s="21">
        <v>0</v>
      </c>
      <c r="AF33" s="21">
        <v>32</v>
      </c>
      <c r="AG33" s="21">
        <v>34</v>
      </c>
      <c r="AH33" s="21">
        <v>0</v>
      </c>
      <c r="AI33" s="21">
        <v>0</v>
      </c>
      <c r="AJ33" s="21">
        <v>16</v>
      </c>
      <c r="AK33" s="21">
        <v>0</v>
      </c>
      <c r="AL33" s="21">
        <v>4</v>
      </c>
      <c r="AM33" s="21">
        <v>0</v>
      </c>
      <c r="AN33" s="21">
        <v>0</v>
      </c>
      <c r="AO33" s="21">
        <v>0</v>
      </c>
      <c r="AP33" s="21">
        <v>3</v>
      </c>
      <c r="AQ33" s="21">
        <v>25</v>
      </c>
      <c r="AR33" s="21">
        <v>10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28</v>
      </c>
      <c r="CT33" s="21">
        <v>0</v>
      </c>
      <c r="CU33" s="21">
        <v>30</v>
      </c>
      <c r="CV33" s="21">
        <v>25</v>
      </c>
      <c r="CW33" s="21">
        <v>30</v>
      </c>
      <c r="CX33" s="21">
        <v>30</v>
      </c>
      <c r="CY33" s="21">
        <v>20</v>
      </c>
      <c r="CZ33" s="21">
        <v>6.5</v>
      </c>
      <c r="DA33" s="21">
        <v>24</v>
      </c>
      <c r="DB33" s="21">
        <v>24</v>
      </c>
      <c r="DC33" s="21">
        <v>24</v>
      </c>
      <c r="DD33" s="21">
        <v>28</v>
      </c>
      <c r="DE33" s="21">
        <v>0</v>
      </c>
      <c r="DF33" s="21">
        <v>24</v>
      </c>
      <c r="DG33" s="21">
        <v>30</v>
      </c>
      <c r="DH33" s="21">
        <v>30</v>
      </c>
      <c r="DI33" s="21">
        <v>0</v>
      </c>
      <c r="DJ33" s="21">
        <v>0</v>
      </c>
      <c r="DK33" s="21">
        <v>16</v>
      </c>
      <c r="DL33" s="21">
        <v>24</v>
      </c>
      <c r="DM33" s="21">
        <v>24</v>
      </c>
      <c r="DN33" s="21">
        <v>30</v>
      </c>
      <c r="DO33" s="21">
        <v>30</v>
      </c>
      <c r="DP33" s="21">
        <v>30</v>
      </c>
      <c r="DQ33" s="21">
        <v>30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</row>
    <row r="34" spans="1:136" ht="14.5" x14ac:dyDescent="0.35">
      <c r="A34" s="20" t="s">
        <v>12</v>
      </c>
      <c r="B34" s="20" t="s">
        <v>13</v>
      </c>
      <c r="C34" s="20" t="s">
        <v>13</v>
      </c>
      <c r="D34" s="20" t="s">
        <v>339</v>
      </c>
      <c r="E34" s="20" t="s">
        <v>14</v>
      </c>
      <c r="F34" s="20" t="s">
        <v>97</v>
      </c>
      <c r="G34" s="21">
        <v>0</v>
      </c>
      <c r="H34" s="21">
        <v>0</v>
      </c>
      <c r="I34" s="21">
        <v>9</v>
      </c>
      <c r="J34" s="21">
        <v>-9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4</v>
      </c>
      <c r="AL34" s="21">
        <v>5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21">
        <v>0</v>
      </c>
      <c r="DJ34" s="21">
        <v>0</v>
      </c>
      <c r="DK34" s="21">
        <v>0</v>
      </c>
      <c r="DL34" s="21">
        <v>0</v>
      </c>
      <c r="DM34" s="21">
        <v>0</v>
      </c>
      <c r="DN34" s="21">
        <v>0</v>
      </c>
      <c r="DO34" s="21">
        <v>0</v>
      </c>
      <c r="DP34" s="21"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v>0</v>
      </c>
      <c r="EB34" s="21">
        <v>0</v>
      </c>
      <c r="EC34" s="21">
        <v>0</v>
      </c>
      <c r="ED34" s="21">
        <v>0</v>
      </c>
      <c r="EE34" s="21">
        <v>0</v>
      </c>
      <c r="EF34" s="21">
        <v>0</v>
      </c>
    </row>
    <row r="35" spans="1:136" ht="14.5" x14ac:dyDescent="0.35">
      <c r="A35" s="20" t="s">
        <v>12</v>
      </c>
      <c r="B35" s="20" t="s">
        <v>13</v>
      </c>
      <c r="C35" s="20" t="s">
        <v>13</v>
      </c>
      <c r="D35" s="20" t="s">
        <v>333</v>
      </c>
      <c r="E35" s="20" t="s">
        <v>14</v>
      </c>
      <c r="F35" s="20" t="s">
        <v>90</v>
      </c>
      <c r="G35" s="21">
        <v>0</v>
      </c>
      <c r="H35" s="21">
        <v>0</v>
      </c>
      <c r="I35" s="21">
        <v>16</v>
      </c>
      <c r="J35" s="21">
        <v>-16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16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0</v>
      </c>
    </row>
    <row r="36" spans="1:136" ht="14.5" x14ac:dyDescent="0.35">
      <c r="A36" s="20" t="s">
        <v>12</v>
      </c>
      <c r="B36" s="20" t="s">
        <v>13</v>
      </c>
      <c r="C36" s="20" t="s">
        <v>13</v>
      </c>
      <c r="D36" s="20" t="s">
        <v>339</v>
      </c>
      <c r="E36" s="20" t="s">
        <v>14</v>
      </c>
      <c r="F36" s="20" t="s">
        <v>82</v>
      </c>
      <c r="G36" s="21">
        <v>0</v>
      </c>
      <c r="H36" s="21">
        <v>0</v>
      </c>
      <c r="I36" s="21">
        <v>77</v>
      </c>
      <c r="J36" s="21">
        <v>-77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8</v>
      </c>
      <c r="CT36" s="21">
        <v>8</v>
      </c>
      <c r="CU36" s="21">
        <v>8</v>
      </c>
      <c r="CV36" s="21">
        <v>8</v>
      </c>
      <c r="CW36" s="21">
        <v>0</v>
      </c>
      <c r="CX36" s="21">
        <v>0</v>
      </c>
      <c r="CY36" s="21">
        <v>5</v>
      </c>
      <c r="CZ36" s="21">
        <v>5</v>
      </c>
      <c r="DA36" s="21">
        <v>5</v>
      </c>
      <c r="DB36" s="21">
        <v>5</v>
      </c>
      <c r="DC36" s="21">
        <v>5</v>
      </c>
      <c r="DD36" s="21">
        <v>5</v>
      </c>
      <c r="DE36" s="21">
        <v>0</v>
      </c>
      <c r="DF36" s="21">
        <v>5</v>
      </c>
      <c r="DG36" s="21">
        <v>5</v>
      </c>
      <c r="DH36" s="21">
        <v>5</v>
      </c>
      <c r="DI36" s="21">
        <v>0</v>
      </c>
      <c r="DJ36" s="21">
        <v>0</v>
      </c>
      <c r="DK36" s="21">
        <v>0</v>
      </c>
      <c r="DL36" s="21">
        <v>0</v>
      </c>
      <c r="DM36" s="21">
        <v>0</v>
      </c>
      <c r="DN36" s="21">
        <v>0</v>
      </c>
      <c r="DO36" s="21">
        <v>0</v>
      </c>
      <c r="DP36" s="21"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v>0</v>
      </c>
      <c r="EB36" s="21">
        <v>0</v>
      </c>
      <c r="EC36" s="21">
        <v>0</v>
      </c>
      <c r="ED36" s="21">
        <v>0</v>
      </c>
      <c r="EE36" s="21">
        <v>0</v>
      </c>
      <c r="EF36" s="21">
        <v>0</v>
      </c>
    </row>
    <row r="37" spans="1:136" ht="14.5" x14ac:dyDescent="0.35">
      <c r="A37" s="20" t="s">
        <v>12</v>
      </c>
      <c r="B37" s="20" t="s">
        <v>13</v>
      </c>
      <c r="C37" s="20" t="s">
        <v>13</v>
      </c>
      <c r="D37" s="20" t="s">
        <v>333</v>
      </c>
      <c r="E37" s="20" t="s">
        <v>14</v>
      </c>
      <c r="F37" s="20" t="s">
        <v>98</v>
      </c>
      <c r="G37" s="21">
        <v>56</v>
      </c>
      <c r="H37" s="21">
        <v>113</v>
      </c>
      <c r="I37" s="21">
        <v>0</v>
      </c>
      <c r="J37" s="21">
        <v>113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</row>
    <row r="38" spans="1:136" ht="14.5" x14ac:dyDescent="0.35">
      <c r="A38" s="20" t="s">
        <v>12</v>
      </c>
      <c r="B38" s="20" t="s">
        <v>13</v>
      </c>
      <c r="C38" s="20" t="s">
        <v>13</v>
      </c>
      <c r="D38" s="20" t="s">
        <v>339</v>
      </c>
      <c r="E38" s="20" t="s">
        <v>14</v>
      </c>
      <c r="F38" s="20" t="s">
        <v>98</v>
      </c>
      <c r="G38" s="21">
        <v>0</v>
      </c>
      <c r="H38" s="21">
        <v>0</v>
      </c>
      <c r="I38" s="21">
        <v>63</v>
      </c>
      <c r="J38" s="21">
        <v>-63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4</v>
      </c>
      <c r="AR38" s="21">
        <v>2</v>
      </c>
      <c r="AS38" s="21">
        <v>3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0</v>
      </c>
      <c r="CQ38" s="21">
        <v>0</v>
      </c>
      <c r="CR38" s="21">
        <v>0</v>
      </c>
      <c r="CS38" s="21">
        <v>3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9</v>
      </c>
      <c r="DC38" s="21">
        <v>11</v>
      </c>
      <c r="DD38" s="21">
        <v>7</v>
      </c>
      <c r="DE38" s="21">
        <v>0</v>
      </c>
      <c r="DF38" s="21">
        <v>0</v>
      </c>
      <c r="DG38" s="21">
        <v>0</v>
      </c>
      <c r="DH38" s="21">
        <v>0</v>
      </c>
      <c r="DI38" s="21">
        <v>0</v>
      </c>
      <c r="DJ38" s="21">
        <v>0</v>
      </c>
      <c r="DK38" s="21">
        <v>0</v>
      </c>
      <c r="DL38" s="21">
        <v>0</v>
      </c>
      <c r="DM38" s="21">
        <v>0</v>
      </c>
      <c r="DN38" s="21">
        <v>0</v>
      </c>
      <c r="DO38" s="21">
        <v>9</v>
      </c>
      <c r="DP38" s="21">
        <v>10.5</v>
      </c>
      <c r="DQ38" s="21">
        <v>7.5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v>0</v>
      </c>
      <c r="EB38" s="21">
        <v>0</v>
      </c>
      <c r="EC38" s="21">
        <v>0</v>
      </c>
      <c r="ED38" s="21">
        <v>0</v>
      </c>
      <c r="EE38" s="21">
        <v>0</v>
      </c>
      <c r="EF38" s="21">
        <v>0</v>
      </c>
    </row>
    <row r="39" spans="1:136" ht="14.5" x14ac:dyDescent="0.35">
      <c r="A39" s="20" t="s">
        <v>12</v>
      </c>
      <c r="B39" s="20" t="s">
        <v>13</v>
      </c>
      <c r="C39" s="20" t="s">
        <v>13</v>
      </c>
      <c r="D39" s="20" t="s">
        <v>333</v>
      </c>
      <c r="E39" s="20" t="s">
        <v>14</v>
      </c>
      <c r="F39" s="20" t="s">
        <v>43</v>
      </c>
      <c r="G39" s="21">
        <v>14</v>
      </c>
      <c r="H39" s="21">
        <v>111</v>
      </c>
      <c r="I39" s="21">
        <v>0</v>
      </c>
      <c r="J39" s="21">
        <v>111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v>0</v>
      </c>
      <c r="EB39" s="21">
        <v>0</v>
      </c>
      <c r="EC39" s="21">
        <v>0</v>
      </c>
      <c r="ED39" s="21">
        <v>0</v>
      </c>
      <c r="EE39" s="21">
        <v>0</v>
      </c>
      <c r="EF39" s="21">
        <v>0</v>
      </c>
    </row>
    <row r="40" spans="1:136" ht="14.5" x14ac:dyDescent="0.35">
      <c r="A40" s="20" t="s">
        <v>12</v>
      </c>
      <c r="B40" s="20" t="s">
        <v>13</v>
      </c>
      <c r="C40" s="20" t="s">
        <v>13</v>
      </c>
      <c r="D40" s="20" t="s">
        <v>339</v>
      </c>
      <c r="E40" s="20" t="s">
        <v>14</v>
      </c>
      <c r="F40" s="20" t="s">
        <v>43</v>
      </c>
      <c r="G40" s="21">
        <v>0</v>
      </c>
      <c r="H40" s="21">
        <v>0</v>
      </c>
      <c r="I40" s="21">
        <v>107</v>
      </c>
      <c r="J40" s="21">
        <v>-107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4</v>
      </c>
      <c r="AQ40" s="21">
        <v>2</v>
      </c>
      <c r="AR40" s="21">
        <v>4</v>
      </c>
      <c r="AS40" s="21">
        <v>5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11</v>
      </c>
      <c r="CT40" s="21">
        <v>9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9</v>
      </c>
      <c r="DD40" s="21">
        <v>13</v>
      </c>
      <c r="DE40" s="21">
        <v>11</v>
      </c>
      <c r="DF40" s="21">
        <v>1</v>
      </c>
      <c r="DG40" s="21">
        <v>0</v>
      </c>
      <c r="DH40" s="21">
        <v>0</v>
      </c>
      <c r="DI40" s="21">
        <v>0</v>
      </c>
      <c r="DJ40" s="21">
        <v>0</v>
      </c>
      <c r="DK40" s="21">
        <v>0</v>
      </c>
      <c r="DL40" s="21">
        <v>0</v>
      </c>
      <c r="DM40" s="21">
        <v>0</v>
      </c>
      <c r="DN40" s="21">
        <v>0</v>
      </c>
      <c r="DO40" s="21">
        <v>0</v>
      </c>
      <c r="DP40" s="21">
        <v>11</v>
      </c>
      <c r="DQ40" s="21">
        <v>18</v>
      </c>
      <c r="DR40" s="21">
        <v>14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v>0</v>
      </c>
      <c r="EB40" s="21">
        <v>0</v>
      </c>
      <c r="EC40" s="21">
        <v>0</v>
      </c>
      <c r="ED40" s="21">
        <v>0</v>
      </c>
      <c r="EE40" s="21">
        <v>0</v>
      </c>
      <c r="EF40" s="21">
        <v>0</v>
      </c>
    </row>
    <row r="41" spans="1:136" ht="14.5" x14ac:dyDescent="0.35">
      <c r="A41" s="20" t="s">
        <v>12</v>
      </c>
      <c r="B41" s="20" t="s">
        <v>13</v>
      </c>
      <c r="C41" s="20" t="s">
        <v>13</v>
      </c>
      <c r="D41" s="20" t="s">
        <v>333</v>
      </c>
      <c r="E41" s="20" t="s">
        <v>14</v>
      </c>
      <c r="F41" s="20" t="s">
        <v>102</v>
      </c>
      <c r="G41" s="21">
        <v>14</v>
      </c>
      <c r="H41" s="21">
        <v>48</v>
      </c>
      <c r="I41" s="21">
        <v>0</v>
      </c>
      <c r="J41" s="21">
        <v>48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</row>
    <row r="42" spans="1:136" ht="14.5" x14ac:dyDescent="0.35">
      <c r="A42" s="20" t="s">
        <v>12</v>
      </c>
      <c r="B42" s="20" t="s">
        <v>13</v>
      </c>
      <c r="C42" s="20" t="s">
        <v>13</v>
      </c>
      <c r="D42" s="20" t="s">
        <v>339</v>
      </c>
      <c r="E42" s="20" t="s">
        <v>14</v>
      </c>
      <c r="F42" s="20" t="s">
        <v>102</v>
      </c>
      <c r="G42" s="21">
        <v>0</v>
      </c>
      <c r="H42" s="21">
        <v>0</v>
      </c>
      <c r="I42" s="21">
        <v>65</v>
      </c>
      <c r="J42" s="21">
        <v>-65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17</v>
      </c>
      <c r="AP42" s="21">
        <v>5</v>
      </c>
      <c r="AQ42" s="21">
        <v>1</v>
      </c>
      <c r="AR42" s="21">
        <v>8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2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7</v>
      </c>
      <c r="DC42" s="21">
        <v>6</v>
      </c>
      <c r="DD42" s="21">
        <v>3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7</v>
      </c>
      <c r="DP42" s="21">
        <v>8</v>
      </c>
      <c r="DQ42" s="21">
        <v>1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v>0</v>
      </c>
      <c r="EB42" s="21">
        <v>0</v>
      </c>
      <c r="EC42" s="21">
        <v>0</v>
      </c>
      <c r="ED42" s="21">
        <v>0</v>
      </c>
      <c r="EE42" s="21">
        <v>0</v>
      </c>
      <c r="EF42" s="21">
        <v>0</v>
      </c>
    </row>
    <row r="43" spans="1:136" ht="14.5" x14ac:dyDescent="0.35">
      <c r="A43" s="20" t="s">
        <v>12</v>
      </c>
      <c r="B43" s="20" t="s">
        <v>13</v>
      </c>
      <c r="C43" s="20" t="s">
        <v>13</v>
      </c>
      <c r="D43" s="20" t="s">
        <v>339</v>
      </c>
      <c r="E43" s="20" t="s">
        <v>14</v>
      </c>
      <c r="F43" s="20" t="s">
        <v>91</v>
      </c>
      <c r="G43" s="21">
        <v>0</v>
      </c>
      <c r="H43" s="21">
        <v>0</v>
      </c>
      <c r="I43" s="21">
        <v>20</v>
      </c>
      <c r="J43" s="21">
        <v>-20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2</v>
      </c>
      <c r="AM43" s="21">
        <v>15</v>
      </c>
      <c r="AN43" s="21">
        <v>3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</row>
    <row r="44" spans="1:136" ht="14.5" x14ac:dyDescent="0.35">
      <c r="A44" s="20" t="s">
        <v>12</v>
      </c>
      <c r="B44" s="20" t="s">
        <v>9</v>
      </c>
      <c r="C44" s="20" t="s">
        <v>9</v>
      </c>
      <c r="D44" s="20" t="s">
        <v>335</v>
      </c>
      <c r="E44" s="20" t="s">
        <v>10</v>
      </c>
      <c r="F44" s="20" t="s">
        <v>78</v>
      </c>
      <c r="G44" s="21">
        <v>37.200000000000003</v>
      </c>
      <c r="H44" s="21">
        <v>152.19999999999999</v>
      </c>
      <c r="I44" s="21">
        <v>0</v>
      </c>
      <c r="J44" s="21">
        <v>152.19999999999999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0</v>
      </c>
      <c r="CK44" s="21">
        <v>0</v>
      </c>
      <c r="CL44" s="21">
        <v>0</v>
      </c>
      <c r="CM44" s="21">
        <v>0</v>
      </c>
      <c r="CN44" s="21">
        <v>0</v>
      </c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0</v>
      </c>
      <c r="CZ44" s="21">
        <v>0</v>
      </c>
      <c r="DA44" s="21">
        <v>0</v>
      </c>
      <c r="DB44" s="21">
        <v>0</v>
      </c>
      <c r="DC44" s="21">
        <v>0</v>
      </c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21">
        <v>0</v>
      </c>
      <c r="DJ44" s="21">
        <v>0</v>
      </c>
      <c r="DK44" s="21">
        <v>0</v>
      </c>
      <c r="DL44" s="21">
        <v>0</v>
      </c>
      <c r="DM44" s="21">
        <v>0</v>
      </c>
      <c r="DN44" s="21">
        <v>0</v>
      </c>
      <c r="DO44" s="21">
        <v>0</v>
      </c>
      <c r="DP44" s="21">
        <v>0</v>
      </c>
      <c r="DQ44" s="21">
        <v>0</v>
      </c>
      <c r="DR44" s="21">
        <v>0</v>
      </c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21">
        <v>0</v>
      </c>
      <c r="DY44" s="21">
        <v>0</v>
      </c>
      <c r="DZ44" s="21">
        <v>0</v>
      </c>
      <c r="EA44" s="21">
        <v>0</v>
      </c>
      <c r="EB44" s="21">
        <v>0</v>
      </c>
      <c r="EC44" s="21">
        <v>0</v>
      </c>
      <c r="ED44" s="21">
        <v>0</v>
      </c>
      <c r="EE44" s="21">
        <v>0</v>
      </c>
      <c r="EF44" s="21">
        <v>0</v>
      </c>
    </row>
    <row r="45" spans="1:136" ht="14.5" x14ac:dyDescent="0.35">
      <c r="A45" s="20" t="s">
        <v>12</v>
      </c>
      <c r="B45" s="20" t="s">
        <v>9</v>
      </c>
      <c r="C45" s="20" t="s">
        <v>9</v>
      </c>
      <c r="D45" s="20" t="s">
        <v>334</v>
      </c>
      <c r="E45" s="20" t="s">
        <v>10</v>
      </c>
      <c r="F45" s="20" t="s">
        <v>78</v>
      </c>
      <c r="G45" s="21">
        <v>0</v>
      </c>
      <c r="H45" s="21">
        <v>0</v>
      </c>
      <c r="I45" s="21">
        <v>132.5</v>
      </c>
      <c r="J45" s="21">
        <v>-132.5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3</v>
      </c>
      <c r="AP45" s="21">
        <v>5.5</v>
      </c>
      <c r="AQ45" s="21">
        <v>9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1</v>
      </c>
      <c r="CU45" s="21">
        <v>0</v>
      </c>
      <c r="CV45" s="21">
        <v>0</v>
      </c>
      <c r="CW45" s="21">
        <v>8</v>
      </c>
      <c r="CX45" s="21">
        <v>0</v>
      </c>
      <c r="CY45" s="21">
        <v>0</v>
      </c>
      <c r="CZ45" s="21">
        <v>8</v>
      </c>
      <c r="DA45" s="21">
        <v>8</v>
      </c>
      <c r="DB45" s="21">
        <v>8</v>
      </c>
      <c r="DC45" s="21">
        <v>2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8</v>
      </c>
      <c r="DM45" s="21">
        <v>24</v>
      </c>
      <c r="DN45" s="21">
        <v>8</v>
      </c>
      <c r="DO45" s="21">
        <v>8</v>
      </c>
      <c r="DP45" s="21">
        <v>24</v>
      </c>
      <c r="DQ45" s="21">
        <v>8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</row>
    <row r="46" spans="1:136" ht="14.5" x14ac:dyDescent="0.35">
      <c r="A46" s="20" t="s">
        <v>12</v>
      </c>
      <c r="B46" s="20" t="s">
        <v>9</v>
      </c>
      <c r="C46" s="20" t="s">
        <v>9</v>
      </c>
      <c r="D46" s="20" t="s">
        <v>335</v>
      </c>
      <c r="E46" s="20" t="s">
        <v>10</v>
      </c>
      <c r="F46" s="20" t="s">
        <v>79</v>
      </c>
      <c r="G46" s="21">
        <v>76</v>
      </c>
      <c r="H46" s="21">
        <v>162.5</v>
      </c>
      <c r="I46" s="21">
        <v>41.5</v>
      </c>
      <c r="J46" s="21">
        <v>121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11</v>
      </c>
      <c r="AD46" s="21">
        <v>5</v>
      </c>
      <c r="AE46" s="21">
        <v>0.5</v>
      </c>
      <c r="AF46" s="21">
        <v>3.5</v>
      </c>
      <c r="AG46" s="21">
        <v>7</v>
      </c>
      <c r="AH46" s="21">
        <v>0</v>
      </c>
      <c r="AI46" s="21">
        <v>10</v>
      </c>
      <c r="AJ46" s="21">
        <v>4.5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</v>
      </c>
      <c r="CN46" s="21">
        <v>0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0</v>
      </c>
      <c r="CZ46" s="21">
        <v>0</v>
      </c>
      <c r="DA46" s="21">
        <v>0</v>
      </c>
      <c r="DB46" s="21">
        <v>0</v>
      </c>
      <c r="DC46" s="21">
        <v>0</v>
      </c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21">
        <v>0</v>
      </c>
      <c r="DJ46" s="21">
        <v>0</v>
      </c>
      <c r="DK46" s="21">
        <v>0</v>
      </c>
      <c r="DL46" s="21">
        <v>0</v>
      </c>
      <c r="DM46" s="21">
        <v>0</v>
      </c>
      <c r="DN46" s="21">
        <v>0</v>
      </c>
      <c r="DO46" s="21">
        <v>0</v>
      </c>
      <c r="DP46" s="21">
        <v>0</v>
      </c>
      <c r="DQ46" s="21">
        <v>0</v>
      </c>
      <c r="DR46" s="21">
        <v>0</v>
      </c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21">
        <v>0</v>
      </c>
      <c r="DY46" s="21">
        <v>0</v>
      </c>
      <c r="DZ46" s="21">
        <v>0</v>
      </c>
      <c r="EA46" s="21">
        <v>0</v>
      </c>
      <c r="EB46" s="21">
        <v>0</v>
      </c>
      <c r="EC46" s="21">
        <v>0</v>
      </c>
      <c r="ED46" s="21">
        <v>0</v>
      </c>
      <c r="EE46" s="21">
        <v>0</v>
      </c>
      <c r="EF46" s="21">
        <v>0</v>
      </c>
    </row>
    <row r="47" spans="1:136" ht="14.5" x14ac:dyDescent="0.35">
      <c r="A47" s="20" t="s">
        <v>12</v>
      </c>
      <c r="B47" s="20" t="s">
        <v>9</v>
      </c>
      <c r="C47" s="20" t="s">
        <v>9</v>
      </c>
      <c r="D47" s="20" t="s">
        <v>334</v>
      </c>
      <c r="E47" s="20" t="s">
        <v>10</v>
      </c>
      <c r="F47" s="20" t="s">
        <v>79</v>
      </c>
      <c r="G47" s="21">
        <v>0</v>
      </c>
      <c r="H47" s="21">
        <v>0</v>
      </c>
      <c r="I47" s="21">
        <v>121.7</v>
      </c>
      <c r="J47" s="21">
        <v>-121.7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4</v>
      </c>
      <c r="AM47" s="21">
        <v>0.5</v>
      </c>
      <c r="AN47" s="21">
        <v>0.5</v>
      </c>
      <c r="AO47" s="21">
        <v>25.2</v>
      </c>
      <c r="AP47" s="21">
        <v>2.5</v>
      </c>
      <c r="AQ47" s="21">
        <v>2.5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0.5</v>
      </c>
      <c r="CU47" s="21">
        <v>0</v>
      </c>
      <c r="CV47" s="21">
        <v>0</v>
      </c>
      <c r="CW47" s="21">
        <v>0</v>
      </c>
      <c r="CX47" s="21">
        <v>0.5</v>
      </c>
      <c r="CY47" s="21">
        <v>0</v>
      </c>
      <c r="CZ47" s="21">
        <v>2</v>
      </c>
      <c r="DA47" s="21">
        <v>0</v>
      </c>
      <c r="DB47" s="21">
        <v>3</v>
      </c>
      <c r="DC47" s="21">
        <v>3</v>
      </c>
      <c r="DD47" s="21">
        <v>1</v>
      </c>
      <c r="DE47" s="21">
        <v>0</v>
      </c>
      <c r="DF47" s="21">
        <v>7.5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3</v>
      </c>
      <c r="DN47" s="21">
        <v>7</v>
      </c>
      <c r="DO47" s="21">
        <v>5</v>
      </c>
      <c r="DP47" s="21">
        <v>36</v>
      </c>
      <c r="DQ47" s="21">
        <v>18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0</v>
      </c>
    </row>
    <row r="48" spans="1:136" ht="14.5" x14ac:dyDescent="0.35">
      <c r="A48" s="20" t="s">
        <v>12</v>
      </c>
      <c r="B48" s="20" t="s">
        <v>9</v>
      </c>
      <c r="C48" s="20" t="s">
        <v>9</v>
      </c>
      <c r="D48" s="20" t="s">
        <v>335</v>
      </c>
      <c r="E48" s="20" t="s">
        <v>10</v>
      </c>
      <c r="F48" s="20" t="s">
        <v>100</v>
      </c>
      <c r="G48" s="21">
        <v>206</v>
      </c>
      <c r="H48" s="21">
        <v>473</v>
      </c>
      <c r="I48" s="21">
        <v>98</v>
      </c>
      <c r="J48" s="21">
        <v>375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6</v>
      </c>
      <c r="AD48" s="21">
        <v>15.5</v>
      </c>
      <c r="AE48" s="21">
        <v>20</v>
      </c>
      <c r="AF48" s="21">
        <v>21</v>
      </c>
      <c r="AG48" s="21">
        <v>20.5</v>
      </c>
      <c r="AH48" s="21">
        <v>0</v>
      </c>
      <c r="AI48" s="21">
        <v>6</v>
      </c>
      <c r="AJ48" s="21">
        <v>9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0</v>
      </c>
      <c r="CK48" s="21">
        <v>0</v>
      </c>
      <c r="CL48" s="21">
        <v>0</v>
      </c>
      <c r="CM48" s="21">
        <v>0</v>
      </c>
      <c r="CN48" s="21">
        <v>0</v>
      </c>
      <c r="CO48" s="21">
        <v>0</v>
      </c>
      <c r="CP48" s="21">
        <v>0</v>
      </c>
      <c r="CQ48" s="21">
        <v>0</v>
      </c>
      <c r="CR48" s="21">
        <v>0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0</v>
      </c>
      <c r="CZ48" s="21">
        <v>0</v>
      </c>
      <c r="DA48" s="21">
        <v>0</v>
      </c>
      <c r="DB48" s="21">
        <v>0</v>
      </c>
      <c r="DC48" s="21">
        <v>0</v>
      </c>
      <c r="DD48" s="21">
        <v>0</v>
      </c>
      <c r="DE48" s="21">
        <v>0</v>
      </c>
      <c r="DF48" s="21">
        <v>0</v>
      </c>
      <c r="DG48" s="21">
        <v>0</v>
      </c>
      <c r="DH48" s="21">
        <v>0</v>
      </c>
      <c r="DI48" s="21">
        <v>0</v>
      </c>
      <c r="DJ48" s="21">
        <v>0</v>
      </c>
      <c r="DK48" s="21">
        <v>0</v>
      </c>
      <c r="DL48" s="21">
        <v>0</v>
      </c>
      <c r="DM48" s="21">
        <v>0</v>
      </c>
      <c r="DN48" s="21">
        <v>0</v>
      </c>
      <c r="DO48" s="21">
        <v>0</v>
      </c>
      <c r="DP48" s="21">
        <v>0</v>
      </c>
      <c r="DQ48" s="21">
        <v>0</v>
      </c>
      <c r="DR48" s="21">
        <v>0</v>
      </c>
      <c r="DS48" s="21">
        <v>0</v>
      </c>
      <c r="DT48" s="21">
        <v>0</v>
      </c>
      <c r="DU48" s="21">
        <v>0</v>
      </c>
      <c r="DV48" s="21">
        <v>0</v>
      </c>
      <c r="DW48" s="21">
        <v>0</v>
      </c>
      <c r="DX48" s="21">
        <v>0</v>
      </c>
      <c r="DY48" s="21">
        <v>0</v>
      </c>
      <c r="DZ48" s="21">
        <v>0</v>
      </c>
      <c r="EA48" s="21">
        <v>0</v>
      </c>
      <c r="EB48" s="21">
        <v>0</v>
      </c>
      <c r="EC48" s="21">
        <v>0</v>
      </c>
      <c r="ED48" s="21">
        <v>0</v>
      </c>
      <c r="EE48" s="21">
        <v>0</v>
      </c>
      <c r="EF48" s="21">
        <v>0</v>
      </c>
    </row>
    <row r="49" spans="1:136" ht="14.5" x14ac:dyDescent="0.35">
      <c r="A49" s="20" t="s">
        <v>12</v>
      </c>
      <c r="B49" s="20" t="s">
        <v>9</v>
      </c>
      <c r="C49" s="20" t="s">
        <v>9</v>
      </c>
      <c r="D49" s="20" t="s">
        <v>334</v>
      </c>
      <c r="E49" s="20" t="s">
        <v>10</v>
      </c>
      <c r="F49" s="20" t="s">
        <v>100</v>
      </c>
      <c r="G49" s="21">
        <v>0</v>
      </c>
      <c r="H49" s="21">
        <v>0</v>
      </c>
      <c r="I49" s="21">
        <v>376</v>
      </c>
      <c r="J49" s="21">
        <v>-376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14</v>
      </c>
      <c r="AK49" s="21">
        <v>29.5</v>
      </c>
      <c r="AL49" s="21">
        <v>26.5</v>
      </c>
      <c r="AM49" s="21">
        <v>13</v>
      </c>
      <c r="AN49" s="21">
        <v>10</v>
      </c>
      <c r="AO49" s="21">
        <v>0.5</v>
      </c>
      <c r="AP49" s="21">
        <v>4</v>
      </c>
      <c r="AQ49" s="21">
        <v>3</v>
      </c>
      <c r="AR49" s="21">
        <v>8.5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3</v>
      </c>
      <c r="CZ49" s="21">
        <v>0</v>
      </c>
      <c r="DA49" s="21">
        <v>2</v>
      </c>
      <c r="DB49" s="21">
        <v>2</v>
      </c>
      <c r="DC49" s="21">
        <v>7</v>
      </c>
      <c r="DD49" s="21">
        <v>16</v>
      </c>
      <c r="DE49" s="21">
        <v>3</v>
      </c>
      <c r="DF49" s="21">
        <v>24</v>
      </c>
      <c r="DG49" s="21">
        <v>36</v>
      </c>
      <c r="DH49" s="21">
        <v>14</v>
      </c>
      <c r="DI49" s="21">
        <v>3</v>
      </c>
      <c r="DJ49" s="21">
        <v>0</v>
      </c>
      <c r="DK49" s="21">
        <v>0</v>
      </c>
      <c r="DL49" s="21">
        <v>6</v>
      </c>
      <c r="DM49" s="21">
        <v>3</v>
      </c>
      <c r="DN49" s="21">
        <v>14</v>
      </c>
      <c r="DO49" s="21">
        <v>58</v>
      </c>
      <c r="DP49" s="21">
        <v>67</v>
      </c>
      <c r="DQ49" s="21">
        <v>9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</row>
    <row r="50" spans="1:136" ht="14.5" x14ac:dyDescent="0.35">
      <c r="A50" s="20" t="s">
        <v>12</v>
      </c>
      <c r="B50" s="20" t="s">
        <v>9</v>
      </c>
      <c r="C50" s="20" t="s">
        <v>9</v>
      </c>
      <c r="D50" s="20" t="s">
        <v>335</v>
      </c>
      <c r="E50" s="20" t="s">
        <v>10</v>
      </c>
      <c r="F50" s="20" t="s">
        <v>87</v>
      </c>
      <c r="G50" s="21">
        <v>12.1</v>
      </c>
      <c r="H50" s="21">
        <v>12.1</v>
      </c>
      <c r="I50" s="21">
        <v>12.1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12.1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</row>
    <row r="51" spans="1:136" ht="14.5" x14ac:dyDescent="0.35">
      <c r="A51" s="20" t="s">
        <v>12</v>
      </c>
      <c r="B51" s="20" t="s">
        <v>9</v>
      </c>
      <c r="C51" s="20" t="s">
        <v>9</v>
      </c>
      <c r="D51" s="20" t="s">
        <v>334</v>
      </c>
      <c r="E51" s="20" t="s">
        <v>10</v>
      </c>
      <c r="F51" s="20" t="s">
        <v>87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</row>
    <row r="52" spans="1:136" ht="14.5" x14ac:dyDescent="0.35">
      <c r="A52" s="20" t="s">
        <v>12</v>
      </c>
      <c r="B52" s="20" t="s">
        <v>9</v>
      </c>
      <c r="C52" s="20" t="s">
        <v>9</v>
      </c>
      <c r="D52" s="20" t="s">
        <v>335</v>
      </c>
      <c r="E52" s="20" t="s">
        <v>10</v>
      </c>
      <c r="F52" s="20" t="s">
        <v>88</v>
      </c>
      <c r="G52" s="21">
        <v>10</v>
      </c>
      <c r="H52" s="21">
        <v>10</v>
      </c>
      <c r="I52" s="21">
        <v>0</v>
      </c>
      <c r="J52" s="21">
        <v>10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1">
        <v>0</v>
      </c>
      <c r="CH52" s="21">
        <v>0</v>
      </c>
      <c r="CI52" s="21">
        <v>0</v>
      </c>
      <c r="CJ52" s="21">
        <v>0</v>
      </c>
      <c r="CK52" s="21">
        <v>0</v>
      </c>
      <c r="CL52" s="21">
        <v>0</v>
      </c>
      <c r="CM52" s="21">
        <v>0</v>
      </c>
      <c r="CN52" s="21">
        <v>0</v>
      </c>
      <c r="CO52" s="21">
        <v>0</v>
      </c>
      <c r="CP52" s="21">
        <v>0</v>
      </c>
      <c r="CQ52" s="21">
        <v>0</v>
      </c>
      <c r="CR52" s="21">
        <v>0</v>
      </c>
      <c r="CS52" s="21">
        <v>0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0</v>
      </c>
      <c r="CZ52" s="21">
        <v>0</v>
      </c>
      <c r="DA52" s="21">
        <v>0</v>
      </c>
      <c r="DB52" s="21">
        <v>0</v>
      </c>
      <c r="DC52" s="21">
        <v>0</v>
      </c>
      <c r="DD52" s="21">
        <v>0</v>
      </c>
      <c r="DE52" s="21">
        <v>0</v>
      </c>
      <c r="DF52" s="21">
        <v>0</v>
      </c>
      <c r="DG52" s="21">
        <v>0</v>
      </c>
      <c r="DH52" s="21">
        <v>0</v>
      </c>
      <c r="DI52" s="21">
        <v>0</v>
      </c>
      <c r="DJ52" s="21">
        <v>0</v>
      </c>
      <c r="DK52" s="21">
        <v>0</v>
      </c>
      <c r="DL52" s="21">
        <v>0</v>
      </c>
      <c r="DM52" s="21">
        <v>0</v>
      </c>
      <c r="DN52" s="21">
        <v>0</v>
      </c>
      <c r="DO52" s="21">
        <v>0</v>
      </c>
      <c r="DP52" s="21">
        <v>0</v>
      </c>
      <c r="DQ52" s="21">
        <v>0</v>
      </c>
      <c r="DR52" s="21">
        <v>0</v>
      </c>
      <c r="DS52" s="21">
        <v>0</v>
      </c>
      <c r="DT52" s="21">
        <v>0</v>
      </c>
      <c r="DU52" s="21">
        <v>0</v>
      </c>
      <c r="DV52" s="21">
        <v>0</v>
      </c>
      <c r="DW52" s="21">
        <v>0</v>
      </c>
      <c r="DX52" s="21">
        <v>0</v>
      </c>
      <c r="DY52" s="21">
        <v>0</v>
      </c>
      <c r="DZ52" s="21">
        <v>0</v>
      </c>
      <c r="EA52" s="21">
        <v>0</v>
      </c>
      <c r="EB52" s="21">
        <v>0</v>
      </c>
      <c r="EC52" s="21">
        <v>0</v>
      </c>
      <c r="ED52" s="21">
        <v>0</v>
      </c>
      <c r="EE52" s="21">
        <v>0</v>
      </c>
      <c r="EF52" s="21">
        <v>0</v>
      </c>
    </row>
    <row r="53" spans="1:136" ht="14.5" x14ac:dyDescent="0.35">
      <c r="A53" s="20" t="s">
        <v>12</v>
      </c>
      <c r="B53" s="20" t="s">
        <v>9</v>
      </c>
      <c r="C53" s="20" t="s">
        <v>9</v>
      </c>
      <c r="D53" s="20" t="s">
        <v>334</v>
      </c>
      <c r="E53" s="20" t="s">
        <v>10</v>
      </c>
      <c r="F53" s="20" t="s">
        <v>88</v>
      </c>
      <c r="G53" s="21">
        <v>0</v>
      </c>
      <c r="H53" s="21">
        <v>0</v>
      </c>
      <c r="I53" s="21">
        <v>15.5</v>
      </c>
      <c r="J53" s="21">
        <v>-15.5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6.5</v>
      </c>
      <c r="AO53" s="21">
        <v>9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0</v>
      </c>
      <c r="CZ53" s="21">
        <v>0</v>
      </c>
      <c r="DA53" s="21">
        <v>0</v>
      </c>
      <c r="DB53" s="21">
        <v>0</v>
      </c>
      <c r="DC53" s="21">
        <v>0</v>
      </c>
      <c r="DD53" s="21">
        <v>0</v>
      </c>
      <c r="DE53" s="21">
        <v>0</v>
      </c>
      <c r="DF53" s="21">
        <v>0</v>
      </c>
      <c r="DG53" s="21">
        <v>0</v>
      </c>
      <c r="DH53" s="21">
        <v>0</v>
      </c>
      <c r="DI53" s="21">
        <v>0</v>
      </c>
      <c r="DJ53" s="21">
        <v>0</v>
      </c>
      <c r="DK53" s="21">
        <v>0</v>
      </c>
      <c r="DL53" s="21">
        <v>0</v>
      </c>
      <c r="DM53" s="21">
        <v>0</v>
      </c>
      <c r="DN53" s="21">
        <v>0</v>
      </c>
      <c r="DO53" s="21">
        <v>0</v>
      </c>
      <c r="DP53" s="21">
        <v>0</v>
      </c>
      <c r="DQ53" s="21">
        <v>0</v>
      </c>
      <c r="DR53" s="21">
        <v>0</v>
      </c>
      <c r="DS53" s="21">
        <v>0</v>
      </c>
      <c r="DT53" s="21">
        <v>0</v>
      </c>
      <c r="DU53" s="21">
        <v>0</v>
      </c>
      <c r="DV53" s="21">
        <v>0</v>
      </c>
      <c r="DW53" s="21">
        <v>0</v>
      </c>
      <c r="DX53" s="21">
        <v>0</v>
      </c>
      <c r="DY53" s="21">
        <v>0</v>
      </c>
      <c r="DZ53" s="21">
        <v>0</v>
      </c>
      <c r="EA53" s="21">
        <v>0</v>
      </c>
      <c r="EB53" s="21">
        <v>0</v>
      </c>
      <c r="EC53" s="21">
        <v>0</v>
      </c>
      <c r="ED53" s="21">
        <v>0</v>
      </c>
      <c r="EE53" s="21">
        <v>0</v>
      </c>
      <c r="EF53" s="21">
        <v>0</v>
      </c>
    </row>
    <row r="54" spans="1:136" ht="14.5" x14ac:dyDescent="0.35">
      <c r="A54" s="20" t="s">
        <v>12</v>
      </c>
      <c r="B54" s="20" t="s">
        <v>9</v>
      </c>
      <c r="C54" s="20" t="s">
        <v>9</v>
      </c>
      <c r="D54" s="20" t="s">
        <v>335</v>
      </c>
      <c r="E54" s="20" t="s">
        <v>10</v>
      </c>
      <c r="F54" s="20" t="s">
        <v>89</v>
      </c>
      <c r="G54" s="21">
        <v>0</v>
      </c>
      <c r="H54" s="21">
        <v>10</v>
      </c>
      <c r="I54" s="21">
        <v>0</v>
      </c>
      <c r="J54" s="21">
        <v>10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1">
        <v>0</v>
      </c>
      <c r="CH54" s="21">
        <v>0</v>
      </c>
      <c r="CI54" s="21">
        <v>0</v>
      </c>
      <c r="CJ54" s="21">
        <v>0</v>
      </c>
      <c r="CK54" s="21">
        <v>0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0</v>
      </c>
      <c r="CU54" s="21">
        <v>0</v>
      </c>
      <c r="CV54" s="21">
        <v>0</v>
      </c>
      <c r="CW54" s="21">
        <v>0</v>
      </c>
      <c r="CX54" s="21">
        <v>0</v>
      </c>
      <c r="CY54" s="21">
        <v>0</v>
      </c>
      <c r="CZ54" s="21">
        <v>0</v>
      </c>
      <c r="DA54" s="21">
        <v>0</v>
      </c>
      <c r="DB54" s="21">
        <v>0</v>
      </c>
      <c r="DC54" s="21">
        <v>0</v>
      </c>
      <c r="DD54" s="21">
        <v>0</v>
      </c>
      <c r="DE54" s="21">
        <v>0</v>
      </c>
      <c r="DF54" s="21">
        <v>0</v>
      </c>
      <c r="DG54" s="21">
        <v>0</v>
      </c>
      <c r="DH54" s="21">
        <v>0</v>
      </c>
      <c r="DI54" s="21">
        <v>0</v>
      </c>
      <c r="DJ54" s="21">
        <v>0</v>
      </c>
      <c r="DK54" s="21">
        <v>0</v>
      </c>
      <c r="DL54" s="21">
        <v>0</v>
      </c>
      <c r="DM54" s="21">
        <v>0</v>
      </c>
      <c r="DN54" s="21">
        <v>0</v>
      </c>
      <c r="DO54" s="21">
        <v>0</v>
      </c>
      <c r="DP54" s="21">
        <v>0</v>
      </c>
      <c r="DQ54" s="21">
        <v>0</v>
      </c>
      <c r="DR54" s="21">
        <v>0</v>
      </c>
      <c r="DS54" s="21">
        <v>0</v>
      </c>
      <c r="DT54" s="21">
        <v>0</v>
      </c>
      <c r="DU54" s="21">
        <v>0</v>
      </c>
      <c r="DV54" s="21">
        <v>0</v>
      </c>
      <c r="DW54" s="21">
        <v>0</v>
      </c>
      <c r="DX54" s="21">
        <v>0</v>
      </c>
      <c r="DY54" s="21">
        <v>0</v>
      </c>
      <c r="DZ54" s="21">
        <v>0</v>
      </c>
      <c r="EA54" s="21">
        <v>0</v>
      </c>
      <c r="EB54" s="21">
        <v>0</v>
      </c>
      <c r="EC54" s="21">
        <v>0</v>
      </c>
      <c r="ED54" s="21">
        <v>0</v>
      </c>
      <c r="EE54" s="21">
        <v>0</v>
      </c>
      <c r="EF54" s="21">
        <v>0</v>
      </c>
    </row>
    <row r="55" spans="1:136" ht="14.5" x14ac:dyDescent="0.35">
      <c r="A55" s="20" t="s">
        <v>12</v>
      </c>
      <c r="B55" s="20" t="s">
        <v>9</v>
      </c>
      <c r="C55" s="20" t="s">
        <v>9</v>
      </c>
      <c r="D55" s="20" t="s">
        <v>334</v>
      </c>
      <c r="E55" s="20" t="s">
        <v>10</v>
      </c>
      <c r="F55" s="20" t="s">
        <v>89</v>
      </c>
      <c r="G55" s="21">
        <v>0</v>
      </c>
      <c r="H55" s="21">
        <v>0</v>
      </c>
      <c r="I55" s="21">
        <v>10</v>
      </c>
      <c r="J55" s="21">
        <v>-10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0</v>
      </c>
      <c r="CZ55" s="21">
        <v>5</v>
      </c>
      <c r="DA55" s="21">
        <v>5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0</v>
      </c>
      <c r="DH55" s="21">
        <v>0</v>
      </c>
      <c r="DI55" s="21">
        <v>0</v>
      </c>
      <c r="DJ55" s="21">
        <v>0</v>
      </c>
      <c r="DK55" s="21">
        <v>0</v>
      </c>
      <c r="DL55" s="21">
        <v>0</v>
      </c>
      <c r="DM55" s="21">
        <v>0</v>
      </c>
      <c r="DN55" s="21">
        <v>0</v>
      </c>
      <c r="DO55" s="21">
        <v>0</v>
      </c>
      <c r="DP55" s="21">
        <v>0</v>
      </c>
      <c r="DQ55" s="21">
        <v>0</v>
      </c>
      <c r="DR55" s="21">
        <v>0</v>
      </c>
      <c r="DS55" s="21">
        <v>0</v>
      </c>
      <c r="DT55" s="21">
        <v>0</v>
      </c>
      <c r="DU55" s="21">
        <v>0</v>
      </c>
      <c r="DV55" s="21">
        <v>0</v>
      </c>
      <c r="DW55" s="21">
        <v>0</v>
      </c>
      <c r="DX55" s="21">
        <v>0</v>
      </c>
      <c r="DY55" s="21">
        <v>0</v>
      </c>
      <c r="DZ55" s="21">
        <v>0</v>
      </c>
      <c r="EA55" s="21">
        <v>0</v>
      </c>
      <c r="EB55" s="21">
        <v>0</v>
      </c>
      <c r="EC55" s="21">
        <v>0</v>
      </c>
      <c r="ED55" s="21">
        <v>0</v>
      </c>
      <c r="EE55" s="21">
        <v>0</v>
      </c>
      <c r="EF55" s="21">
        <v>0</v>
      </c>
    </row>
    <row r="56" spans="1:136" ht="14.5" x14ac:dyDescent="0.35">
      <c r="A56" s="20" t="s">
        <v>12</v>
      </c>
      <c r="B56" s="20" t="s">
        <v>9</v>
      </c>
      <c r="C56" s="20" t="s">
        <v>9</v>
      </c>
      <c r="D56" s="20" t="s">
        <v>335</v>
      </c>
      <c r="E56" s="20" t="s">
        <v>10</v>
      </c>
      <c r="F56" s="20" t="s">
        <v>40</v>
      </c>
      <c r="G56" s="21">
        <v>1</v>
      </c>
      <c r="H56" s="21">
        <v>25</v>
      </c>
      <c r="I56" s="21">
        <v>1</v>
      </c>
      <c r="J56" s="21">
        <v>24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1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</row>
    <row r="57" spans="1:136" ht="14.5" x14ac:dyDescent="0.35">
      <c r="A57" s="20" t="s">
        <v>12</v>
      </c>
      <c r="B57" s="20" t="s">
        <v>9</v>
      </c>
      <c r="C57" s="20" t="s">
        <v>9</v>
      </c>
      <c r="D57" s="20" t="s">
        <v>334</v>
      </c>
      <c r="E57" s="20" t="s">
        <v>10</v>
      </c>
      <c r="F57" s="20" t="s">
        <v>40</v>
      </c>
      <c r="G57" s="21">
        <v>0</v>
      </c>
      <c r="H57" s="21">
        <v>0</v>
      </c>
      <c r="I57" s="21">
        <v>35.5</v>
      </c>
      <c r="J57" s="21">
        <v>-35.5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11.5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>
        <v>0</v>
      </c>
      <c r="BZ57" s="21">
        <v>0</v>
      </c>
      <c r="CA57" s="21">
        <v>0</v>
      </c>
      <c r="CB57" s="21">
        <v>0</v>
      </c>
      <c r="CC57" s="21">
        <v>0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0</v>
      </c>
      <c r="CK57" s="21">
        <v>0</v>
      </c>
      <c r="CL57" s="21">
        <v>0</v>
      </c>
      <c r="CM57" s="21">
        <v>0</v>
      </c>
      <c r="CN57" s="21">
        <v>0</v>
      </c>
      <c r="CO57" s="21">
        <v>0</v>
      </c>
      <c r="CP57" s="21">
        <v>0</v>
      </c>
      <c r="CQ57" s="21">
        <v>0</v>
      </c>
      <c r="CR57" s="21">
        <v>0</v>
      </c>
      <c r="CS57" s="21">
        <v>0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0</v>
      </c>
      <c r="CZ57" s="21">
        <v>0</v>
      </c>
      <c r="DA57" s="21">
        <v>0</v>
      </c>
      <c r="DB57" s="21">
        <v>0</v>
      </c>
      <c r="DC57" s="21">
        <v>0</v>
      </c>
      <c r="DD57" s="21">
        <v>0</v>
      </c>
      <c r="DE57" s="21">
        <v>0</v>
      </c>
      <c r="DF57" s="21">
        <v>0</v>
      </c>
      <c r="DG57" s="21">
        <v>0</v>
      </c>
      <c r="DH57" s="21">
        <v>0</v>
      </c>
      <c r="DI57" s="21">
        <v>0</v>
      </c>
      <c r="DJ57" s="21">
        <v>0</v>
      </c>
      <c r="DK57" s="21">
        <v>0</v>
      </c>
      <c r="DL57" s="21">
        <v>0</v>
      </c>
      <c r="DM57" s="21">
        <v>0</v>
      </c>
      <c r="DN57" s="21">
        <v>0</v>
      </c>
      <c r="DO57" s="21">
        <v>5.5</v>
      </c>
      <c r="DP57" s="21">
        <v>1.5</v>
      </c>
      <c r="DQ57" s="21">
        <v>16</v>
      </c>
      <c r="DR57" s="21">
        <v>1</v>
      </c>
      <c r="DS57" s="21">
        <v>0</v>
      </c>
      <c r="DT57" s="21">
        <v>0</v>
      </c>
      <c r="DU57" s="21">
        <v>0</v>
      </c>
      <c r="DV57" s="21">
        <v>0</v>
      </c>
      <c r="DW57" s="21">
        <v>0</v>
      </c>
      <c r="DX57" s="21">
        <v>0</v>
      </c>
      <c r="DY57" s="21">
        <v>0</v>
      </c>
      <c r="DZ57" s="21">
        <v>0</v>
      </c>
      <c r="EA57" s="21">
        <v>0</v>
      </c>
      <c r="EB57" s="21">
        <v>0</v>
      </c>
      <c r="EC57" s="21">
        <v>0</v>
      </c>
      <c r="ED57" s="21">
        <v>0</v>
      </c>
      <c r="EE57" s="21">
        <v>0</v>
      </c>
      <c r="EF57" s="21">
        <v>0</v>
      </c>
    </row>
    <row r="58" spans="1:136" ht="14.5" x14ac:dyDescent="0.35">
      <c r="A58" s="20" t="s">
        <v>12</v>
      </c>
      <c r="B58" s="20" t="s">
        <v>9</v>
      </c>
      <c r="C58" s="20" t="s">
        <v>9</v>
      </c>
      <c r="D58" s="20" t="s">
        <v>335</v>
      </c>
      <c r="E58" s="20" t="s">
        <v>10</v>
      </c>
      <c r="F58" s="20" t="s">
        <v>101</v>
      </c>
      <c r="G58" s="21">
        <v>102.5</v>
      </c>
      <c r="H58" s="21">
        <v>243.2</v>
      </c>
      <c r="I58" s="21">
        <v>33</v>
      </c>
      <c r="J58" s="21">
        <v>210.2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1</v>
      </c>
      <c r="AC58" s="21">
        <v>5.5</v>
      </c>
      <c r="AD58" s="21">
        <v>10.5</v>
      </c>
      <c r="AE58" s="21">
        <v>2</v>
      </c>
      <c r="AF58" s="21">
        <v>8</v>
      </c>
      <c r="AG58" s="21">
        <v>2</v>
      </c>
      <c r="AH58" s="21">
        <v>0</v>
      </c>
      <c r="AI58" s="21">
        <v>3</v>
      </c>
      <c r="AJ58" s="21">
        <v>1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0</v>
      </c>
      <c r="DG58" s="21">
        <v>0</v>
      </c>
      <c r="DH58" s="21">
        <v>0</v>
      </c>
      <c r="DI58" s="21">
        <v>0</v>
      </c>
      <c r="DJ58" s="21">
        <v>0</v>
      </c>
      <c r="DK58" s="21">
        <v>0</v>
      </c>
      <c r="DL58" s="21">
        <v>0</v>
      </c>
      <c r="DM58" s="21">
        <v>0</v>
      </c>
      <c r="DN58" s="21">
        <v>0</v>
      </c>
      <c r="DO58" s="21">
        <v>0</v>
      </c>
      <c r="DP58" s="21">
        <v>0</v>
      </c>
      <c r="DQ58" s="21">
        <v>0</v>
      </c>
      <c r="DR58" s="21">
        <v>0</v>
      </c>
      <c r="DS58" s="21">
        <v>0</v>
      </c>
      <c r="DT58" s="21">
        <v>0</v>
      </c>
      <c r="DU58" s="21">
        <v>0</v>
      </c>
      <c r="DV58" s="21">
        <v>0</v>
      </c>
      <c r="DW58" s="21">
        <v>0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0</v>
      </c>
      <c r="ED58" s="21">
        <v>0</v>
      </c>
      <c r="EE58" s="21">
        <v>0</v>
      </c>
      <c r="EF58" s="21">
        <v>0</v>
      </c>
    </row>
    <row r="59" spans="1:136" ht="14.5" x14ac:dyDescent="0.35">
      <c r="A59" s="20" t="s">
        <v>12</v>
      </c>
      <c r="B59" s="20" t="s">
        <v>9</v>
      </c>
      <c r="C59" s="20" t="s">
        <v>9</v>
      </c>
      <c r="D59" s="20" t="s">
        <v>334</v>
      </c>
      <c r="E59" s="20" t="s">
        <v>10</v>
      </c>
      <c r="F59" s="20" t="s">
        <v>101</v>
      </c>
      <c r="G59" s="21">
        <v>0</v>
      </c>
      <c r="H59" s="21">
        <v>0</v>
      </c>
      <c r="I59" s="21">
        <v>179.6</v>
      </c>
      <c r="J59" s="21">
        <v>-179.6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3</v>
      </c>
      <c r="AL59" s="21">
        <v>2</v>
      </c>
      <c r="AM59" s="21">
        <v>1.5</v>
      </c>
      <c r="AN59" s="21">
        <v>9</v>
      </c>
      <c r="AO59" s="21">
        <v>6.8</v>
      </c>
      <c r="AP59" s="21">
        <v>18</v>
      </c>
      <c r="AQ59" s="21">
        <v>0.5</v>
      </c>
      <c r="AR59" s="21">
        <v>15.7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18</v>
      </c>
      <c r="CT59" s="21">
        <v>18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8.5</v>
      </c>
      <c r="DD59" s="21">
        <v>3.5</v>
      </c>
      <c r="DE59" s="21">
        <v>0</v>
      </c>
      <c r="DF59" s="21">
        <v>18.399999999999999</v>
      </c>
      <c r="DG59" s="21">
        <v>15.8</v>
      </c>
      <c r="DH59" s="21">
        <v>1.5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1</v>
      </c>
      <c r="DP59" s="21">
        <v>21.5</v>
      </c>
      <c r="DQ59" s="21">
        <v>16.899999999999999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0</v>
      </c>
      <c r="EE59" s="21">
        <v>0</v>
      </c>
      <c r="EF59" s="21">
        <v>0</v>
      </c>
    </row>
    <row r="60" spans="1:136" ht="14.5" x14ac:dyDescent="0.35">
      <c r="A60" s="20" t="s">
        <v>12</v>
      </c>
      <c r="B60" s="20" t="s">
        <v>9</v>
      </c>
      <c r="C60" s="20" t="s">
        <v>9</v>
      </c>
      <c r="D60" s="20" t="s">
        <v>335</v>
      </c>
      <c r="E60" s="20" t="s">
        <v>10</v>
      </c>
      <c r="F60" s="20" t="s">
        <v>97</v>
      </c>
      <c r="G60" s="21">
        <v>4.5</v>
      </c>
      <c r="H60" s="21">
        <v>4.5</v>
      </c>
      <c r="I60" s="21">
        <v>5</v>
      </c>
      <c r="J60" s="21">
        <v>-0.5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1.5</v>
      </c>
      <c r="AG60" s="21">
        <v>3</v>
      </c>
      <c r="AH60" s="21">
        <v>0</v>
      </c>
      <c r="AI60" s="21">
        <v>0</v>
      </c>
      <c r="AJ60" s="21">
        <v>0.5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0</v>
      </c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21">
        <v>0</v>
      </c>
      <c r="DF60" s="21">
        <v>0</v>
      </c>
      <c r="DG60" s="21">
        <v>0</v>
      </c>
      <c r="DH60" s="21">
        <v>0</v>
      </c>
      <c r="DI60" s="21">
        <v>0</v>
      </c>
      <c r="DJ60" s="21">
        <v>0</v>
      </c>
      <c r="DK60" s="21">
        <v>0</v>
      </c>
      <c r="DL60" s="21">
        <v>0</v>
      </c>
      <c r="DM60" s="21">
        <v>0</v>
      </c>
      <c r="DN60" s="21">
        <v>0</v>
      </c>
      <c r="DO60" s="21">
        <v>0</v>
      </c>
      <c r="DP60" s="21">
        <v>0</v>
      </c>
      <c r="DQ60" s="21">
        <v>0</v>
      </c>
      <c r="DR60" s="21">
        <v>0</v>
      </c>
      <c r="DS60" s="21">
        <v>0</v>
      </c>
      <c r="DT60" s="21">
        <v>0</v>
      </c>
      <c r="DU60" s="21">
        <v>0</v>
      </c>
      <c r="DV60" s="21">
        <v>0</v>
      </c>
      <c r="DW60" s="21">
        <v>0</v>
      </c>
      <c r="DX60" s="21">
        <v>0</v>
      </c>
      <c r="DY60" s="21">
        <v>0</v>
      </c>
      <c r="DZ60" s="21">
        <v>0</v>
      </c>
      <c r="EA60" s="21">
        <v>0</v>
      </c>
      <c r="EB60" s="21">
        <v>0</v>
      </c>
      <c r="EC60" s="21">
        <v>0</v>
      </c>
      <c r="ED60" s="21">
        <v>0</v>
      </c>
      <c r="EE60" s="21">
        <v>0</v>
      </c>
      <c r="EF60" s="21">
        <v>0</v>
      </c>
    </row>
    <row r="61" spans="1:136" ht="14.5" x14ac:dyDescent="0.35">
      <c r="A61" s="20" t="s">
        <v>12</v>
      </c>
      <c r="B61" s="20" t="s">
        <v>9</v>
      </c>
      <c r="C61" s="20" t="s">
        <v>9</v>
      </c>
      <c r="D61" s="20" t="s">
        <v>334</v>
      </c>
      <c r="E61" s="20" t="s">
        <v>10</v>
      </c>
      <c r="F61" s="20" t="s">
        <v>97</v>
      </c>
      <c r="G61" s="21">
        <v>0</v>
      </c>
      <c r="H61" s="21">
        <v>0</v>
      </c>
      <c r="I61" s="21">
        <v>21</v>
      </c>
      <c r="J61" s="21">
        <v>-21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1</v>
      </c>
      <c r="AL61" s="21">
        <v>8.5</v>
      </c>
      <c r="AM61" s="21">
        <v>6</v>
      </c>
      <c r="AN61" s="21">
        <v>0</v>
      </c>
      <c r="AO61" s="21">
        <v>0</v>
      </c>
      <c r="AP61" s="21">
        <v>3.5</v>
      </c>
      <c r="AQ61" s="21">
        <v>2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21">
        <v>0</v>
      </c>
      <c r="DI61" s="21">
        <v>0</v>
      </c>
      <c r="DJ61" s="21">
        <v>0</v>
      </c>
      <c r="DK61" s="21">
        <v>0</v>
      </c>
      <c r="DL61" s="21">
        <v>0</v>
      </c>
      <c r="DM61" s="21">
        <v>0</v>
      </c>
      <c r="DN61" s="21">
        <v>0</v>
      </c>
      <c r="DO61" s="21">
        <v>0</v>
      </c>
      <c r="DP61" s="21">
        <v>0</v>
      </c>
      <c r="DQ61" s="21">
        <v>0</v>
      </c>
      <c r="DR61" s="21">
        <v>0</v>
      </c>
      <c r="DS61" s="21">
        <v>0</v>
      </c>
      <c r="DT61" s="21">
        <v>0</v>
      </c>
      <c r="DU61" s="21">
        <v>0</v>
      </c>
      <c r="DV61" s="21">
        <v>0</v>
      </c>
      <c r="DW61" s="21">
        <v>0</v>
      </c>
      <c r="DX61" s="21">
        <v>0</v>
      </c>
      <c r="DY61" s="21">
        <v>0</v>
      </c>
      <c r="DZ61" s="21">
        <v>0</v>
      </c>
      <c r="EA61" s="21">
        <v>0</v>
      </c>
      <c r="EB61" s="21">
        <v>0</v>
      </c>
      <c r="EC61" s="21">
        <v>0</v>
      </c>
      <c r="ED61" s="21">
        <v>0</v>
      </c>
      <c r="EE61" s="21">
        <v>0</v>
      </c>
      <c r="EF61" s="21">
        <v>0</v>
      </c>
    </row>
    <row r="62" spans="1:136" ht="14.5" x14ac:dyDescent="0.35">
      <c r="A62" s="20" t="s">
        <v>12</v>
      </c>
      <c r="B62" s="20" t="s">
        <v>9</v>
      </c>
      <c r="C62" s="20" t="s">
        <v>9</v>
      </c>
      <c r="D62" s="20" t="s">
        <v>335</v>
      </c>
      <c r="E62" s="20" t="s">
        <v>10</v>
      </c>
      <c r="F62" s="20" t="s">
        <v>90</v>
      </c>
      <c r="G62" s="21">
        <v>0</v>
      </c>
      <c r="H62" s="21">
        <v>0</v>
      </c>
      <c r="I62" s="21">
        <v>26.1</v>
      </c>
      <c r="J62" s="21">
        <v>-26.1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3</v>
      </c>
      <c r="Z62" s="21">
        <v>0</v>
      </c>
      <c r="AA62" s="21">
        <v>23.1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0</v>
      </c>
      <c r="CY62" s="21">
        <v>0</v>
      </c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21">
        <v>0</v>
      </c>
      <c r="DF62" s="21">
        <v>0</v>
      </c>
      <c r="DG62" s="21">
        <v>0</v>
      </c>
      <c r="DH62" s="21">
        <v>0</v>
      </c>
      <c r="DI62" s="21">
        <v>0</v>
      </c>
      <c r="DJ62" s="21">
        <v>0</v>
      </c>
      <c r="DK62" s="21">
        <v>0</v>
      </c>
      <c r="DL62" s="21">
        <v>0</v>
      </c>
      <c r="DM62" s="21">
        <v>0</v>
      </c>
      <c r="DN62" s="21">
        <v>0</v>
      </c>
      <c r="DO62" s="21">
        <v>0</v>
      </c>
      <c r="DP62" s="21">
        <v>0</v>
      </c>
      <c r="DQ62" s="21">
        <v>0</v>
      </c>
      <c r="DR62" s="21">
        <v>0</v>
      </c>
      <c r="DS62" s="21">
        <v>0</v>
      </c>
      <c r="DT62" s="21">
        <v>0</v>
      </c>
      <c r="DU62" s="21">
        <v>0</v>
      </c>
      <c r="DV62" s="21">
        <v>0</v>
      </c>
      <c r="DW62" s="21">
        <v>0</v>
      </c>
      <c r="DX62" s="21">
        <v>0</v>
      </c>
      <c r="DY62" s="21">
        <v>0</v>
      </c>
      <c r="DZ62" s="21">
        <v>0</v>
      </c>
      <c r="EA62" s="21">
        <v>0</v>
      </c>
      <c r="EB62" s="21">
        <v>0</v>
      </c>
      <c r="EC62" s="21">
        <v>0</v>
      </c>
      <c r="ED62" s="21">
        <v>0</v>
      </c>
      <c r="EE62" s="21">
        <v>0</v>
      </c>
      <c r="EF62" s="21">
        <v>0</v>
      </c>
    </row>
    <row r="63" spans="1:136" ht="14.5" x14ac:dyDescent="0.35">
      <c r="A63" s="20" t="s">
        <v>12</v>
      </c>
      <c r="B63" s="20" t="s">
        <v>9</v>
      </c>
      <c r="C63" s="20" t="s">
        <v>9</v>
      </c>
      <c r="D63" s="20" t="s">
        <v>335</v>
      </c>
      <c r="E63" s="20" t="s">
        <v>10</v>
      </c>
      <c r="F63" s="20" t="s">
        <v>98</v>
      </c>
      <c r="G63" s="21">
        <v>38</v>
      </c>
      <c r="H63" s="21">
        <v>77.5</v>
      </c>
      <c r="I63" s="21">
        <v>0</v>
      </c>
      <c r="J63" s="21">
        <v>77.5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</row>
    <row r="64" spans="1:136" ht="14.5" x14ac:dyDescent="0.35">
      <c r="A64" s="20" t="s">
        <v>12</v>
      </c>
      <c r="B64" s="20" t="s">
        <v>9</v>
      </c>
      <c r="C64" s="20" t="s">
        <v>9</v>
      </c>
      <c r="D64" s="20" t="s">
        <v>334</v>
      </c>
      <c r="E64" s="20" t="s">
        <v>10</v>
      </c>
      <c r="F64" s="20" t="s">
        <v>98</v>
      </c>
      <c r="G64" s="21">
        <v>0</v>
      </c>
      <c r="H64" s="21">
        <v>0</v>
      </c>
      <c r="I64" s="21">
        <v>45.5</v>
      </c>
      <c r="J64" s="21">
        <v>-45.5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0.5</v>
      </c>
      <c r="AQ64" s="21">
        <v>5.5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21">
        <v>0</v>
      </c>
      <c r="CO64" s="21">
        <v>0</v>
      </c>
      <c r="CP64" s="21">
        <v>0</v>
      </c>
      <c r="CQ64" s="21">
        <v>0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0</v>
      </c>
      <c r="CY64" s="21">
        <v>0</v>
      </c>
      <c r="CZ64" s="21">
        <v>0</v>
      </c>
      <c r="DA64" s="21">
        <v>0</v>
      </c>
      <c r="DB64" s="21">
        <v>3</v>
      </c>
      <c r="DC64" s="21">
        <v>1</v>
      </c>
      <c r="DD64" s="21">
        <v>2</v>
      </c>
      <c r="DE64" s="21">
        <v>0</v>
      </c>
      <c r="DF64" s="21">
        <v>0</v>
      </c>
      <c r="DG64" s="21">
        <v>0</v>
      </c>
      <c r="DH64" s="21">
        <v>0</v>
      </c>
      <c r="DI64" s="21">
        <v>0</v>
      </c>
      <c r="DJ64" s="21">
        <v>0</v>
      </c>
      <c r="DK64" s="21">
        <v>0</v>
      </c>
      <c r="DL64" s="21">
        <v>0</v>
      </c>
      <c r="DM64" s="21">
        <v>0</v>
      </c>
      <c r="DN64" s="21">
        <v>0</v>
      </c>
      <c r="DO64" s="21">
        <v>10</v>
      </c>
      <c r="DP64" s="21">
        <v>15</v>
      </c>
      <c r="DQ64" s="21">
        <v>8.5</v>
      </c>
      <c r="DR64" s="21">
        <v>0</v>
      </c>
      <c r="DS64" s="21">
        <v>0</v>
      </c>
      <c r="DT64" s="21">
        <v>0</v>
      </c>
      <c r="DU64" s="21">
        <v>0</v>
      </c>
      <c r="DV64" s="21">
        <v>0</v>
      </c>
      <c r="DW64" s="21">
        <v>0</v>
      </c>
      <c r="DX64" s="21">
        <v>0</v>
      </c>
      <c r="DY64" s="21">
        <v>0</v>
      </c>
      <c r="DZ64" s="21">
        <v>0</v>
      </c>
      <c r="EA64" s="21">
        <v>0</v>
      </c>
      <c r="EB64" s="21">
        <v>0</v>
      </c>
      <c r="EC64" s="21">
        <v>0</v>
      </c>
      <c r="ED64" s="21">
        <v>0</v>
      </c>
      <c r="EE64" s="21">
        <v>0</v>
      </c>
      <c r="EF64" s="21">
        <v>0</v>
      </c>
    </row>
    <row r="65" spans="1:136" ht="14.5" x14ac:dyDescent="0.35">
      <c r="A65" s="20" t="s">
        <v>12</v>
      </c>
      <c r="B65" s="20" t="s">
        <v>9</v>
      </c>
      <c r="C65" s="20" t="s">
        <v>9</v>
      </c>
      <c r="D65" s="20" t="s">
        <v>335</v>
      </c>
      <c r="E65" s="20" t="s">
        <v>10</v>
      </c>
      <c r="F65" s="20" t="s">
        <v>43</v>
      </c>
      <c r="G65" s="21">
        <v>4</v>
      </c>
      <c r="H65" s="21">
        <v>43</v>
      </c>
      <c r="I65" s="21">
        <v>0</v>
      </c>
      <c r="J65" s="21">
        <v>43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</row>
    <row r="66" spans="1:136" ht="14.5" x14ac:dyDescent="0.35">
      <c r="A66" s="20" t="s">
        <v>12</v>
      </c>
      <c r="B66" s="20" t="s">
        <v>9</v>
      </c>
      <c r="C66" s="20" t="s">
        <v>9</v>
      </c>
      <c r="D66" s="20" t="s">
        <v>334</v>
      </c>
      <c r="E66" s="20" t="s">
        <v>10</v>
      </c>
      <c r="F66" s="20" t="s">
        <v>43</v>
      </c>
      <c r="G66" s="21">
        <v>0</v>
      </c>
      <c r="H66" s="21">
        <v>0</v>
      </c>
      <c r="I66" s="21">
        <v>41</v>
      </c>
      <c r="J66" s="21">
        <v>-41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2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3.5</v>
      </c>
      <c r="CT66" s="21">
        <v>2.5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3</v>
      </c>
      <c r="DD66" s="21">
        <v>1</v>
      </c>
      <c r="DE66" s="21">
        <v>3</v>
      </c>
      <c r="DF66" s="21">
        <v>0</v>
      </c>
      <c r="DG66" s="21">
        <v>0</v>
      </c>
      <c r="DH66" s="21">
        <v>0</v>
      </c>
      <c r="DI66" s="21">
        <v>0</v>
      </c>
      <c r="DJ66" s="21">
        <v>0</v>
      </c>
      <c r="DK66" s="21">
        <v>0</v>
      </c>
      <c r="DL66" s="21">
        <v>0</v>
      </c>
      <c r="DM66" s="21">
        <v>0</v>
      </c>
      <c r="DN66" s="21">
        <v>0</v>
      </c>
      <c r="DO66" s="21">
        <v>0</v>
      </c>
      <c r="DP66" s="21">
        <v>6</v>
      </c>
      <c r="DQ66" s="21">
        <v>8.5</v>
      </c>
      <c r="DR66" s="21">
        <v>11.5</v>
      </c>
      <c r="DS66" s="21">
        <v>0</v>
      </c>
      <c r="DT66" s="21">
        <v>0</v>
      </c>
      <c r="DU66" s="21">
        <v>0</v>
      </c>
      <c r="DV66" s="21">
        <v>0</v>
      </c>
      <c r="DW66" s="21">
        <v>0</v>
      </c>
      <c r="DX66" s="21">
        <v>0</v>
      </c>
      <c r="DY66" s="21">
        <v>0</v>
      </c>
      <c r="DZ66" s="21">
        <v>0</v>
      </c>
      <c r="EA66" s="21">
        <v>0</v>
      </c>
      <c r="EB66" s="21">
        <v>0</v>
      </c>
      <c r="EC66" s="21">
        <v>0</v>
      </c>
      <c r="ED66" s="21">
        <v>0</v>
      </c>
      <c r="EE66" s="21">
        <v>0</v>
      </c>
      <c r="EF66" s="21">
        <v>0</v>
      </c>
    </row>
    <row r="67" spans="1:136" ht="14.5" x14ac:dyDescent="0.35">
      <c r="A67" s="20" t="s">
        <v>12</v>
      </c>
      <c r="B67" s="20" t="s">
        <v>9</v>
      </c>
      <c r="C67" s="20" t="s">
        <v>9</v>
      </c>
      <c r="D67" s="20" t="s">
        <v>335</v>
      </c>
      <c r="E67" s="20" t="s">
        <v>10</v>
      </c>
      <c r="F67" s="20" t="s">
        <v>102</v>
      </c>
      <c r="G67" s="21">
        <v>13.5</v>
      </c>
      <c r="H67" s="21">
        <v>57</v>
      </c>
      <c r="I67" s="21">
        <v>2</v>
      </c>
      <c r="J67" s="21">
        <v>55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2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</row>
    <row r="68" spans="1:136" ht="14.5" x14ac:dyDescent="0.35">
      <c r="A68" s="20" t="s">
        <v>12</v>
      </c>
      <c r="B68" s="20" t="s">
        <v>9</v>
      </c>
      <c r="C68" s="20" t="s">
        <v>9</v>
      </c>
      <c r="D68" s="20" t="s">
        <v>334</v>
      </c>
      <c r="E68" s="20" t="s">
        <v>10</v>
      </c>
      <c r="F68" s="20" t="s">
        <v>102</v>
      </c>
      <c r="G68" s="21">
        <v>0</v>
      </c>
      <c r="H68" s="21">
        <v>0</v>
      </c>
      <c r="I68" s="21">
        <v>48.5</v>
      </c>
      <c r="J68" s="21">
        <v>-48.5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2</v>
      </c>
      <c r="AP68" s="21">
        <v>2</v>
      </c>
      <c r="AQ68" s="21">
        <v>0</v>
      </c>
      <c r="AR68" s="21">
        <v>1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3.5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4.5</v>
      </c>
      <c r="DC68" s="21">
        <v>0.5</v>
      </c>
      <c r="DD68" s="21">
        <v>0.5</v>
      </c>
      <c r="DE68" s="21">
        <v>6</v>
      </c>
      <c r="DF68" s="21">
        <v>2.5</v>
      </c>
      <c r="DG68" s="21">
        <v>0</v>
      </c>
      <c r="DH68" s="21">
        <v>0</v>
      </c>
      <c r="DI68" s="21">
        <v>0</v>
      </c>
      <c r="DJ68" s="21">
        <v>0</v>
      </c>
      <c r="DK68" s="21">
        <v>0</v>
      </c>
      <c r="DL68" s="21">
        <v>0</v>
      </c>
      <c r="DM68" s="21">
        <v>0</v>
      </c>
      <c r="DN68" s="21">
        <v>0</v>
      </c>
      <c r="DO68" s="21">
        <v>6</v>
      </c>
      <c r="DP68" s="21">
        <v>19</v>
      </c>
      <c r="DQ68" s="21">
        <v>1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0</v>
      </c>
      <c r="EE68" s="21">
        <v>0</v>
      </c>
      <c r="EF68" s="21">
        <v>0</v>
      </c>
    </row>
    <row r="69" spans="1:136" ht="14.5" x14ac:dyDescent="0.35">
      <c r="A69" s="20" t="s">
        <v>12</v>
      </c>
      <c r="B69" s="20" t="s">
        <v>9</v>
      </c>
      <c r="C69" s="20" t="s">
        <v>9</v>
      </c>
      <c r="D69" s="20" t="s">
        <v>335</v>
      </c>
      <c r="E69" s="20" t="s">
        <v>10</v>
      </c>
      <c r="F69" s="20" t="s">
        <v>91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</row>
    <row r="70" spans="1:136" ht="14.5" x14ac:dyDescent="0.35">
      <c r="A70" s="20" t="s">
        <v>12</v>
      </c>
      <c r="B70" s="20" t="s">
        <v>9</v>
      </c>
      <c r="C70" s="20" t="s">
        <v>9</v>
      </c>
      <c r="D70" s="20" t="s">
        <v>334</v>
      </c>
      <c r="E70" s="20" t="s">
        <v>10</v>
      </c>
      <c r="F70" s="20" t="s">
        <v>91</v>
      </c>
      <c r="G70" s="21">
        <v>0</v>
      </c>
      <c r="H70" s="21">
        <v>0</v>
      </c>
      <c r="I70" s="21">
        <v>26.8</v>
      </c>
      <c r="J70" s="21">
        <v>-26.8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2</v>
      </c>
      <c r="AM70" s="21">
        <v>3</v>
      </c>
      <c r="AN70" s="21">
        <v>21.8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0</v>
      </c>
      <c r="CO70" s="21">
        <v>0</v>
      </c>
      <c r="CP70" s="21">
        <v>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0</v>
      </c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21">
        <v>0</v>
      </c>
      <c r="DF70" s="21">
        <v>0</v>
      </c>
      <c r="DG70" s="21">
        <v>0</v>
      </c>
      <c r="DH70" s="21">
        <v>0</v>
      </c>
      <c r="DI70" s="21">
        <v>0</v>
      </c>
      <c r="DJ70" s="21">
        <v>0</v>
      </c>
      <c r="DK70" s="21">
        <v>0</v>
      </c>
      <c r="DL70" s="21">
        <v>0</v>
      </c>
      <c r="DM70" s="21">
        <v>0</v>
      </c>
      <c r="DN70" s="21">
        <v>0</v>
      </c>
      <c r="DO70" s="21">
        <v>0</v>
      </c>
      <c r="DP70" s="21">
        <v>0</v>
      </c>
      <c r="DQ70" s="21">
        <v>0</v>
      </c>
      <c r="DR70" s="21">
        <v>0</v>
      </c>
      <c r="DS70" s="21">
        <v>0</v>
      </c>
      <c r="DT70" s="21">
        <v>0</v>
      </c>
      <c r="DU70" s="21">
        <v>0</v>
      </c>
      <c r="DV70" s="21">
        <v>0</v>
      </c>
      <c r="DW70" s="21">
        <v>0</v>
      </c>
      <c r="DX70" s="21">
        <v>0</v>
      </c>
      <c r="DY70" s="21">
        <v>0</v>
      </c>
      <c r="DZ70" s="21">
        <v>0</v>
      </c>
      <c r="EA70" s="21">
        <v>0</v>
      </c>
      <c r="EB70" s="21">
        <v>0</v>
      </c>
      <c r="EC70" s="21">
        <v>0</v>
      </c>
      <c r="ED70" s="21">
        <v>0</v>
      </c>
      <c r="EE70" s="21">
        <v>0</v>
      </c>
      <c r="EF70" s="21">
        <v>0</v>
      </c>
    </row>
    <row r="71" spans="1:136" ht="14.5" x14ac:dyDescent="0.35">
      <c r="A71" s="20" t="s">
        <v>12</v>
      </c>
      <c r="B71" s="20" t="s">
        <v>26</v>
      </c>
      <c r="C71" s="20" t="s">
        <v>26</v>
      </c>
      <c r="D71" s="20" t="s">
        <v>333</v>
      </c>
      <c r="E71" s="20" t="s">
        <v>14</v>
      </c>
      <c r="F71" s="20" t="s">
        <v>86</v>
      </c>
      <c r="G71" s="21">
        <v>20</v>
      </c>
      <c r="H71" s="21">
        <v>62</v>
      </c>
      <c r="I71" s="21">
        <v>0</v>
      </c>
      <c r="J71" s="21">
        <v>62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21">
        <v>0</v>
      </c>
      <c r="DT71" s="21">
        <v>0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1">
        <v>0</v>
      </c>
      <c r="EC71" s="21">
        <v>0</v>
      </c>
      <c r="ED71" s="21">
        <v>0</v>
      </c>
      <c r="EE71" s="21">
        <v>0</v>
      </c>
      <c r="EF71" s="21">
        <v>0</v>
      </c>
    </row>
    <row r="72" spans="1:136" ht="14.5" x14ac:dyDescent="0.35">
      <c r="A72" s="20" t="s">
        <v>12</v>
      </c>
      <c r="B72" s="20" t="s">
        <v>26</v>
      </c>
      <c r="C72" s="20" t="s">
        <v>26</v>
      </c>
      <c r="D72" s="20" t="s">
        <v>339</v>
      </c>
      <c r="E72" s="20" t="s">
        <v>14</v>
      </c>
      <c r="F72" s="20" t="s">
        <v>86</v>
      </c>
      <c r="G72" s="21">
        <v>0</v>
      </c>
      <c r="H72" s="21">
        <v>0</v>
      </c>
      <c r="I72" s="21">
        <v>42</v>
      </c>
      <c r="J72" s="21">
        <v>-42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5</v>
      </c>
      <c r="CZ72" s="21">
        <v>8</v>
      </c>
      <c r="DA72" s="21">
        <v>2</v>
      </c>
      <c r="DB72" s="21">
        <v>0</v>
      </c>
      <c r="DC72" s="21">
        <v>0</v>
      </c>
      <c r="DD72" s="21">
        <v>0</v>
      </c>
      <c r="DE72" s="21">
        <v>0</v>
      </c>
      <c r="DF72" s="21">
        <v>0</v>
      </c>
      <c r="DG72" s="21">
        <v>5</v>
      </c>
      <c r="DH72" s="21">
        <v>6</v>
      </c>
      <c r="DI72" s="21">
        <v>0</v>
      </c>
      <c r="DJ72" s="21">
        <v>0</v>
      </c>
      <c r="DK72" s="21">
        <v>3</v>
      </c>
      <c r="DL72" s="21">
        <v>6</v>
      </c>
      <c r="DM72" s="21">
        <v>5</v>
      </c>
      <c r="DN72" s="21">
        <v>2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0</v>
      </c>
      <c r="DY72" s="21">
        <v>0</v>
      </c>
      <c r="DZ72" s="21">
        <v>0</v>
      </c>
      <c r="EA72" s="21">
        <v>0</v>
      </c>
      <c r="EB72" s="21">
        <v>0</v>
      </c>
      <c r="EC72" s="21">
        <v>0</v>
      </c>
      <c r="ED72" s="21">
        <v>0</v>
      </c>
      <c r="EE72" s="21">
        <v>0</v>
      </c>
      <c r="EF72" s="21">
        <v>0</v>
      </c>
    </row>
    <row r="73" spans="1:136" ht="14.5" x14ac:dyDescent="0.35">
      <c r="A73" s="20" t="s">
        <v>12</v>
      </c>
      <c r="B73" s="20" t="s">
        <v>26</v>
      </c>
      <c r="C73" s="20" t="s">
        <v>26</v>
      </c>
      <c r="D73" s="20" t="s">
        <v>333</v>
      </c>
      <c r="E73" s="20" t="s">
        <v>14</v>
      </c>
      <c r="F73" s="20" t="s">
        <v>80</v>
      </c>
      <c r="G73" s="21">
        <v>15</v>
      </c>
      <c r="H73" s="21">
        <v>520</v>
      </c>
      <c r="I73" s="21">
        <v>0</v>
      </c>
      <c r="J73" s="21">
        <v>520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</row>
    <row r="74" spans="1:136" ht="14.5" x14ac:dyDescent="0.35">
      <c r="A74" s="20" t="s">
        <v>12</v>
      </c>
      <c r="B74" s="20" t="s">
        <v>26</v>
      </c>
      <c r="C74" s="20" t="s">
        <v>26</v>
      </c>
      <c r="D74" s="20" t="s">
        <v>339</v>
      </c>
      <c r="E74" s="20" t="s">
        <v>14</v>
      </c>
      <c r="F74" s="20" t="s">
        <v>80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21">
        <v>0</v>
      </c>
      <c r="DI74" s="21">
        <v>0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v>0</v>
      </c>
      <c r="DV74" s="21">
        <v>0</v>
      </c>
      <c r="DW74" s="21">
        <v>0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0</v>
      </c>
      <c r="EE74" s="21">
        <v>0</v>
      </c>
      <c r="EF74" s="21">
        <v>0</v>
      </c>
    </row>
    <row r="75" spans="1:136" ht="14.5" x14ac:dyDescent="0.35">
      <c r="A75" s="20" t="s">
        <v>12</v>
      </c>
      <c r="B75" s="20" t="s">
        <v>26</v>
      </c>
      <c r="C75" s="20" t="s">
        <v>26</v>
      </c>
      <c r="D75" s="20" t="s">
        <v>339</v>
      </c>
      <c r="E75" s="20" t="s">
        <v>14</v>
      </c>
      <c r="F75" s="20" t="s">
        <v>88</v>
      </c>
      <c r="G75" s="21">
        <v>0</v>
      </c>
      <c r="H75" s="21">
        <v>0</v>
      </c>
      <c r="I75" s="21">
        <v>32</v>
      </c>
      <c r="J75" s="21">
        <v>-32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26</v>
      </c>
      <c r="AO75" s="21">
        <v>6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</row>
    <row r="76" spans="1:136" ht="14.5" x14ac:dyDescent="0.35">
      <c r="A76" s="20" t="s">
        <v>12</v>
      </c>
      <c r="B76" s="20" t="s">
        <v>26</v>
      </c>
      <c r="C76" s="20" t="s">
        <v>26</v>
      </c>
      <c r="D76" s="20" t="s">
        <v>333</v>
      </c>
      <c r="E76" s="20" t="s">
        <v>14</v>
      </c>
      <c r="F76" s="20" t="s">
        <v>40</v>
      </c>
      <c r="G76" s="21">
        <v>0</v>
      </c>
      <c r="H76" s="21">
        <v>28</v>
      </c>
      <c r="I76" s="21">
        <v>0</v>
      </c>
      <c r="J76" s="21">
        <v>28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21">
        <v>0</v>
      </c>
      <c r="CO76" s="21">
        <v>0</v>
      </c>
      <c r="CP76" s="21">
        <v>0</v>
      </c>
      <c r="CQ76" s="21">
        <v>0</v>
      </c>
      <c r="CR76" s="21">
        <v>0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0</v>
      </c>
      <c r="CY76" s="21">
        <v>0</v>
      </c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21">
        <v>0</v>
      </c>
      <c r="DF76" s="21">
        <v>0</v>
      </c>
      <c r="DG76" s="21">
        <v>0</v>
      </c>
      <c r="DH76" s="21">
        <v>0</v>
      </c>
      <c r="DI76" s="21">
        <v>0</v>
      </c>
      <c r="DJ76" s="21">
        <v>0</v>
      </c>
      <c r="DK76" s="21">
        <v>0</v>
      </c>
      <c r="DL76" s="21">
        <v>0</v>
      </c>
      <c r="DM76" s="21">
        <v>0</v>
      </c>
      <c r="DN76" s="21">
        <v>0</v>
      </c>
      <c r="DO76" s="21">
        <v>0</v>
      </c>
      <c r="DP76" s="21">
        <v>0</v>
      </c>
      <c r="DQ76" s="21">
        <v>0</v>
      </c>
      <c r="DR76" s="21">
        <v>0</v>
      </c>
      <c r="DS76" s="21">
        <v>0</v>
      </c>
      <c r="DT76" s="21">
        <v>0</v>
      </c>
      <c r="DU76" s="21">
        <v>0</v>
      </c>
      <c r="DV76" s="21">
        <v>0</v>
      </c>
      <c r="DW76" s="21">
        <v>0</v>
      </c>
      <c r="DX76" s="21">
        <v>0</v>
      </c>
      <c r="DY76" s="21">
        <v>0</v>
      </c>
      <c r="DZ76" s="21">
        <v>0</v>
      </c>
      <c r="EA76" s="21">
        <v>0</v>
      </c>
      <c r="EB76" s="21">
        <v>0</v>
      </c>
      <c r="EC76" s="21">
        <v>0</v>
      </c>
      <c r="ED76" s="21">
        <v>0</v>
      </c>
      <c r="EE76" s="21">
        <v>0</v>
      </c>
      <c r="EF76" s="21">
        <v>0</v>
      </c>
    </row>
    <row r="77" spans="1:136" ht="14.5" x14ac:dyDescent="0.35">
      <c r="A77" s="20" t="s">
        <v>12</v>
      </c>
      <c r="B77" s="20" t="s">
        <v>26</v>
      </c>
      <c r="C77" s="20" t="s">
        <v>26</v>
      </c>
      <c r="D77" s="20" t="s">
        <v>339</v>
      </c>
      <c r="E77" s="20" t="s">
        <v>14</v>
      </c>
      <c r="F77" s="20" t="s">
        <v>40</v>
      </c>
      <c r="G77" s="21">
        <v>0</v>
      </c>
      <c r="H77" s="21">
        <v>0</v>
      </c>
      <c r="I77" s="21">
        <v>28</v>
      </c>
      <c r="J77" s="21">
        <v>-28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8</v>
      </c>
      <c r="DQ77" s="21">
        <v>10</v>
      </c>
      <c r="DR77" s="21">
        <v>10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</row>
    <row r="78" spans="1:136" ht="14.5" x14ac:dyDescent="0.35">
      <c r="A78" s="20" t="s">
        <v>12</v>
      </c>
      <c r="B78" s="20" t="s">
        <v>26</v>
      </c>
      <c r="C78" s="20" t="s">
        <v>26</v>
      </c>
      <c r="D78" s="20" t="s">
        <v>333</v>
      </c>
      <c r="E78" s="20" t="s">
        <v>14</v>
      </c>
      <c r="F78" s="20" t="s">
        <v>97</v>
      </c>
      <c r="G78" s="21">
        <v>135</v>
      </c>
      <c r="H78" s="21">
        <v>380</v>
      </c>
      <c r="I78" s="21">
        <v>97</v>
      </c>
      <c r="J78" s="21">
        <v>283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4</v>
      </c>
      <c r="AF78" s="21">
        <v>18</v>
      </c>
      <c r="AG78" s="21">
        <v>23</v>
      </c>
      <c r="AH78" s="21">
        <v>15</v>
      </c>
      <c r="AI78" s="21">
        <v>25</v>
      </c>
      <c r="AJ78" s="21">
        <v>12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0</v>
      </c>
      <c r="EE78" s="21">
        <v>0</v>
      </c>
      <c r="EF78" s="21">
        <v>0</v>
      </c>
    </row>
    <row r="79" spans="1:136" ht="14.5" x14ac:dyDescent="0.35">
      <c r="A79" s="20" t="s">
        <v>12</v>
      </c>
      <c r="B79" s="20" t="s">
        <v>26</v>
      </c>
      <c r="C79" s="20" t="s">
        <v>26</v>
      </c>
      <c r="D79" s="20" t="s">
        <v>339</v>
      </c>
      <c r="E79" s="20" t="s">
        <v>14</v>
      </c>
      <c r="F79" s="20" t="s">
        <v>97</v>
      </c>
      <c r="G79" s="21">
        <v>0</v>
      </c>
      <c r="H79" s="21">
        <v>0</v>
      </c>
      <c r="I79" s="21">
        <v>374</v>
      </c>
      <c r="J79" s="21">
        <v>-374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13.5</v>
      </c>
      <c r="AK79" s="21">
        <v>21.5</v>
      </c>
      <c r="AL79" s="21">
        <v>37</v>
      </c>
      <c r="AM79" s="21">
        <v>15</v>
      </c>
      <c r="AN79" s="21">
        <v>0</v>
      </c>
      <c r="AO79" s="21">
        <v>13</v>
      </c>
      <c r="AP79" s="21">
        <v>17</v>
      </c>
      <c r="AQ79" s="21">
        <v>4</v>
      </c>
      <c r="AR79" s="21">
        <v>8</v>
      </c>
      <c r="AS79" s="21">
        <v>0.5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10</v>
      </c>
      <c r="CT79" s="21">
        <v>0</v>
      </c>
      <c r="CU79" s="21">
        <v>20</v>
      </c>
      <c r="CV79" s="21">
        <v>20</v>
      </c>
      <c r="CW79" s="21">
        <v>20</v>
      </c>
      <c r="CX79" s="21">
        <v>0</v>
      </c>
      <c r="CY79" s="21">
        <v>0</v>
      </c>
      <c r="CZ79" s="21">
        <v>5</v>
      </c>
      <c r="DA79" s="21">
        <v>5</v>
      </c>
      <c r="DB79" s="21">
        <v>20</v>
      </c>
      <c r="DC79" s="21">
        <v>20</v>
      </c>
      <c r="DD79" s="21">
        <v>20</v>
      </c>
      <c r="DE79" s="21">
        <v>0</v>
      </c>
      <c r="DF79" s="21">
        <v>15</v>
      </c>
      <c r="DG79" s="21">
        <v>15</v>
      </c>
      <c r="DH79" s="21">
        <v>15</v>
      </c>
      <c r="DI79" s="21">
        <v>0</v>
      </c>
      <c r="DJ79" s="21">
        <v>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5</v>
      </c>
      <c r="DQ79" s="21">
        <v>5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</row>
    <row r="80" spans="1:136" ht="14.5" x14ac:dyDescent="0.35">
      <c r="A80" s="20" t="s">
        <v>12</v>
      </c>
      <c r="B80" s="20" t="s">
        <v>26</v>
      </c>
      <c r="C80" s="20" t="s">
        <v>26</v>
      </c>
      <c r="D80" s="20" t="s">
        <v>333</v>
      </c>
      <c r="E80" s="20" t="s">
        <v>14</v>
      </c>
      <c r="F80" s="20" t="s">
        <v>90</v>
      </c>
      <c r="G80" s="21">
        <v>0</v>
      </c>
      <c r="H80" s="21">
        <v>0</v>
      </c>
      <c r="I80" s="21">
        <v>3</v>
      </c>
      <c r="J80" s="21">
        <v>-3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3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0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0</v>
      </c>
      <c r="DU80" s="21">
        <v>0</v>
      </c>
      <c r="DV80" s="21">
        <v>0</v>
      </c>
      <c r="DW80" s="21">
        <v>0</v>
      </c>
      <c r="DX80" s="21">
        <v>0</v>
      </c>
      <c r="DY80" s="21">
        <v>0</v>
      </c>
      <c r="DZ80" s="21">
        <v>0</v>
      </c>
      <c r="EA80" s="21">
        <v>0</v>
      </c>
      <c r="EB80" s="21">
        <v>0</v>
      </c>
      <c r="EC80" s="21">
        <v>0</v>
      </c>
      <c r="ED80" s="21">
        <v>0</v>
      </c>
      <c r="EE80" s="21">
        <v>0</v>
      </c>
      <c r="EF80" s="21">
        <v>0</v>
      </c>
    </row>
    <row r="81" spans="1:136" ht="14.5" x14ac:dyDescent="0.35">
      <c r="A81" s="20" t="s">
        <v>12</v>
      </c>
      <c r="B81" s="20" t="s">
        <v>26</v>
      </c>
      <c r="C81" s="20" t="s">
        <v>26</v>
      </c>
      <c r="D81" s="20" t="s">
        <v>333</v>
      </c>
      <c r="E81" s="20" t="s">
        <v>14</v>
      </c>
      <c r="F81" s="20" t="s">
        <v>82</v>
      </c>
      <c r="G81" s="21">
        <v>86</v>
      </c>
      <c r="H81" s="21">
        <v>274</v>
      </c>
      <c r="I81" s="21">
        <v>7</v>
      </c>
      <c r="J81" s="21">
        <v>267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4</v>
      </c>
      <c r="AG81" s="21">
        <v>2</v>
      </c>
      <c r="AH81" s="21">
        <v>1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</row>
    <row r="82" spans="1:136" ht="14.5" x14ac:dyDescent="0.35">
      <c r="A82" s="20" t="s">
        <v>12</v>
      </c>
      <c r="B82" s="20" t="s">
        <v>26</v>
      </c>
      <c r="C82" s="20" t="s">
        <v>26</v>
      </c>
      <c r="D82" s="20" t="s">
        <v>339</v>
      </c>
      <c r="E82" s="20" t="s">
        <v>14</v>
      </c>
      <c r="F82" s="20" t="s">
        <v>82</v>
      </c>
      <c r="G82" s="21">
        <v>0</v>
      </c>
      <c r="H82" s="21">
        <v>0</v>
      </c>
      <c r="I82" s="21">
        <v>119.5</v>
      </c>
      <c r="J82" s="21">
        <v>-119.5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4</v>
      </c>
      <c r="AP82" s="21">
        <v>4</v>
      </c>
      <c r="AQ82" s="21">
        <v>0</v>
      </c>
      <c r="AR82" s="21">
        <v>0</v>
      </c>
      <c r="AS82" s="21">
        <v>0.5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0.5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15</v>
      </c>
      <c r="DL82" s="21">
        <v>15</v>
      </c>
      <c r="DM82" s="21">
        <v>15</v>
      </c>
      <c r="DN82" s="21">
        <v>15</v>
      </c>
      <c r="DO82" s="21">
        <v>15</v>
      </c>
      <c r="DP82" s="21">
        <v>16</v>
      </c>
      <c r="DQ82" s="21">
        <v>20</v>
      </c>
      <c r="DR82" s="21">
        <v>0</v>
      </c>
      <c r="DS82" s="21">
        <v>0</v>
      </c>
      <c r="DT82" s="21">
        <v>0</v>
      </c>
      <c r="DU82" s="21">
        <v>0</v>
      </c>
      <c r="DV82" s="21">
        <v>0</v>
      </c>
      <c r="DW82" s="21">
        <v>0</v>
      </c>
      <c r="DX82" s="21">
        <v>0</v>
      </c>
      <c r="DY82" s="21">
        <v>0</v>
      </c>
      <c r="DZ82" s="21">
        <v>0</v>
      </c>
      <c r="EA82" s="21">
        <v>0</v>
      </c>
      <c r="EB82" s="21">
        <v>0</v>
      </c>
      <c r="EC82" s="21">
        <v>0</v>
      </c>
      <c r="ED82" s="21">
        <v>0</v>
      </c>
      <c r="EE82" s="21">
        <v>0</v>
      </c>
      <c r="EF82" s="21">
        <v>0</v>
      </c>
    </row>
    <row r="83" spans="1:136" ht="14.5" x14ac:dyDescent="0.35">
      <c r="A83" s="20" t="s">
        <v>12</v>
      </c>
      <c r="B83" s="20" t="s">
        <v>26</v>
      </c>
      <c r="C83" s="20" t="s">
        <v>26</v>
      </c>
      <c r="D83" s="20" t="s">
        <v>333</v>
      </c>
      <c r="E83" s="20" t="s">
        <v>14</v>
      </c>
      <c r="F83" s="20" t="s">
        <v>113</v>
      </c>
      <c r="G83" s="21">
        <v>132.5</v>
      </c>
      <c r="H83" s="21">
        <v>263.5</v>
      </c>
      <c r="I83" s="21">
        <v>63</v>
      </c>
      <c r="J83" s="21">
        <v>200.5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12</v>
      </c>
      <c r="AE83" s="21">
        <v>22</v>
      </c>
      <c r="AF83" s="21">
        <v>5</v>
      </c>
      <c r="AG83" s="21">
        <v>8</v>
      </c>
      <c r="AH83" s="21">
        <v>2</v>
      </c>
      <c r="AI83" s="21">
        <v>10</v>
      </c>
      <c r="AJ83" s="21">
        <v>4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</row>
    <row r="84" spans="1:136" ht="14.5" x14ac:dyDescent="0.35">
      <c r="A84" s="20" t="s">
        <v>12</v>
      </c>
      <c r="B84" s="20" t="s">
        <v>26</v>
      </c>
      <c r="C84" s="20" t="s">
        <v>26</v>
      </c>
      <c r="D84" s="20" t="s">
        <v>333</v>
      </c>
      <c r="E84" s="20" t="s">
        <v>14</v>
      </c>
      <c r="F84" s="20" t="s">
        <v>113</v>
      </c>
      <c r="G84" s="21">
        <v>0</v>
      </c>
      <c r="H84" s="21">
        <v>0</v>
      </c>
      <c r="I84" s="21">
        <v>4</v>
      </c>
      <c r="J84" s="21">
        <v>-4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3</v>
      </c>
      <c r="AA84" s="21">
        <v>1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21">
        <v>0</v>
      </c>
      <c r="CQ84" s="21">
        <v>0</v>
      </c>
      <c r="CR84" s="21">
        <v>0</v>
      </c>
      <c r="CS84" s="21">
        <v>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0</v>
      </c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21">
        <v>0</v>
      </c>
      <c r="DF84" s="21">
        <v>0</v>
      </c>
      <c r="DG84" s="21">
        <v>0</v>
      </c>
      <c r="DH84" s="21">
        <v>0</v>
      </c>
      <c r="DI84" s="21">
        <v>0</v>
      </c>
      <c r="DJ84" s="21">
        <v>0</v>
      </c>
      <c r="DK84" s="21">
        <v>0</v>
      </c>
      <c r="DL84" s="21">
        <v>0</v>
      </c>
      <c r="DM84" s="21">
        <v>0</v>
      </c>
      <c r="DN84" s="21">
        <v>0</v>
      </c>
      <c r="DO84" s="21">
        <v>0</v>
      </c>
      <c r="DP84" s="21">
        <v>0</v>
      </c>
      <c r="DQ84" s="21">
        <v>0</v>
      </c>
      <c r="DR84" s="21">
        <v>0</v>
      </c>
      <c r="DS84" s="21">
        <v>0</v>
      </c>
      <c r="DT84" s="21">
        <v>0</v>
      </c>
      <c r="DU84" s="21">
        <v>0</v>
      </c>
      <c r="DV84" s="21">
        <v>0</v>
      </c>
      <c r="DW84" s="21">
        <v>0</v>
      </c>
      <c r="DX84" s="21">
        <v>0</v>
      </c>
      <c r="DY84" s="21">
        <v>0</v>
      </c>
      <c r="DZ84" s="21">
        <v>0</v>
      </c>
      <c r="EA84" s="21">
        <v>0</v>
      </c>
      <c r="EB84" s="21">
        <v>0</v>
      </c>
      <c r="EC84" s="21">
        <v>0</v>
      </c>
      <c r="ED84" s="21">
        <v>0</v>
      </c>
      <c r="EE84" s="21">
        <v>0</v>
      </c>
      <c r="EF84" s="21">
        <v>0</v>
      </c>
    </row>
    <row r="85" spans="1:136" ht="14.5" x14ac:dyDescent="0.35">
      <c r="A85" s="20" t="s">
        <v>12</v>
      </c>
      <c r="B85" s="20" t="s">
        <v>26</v>
      </c>
      <c r="C85" s="20" t="s">
        <v>26</v>
      </c>
      <c r="D85" s="20" t="s">
        <v>339</v>
      </c>
      <c r="E85" s="20" t="s">
        <v>14</v>
      </c>
      <c r="F85" s="20" t="s">
        <v>113</v>
      </c>
      <c r="G85" s="21">
        <v>0</v>
      </c>
      <c r="H85" s="21">
        <v>0</v>
      </c>
      <c r="I85" s="21">
        <v>207.5</v>
      </c>
      <c r="J85" s="21">
        <v>-207.5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8</v>
      </c>
      <c r="AK85" s="21">
        <v>4</v>
      </c>
      <c r="AL85" s="21">
        <v>3</v>
      </c>
      <c r="AM85" s="21">
        <v>2</v>
      </c>
      <c r="AN85" s="21">
        <v>0</v>
      </c>
      <c r="AO85" s="21">
        <v>3</v>
      </c>
      <c r="AP85" s="21">
        <v>6</v>
      </c>
      <c r="AQ85" s="21">
        <v>12</v>
      </c>
      <c r="AR85" s="21">
        <v>22.5</v>
      </c>
      <c r="AS85" s="21">
        <v>16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16</v>
      </c>
      <c r="CT85" s="21">
        <v>0</v>
      </c>
      <c r="CU85" s="21">
        <v>0</v>
      </c>
      <c r="CV85" s="21">
        <v>0</v>
      </c>
      <c r="CW85" s="21">
        <v>0</v>
      </c>
      <c r="CX85" s="21">
        <v>12</v>
      </c>
      <c r="CY85" s="21">
        <v>12</v>
      </c>
      <c r="CZ85" s="21">
        <v>15</v>
      </c>
      <c r="DA85" s="21">
        <v>12</v>
      </c>
      <c r="DB85" s="21">
        <v>6</v>
      </c>
      <c r="DC85" s="21">
        <v>10</v>
      </c>
      <c r="DD85" s="21">
        <v>12</v>
      </c>
      <c r="DE85" s="21">
        <v>0</v>
      </c>
      <c r="DF85" s="21">
        <v>10</v>
      </c>
      <c r="DG85" s="21">
        <v>12</v>
      </c>
      <c r="DH85" s="21">
        <v>14</v>
      </c>
      <c r="DI85" s="21">
        <v>0</v>
      </c>
      <c r="DJ85" s="21">
        <v>0</v>
      </c>
      <c r="DK85" s="21">
        <v>8</v>
      </c>
      <c r="DL85" s="21">
        <v>8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21">
        <v>0</v>
      </c>
      <c r="DT85" s="21">
        <v>0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0</v>
      </c>
      <c r="EE85" s="21">
        <v>0</v>
      </c>
      <c r="EF85" s="21">
        <v>0</v>
      </c>
    </row>
    <row r="86" spans="1:136" ht="14.5" x14ac:dyDescent="0.35">
      <c r="A86" s="20" t="s">
        <v>12</v>
      </c>
      <c r="B86" s="20" t="s">
        <v>26</v>
      </c>
      <c r="C86" s="20" t="s">
        <v>26</v>
      </c>
      <c r="D86" s="20" t="s">
        <v>333</v>
      </c>
      <c r="E86" s="20" t="s">
        <v>14</v>
      </c>
      <c r="F86" s="20" t="s">
        <v>125</v>
      </c>
      <c r="G86" s="21">
        <v>58</v>
      </c>
      <c r="H86" s="21">
        <v>200</v>
      </c>
      <c r="I86" s="21">
        <v>11</v>
      </c>
      <c r="J86" s="21">
        <v>189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8</v>
      </c>
      <c r="AG86" s="21">
        <v>0</v>
      </c>
      <c r="AH86" s="21">
        <v>3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21">
        <v>0</v>
      </c>
      <c r="DI86" s="21">
        <v>0</v>
      </c>
      <c r="DJ86" s="21">
        <v>0</v>
      </c>
      <c r="DK86" s="21">
        <v>0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0</v>
      </c>
      <c r="DW86" s="21">
        <v>0</v>
      </c>
      <c r="DX86" s="21">
        <v>0</v>
      </c>
      <c r="DY86" s="21">
        <v>0</v>
      </c>
      <c r="DZ86" s="21">
        <v>0</v>
      </c>
      <c r="EA86" s="21">
        <v>0</v>
      </c>
      <c r="EB86" s="21">
        <v>0</v>
      </c>
      <c r="EC86" s="21">
        <v>0</v>
      </c>
      <c r="ED86" s="21">
        <v>0</v>
      </c>
      <c r="EE86" s="21">
        <v>0</v>
      </c>
      <c r="EF86" s="21">
        <v>0</v>
      </c>
    </row>
    <row r="87" spans="1:136" ht="14.5" x14ac:dyDescent="0.35">
      <c r="A87" s="20" t="s">
        <v>12</v>
      </c>
      <c r="B87" s="20" t="s">
        <v>26</v>
      </c>
      <c r="C87" s="20" t="s">
        <v>26</v>
      </c>
      <c r="D87" s="20" t="s">
        <v>339</v>
      </c>
      <c r="E87" s="20" t="s">
        <v>14</v>
      </c>
      <c r="F87" s="20" t="s">
        <v>125</v>
      </c>
      <c r="G87" s="21">
        <v>0</v>
      </c>
      <c r="H87" s="21">
        <v>0</v>
      </c>
      <c r="I87" s="21">
        <v>171</v>
      </c>
      <c r="J87" s="21">
        <v>-171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3</v>
      </c>
      <c r="AO87" s="21">
        <v>0</v>
      </c>
      <c r="AP87" s="21">
        <v>9</v>
      </c>
      <c r="AQ87" s="21">
        <v>7</v>
      </c>
      <c r="AR87" s="21">
        <v>10</v>
      </c>
      <c r="AS87" s="21">
        <v>2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8</v>
      </c>
      <c r="CT87" s="21">
        <v>4</v>
      </c>
      <c r="CU87" s="21">
        <v>8</v>
      </c>
      <c r="CV87" s="21">
        <v>8</v>
      </c>
      <c r="CW87" s="21">
        <v>8</v>
      </c>
      <c r="CX87" s="21">
        <v>0</v>
      </c>
      <c r="CY87" s="21">
        <v>0</v>
      </c>
      <c r="CZ87" s="21">
        <v>0</v>
      </c>
      <c r="DA87" s="21">
        <v>0</v>
      </c>
      <c r="DB87" s="21">
        <v>8</v>
      </c>
      <c r="DC87" s="21">
        <v>8</v>
      </c>
      <c r="DD87" s="21">
        <v>8</v>
      </c>
      <c r="DE87" s="21">
        <v>0</v>
      </c>
      <c r="DF87" s="21">
        <v>8</v>
      </c>
      <c r="DG87" s="21">
        <v>8</v>
      </c>
      <c r="DH87" s="21">
        <v>8</v>
      </c>
      <c r="DI87" s="21">
        <v>0</v>
      </c>
      <c r="DJ87" s="21">
        <v>0</v>
      </c>
      <c r="DK87" s="21">
        <v>0</v>
      </c>
      <c r="DL87" s="21">
        <v>8</v>
      </c>
      <c r="DM87" s="21">
        <v>20</v>
      </c>
      <c r="DN87" s="21">
        <v>20</v>
      </c>
      <c r="DO87" s="21">
        <v>10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0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0</v>
      </c>
      <c r="EE87" s="21">
        <v>0</v>
      </c>
      <c r="EF87" s="21">
        <v>0</v>
      </c>
    </row>
    <row r="88" spans="1:136" ht="14.5" x14ac:dyDescent="0.35">
      <c r="A88" s="20" t="s">
        <v>12</v>
      </c>
      <c r="B88" s="20" t="s">
        <v>26</v>
      </c>
      <c r="C88" s="20" t="s">
        <v>26</v>
      </c>
      <c r="D88" s="20" t="s">
        <v>333</v>
      </c>
      <c r="E88" s="20" t="s">
        <v>14</v>
      </c>
      <c r="F88" s="20" t="s">
        <v>126</v>
      </c>
      <c r="G88" s="21">
        <v>12</v>
      </c>
      <c r="H88" s="21">
        <v>108</v>
      </c>
      <c r="I88" s="21">
        <v>0</v>
      </c>
      <c r="J88" s="21">
        <v>108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0</v>
      </c>
      <c r="CY88" s="21">
        <v>0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v>0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0</v>
      </c>
      <c r="EC88" s="21">
        <v>0</v>
      </c>
      <c r="ED88" s="21">
        <v>0</v>
      </c>
      <c r="EE88" s="21">
        <v>0</v>
      </c>
      <c r="EF88" s="21">
        <v>0</v>
      </c>
    </row>
    <row r="89" spans="1:136" ht="14.5" x14ac:dyDescent="0.35">
      <c r="A89" s="20" t="s">
        <v>12</v>
      </c>
      <c r="B89" s="20" t="s">
        <v>26</v>
      </c>
      <c r="C89" s="20" t="s">
        <v>26</v>
      </c>
      <c r="D89" s="20" t="s">
        <v>339</v>
      </c>
      <c r="E89" s="20" t="s">
        <v>14</v>
      </c>
      <c r="F89" s="20" t="s">
        <v>126</v>
      </c>
      <c r="G89" s="21">
        <v>0</v>
      </c>
      <c r="H89" s="21">
        <v>0</v>
      </c>
      <c r="I89" s="21">
        <v>96</v>
      </c>
      <c r="J89" s="21">
        <v>-96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4</v>
      </c>
      <c r="CT89" s="21">
        <v>4</v>
      </c>
      <c r="CU89" s="21">
        <v>6</v>
      </c>
      <c r="CV89" s="21">
        <v>6</v>
      </c>
      <c r="CW89" s="21">
        <v>6</v>
      </c>
      <c r="CX89" s="21">
        <v>6</v>
      </c>
      <c r="CY89" s="21">
        <v>2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2</v>
      </c>
      <c r="DL89" s="21">
        <v>6</v>
      </c>
      <c r="DM89" s="21">
        <v>8</v>
      </c>
      <c r="DN89" s="21">
        <v>8</v>
      </c>
      <c r="DO89" s="21">
        <v>8</v>
      </c>
      <c r="DP89" s="21">
        <v>10</v>
      </c>
      <c r="DQ89" s="21">
        <v>10</v>
      </c>
      <c r="DR89" s="21">
        <v>10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</row>
    <row r="90" spans="1:136" ht="14.5" x14ac:dyDescent="0.35">
      <c r="A90" s="20" t="s">
        <v>12</v>
      </c>
      <c r="B90" s="20" t="s">
        <v>26</v>
      </c>
      <c r="C90" s="20" t="s">
        <v>26</v>
      </c>
      <c r="D90" s="20" t="s">
        <v>333</v>
      </c>
      <c r="E90" s="20" t="s">
        <v>14</v>
      </c>
      <c r="F90" s="20" t="s">
        <v>91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0</v>
      </c>
      <c r="DL90" s="21">
        <v>0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0</v>
      </c>
      <c r="EE90" s="21">
        <v>0</v>
      </c>
      <c r="EF90" s="21">
        <v>0</v>
      </c>
    </row>
    <row r="91" spans="1:136" ht="14.5" x14ac:dyDescent="0.35">
      <c r="A91" s="20" t="s">
        <v>12</v>
      </c>
      <c r="B91" s="20" t="s">
        <v>26</v>
      </c>
      <c r="C91" s="20" t="s">
        <v>26</v>
      </c>
      <c r="D91" s="20" t="s">
        <v>339</v>
      </c>
      <c r="E91" s="20" t="s">
        <v>14</v>
      </c>
      <c r="F91" s="20" t="s">
        <v>91</v>
      </c>
      <c r="G91" s="21">
        <v>0</v>
      </c>
      <c r="H91" s="21">
        <v>0</v>
      </c>
      <c r="I91" s="21">
        <v>48</v>
      </c>
      <c r="J91" s="21">
        <v>-48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26</v>
      </c>
      <c r="AN91" s="21">
        <v>22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</row>
    <row r="92" spans="1:136" ht="14.5" x14ac:dyDescent="0.35">
      <c r="A92" s="20" t="s">
        <v>12</v>
      </c>
      <c r="B92" s="20" t="s">
        <v>26</v>
      </c>
      <c r="C92" s="20" t="s">
        <v>26</v>
      </c>
      <c r="D92" s="20" t="s">
        <v>333</v>
      </c>
      <c r="E92" s="20" t="s">
        <v>14</v>
      </c>
      <c r="F92" s="20" t="s">
        <v>120</v>
      </c>
      <c r="G92" s="21">
        <v>10.4</v>
      </c>
      <c r="H92" s="21">
        <v>164.4</v>
      </c>
      <c r="I92" s="21">
        <v>0</v>
      </c>
      <c r="J92" s="21">
        <v>164.4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1">
        <v>0</v>
      </c>
      <c r="CH92" s="21">
        <v>0</v>
      </c>
      <c r="CI92" s="21">
        <v>0</v>
      </c>
      <c r="CJ92" s="21">
        <v>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v>0</v>
      </c>
      <c r="CQ92" s="21">
        <v>0</v>
      </c>
      <c r="CR92" s="21">
        <v>0</v>
      </c>
      <c r="CS92" s="21">
        <v>0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0</v>
      </c>
      <c r="CZ92" s="21">
        <v>0</v>
      </c>
      <c r="DA92" s="21">
        <v>0</v>
      </c>
      <c r="DB92" s="21">
        <v>0</v>
      </c>
      <c r="DC92" s="21">
        <v>0</v>
      </c>
      <c r="DD92" s="21">
        <v>0</v>
      </c>
      <c r="DE92" s="21">
        <v>0</v>
      </c>
      <c r="DF92" s="21">
        <v>0</v>
      </c>
      <c r="DG92" s="21">
        <v>0</v>
      </c>
      <c r="DH92" s="21">
        <v>0</v>
      </c>
      <c r="DI92" s="21">
        <v>0</v>
      </c>
      <c r="DJ92" s="21">
        <v>0</v>
      </c>
      <c r="DK92" s="21">
        <v>0</v>
      </c>
      <c r="DL92" s="21">
        <v>0</v>
      </c>
      <c r="DM92" s="21">
        <v>0</v>
      </c>
      <c r="DN92" s="21">
        <v>0</v>
      </c>
      <c r="DO92" s="21">
        <v>0</v>
      </c>
      <c r="DP92" s="21">
        <v>0</v>
      </c>
      <c r="DQ92" s="21">
        <v>0</v>
      </c>
      <c r="DR92" s="21">
        <v>0</v>
      </c>
      <c r="DS92" s="21">
        <v>0</v>
      </c>
      <c r="DT92" s="21">
        <v>0</v>
      </c>
      <c r="DU92" s="21">
        <v>0</v>
      </c>
      <c r="DV92" s="21">
        <v>0</v>
      </c>
      <c r="DW92" s="21">
        <v>0</v>
      </c>
      <c r="DX92" s="21">
        <v>0</v>
      </c>
      <c r="DY92" s="21">
        <v>0</v>
      </c>
      <c r="DZ92" s="21">
        <v>0</v>
      </c>
      <c r="EA92" s="21">
        <v>0</v>
      </c>
      <c r="EB92" s="21">
        <v>0</v>
      </c>
      <c r="EC92" s="21">
        <v>0</v>
      </c>
      <c r="ED92" s="21">
        <v>0</v>
      </c>
      <c r="EE92" s="21">
        <v>0</v>
      </c>
      <c r="EF92" s="21">
        <v>0</v>
      </c>
    </row>
    <row r="93" spans="1:136" ht="14.5" x14ac:dyDescent="0.35">
      <c r="A93" s="20" t="s">
        <v>12</v>
      </c>
      <c r="B93" s="20" t="s">
        <v>26</v>
      </c>
      <c r="C93" s="20" t="s">
        <v>26</v>
      </c>
      <c r="D93" s="20" t="s">
        <v>339</v>
      </c>
      <c r="E93" s="20" t="s">
        <v>14</v>
      </c>
      <c r="F93" s="20" t="s">
        <v>120</v>
      </c>
      <c r="G93" s="21">
        <v>0</v>
      </c>
      <c r="H93" s="21">
        <v>0</v>
      </c>
      <c r="I93" s="21">
        <v>154</v>
      </c>
      <c r="J93" s="21">
        <v>-154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21">
        <v>0</v>
      </c>
      <c r="CL93" s="21">
        <v>0</v>
      </c>
      <c r="CM93" s="21">
        <v>0</v>
      </c>
      <c r="CN93" s="21">
        <v>0</v>
      </c>
      <c r="CO93" s="21">
        <v>0</v>
      </c>
      <c r="CP93" s="21">
        <v>0</v>
      </c>
      <c r="CQ93" s="21">
        <v>0</v>
      </c>
      <c r="CR93" s="21">
        <v>0</v>
      </c>
      <c r="CS93" s="21">
        <v>8</v>
      </c>
      <c r="CT93" s="21">
        <v>8</v>
      </c>
      <c r="CU93" s="21">
        <v>5</v>
      </c>
      <c r="CV93" s="21">
        <v>1</v>
      </c>
      <c r="CW93" s="21">
        <v>1.1000000000000001</v>
      </c>
      <c r="CX93" s="21">
        <v>2</v>
      </c>
      <c r="CY93" s="21">
        <v>0.3</v>
      </c>
      <c r="CZ93" s="21">
        <v>0.1</v>
      </c>
      <c r="DA93" s="21">
        <v>0.2</v>
      </c>
      <c r="DB93" s="21">
        <v>0.4</v>
      </c>
      <c r="DC93" s="21">
        <v>0</v>
      </c>
      <c r="DD93" s="21">
        <v>0</v>
      </c>
      <c r="DE93" s="21">
        <v>0</v>
      </c>
      <c r="DF93" s="21">
        <v>10</v>
      </c>
      <c r="DG93" s="21">
        <v>10</v>
      </c>
      <c r="DH93" s="21">
        <v>10</v>
      </c>
      <c r="DI93" s="21">
        <v>0</v>
      </c>
      <c r="DJ93" s="21">
        <v>0</v>
      </c>
      <c r="DK93" s="21">
        <v>11.7</v>
      </c>
      <c r="DL93" s="21">
        <v>0.2</v>
      </c>
      <c r="DM93" s="21">
        <v>0</v>
      </c>
      <c r="DN93" s="21">
        <v>0</v>
      </c>
      <c r="DO93" s="21">
        <v>0</v>
      </c>
      <c r="DP93" s="21">
        <v>0</v>
      </c>
      <c r="DQ93" s="21">
        <v>0</v>
      </c>
      <c r="DR93" s="21">
        <v>1.9</v>
      </c>
      <c r="DS93" s="21">
        <v>6.3</v>
      </c>
      <c r="DT93" s="21">
        <v>8.6999999999999993</v>
      </c>
      <c r="DU93" s="21">
        <v>16</v>
      </c>
      <c r="DV93" s="21">
        <v>16</v>
      </c>
      <c r="DW93" s="21">
        <v>16</v>
      </c>
      <c r="DX93" s="21">
        <v>16</v>
      </c>
      <c r="DY93" s="21">
        <v>5.0999999999999996</v>
      </c>
      <c r="DZ93" s="21">
        <v>0</v>
      </c>
      <c r="EA93" s="21">
        <v>0</v>
      </c>
      <c r="EB93" s="21">
        <v>0</v>
      </c>
      <c r="EC93" s="21">
        <v>0</v>
      </c>
      <c r="ED93" s="21">
        <v>0</v>
      </c>
      <c r="EE93" s="21">
        <v>0</v>
      </c>
      <c r="EF93" s="21">
        <v>0</v>
      </c>
    </row>
    <row r="94" spans="1:136" ht="14.5" x14ac:dyDescent="0.35">
      <c r="A94" s="20" t="s">
        <v>12</v>
      </c>
      <c r="B94" s="20" t="s">
        <v>36</v>
      </c>
      <c r="C94" s="20" t="s">
        <v>36</v>
      </c>
      <c r="D94" s="20" t="s">
        <v>334</v>
      </c>
      <c r="E94" s="20" t="s">
        <v>10</v>
      </c>
      <c r="F94" s="20" t="s">
        <v>122</v>
      </c>
      <c r="G94" s="21">
        <v>0</v>
      </c>
      <c r="H94" s="21">
        <v>0</v>
      </c>
      <c r="I94" s="21">
        <v>73.400000000000006</v>
      </c>
      <c r="J94" s="21">
        <v>-73.400000000000006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1</v>
      </c>
      <c r="AL94" s="21">
        <v>0</v>
      </c>
      <c r="AM94" s="21">
        <v>0</v>
      </c>
      <c r="AN94" s="21">
        <v>0</v>
      </c>
      <c r="AO94" s="21">
        <v>1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0</v>
      </c>
      <c r="CK94" s="21">
        <v>0</v>
      </c>
      <c r="CL94" s="21">
        <v>0</v>
      </c>
      <c r="CM94" s="21">
        <v>0</v>
      </c>
      <c r="CN94" s="21">
        <v>0</v>
      </c>
      <c r="CO94" s="21">
        <v>0</v>
      </c>
      <c r="CP94" s="21">
        <v>0</v>
      </c>
      <c r="CQ94" s="21">
        <v>0</v>
      </c>
      <c r="CR94" s="21">
        <v>0</v>
      </c>
      <c r="CS94" s="21">
        <v>4</v>
      </c>
      <c r="CT94" s="21">
        <v>0</v>
      </c>
      <c r="CU94" s="21">
        <v>0</v>
      </c>
      <c r="CV94" s="21">
        <v>0</v>
      </c>
      <c r="CW94" s="21">
        <v>0</v>
      </c>
      <c r="CX94" s="21">
        <v>0.4</v>
      </c>
      <c r="CY94" s="21">
        <v>0</v>
      </c>
      <c r="CZ94" s="21">
        <v>0</v>
      </c>
      <c r="DA94" s="21">
        <v>0</v>
      </c>
      <c r="DB94" s="21">
        <v>0</v>
      </c>
      <c r="DC94" s="21">
        <v>0</v>
      </c>
      <c r="DD94" s="21">
        <v>0</v>
      </c>
      <c r="DE94" s="21">
        <v>0</v>
      </c>
      <c r="DF94" s="21">
        <v>0</v>
      </c>
      <c r="DG94" s="21">
        <v>1</v>
      </c>
      <c r="DH94" s="21">
        <v>1</v>
      </c>
      <c r="DI94" s="21">
        <v>0</v>
      </c>
      <c r="DJ94" s="21">
        <v>0</v>
      </c>
      <c r="DK94" s="21">
        <v>0.5</v>
      </c>
      <c r="DL94" s="21">
        <v>11</v>
      </c>
      <c r="DM94" s="21">
        <v>0.5</v>
      </c>
      <c r="DN94" s="21">
        <v>5.5</v>
      </c>
      <c r="DO94" s="21">
        <v>21.5</v>
      </c>
      <c r="DP94" s="21">
        <v>14.5</v>
      </c>
      <c r="DQ94" s="21">
        <v>11.5</v>
      </c>
      <c r="DR94" s="21">
        <v>0</v>
      </c>
      <c r="DS94" s="21">
        <v>0</v>
      </c>
      <c r="DT94" s="21">
        <v>0</v>
      </c>
      <c r="DU94" s="21">
        <v>0</v>
      </c>
      <c r="DV94" s="21">
        <v>0</v>
      </c>
      <c r="DW94" s="21">
        <v>0</v>
      </c>
      <c r="DX94" s="21">
        <v>0</v>
      </c>
      <c r="DY94" s="21">
        <v>0</v>
      </c>
      <c r="DZ94" s="21">
        <v>0</v>
      </c>
      <c r="EA94" s="21">
        <v>0</v>
      </c>
      <c r="EB94" s="21">
        <v>0</v>
      </c>
      <c r="EC94" s="21">
        <v>0</v>
      </c>
      <c r="ED94" s="21">
        <v>0</v>
      </c>
      <c r="EE94" s="21">
        <v>0</v>
      </c>
      <c r="EF94" s="21">
        <v>0</v>
      </c>
    </row>
    <row r="95" spans="1:136" ht="14.5" x14ac:dyDescent="0.35">
      <c r="A95" s="20" t="s">
        <v>12</v>
      </c>
      <c r="B95" s="20" t="s">
        <v>36</v>
      </c>
      <c r="C95" s="20" t="s">
        <v>36</v>
      </c>
      <c r="D95" s="20" t="s">
        <v>333</v>
      </c>
      <c r="E95" s="20" t="s">
        <v>10</v>
      </c>
      <c r="F95" s="20" t="s">
        <v>122</v>
      </c>
      <c r="G95" s="21">
        <v>39.9</v>
      </c>
      <c r="H95" s="21">
        <v>135.9</v>
      </c>
      <c r="I95" s="21">
        <v>0</v>
      </c>
      <c r="J95" s="21">
        <v>135.9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0</v>
      </c>
      <c r="BZ95" s="21">
        <v>0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0</v>
      </c>
      <c r="CK95" s="21">
        <v>0</v>
      </c>
      <c r="CL95" s="21">
        <v>0</v>
      </c>
      <c r="CM95" s="21">
        <v>0</v>
      </c>
      <c r="CN95" s="21">
        <v>0</v>
      </c>
      <c r="CO95" s="21">
        <v>0</v>
      </c>
      <c r="CP95" s="21">
        <v>0</v>
      </c>
      <c r="CQ95" s="21">
        <v>0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0</v>
      </c>
      <c r="CZ95" s="21">
        <v>0</v>
      </c>
      <c r="DA95" s="21">
        <v>0</v>
      </c>
      <c r="DB95" s="21">
        <v>0</v>
      </c>
      <c r="DC95" s="21">
        <v>0</v>
      </c>
      <c r="DD95" s="21">
        <v>0</v>
      </c>
      <c r="DE95" s="21">
        <v>0</v>
      </c>
      <c r="DF95" s="21">
        <v>0</v>
      </c>
      <c r="DG95" s="21">
        <v>0</v>
      </c>
      <c r="DH95" s="21">
        <v>0</v>
      </c>
      <c r="DI95" s="21">
        <v>0</v>
      </c>
      <c r="DJ95" s="21">
        <v>0</v>
      </c>
      <c r="DK95" s="21">
        <v>0</v>
      </c>
      <c r="DL95" s="21">
        <v>0</v>
      </c>
      <c r="DM95" s="21">
        <v>0</v>
      </c>
      <c r="DN95" s="21">
        <v>0</v>
      </c>
      <c r="DO95" s="21">
        <v>0</v>
      </c>
      <c r="DP95" s="21">
        <v>0</v>
      </c>
      <c r="DQ95" s="21">
        <v>0</v>
      </c>
      <c r="DR95" s="21">
        <v>0</v>
      </c>
      <c r="DS95" s="21">
        <v>0</v>
      </c>
      <c r="DT95" s="21">
        <v>0</v>
      </c>
      <c r="DU95" s="21">
        <v>0</v>
      </c>
      <c r="DV95" s="21">
        <v>0</v>
      </c>
      <c r="DW95" s="21">
        <v>0</v>
      </c>
      <c r="DX95" s="21">
        <v>0</v>
      </c>
      <c r="DY95" s="21">
        <v>0</v>
      </c>
      <c r="DZ95" s="21">
        <v>0</v>
      </c>
      <c r="EA95" s="21">
        <v>0</v>
      </c>
      <c r="EB95" s="21">
        <v>0</v>
      </c>
      <c r="EC95" s="21">
        <v>0</v>
      </c>
      <c r="ED95" s="21">
        <v>0</v>
      </c>
      <c r="EE95" s="21">
        <v>0</v>
      </c>
      <c r="EF95" s="21">
        <v>0</v>
      </c>
    </row>
    <row r="96" spans="1:136" ht="14.5" x14ac:dyDescent="0.35">
      <c r="A96" s="20" t="s">
        <v>12</v>
      </c>
      <c r="B96" s="20" t="s">
        <v>36</v>
      </c>
      <c r="C96" s="20" t="s">
        <v>36</v>
      </c>
      <c r="D96" s="20" t="s">
        <v>334</v>
      </c>
      <c r="E96" s="20" t="s">
        <v>10</v>
      </c>
      <c r="F96" s="20" t="s">
        <v>78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0</v>
      </c>
      <c r="CK96" s="21">
        <v>0</v>
      </c>
      <c r="CL96" s="21">
        <v>0</v>
      </c>
      <c r="CM96" s="21">
        <v>0</v>
      </c>
      <c r="CN96" s="21">
        <v>0</v>
      </c>
      <c r="CO96" s="21">
        <v>0</v>
      </c>
      <c r="CP96" s="21">
        <v>0</v>
      </c>
      <c r="CQ96" s="21">
        <v>0</v>
      </c>
      <c r="CR96" s="21">
        <v>0</v>
      </c>
      <c r="CS96" s="21">
        <v>0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0</v>
      </c>
      <c r="CZ96" s="21">
        <v>0</v>
      </c>
      <c r="DA96" s="21">
        <v>0</v>
      </c>
      <c r="DB96" s="21">
        <v>0</v>
      </c>
      <c r="DC96" s="21">
        <v>0</v>
      </c>
      <c r="DD96" s="21">
        <v>0</v>
      </c>
      <c r="DE96" s="21">
        <v>0</v>
      </c>
      <c r="DF96" s="21">
        <v>0</v>
      </c>
      <c r="DG96" s="21">
        <v>0</v>
      </c>
      <c r="DH96" s="21">
        <v>0</v>
      </c>
      <c r="DI96" s="21">
        <v>0</v>
      </c>
      <c r="DJ96" s="21">
        <v>0</v>
      </c>
      <c r="DK96" s="21">
        <v>0</v>
      </c>
      <c r="DL96" s="21">
        <v>0</v>
      </c>
      <c r="DM96" s="21">
        <v>0</v>
      </c>
      <c r="DN96" s="21">
        <v>0</v>
      </c>
      <c r="DO96" s="21">
        <v>0</v>
      </c>
      <c r="DP96" s="21">
        <v>0</v>
      </c>
      <c r="DQ96" s="21">
        <v>0</v>
      </c>
      <c r="DR96" s="21">
        <v>0</v>
      </c>
      <c r="DS96" s="21">
        <v>0</v>
      </c>
      <c r="DT96" s="21">
        <v>0</v>
      </c>
      <c r="DU96" s="21">
        <v>0</v>
      </c>
      <c r="DV96" s="21">
        <v>0</v>
      </c>
      <c r="DW96" s="21">
        <v>0</v>
      </c>
      <c r="DX96" s="21">
        <v>0</v>
      </c>
      <c r="DY96" s="21">
        <v>0</v>
      </c>
      <c r="DZ96" s="21">
        <v>0</v>
      </c>
      <c r="EA96" s="21">
        <v>0</v>
      </c>
      <c r="EB96" s="21">
        <v>0</v>
      </c>
      <c r="EC96" s="21">
        <v>0</v>
      </c>
      <c r="ED96" s="21">
        <v>0</v>
      </c>
      <c r="EE96" s="21">
        <v>0</v>
      </c>
      <c r="EF96" s="21">
        <v>0</v>
      </c>
    </row>
    <row r="97" spans="1:136" ht="14.5" x14ac:dyDescent="0.35">
      <c r="A97" s="20" t="s">
        <v>12</v>
      </c>
      <c r="B97" s="20" t="s">
        <v>36</v>
      </c>
      <c r="C97" s="20" t="s">
        <v>36</v>
      </c>
      <c r="D97" s="20" t="s">
        <v>333</v>
      </c>
      <c r="E97" s="20" t="s">
        <v>10</v>
      </c>
      <c r="F97" s="20" t="s">
        <v>78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>
        <v>0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0</v>
      </c>
      <c r="CM97" s="21">
        <v>0</v>
      </c>
      <c r="CN97" s="21">
        <v>0</v>
      </c>
      <c r="CO97" s="21">
        <v>0</v>
      </c>
      <c r="CP97" s="21">
        <v>0</v>
      </c>
      <c r="CQ97" s="21">
        <v>0</v>
      </c>
      <c r="CR97" s="21">
        <v>0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0</v>
      </c>
      <c r="CZ97" s="21">
        <v>0</v>
      </c>
      <c r="DA97" s="21">
        <v>0</v>
      </c>
      <c r="DB97" s="21">
        <v>0</v>
      </c>
      <c r="DC97" s="21">
        <v>0</v>
      </c>
      <c r="DD97" s="21">
        <v>0</v>
      </c>
      <c r="DE97" s="21">
        <v>0</v>
      </c>
      <c r="DF97" s="21">
        <v>0</v>
      </c>
      <c r="DG97" s="21">
        <v>0</v>
      </c>
      <c r="DH97" s="21">
        <v>0</v>
      </c>
      <c r="DI97" s="21">
        <v>0</v>
      </c>
      <c r="DJ97" s="21">
        <v>0</v>
      </c>
      <c r="DK97" s="21">
        <v>0</v>
      </c>
      <c r="DL97" s="21">
        <v>0</v>
      </c>
      <c r="DM97" s="21">
        <v>0</v>
      </c>
      <c r="DN97" s="21">
        <v>0</v>
      </c>
      <c r="DO97" s="21">
        <v>0</v>
      </c>
      <c r="DP97" s="21">
        <v>0</v>
      </c>
      <c r="DQ97" s="21">
        <v>0</v>
      </c>
      <c r="DR97" s="21">
        <v>0</v>
      </c>
      <c r="DS97" s="21">
        <v>0</v>
      </c>
      <c r="DT97" s="21">
        <v>0</v>
      </c>
      <c r="DU97" s="21">
        <v>0</v>
      </c>
      <c r="DV97" s="21">
        <v>0</v>
      </c>
      <c r="DW97" s="21">
        <v>0</v>
      </c>
      <c r="DX97" s="21">
        <v>0</v>
      </c>
      <c r="DY97" s="21">
        <v>0</v>
      </c>
      <c r="DZ97" s="21">
        <v>0</v>
      </c>
      <c r="EA97" s="21">
        <v>0</v>
      </c>
      <c r="EB97" s="21">
        <v>0</v>
      </c>
      <c r="EC97" s="21">
        <v>0</v>
      </c>
      <c r="ED97" s="21">
        <v>0</v>
      </c>
      <c r="EE97" s="21">
        <v>0</v>
      </c>
      <c r="EF97" s="21">
        <v>0</v>
      </c>
    </row>
    <row r="98" spans="1:136" ht="14.5" x14ac:dyDescent="0.35">
      <c r="A98" s="20" t="s">
        <v>12</v>
      </c>
      <c r="B98" s="20" t="s">
        <v>36</v>
      </c>
      <c r="C98" s="20" t="s">
        <v>36</v>
      </c>
      <c r="D98" s="20" t="s">
        <v>334</v>
      </c>
      <c r="E98" s="20" t="s">
        <v>10</v>
      </c>
      <c r="F98" s="20" t="s">
        <v>123</v>
      </c>
      <c r="G98" s="21">
        <v>0</v>
      </c>
      <c r="H98" s="21">
        <v>0</v>
      </c>
      <c r="I98" s="21">
        <v>90</v>
      </c>
      <c r="J98" s="21">
        <v>-90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7</v>
      </c>
      <c r="AK98" s="21">
        <v>0.5</v>
      </c>
      <c r="AL98" s="21">
        <v>0</v>
      </c>
      <c r="AM98" s="21">
        <v>0</v>
      </c>
      <c r="AN98" s="21">
        <v>0.5</v>
      </c>
      <c r="AO98" s="21">
        <v>0</v>
      </c>
      <c r="AP98" s="21">
        <v>0</v>
      </c>
      <c r="AQ98" s="21">
        <v>0</v>
      </c>
      <c r="AR98" s="21">
        <v>8</v>
      </c>
      <c r="AS98" s="21">
        <v>3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v>0</v>
      </c>
      <c r="CQ98" s="21">
        <v>0</v>
      </c>
      <c r="CR98" s="21">
        <v>0</v>
      </c>
      <c r="CS98" s="21">
        <v>10</v>
      </c>
      <c r="CT98" s="21">
        <v>10</v>
      </c>
      <c r="CU98" s="21">
        <v>0</v>
      </c>
      <c r="CV98" s="21">
        <v>0</v>
      </c>
      <c r="CW98" s="21">
        <v>0</v>
      </c>
      <c r="CX98" s="21">
        <v>0</v>
      </c>
      <c r="CY98" s="21">
        <v>0</v>
      </c>
      <c r="CZ98" s="21">
        <v>0</v>
      </c>
      <c r="DA98" s="21">
        <v>0</v>
      </c>
      <c r="DB98" s="21">
        <v>0</v>
      </c>
      <c r="DC98" s="21">
        <v>10</v>
      </c>
      <c r="DD98" s="21">
        <v>10</v>
      </c>
      <c r="DE98" s="21">
        <v>0</v>
      </c>
      <c r="DF98" s="21">
        <v>0</v>
      </c>
      <c r="DG98" s="21">
        <v>0</v>
      </c>
      <c r="DH98" s="21">
        <v>0</v>
      </c>
      <c r="DI98" s="21">
        <v>0</v>
      </c>
      <c r="DJ98" s="21">
        <v>0</v>
      </c>
      <c r="DK98" s="21">
        <v>0</v>
      </c>
      <c r="DL98" s="21">
        <v>0</v>
      </c>
      <c r="DM98" s="21">
        <v>9</v>
      </c>
      <c r="DN98" s="21">
        <v>7</v>
      </c>
      <c r="DO98" s="21">
        <v>6</v>
      </c>
      <c r="DP98" s="21">
        <v>6</v>
      </c>
      <c r="DQ98" s="21">
        <v>6</v>
      </c>
      <c r="DR98" s="21">
        <v>0</v>
      </c>
      <c r="DS98" s="21">
        <v>0</v>
      </c>
      <c r="DT98" s="21">
        <v>0</v>
      </c>
      <c r="DU98" s="21">
        <v>0</v>
      </c>
      <c r="DV98" s="21">
        <v>0</v>
      </c>
      <c r="DW98" s="21">
        <v>0</v>
      </c>
      <c r="DX98" s="21">
        <v>0</v>
      </c>
      <c r="DY98" s="21">
        <v>0</v>
      </c>
      <c r="DZ98" s="21">
        <v>0</v>
      </c>
      <c r="EA98" s="21">
        <v>0</v>
      </c>
      <c r="EB98" s="21">
        <v>0</v>
      </c>
      <c r="EC98" s="21">
        <v>0</v>
      </c>
      <c r="ED98" s="21">
        <v>0</v>
      </c>
      <c r="EE98" s="21">
        <v>0</v>
      </c>
      <c r="EF98" s="21">
        <v>0</v>
      </c>
    </row>
    <row r="99" spans="1:136" ht="14.5" x14ac:dyDescent="0.35">
      <c r="A99" s="20" t="s">
        <v>12</v>
      </c>
      <c r="B99" s="20" t="s">
        <v>36</v>
      </c>
      <c r="C99" s="20" t="s">
        <v>36</v>
      </c>
      <c r="D99" s="20" t="s">
        <v>333</v>
      </c>
      <c r="E99" s="20" t="s">
        <v>10</v>
      </c>
      <c r="F99" s="20" t="s">
        <v>123</v>
      </c>
      <c r="G99" s="21">
        <v>59</v>
      </c>
      <c r="H99" s="21">
        <v>133</v>
      </c>
      <c r="I99" s="21">
        <v>43</v>
      </c>
      <c r="J99" s="21">
        <v>90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2.5</v>
      </c>
      <c r="AC99" s="21">
        <v>3</v>
      </c>
      <c r="AD99" s="21">
        <v>18</v>
      </c>
      <c r="AE99" s="21">
        <v>11.5</v>
      </c>
      <c r="AF99" s="21">
        <v>2</v>
      </c>
      <c r="AG99" s="21">
        <v>3</v>
      </c>
      <c r="AH99" s="21">
        <v>0</v>
      </c>
      <c r="AI99" s="21">
        <v>1</v>
      </c>
      <c r="AJ99" s="21">
        <v>2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0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0</v>
      </c>
      <c r="CY99" s="21">
        <v>0</v>
      </c>
      <c r="CZ99" s="21">
        <v>0</v>
      </c>
      <c r="DA99" s="21">
        <v>0</v>
      </c>
      <c r="DB99" s="21">
        <v>0</v>
      </c>
      <c r="DC99" s="21">
        <v>0</v>
      </c>
      <c r="DD99" s="21">
        <v>0</v>
      </c>
      <c r="DE99" s="21">
        <v>0</v>
      </c>
      <c r="DF99" s="21">
        <v>0</v>
      </c>
      <c r="DG99" s="21">
        <v>0</v>
      </c>
      <c r="DH99" s="21">
        <v>0</v>
      </c>
      <c r="DI99" s="21">
        <v>0</v>
      </c>
      <c r="DJ99" s="21">
        <v>0</v>
      </c>
      <c r="DK99" s="21">
        <v>0</v>
      </c>
      <c r="DL99" s="21">
        <v>0</v>
      </c>
      <c r="DM99" s="21">
        <v>0</v>
      </c>
      <c r="DN99" s="21">
        <v>0</v>
      </c>
      <c r="DO99" s="21">
        <v>0</v>
      </c>
      <c r="DP99" s="21">
        <v>0</v>
      </c>
      <c r="DQ99" s="21">
        <v>0</v>
      </c>
      <c r="DR99" s="21">
        <v>0</v>
      </c>
      <c r="DS99" s="21">
        <v>0</v>
      </c>
      <c r="DT99" s="21">
        <v>0</v>
      </c>
      <c r="DU99" s="21">
        <v>0</v>
      </c>
      <c r="DV99" s="21">
        <v>0</v>
      </c>
      <c r="DW99" s="21">
        <v>0</v>
      </c>
      <c r="DX99" s="21">
        <v>0</v>
      </c>
      <c r="DY99" s="21">
        <v>0</v>
      </c>
      <c r="DZ99" s="21">
        <v>0</v>
      </c>
      <c r="EA99" s="21">
        <v>0</v>
      </c>
      <c r="EB99" s="21">
        <v>0</v>
      </c>
      <c r="EC99" s="21">
        <v>0</v>
      </c>
      <c r="ED99" s="21">
        <v>0</v>
      </c>
      <c r="EE99" s="21">
        <v>0</v>
      </c>
      <c r="EF99" s="21">
        <v>0</v>
      </c>
    </row>
    <row r="100" spans="1:136" ht="14.5" x14ac:dyDescent="0.35">
      <c r="A100" s="20" t="s">
        <v>12</v>
      </c>
      <c r="B100" s="20" t="s">
        <v>36</v>
      </c>
      <c r="C100" s="20" t="s">
        <v>36</v>
      </c>
      <c r="D100" s="20" t="s">
        <v>334</v>
      </c>
      <c r="E100" s="20" t="s">
        <v>10</v>
      </c>
      <c r="F100" s="20" t="s">
        <v>124</v>
      </c>
      <c r="G100" s="21">
        <v>0</v>
      </c>
      <c r="H100" s="21">
        <v>0</v>
      </c>
      <c r="I100" s="21">
        <v>171</v>
      </c>
      <c r="J100" s="21">
        <v>-171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2</v>
      </c>
      <c r="AL100" s="21">
        <v>0</v>
      </c>
      <c r="AM100" s="21">
        <v>1</v>
      </c>
      <c r="AN100" s="21">
        <v>1</v>
      </c>
      <c r="AO100" s="21">
        <v>4</v>
      </c>
      <c r="AP100" s="21">
        <v>0</v>
      </c>
      <c r="AQ100" s="21">
        <v>0</v>
      </c>
      <c r="AR100" s="21">
        <v>2</v>
      </c>
      <c r="AS100" s="21">
        <v>2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v>0</v>
      </c>
      <c r="CQ100" s="21">
        <v>0</v>
      </c>
      <c r="CR100" s="21">
        <v>0</v>
      </c>
      <c r="CS100" s="21">
        <v>2</v>
      </c>
      <c r="CT100" s="21">
        <v>8</v>
      </c>
      <c r="CU100" s="21">
        <v>8</v>
      </c>
      <c r="CV100" s="21">
        <v>0</v>
      </c>
      <c r="CW100" s="21">
        <v>0</v>
      </c>
      <c r="CX100" s="21">
        <v>0</v>
      </c>
      <c r="CY100" s="21">
        <v>0</v>
      </c>
      <c r="CZ100" s="21">
        <v>10.5</v>
      </c>
      <c r="DA100" s="21">
        <v>10.5</v>
      </c>
      <c r="DB100" s="21">
        <v>8</v>
      </c>
      <c r="DC100" s="21">
        <v>8</v>
      </c>
      <c r="DD100" s="21">
        <v>0</v>
      </c>
      <c r="DE100" s="21">
        <v>0</v>
      </c>
      <c r="DF100" s="21">
        <v>0</v>
      </c>
      <c r="DG100" s="21">
        <v>6</v>
      </c>
      <c r="DH100" s="21">
        <v>6</v>
      </c>
      <c r="DI100" s="21">
        <v>0</v>
      </c>
      <c r="DJ100" s="21">
        <v>0</v>
      </c>
      <c r="DK100" s="21">
        <v>0</v>
      </c>
      <c r="DL100" s="21">
        <v>11</v>
      </c>
      <c r="DM100" s="21">
        <v>22.5</v>
      </c>
      <c r="DN100" s="21">
        <v>18.5</v>
      </c>
      <c r="DO100" s="21">
        <v>9</v>
      </c>
      <c r="DP100" s="21">
        <v>10</v>
      </c>
      <c r="DQ100" s="21">
        <v>10</v>
      </c>
      <c r="DR100" s="21">
        <v>13</v>
      </c>
      <c r="DS100" s="21">
        <v>0</v>
      </c>
      <c r="DT100" s="21">
        <v>0</v>
      </c>
      <c r="DU100" s="21">
        <v>0</v>
      </c>
      <c r="DV100" s="21">
        <v>0</v>
      </c>
      <c r="DW100" s="21">
        <v>0</v>
      </c>
      <c r="DX100" s="21">
        <v>0</v>
      </c>
      <c r="DY100" s="21">
        <v>0</v>
      </c>
      <c r="DZ100" s="21">
        <v>0</v>
      </c>
      <c r="EA100" s="21">
        <v>0</v>
      </c>
      <c r="EB100" s="21">
        <v>0</v>
      </c>
      <c r="EC100" s="21">
        <v>0</v>
      </c>
      <c r="ED100" s="21">
        <v>0</v>
      </c>
      <c r="EE100" s="21">
        <v>0</v>
      </c>
      <c r="EF100" s="21">
        <v>0</v>
      </c>
    </row>
    <row r="101" spans="1:136" ht="14.5" x14ac:dyDescent="0.35">
      <c r="A101" s="20" t="s">
        <v>12</v>
      </c>
      <c r="B101" s="20" t="s">
        <v>36</v>
      </c>
      <c r="C101" s="20" t="s">
        <v>36</v>
      </c>
      <c r="D101" s="20" t="s">
        <v>333</v>
      </c>
      <c r="E101" s="20" t="s">
        <v>10</v>
      </c>
      <c r="F101" s="20" t="s">
        <v>124</v>
      </c>
      <c r="G101" s="21">
        <v>52.6</v>
      </c>
      <c r="H101" s="21">
        <v>204.8</v>
      </c>
      <c r="I101" s="21">
        <v>9.5</v>
      </c>
      <c r="J101" s="21">
        <v>195.3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2</v>
      </c>
      <c r="AC101" s="21">
        <v>1</v>
      </c>
      <c r="AD101" s="21">
        <v>0</v>
      </c>
      <c r="AE101" s="21">
        <v>0</v>
      </c>
      <c r="AF101" s="21">
        <v>1</v>
      </c>
      <c r="AG101" s="21">
        <v>1.5</v>
      </c>
      <c r="AH101" s="21">
        <v>0</v>
      </c>
      <c r="AI101" s="21">
        <v>4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0</v>
      </c>
      <c r="DZ101" s="21">
        <v>0</v>
      </c>
      <c r="EA101" s="21">
        <v>0</v>
      </c>
      <c r="EB101" s="21">
        <v>0</v>
      </c>
      <c r="EC101" s="21">
        <v>0</v>
      </c>
      <c r="ED101" s="21">
        <v>0</v>
      </c>
      <c r="EE101" s="21">
        <v>0</v>
      </c>
      <c r="EF101" s="21">
        <v>0</v>
      </c>
    </row>
    <row r="102" spans="1:136" ht="14.5" x14ac:dyDescent="0.35">
      <c r="A102" s="20" t="s">
        <v>12</v>
      </c>
      <c r="B102" s="20" t="s">
        <v>36</v>
      </c>
      <c r="C102" s="20" t="s">
        <v>36</v>
      </c>
      <c r="D102" s="20" t="s">
        <v>334</v>
      </c>
      <c r="E102" s="20" t="s">
        <v>10</v>
      </c>
      <c r="F102" s="20" t="s">
        <v>87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1">
        <v>0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0</v>
      </c>
      <c r="ED102" s="21">
        <v>0</v>
      </c>
      <c r="EE102" s="21">
        <v>0</v>
      </c>
      <c r="EF102" s="21">
        <v>0</v>
      </c>
    </row>
    <row r="103" spans="1:136" ht="14.5" x14ac:dyDescent="0.35">
      <c r="A103" s="20" t="s">
        <v>12</v>
      </c>
      <c r="B103" s="20" t="s">
        <v>36</v>
      </c>
      <c r="C103" s="20" t="s">
        <v>36</v>
      </c>
      <c r="D103" s="20" t="s">
        <v>333</v>
      </c>
      <c r="E103" s="20" t="s">
        <v>10</v>
      </c>
      <c r="F103" s="20" t="s">
        <v>87</v>
      </c>
      <c r="G103" s="21">
        <v>1</v>
      </c>
      <c r="H103" s="21">
        <v>1</v>
      </c>
      <c r="I103" s="21">
        <v>1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1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0</v>
      </c>
      <c r="EE103" s="21">
        <v>0</v>
      </c>
      <c r="EF103" s="21">
        <v>0</v>
      </c>
    </row>
    <row r="104" spans="1:136" ht="14.5" x14ac:dyDescent="0.35">
      <c r="A104" s="20" t="s">
        <v>12</v>
      </c>
      <c r="B104" s="20" t="s">
        <v>36</v>
      </c>
      <c r="C104" s="20" t="s">
        <v>36</v>
      </c>
      <c r="D104" s="20" t="s">
        <v>333</v>
      </c>
      <c r="E104" s="20" t="s">
        <v>10</v>
      </c>
      <c r="F104" s="20" t="s">
        <v>87</v>
      </c>
      <c r="G104" s="21">
        <v>0</v>
      </c>
      <c r="H104" s="21">
        <v>0</v>
      </c>
      <c r="I104" s="21">
        <v>18</v>
      </c>
      <c r="J104" s="21">
        <v>-18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2</v>
      </c>
      <c r="AA104" s="21">
        <v>16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0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0</v>
      </c>
      <c r="ED104" s="21">
        <v>0</v>
      </c>
      <c r="EE104" s="21">
        <v>0</v>
      </c>
      <c r="EF104" s="21">
        <v>0</v>
      </c>
    </row>
    <row r="105" spans="1:136" ht="14.5" x14ac:dyDescent="0.35">
      <c r="A105" s="20" t="s">
        <v>12</v>
      </c>
      <c r="B105" s="20" t="s">
        <v>36</v>
      </c>
      <c r="C105" s="20" t="s">
        <v>36</v>
      </c>
      <c r="D105" s="20" t="s">
        <v>334</v>
      </c>
      <c r="E105" s="20" t="s">
        <v>10</v>
      </c>
      <c r="F105" s="20" t="s">
        <v>88</v>
      </c>
      <c r="G105" s="21">
        <v>0</v>
      </c>
      <c r="H105" s="21">
        <v>0</v>
      </c>
      <c r="I105" s="21">
        <v>35</v>
      </c>
      <c r="J105" s="21">
        <v>-35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2</v>
      </c>
      <c r="AN105" s="21">
        <v>7</v>
      </c>
      <c r="AO105" s="21">
        <v>26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0</v>
      </c>
      <c r="EE105" s="21">
        <v>0</v>
      </c>
      <c r="EF105" s="21">
        <v>0</v>
      </c>
    </row>
    <row r="106" spans="1:136" ht="14.5" x14ac:dyDescent="0.35">
      <c r="A106" s="20" t="s">
        <v>12</v>
      </c>
      <c r="B106" s="20" t="s">
        <v>36</v>
      </c>
      <c r="C106" s="20" t="s">
        <v>36</v>
      </c>
      <c r="D106" s="20" t="s">
        <v>333</v>
      </c>
      <c r="E106" s="20" t="s">
        <v>10</v>
      </c>
      <c r="F106" s="20" t="s">
        <v>88</v>
      </c>
      <c r="G106" s="21">
        <v>15</v>
      </c>
      <c r="H106" s="21">
        <v>15</v>
      </c>
      <c r="I106" s="21">
        <v>0</v>
      </c>
      <c r="J106" s="21">
        <v>15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0</v>
      </c>
      <c r="EE106" s="21">
        <v>0</v>
      </c>
      <c r="EF106" s="21">
        <v>0</v>
      </c>
    </row>
    <row r="107" spans="1:136" ht="14.5" x14ac:dyDescent="0.35">
      <c r="A107" s="20" t="s">
        <v>12</v>
      </c>
      <c r="B107" s="20" t="s">
        <v>36</v>
      </c>
      <c r="C107" s="20" t="s">
        <v>36</v>
      </c>
      <c r="D107" s="20" t="s">
        <v>334</v>
      </c>
      <c r="E107" s="20" t="s">
        <v>10</v>
      </c>
      <c r="F107" s="20" t="s">
        <v>89</v>
      </c>
      <c r="G107" s="21">
        <v>0</v>
      </c>
      <c r="H107" s="21">
        <v>0</v>
      </c>
      <c r="I107" s="21">
        <v>15</v>
      </c>
      <c r="J107" s="21">
        <v>-15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10</v>
      </c>
      <c r="DA107" s="21">
        <v>5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0</v>
      </c>
      <c r="EE107" s="21">
        <v>0</v>
      </c>
      <c r="EF107" s="21">
        <v>0</v>
      </c>
    </row>
    <row r="108" spans="1:136" ht="14.5" x14ac:dyDescent="0.35">
      <c r="A108" s="20" t="s">
        <v>12</v>
      </c>
      <c r="B108" s="20" t="s">
        <v>36</v>
      </c>
      <c r="C108" s="20" t="s">
        <v>36</v>
      </c>
      <c r="D108" s="20" t="s">
        <v>333</v>
      </c>
      <c r="E108" s="20" t="s">
        <v>10</v>
      </c>
      <c r="F108" s="20" t="s">
        <v>89</v>
      </c>
      <c r="G108" s="21">
        <v>0</v>
      </c>
      <c r="H108" s="21">
        <v>15</v>
      </c>
      <c r="I108" s="21">
        <v>0</v>
      </c>
      <c r="J108" s="21">
        <v>15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1">
        <v>0</v>
      </c>
      <c r="CH108" s="21">
        <v>0</v>
      </c>
      <c r="CI108" s="21">
        <v>0</v>
      </c>
      <c r="CJ108" s="21">
        <v>0</v>
      </c>
      <c r="CK108" s="21">
        <v>0</v>
      </c>
      <c r="CL108" s="21">
        <v>0</v>
      </c>
      <c r="CM108" s="21">
        <v>0</v>
      </c>
      <c r="CN108" s="21">
        <v>0</v>
      </c>
      <c r="CO108" s="21">
        <v>0</v>
      </c>
      <c r="CP108" s="21">
        <v>0</v>
      </c>
      <c r="CQ108" s="21">
        <v>0</v>
      </c>
      <c r="CR108" s="21">
        <v>0</v>
      </c>
      <c r="CS108" s="21">
        <v>0</v>
      </c>
      <c r="CT108" s="21">
        <v>0</v>
      </c>
      <c r="CU108" s="21">
        <v>0</v>
      </c>
      <c r="CV108" s="21">
        <v>0</v>
      </c>
      <c r="CW108" s="21">
        <v>0</v>
      </c>
      <c r="CX108" s="21">
        <v>0</v>
      </c>
      <c r="CY108" s="21">
        <v>0</v>
      </c>
      <c r="CZ108" s="21">
        <v>0</v>
      </c>
      <c r="DA108" s="21">
        <v>0</v>
      </c>
      <c r="DB108" s="21">
        <v>0</v>
      </c>
      <c r="DC108" s="21">
        <v>0</v>
      </c>
      <c r="DD108" s="21">
        <v>0</v>
      </c>
      <c r="DE108" s="21">
        <v>0</v>
      </c>
      <c r="DF108" s="21">
        <v>0</v>
      </c>
      <c r="DG108" s="21">
        <v>0</v>
      </c>
      <c r="DH108" s="21">
        <v>0</v>
      </c>
      <c r="DI108" s="21">
        <v>0</v>
      </c>
      <c r="DJ108" s="21">
        <v>0</v>
      </c>
      <c r="DK108" s="21">
        <v>0</v>
      </c>
      <c r="DL108" s="21">
        <v>0</v>
      </c>
      <c r="DM108" s="21">
        <v>0</v>
      </c>
      <c r="DN108" s="21">
        <v>0</v>
      </c>
      <c r="DO108" s="21">
        <v>0</v>
      </c>
      <c r="DP108" s="21">
        <v>0</v>
      </c>
      <c r="DQ108" s="21">
        <v>0</v>
      </c>
      <c r="DR108" s="21">
        <v>0</v>
      </c>
      <c r="DS108" s="21">
        <v>0</v>
      </c>
      <c r="DT108" s="21">
        <v>0</v>
      </c>
      <c r="DU108" s="21">
        <v>0</v>
      </c>
      <c r="DV108" s="21">
        <v>0</v>
      </c>
      <c r="DW108" s="21">
        <v>0</v>
      </c>
      <c r="DX108" s="21">
        <v>0</v>
      </c>
      <c r="DY108" s="21">
        <v>0</v>
      </c>
      <c r="DZ108" s="21">
        <v>0</v>
      </c>
      <c r="EA108" s="21">
        <v>0</v>
      </c>
      <c r="EB108" s="21">
        <v>0</v>
      </c>
      <c r="EC108" s="21">
        <v>0</v>
      </c>
      <c r="ED108" s="21">
        <v>0</v>
      </c>
      <c r="EE108" s="21">
        <v>0</v>
      </c>
      <c r="EF108" s="21">
        <v>0</v>
      </c>
    </row>
    <row r="109" spans="1:136" ht="14.5" x14ac:dyDescent="0.35">
      <c r="A109" s="20" t="s">
        <v>12</v>
      </c>
      <c r="B109" s="20" t="s">
        <v>36</v>
      </c>
      <c r="C109" s="20" t="s">
        <v>36</v>
      </c>
      <c r="D109" s="20" t="s">
        <v>334</v>
      </c>
      <c r="E109" s="20" t="s">
        <v>10</v>
      </c>
      <c r="F109" s="20" t="s">
        <v>40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0</v>
      </c>
      <c r="EE109" s="21">
        <v>0</v>
      </c>
      <c r="EF109" s="21">
        <v>0</v>
      </c>
    </row>
    <row r="110" spans="1:136" ht="14.5" x14ac:dyDescent="0.35">
      <c r="A110" s="20" t="s">
        <v>12</v>
      </c>
      <c r="B110" s="20" t="s">
        <v>36</v>
      </c>
      <c r="C110" s="20" t="s">
        <v>36</v>
      </c>
      <c r="D110" s="20" t="s">
        <v>333</v>
      </c>
      <c r="E110" s="20" t="s">
        <v>10</v>
      </c>
      <c r="F110" s="20" t="s">
        <v>40</v>
      </c>
      <c r="G110" s="21">
        <v>0</v>
      </c>
      <c r="H110" s="21">
        <v>28</v>
      </c>
      <c r="I110" s="21">
        <v>0</v>
      </c>
      <c r="J110" s="21">
        <v>28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v>0</v>
      </c>
      <c r="DV110" s="21">
        <v>0</v>
      </c>
      <c r="DW110" s="21">
        <v>0</v>
      </c>
      <c r="DX110" s="21">
        <v>0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0</v>
      </c>
      <c r="EE110" s="21">
        <v>0</v>
      </c>
      <c r="EF110" s="21">
        <v>0</v>
      </c>
    </row>
    <row r="111" spans="1:136" ht="14.5" x14ac:dyDescent="0.35">
      <c r="A111" s="20" t="s">
        <v>12</v>
      </c>
      <c r="B111" s="20" t="s">
        <v>36</v>
      </c>
      <c r="C111" s="20" t="s">
        <v>36</v>
      </c>
      <c r="D111" s="20" t="s">
        <v>334</v>
      </c>
      <c r="E111" s="20" t="s">
        <v>10</v>
      </c>
      <c r="F111" s="20" t="s">
        <v>97</v>
      </c>
      <c r="G111" s="21">
        <v>0</v>
      </c>
      <c r="H111" s="21">
        <v>0</v>
      </c>
      <c r="I111" s="21">
        <v>187</v>
      </c>
      <c r="J111" s="21">
        <v>-187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6</v>
      </c>
      <c r="AK111" s="21">
        <v>9.5</v>
      </c>
      <c r="AL111" s="21">
        <v>18.5</v>
      </c>
      <c r="AM111" s="21">
        <v>17</v>
      </c>
      <c r="AN111" s="21">
        <v>2</v>
      </c>
      <c r="AO111" s="21">
        <v>6.5</v>
      </c>
      <c r="AP111" s="21">
        <v>0</v>
      </c>
      <c r="AQ111" s="21">
        <v>0</v>
      </c>
      <c r="AR111" s="21">
        <v>13.5</v>
      </c>
      <c r="AS111" s="21">
        <v>4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4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10</v>
      </c>
      <c r="DA111" s="21">
        <v>10</v>
      </c>
      <c r="DB111" s="21">
        <v>10</v>
      </c>
      <c r="DC111" s="21">
        <v>10</v>
      </c>
      <c r="DD111" s="21">
        <v>15</v>
      </c>
      <c r="DE111" s="21">
        <v>0</v>
      </c>
      <c r="DF111" s="21">
        <v>5</v>
      </c>
      <c r="DG111" s="21">
        <v>5</v>
      </c>
      <c r="DH111" s="21">
        <v>5</v>
      </c>
      <c r="DI111" s="21">
        <v>0</v>
      </c>
      <c r="DJ111" s="21">
        <v>0</v>
      </c>
      <c r="DK111" s="21">
        <v>5</v>
      </c>
      <c r="DL111" s="21">
        <v>5</v>
      </c>
      <c r="DM111" s="21">
        <v>5</v>
      </c>
      <c r="DN111" s="21">
        <v>5</v>
      </c>
      <c r="DO111" s="21">
        <v>5</v>
      </c>
      <c r="DP111" s="21">
        <v>5</v>
      </c>
      <c r="DQ111" s="21">
        <v>5</v>
      </c>
      <c r="DR111" s="21">
        <v>5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</row>
    <row r="112" spans="1:136" ht="14.5" x14ac:dyDescent="0.35">
      <c r="A112" s="20" t="s">
        <v>12</v>
      </c>
      <c r="B112" s="20" t="s">
        <v>36</v>
      </c>
      <c r="C112" s="20" t="s">
        <v>36</v>
      </c>
      <c r="D112" s="20" t="s">
        <v>333</v>
      </c>
      <c r="E112" s="20" t="s">
        <v>10</v>
      </c>
      <c r="F112" s="20" t="s">
        <v>97</v>
      </c>
      <c r="G112" s="21">
        <v>85</v>
      </c>
      <c r="H112" s="21">
        <v>195</v>
      </c>
      <c r="I112" s="21">
        <v>90.5</v>
      </c>
      <c r="J112" s="21">
        <v>104.5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4</v>
      </c>
      <c r="AF112" s="21">
        <v>32</v>
      </c>
      <c r="AG112" s="21">
        <v>17</v>
      </c>
      <c r="AH112" s="21">
        <v>11.5</v>
      </c>
      <c r="AI112" s="21">
        <v>18</v>
      </c>
      <c r="AJ112" s="21">
        <v>8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0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0</v>
      </c>
      <c r="EE112" s="21">
        <v>0</v>
      </c>
      <c r="EF112" s="21">
        <v>0</v>
      </c>
    </row>
    <row r="113" spans="1:136" ht="14.5" x14ac:dyDescent="0.35">
      <c r="A113" s="20" t="s">
        <v>12</v>
      </c>
      <c r="B113" s="20" t="s">
        <v>36</v>
      </c>
      <c r="C113" s="20" t="s">
        <v>36</v>
      </c>
      <c r="D113" s="20" t="s">
        <v>334</v>
      </c>
      <c r="E113" s="20" t="s">
        <v>10</v>
      </c>
      <c r="F113" s="20" t="s">
        <v>81</v>
      </c>
      <c r="G113" s="21">
        <v>0</v>
      </c>
      <c r="H113" s="21">
        <v>0</v>
      </c>
      <c r="I113" s="21">
        <v>18.5</v>
      </c>
      <c r="J113" s="21">
        <v>-18.5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1</v>
      </c>
      <c r="AK113" s="21">
        <v>1.5</v>
      </c>
      <c r="AL113" s="21">
        <v>5</v>
      </c>
      <c r="AM113" s="21">
        <v>5.5</v>
      </c>
      <c r="AN113" s="21">
        <v>0.5</v>
      </c>
      <c r="AO113" s="21">
        <v>2</v>
      </c>
      <c r="AP113" s="21">
        <v>0</v>
      </c>
      <c r="AQ113" s="21">
        <v>0</v>
      </c>
      <c r="AR113" s="21">
        <v>1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0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0</v>
      </c>
      <c r="CJ113" s="21">
        <v>0</v>
      </c>
      <c r="CK113" s="21">
        <v>0</v>
      </c>
      <c r="CL113" s="21">
        <v>0</v>
      </c>
      <c r="CM113" s="21">
        <v>0</v>
      </c>
      <c r="CN113" s="21">
        <v>0</v>
      </c>
      <c r="CO113" s="21">
        <v>0</v>
      </c>
      <c r="CP113" s="21">
        <v>0</v>
      </c>
      <c r="CQ113" s="21">
        <v>0</v>
      </c>
      <c r="CR113" s="21">
        <v>0</v>
      </c>
      <c r="CS113" s="21">
        <v>2</v>
      </c>
      <c r="CT113" s="21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21">
        <v>0</v>
      </c>
      <c r="DI113" s="21">
        <v>0</v>
      </c>
      <c r="DJ113" s="21">
        <v>0</v>
      </c>
      <c r="DK113" s="21">
        <v>0</v>
      </c>
      <c r="DL113" s="21">
        <v>0</v>
      </c>
      <c r="DM113" s="21">
        <v>0</v>
      </c>
      <c r="DN113" s="21">
        <v>0</v>
      </c>
      <c r="DO113" s="21">
        <v>0</v>
      </c>
      <c r="DP113" s="21">
        <v>0</v>
      </c>
      <c r="DQ113" s="21">
        <v>0</v>
      </c>
      <c r="DR113" s="21">
        <v>0</v>
      </c>
      <c r="DS113" s="21">
        <v>0</v>
      </c>
      <c r="DT113" s="21">
        <v>0</v>
      </c>
      <c r="DU113" s="21">
        <v>0</v>
      </c>
      <c r="DV113" s="21">
        <v>0</v>
      </c>
      <c r="DW113" s="21">
        <v>0</v>
      </c>
      <c r="DX113" s="21">
        <v>0</v>
      </c>
      <c r="DY113" s="21">
        <v>0</v>
      </c>
      <c r="DZ113" s="21">
        <v>0</v>
      </c>
      <c r="EA113" s="21">
        <v>0</v>
      </c>
      <c r="EB113" s="21">
        <v>0</v>
      </c>
      <c r="EC113" s="21">
        <v>0</v>
      </c>
      <c r="ED113" s="21">
        <v>0</v>
      </c>
      <c r="EE113" s="21">
        <v>0</v>
      </c>
      <c r="EF113" s="21">
        <v>0</v>
      </c>
    </row>
    <row r="114" spans="1:136" ht="14.5" x14ac:dyDescent="0.35">
      <c r="A114" s="20" t="s">
        <v>12</v>
      </c>
      <c r="B114" s="20" t="s">
        <v>36</v>
      </c>
      <c r="C114" s="20" t="s">
        <v>36</v>
      </c>
      <c r="D114" s="20" t="s">
        <v>333</v>
      </c>
      <c r="E114" s="20" t="s">
        <v>10</v>
      </c>
      <c r="F114" s="20" t="s">
        <v>81</v>
      </c>
      <c r="G114" s="21">
        <v>40.5</v>
      </c>
      <c r="H114" s="21">
        <v>40.5</v>
      </c>
      <c r="I114" s="21">
        <v>43.5</v>
      </c>
      <c r="J114" s="21">
        <v>-3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11</v>
      </c>
      <c r="AC114" s="21">
        <v>3</v>
      </c>
      <c r="AD114" s="21">
        <v>4.5</v>
      </c>
      <c r="AE114" s="21">
        <v>8</v>
      </c>
      <c r="AF114" s="21">
        <v>7.5</v>
      </c>
      <c r="AG114" s="21">
        <v>6.5</v>
      </c>
      <c r="AH114" s="21">
        <v>2.5</v>
      </c>
      <c r="AI114" s="21">
        <v>0.5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1">
        <v>0</v>
      </c>
      <c r="CK114" s="21">
        <v>0</v>
      </c>
      <c r="CL114" s="21">
        <v>0</v>
      </c>
      <c r="CM114" s="21">
        <v>0</v>
      </c>
      <c r="CN114" s="21">
        <v>0</v>
      </c>
      <c r="CO114" s="21">
        <v>0</v>
      </c>
      <c r="CP114" s="21">
        <v>0</v>
      </c>
      <c r="CQ114" s="21">
        <v>0</v>
      </c>
      <c r="CR114" s="21">
        <v>0</v>
      </c>
      <c r="CS114" s="21">
        <v>0</v>
      </c>
      <c r="CT114" s="21">
        <v>0</v>
      </c>
      <c r="CU114" s="21">
        <v>0</v>
      </c>
      <c r="CV114" s="21">
        <v>0</v>
      </c>
      <c r="CW114" s="21">
        <v>0</v>
      </c>
      <c r="CX114" s="21">
        <v>0</v>
      </c>
      <c r="CY114" s="21">
        <v>0</v>
      </c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21">
        <v>0</v>
      </c>
      <c r="DF114" s="21">
        <v>0</v>
      </c>
      <c r="DG114" s="21">
        <v>0</v>
      </c>
      <c r="DH114" s="21">
        <v>0</v>
      </c>
      <c r="DI114" s="21">
        <v>0</v>
      </c>
      <c r="DJ114" s="21">
        <v>0</v>
      </c>
      <c r="DK114" s="21">
        <v>0</v>
      </c>
      <c r="DL114" s="21">
        <v>0</v>
      </c>
      <c r="DM114" s="21">
        <v>0</v>
      </c>
      <c r="DN114" s="21">
        <v>0</v>
      </c>
      <c r="DO114" s="21">
        <v>0</v>
      </c>
      <c r="DP114" s="21">
        <v>0</v>
      </c>
      <c r="DQ114" s="21">
        <v>0</v>
      </c>
      <c r="DR114" s="21">
        <v>0</v>
      </c>
      <c r="DS114" s="21">
        <v>0</v>
      </c>
      <c r="DT114" s="21">
        <v>0</v>
      </c>
      <c r="DU114" s="21">
        <v>0</v>
      </c>
      <c r="DV114" s="21">
        <v>0</v>
      </c>
      <c r="DW114" s="21">
        <v>0</v>
      </c>
      <c r="DX114" s="21">
        <v>0</v>
      </c>
      <c r="DY114" s="21">
        <v>0</v>
      </c>
      <c r="DZ114" s="21">
        <v>0</v>
      </c>
      <c r="EA114" s="21">
        <v>0</v>
      </c>
      <c r="EB114" s="21">
        <v>0</v>
      </c>
      <c r="EC114" s="21">
        <v>0</v>
      </c>
      <c r="ED114" s="21">
        <v>0</v>
      </c>
      <c r="EE114" s="21">
        <v>0</v>
      </c>
      <c r="EF114" s="21">
        <v>0</v>
      </c>
    </row>
    <row r="115" spans="1:136" ht="14.5" x14ac:dyDescent="0.35">
      <c r="A115" s="20" t="s">
        <v>12</v>
      </c>
      <c r="B115" s="20" t="s">
        <v>36</v>
      </c>
      <c r="C115" s="20" t="s">
        <v>36</v>
      </c>
      <c r="D115" s="20" t="s">
        <v>333</v>
      </c>
      <c r="E115" s="20" t="s">
        <v>10</v>
      </c>
      <c r="F115" s="20" t="s">
        <v>81</v>
      </c>
      <c r="G115" s="21">
        <v>0</v>
      </c>
      <c r="H115" s="21">
        <v>0</v>
      </c>
      <c r="I115" s="21">
        <v>7</v>
      </c>
      <c r="J115" s="21">
        <v>-7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7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21">
        <v>0</v>
      </c>
      <c r="CJ115" s="21">
        <v>0</v>
      </c>
      <c r="CK115" s="21">
        <v>0</v>
      </c>
      <c r="CL115" s="21">
        <v>0</v>
      </c>
      <c r="CM115" s="21">
        <v>0</v>
      </c>
      <c r="CN115" s="21">
        <v>0</v>
      </c>
      <c r="CO115" s="21">
        <v>0</v>
      </c>
      <c r="CP115" s="21">
        <v>0</v>
      </c>
      <c r="CQ115" s="21">
        <v>0</v>
      </c>
      <c r="CR115" s="21">
        <v>0</v>
      </c>
      <c r="CS115" s="21">
        <v>0</v>
      </c>
      <c r="CT115" s="21">
        <v>0</v>
      </c>
      <c r="CU115" s="21">
        <v>0</v>
      </c>
      <c r="CV115" s="21">
        <v>0</v>
      </c>
      <c r="CW115" s="21">
        <v>0</v>
      </c>
      <c r="CX115" s="21">
        <v>0</v>
      </c>
      <c r="CY115" s="21">
        <v>0</v>
      </c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21">
        <v>0</v>
      </c>
      <c r="DF115" s="21">
        <v>0</v>
      </c>
      <c r="DG115" s="21">
        <v>0</v>
      </c>
      <c r="DH115" s="21">
        <v>0</v>
      </c>
      <c r="DI115" s="21">
        <v>0</v>
      </c>
      <c r="DJ115" s="21">
        <v>0</v>
      </c>
      <c r="DK115" s="21">
        <v>0</v>
      </c>
      <c r="DL115" s="21">
        <v>0</v>
      </c>
      <c r="DM115" s="21">
        <v>0</v>
      </c>
      <c r="DN115" s="21">
        <v>0</v>
      </c>
      <c r="DO115" s="21">
        <v>0</v>
      </c>
      <c r="DP115" s="21">
        <v>0</v>
      </c>
      <c r="DQ115" s="21">
        <v>0</v>
      </c>
      <c r="DR115" s="21">
        <v>0</v>
      </c>
      <c r="DS115" s="21">
        <v>0</v>
      </c>
      <c r="DT115" s="21">
        <v>0</v>
      </c>
      <c r="DU115" s="21">
        <v>0</v>
      </c>
      <c r="DV115" s="21">
        <v>0</v>
      </c>
      <c r="DW115" s="21">
        <v>0</v>
      </c>
      <c r="DX115" s="21">
        <v>0</v>
      </c>
      <c r="DY115" s="21">
        <v>0</v>
      </c>
      <c r="DZ115" s="21">
        <v>0</v>
      </c>
      <c r="EA115" s="21">
        <v>0</v>
      </c>
      <c r="EB115" s="21">
        <v>0</v>
      </c>
      <c r="EC115" s="21">
        <v>0</v>
      </c>
      <c r="ED115" s="21">
        <v>0</v>
      </c>
      <c r="EE115" s="21">
        <v>0</v>
      </c>
      <c r="EF115" s="21">
        <v>0</v>
      </c>
    </row>
    <row r="116" spans="1:136" ht="14.5" x14ac:dyDescent="0.35">
      <c r="A116" s="20" t="s">
        <v>12</v>
      </c>
      <c r="B116" s="20" t="s">
        <v>36</v>
      </c>
      <c r="C116" s="20" t="s">
        <v>36</v>
      </c>
      <c r="D116" s="20" t="s">
        <v>333</v>
      </c>
      <c r="E116" s="20" t="s">
        <v>10</v>
      </c>
      <c r="F116" s="20" t="s">
        <v>90</v>
      </c>
      <c r="G116" s="21">
        <v>0</v>
      </c>
      <c r="H116" s="21">
        <v>0</v>
      </c>
      <c r="I116" s="21">
        <v>34</v>
      </c>
      <c r="J116" s="21">
        <v>-34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4</v>
      </c>
      <c r="Z116" s="21">
        <v>20</v>
      </c>
      <c r="AA116" s="21">
        <v>10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21">
        <v>0</v>
      </c>
      <c r="CQ116" s="21">
        <v>0</v>
      </c>
      <c r="CR116" s="21">
        <v>0</v>
      </c>
      <c r="CS116" s="21">
        <v>0</v>
      </c>
      <c r="CT116" s="21">
        <v>0</v>
      </c>
      <c r="CU116" s="21">
        <v>0</v>
      </c>
      <c r="CV116" s="21">
        <v>0</v>
      </c>
      <c r="CW116" s="21">
        <v>0</v>
      </c>
      <c r="CX116" s="21">
        <v>0</v>
      </c>
      <c r="CY116" s="21">
        <v>0</v>
      </c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21">
        <v>0</v>
      </c>
      <c r="DF116" s="21">
        <v>0</v>
      </c>
      <c r="DG116" s="21">
        <v>0</v>
      </c>
      <c r="DH116" s="21">
        <v>0</v>
      </c>
      <c r="DI116" s="21">
        <v>0</v>
      </c>
      <c r="DJ116" s="21">
        <v>0</v>
      </c>
      <c r="DK116" s="21">
        <v>0</v>
      </c>
      <c r="DL116" s="21">
        <v>0</v>
      </c>
      <c r="DM116" s="21">
        <v>0</v>
      </c>
      <c r="DN116" s="21">
        <v>0</v>
      </c>
      <c r="DO116" s="21">
        <v>0</v>
      </c>
      <c r="DP116" s="21">
        <v>0</v>
      </c>
      <c r="DQ116" s="21">
        <v>0</v>
      </c>
      <c r="DR116" s="21">
        <v>0</v>
      </c>
      <c r="DS116" s="21">
        <v>0</v>
      </c>
      <c r="DT116" s="21">
        <v>0</v>
      </c>
      <c r="DU116" s="21">
        <v>0</v>
      </c>
      <c r="DV116" s="21">
        <v>0</v>
      </c>
      <c r="DW116" s="21">
        <v>0</v>
      </c>
      <c r="DX116" s="21">
        <v>0</v>
      </c>
      <c r="DY116" s="21">
        <v>0</v>
      </c>
      <c r="DZ116" s="21">
        <v>0</v>
      </c>
      <c r="EA116" s="21">
        <v>0</v>
      </c>
      <c r="EB116" s="21">
        <v>0</v>
      </c>
      <c r="EC116" s="21">
        <v>0</v>
      </c>
      <c r="ED116" s="21">
        <v>0</v>
      </c>
      <c r="EE116" s="21">
        <v>0</v>
      </c>
      <c r="EF116" s="21">
        <v>0</v>
      </c>
    </row>
    <row r="117" spans="1:136" ht="14.5" x14ac:dyDescent="0.35">
      <c r="A117" s="20" t="s">
        <v>12</v>
      </c>
      <c r="B117" s="20" t="s">
        <v>36</v>
      </c>
      <c r="C117" s="20" t="s">
        <v>36</v>
      </c>
      <c r="D117" s="20" t="s">
        <v>334</v>
      </c>
      <c r="E117" s="20" t="s">
        <v>10</v>
      </c>
      <c r="F117" s="20" t="s">
        <v>125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0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</row>
    <row r="118" spans="1:136" ht="14.5" x14ac:dyDescent="0.35">
      <c r="A118" s="20" t="s">
        <v>12</v>
      </c>
      <c r="B118" s="20" t="s">
        <v>36</v>
      </c>
      <c r="C118" s="20" t="s">
        <v>36</v>
      </c>
      <c r="D118" s="20" t="s">
        <v>333</v>
      </c>
      <c r="E118" s="20" t="s">
        <v>10</v>
      </c>
      <c r="F118" s="20" t="s">
        <v>125</v>
      </c>
      <c r="G118" s="21">
        <v>0</v>
      </c>
      <c r="H118" s="21">
        <v>0</v>
      </c>
      <c r="I118" s="21">
        <v>6.5</v>
      </c>
      <c r="J118" s="21">
        <v>-6.5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2</v>
      </c>
      <c r="AH118" s="21">
        <v>4.5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0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</row>
    <row r="119" spans="1:136" ht="14.5" x14ac:dyDescent="0.35">
      <c r="A119" s="20" t="s">
        <v>12</v>
      </c>
      <c r="B119" s="20" t="s">
        <v>36</v>
      </c>
      <c r="C119" s="20" t="s">
        <v>36</v>
      </c>
      <c r="D119" s="20" t="s">
        <v>334</v>
      </c>
      <c r="E119" s="20" t="s">
        <v>10</v>
      </c>
      <c r="F119" s="20" t="s">
        <v>126</v>
      </c>
      <c r="G119" s="21">
        <v>0</v>
      </c>
      <c r="H119" s="21">
        <v>62</v>
      </c>
      <c r="I119" s="21">
        <v>62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2</v>
      </c>
      <c r="DL119" s="21">
        <v>6</v>
      </c>
      <c r="DM119" s="21">
        <v>8</v>
      </c>
      <c r="DN119" s="21">
        <v>8</v>
      </c>
      <c r="DO119" s="21">
        <v>8</v>
      </c>
      <c r="DP119" s="21">
        <v>10</v>
      </c>
      <c r="DQ119" s="21">
        <v>10</v>
      </c>
      <c r="DR119" s="21">
        <v>10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0</v>
      </c>
      <c r="EA119" s="21">
        <v>0</v>
      </c>
      <c r="EB119" s="21">
        <v>0</v>
      </c>
      <c r="EC119" s="21">
        <v>0</v>
      </c>
      <c r="ED119" s="21">
        <v>0</v>
      </c>
      <c r="EE119" s="21">
        <v>0</v>
      </c>
      <c r="EF119" s="21">
        <v>0</v>
      </c>
    </row>
    <row r="120" spans="1:136" ht="14.5" x14ac:dyDescent="0.35">
      <c r="A120" s="20" t="s">
        <v>12</v>
      </c>
      <c r="B120" s="20" t="s">
        <v>36</v>
      </c>
      <c r="C120" s="20" t="s">
        <v>36</v>
      </c>
      <c r="D120" s="20" t="s">
        <v>334</v>
      </c>
      <c r="E120" s="20" t="s">
        <v>10</v>
      </c>
      <c r="F120" s="20" t="s">
        <v>91</v>
      </c>
      <c r="G120" s="21">
        <v>0</v>
      </c>
      <c r="H120" s="21">
        <v>0</v>
      </c>
      <c r="I120" s="21">
        <v>45</v>
      </c>
      <c r="J120" s="21">
        <v>-45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9</v>
      </c>
      <c r="AN120" s="21">
        <v>35.5</v>
      </c>
      <c r="AO120" s="21">
        <v>0.5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</row>
    <row r="121" spans="1:136" ht="14.5" x14ac:dyDescent="0.35">
      <c r="A121" s="20" t="s">
        <v>12</v>
      </c>
      <c r="B121" s="20" t="s">
        <v>36</v>
      </c>
      <c r="C121" s="20" t="s">
        <v>36</v>
      </c>
      <c r="D121" s="20" t="s">
        <v>333</v>
      </c>
      <c r="E121" s="20" t="s">
        <v>10</v>
      </c>
      <c r="F121" s="20" t="s">
        <v>91</v>
      </c>
      <c r="G121" s="21">
        <v>18</v>
      </c>
      <c r="H121" s="21">
        <v>18</v>
      </c>
      <c r="I121" s="21">
        <v>0</v>
      </c>
      <c r="J121" s="21">
        <v>18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</row>
    <row r="122" spans="1:136" ht="14.5" x14ac:dyDescent="0.35">
      <c r="A122" s="20" t="s">
        <v>12</v>
      </c>
      <c r="B122" s="20" t="s">
        <v>36</v>
      </c>
      <c r="C122" s="20" t="s">
        <v>36</v>
      </c>
      <c r="D122" s="20" t="s">
        <v>334</v>
      </c>
      <c r="E122" s="20" t="s">
        <v>10</v>
      </c>
      <c r="F122" s="20" t="s">
        <v>92</v>
      </c>
      <c r="G122" s="21">
        <v>0</v>
      </c>
      <c r="H122" s="21">
        <v>0</v>
      </c>
      <c r="I122" s="21">
        <v>18</v>
      </c>
      <c r="J122" s="21">
        <v>-18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12</v>
      </c>
      <c r="DA122" s="21">
        <v>6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</row>
    <row r="123" spans="1:136" ht="14.5" x14ac:dyDescent="0.35">
      <c r="A123" s="20" t="s">
        <v>12</v>
      </c>
      <c r="B123" s="20" t="s">
        <v>36</v>
      </c>
      <c r="C123" s="20" t="s">
        <v>36</v>
      </c>
      <c r="D123" s="20" t="s">
        <v>333</v>
      </c>
      <c r="E123" s="20" t="s">
        <v>10</v>
      </c>
      <c r="F123" s="20" t="s">
        <v>92</v>
      </c>
      <c r="G123" s="21">
        <v>0</v>
      </c>
      <c r="H123" s="21">
        <v>18</v>
      </c>
      <c r="I123" s="21">
        <v>0</v>
      </c>
      <c r="J123" s="21">
        <v>18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0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</row>
    <row r="124" spans="1:136" ht="14.5" x14ac:dyDescent="0.35">
      <c r="A124" s="20" t="s">
        <v>12</v>
      </c>
      <c r="B124" s="20" t="s">
        <v>36</v>
      </c>
      <c r="C124" s="20" t="s">
        <v>36</v>
      </c>
      <c r="D124" s="20" t="s">
        <v>334</v>
      </c>
      <c r="E124" s="20" t="s">
        <v>10</v>
      </c>
      <c r="F124" s="20" t="s">
        <v>83</v>
      </c>
      <c r="G124" s="21">
        <v>0</v>
      </c>
      <c r="H124" s="21">
        <v>0</v>
      </c>
      <c r="I124" s="21">
        <v>6</v>
      </c>
      <c r="J124" s="21">
        <v>-6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4.5</v>
      </c>
      <c r="AL124" s="21">
        <v>1.5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0</v>
      </c>
      <c r="DN124" s="21">
        <v>0</v>
      </c>
      <c r="DO124" s="21">
        <v>0</v>
      </c>
      <c r="DP124" s="21">
        <v>0</v>
      </c>
      <c r="DQ124" s="21">
        <v>0</v>
      </c>
      <c r="DR124" s="21">
        <v>0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0</v>
      </c>
      <c r="DY124" s="21">
        <v>0</v>
      </c>
      <c r="DZ124" s="21">
        <v>0</v>
      </c>
      <c r="EA124" s="21">
        <v>0</v>
      </c>
      <c r="EB124" s="21">
        <v>0</v>
      </c>
      <c r="EC124" s="21">
        <v>0</v>
      </c>
      <c r="ED124" s="21">
        <v>0</v>
      </c>
      <c r="EE124" s="21">
        <v>0</v>
      </c>
      <c r="EF124" s="21">
        <v>0</v>
      </c>
    </row>
    <row r="125" spans="1:136" ht="14.5" x14ac:dyDescent="0.35">
      <c r="A125" s="20" t="s">
        <v>12</v>
      </c>
      <c r="B125" s="20" t="s">
        <v>36</v>
      </c>
      <c r="C125" s="20" t="s">
        <v>36</v>
      </c>
      <c r="D125" s="20" t="s">
        <v>333</v>
      </c>
      <c r="E125" s="20" t="s">
        <v>10</v>
      </c>
      <c r="F125" s="20" t="s">
        <v>83</v>
      </c>
      <c r="G125" s="21">
        <v>0.5</v>
      </c>
      <c r="H125" s="21">
        <v>0.5</v>
      </c>
      <c r="I125" s="21">
        <v>0.5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0.5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</row>
    <row r="126" spans="1:136" ht="14.5" x14ac:dyDescent="0.35">
      <c r="A126" s="20" t="s">
        <v>12</v>
      </c>
      <c r="B126" s="20" t="s">
        <v>22</v>
      </c>
      <c r="C126" s="20" t="s">
        <v>22</v>
      </c>
      <c r="D126" s="20" t="s">
        <v>334</v>
      </c>
      <c r="E126" s="20" t="s">
        <v>10</v>
      </c>
      <c r="F126" s="20" t="s">
        <v>127</v>
      </c>
      <c r="G126" s="21">
        <v>0</v>
      </c>
      <c r="H126" s="21">
        <v>0</v>
      </c>
      <c r="I126" s="21">
        <v>70</v>
      </c>
      <c r="J126" s="21">
        <v>-70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3</v>
      </c>
      <c r="CV126" s="21">
        <v>3</v>
      </c>
      <c r="CW126" s="21">
        <v>3</v>
      </c>
      <c r="CX126" s="21">
        <v>3</v>
      </c>
      <c r="CY126" s="21">
        <v>3</v>
      </c>
      <c r="CZ126" s="21">
        <v>3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1">
        <v>0</v>
      </c>
      <c r="DR126" s="21">
        <v>0</v>
      </c>
      <c r="DS126" s="21">
        <v>12</v>
      </c>
      <c r="DT126" s="21">
        <v>16</v>
      </c>
      <c r="DU126" s="21">
        <v>16</v>
      </c>
      <c r="DV126" s="21">
        <v>8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0</v>
      </c>
      <c r="EE126" s="21">
        <v>0</v>
      </c>
      <c r="EF126" s="21">
        <v>0</v>
      </c>
    </row>
    <row r="127" spans="1:136" ht="14.5" x14ac:dyDescent="0.35">
      <c r="A127" s="20" t="s">
        <v>12</v>
      </c>
      <c r="B127" s="20" t="s">
        <v>22</v>
      </c>
      <c r="C127" s="20" t="s">
        <v>22</v>
      </c>
      <c r="D127" s="20" t="s">
        <v>333</v>
      </c>
      <c r="E127" s="20" t="s">
        <v>10</v>
      </c>
      <c r="F127" s="20" t="s">
        <v>127</v>
      </c>
      <c r="G127" s="21">
        <v>0</v>
      </c>
      <c r="H127" s="21">
        <v>70</v>
      </c>
      <c r="I127" s="21">
        <v>0</v>
      </c>
      <c r="J127" s="21">
        <v>70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0</v>
      </c>
      <c r="EE127" s="21">
        <v>0</v>
      </c>
      <c r="EF127" s="21">
        <v>0</v>
      </c>
    </row>
    <row r="128" spans="1:136" ht="14.5" x14ac:dyDescent="0.35">
      <c r="A128" s="20" t="s">
        <v>12</v>
      </c>
      <c r="B128" s="20" t="s">
        <v>22</v>
      </c>
      <c r="C128" s="20" t="s">
        <v>22</v>
      </c>
      <c r="D128" s="20" t="s">
        <v>334</v>
      </c>
      <c r="E128" s="20" t="s">
        <v>10</v>
      </c>
      <c r="F128" s="20" t="s">
        <v>80</v>
      </c>
      <c r="G128" s="21">
        <v>0</v>
      </c>
      <c r="H128" s="21">
        <v>0</v>
      </c>
      <c r="I128" s="21">
        <v>122</v>
      </c>
      <c r="J128" s="21">
        <v>-122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8</v>
      </c>
      <c r="DL128" s="21">
        <v>15</v>
      </c>
      <c r="DM128" s="21">
        <v>15</v>
      </c>
      <c r="DN128" s="21">
        <v>20</v>
      </c>
      <c r="DO128" s="21">
        <v>20</v>
      </c>
      <c r="DP128" s="21">
        <v>21</v>
      </c>
      <c r="DQ128" s="21">
        <v>17</v>
      </c>
      <c r="DR128" s="21">
        <v>6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0</v>
      </c>
      <c r="EC128" s="21">
        <v>0</v>
      </c>
      <c r="ED128" s="21">
        <v>0</v>
      </c>
      <c r="EE128" s="21">
        <v>0</v>
      </c>
      <c r="EF128" s="21">
        <v>0</v>
      </c>
    </row>
    <row r="129" spans="1:136" ht="14.5" x14ac:dyDescent="0.35">
      <c r="A129" s="20" t="s">
        <v>12</v>
      </c>
      <c r="B129" s="20" t="s">
        <v>22</v>
      </c>
      <c r="C129" s="20" t="s">
        <v>22</v>
      </c>
      <c r="D129" s="20" t="s">
        <v>333</v>
      </c>
      <c r="E129" s="20" t="s">
        <v>10</v>
      </c>
      <c r="F129" s="20" t="s">
        <v>80</v>
      </c>
      <c r="G129" s="21">
        <v>0</v>
      </c>
      <c r="H129" s="21">
        <v>122</v>
      </c>
      <c r="I129" s="21">
        <v>0</v>
      </c>
      <c r="J129" s="21">
        <v>122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21">
        <v>0</v>
      </c>
      <c r="CF129" s="21">
        <v>0</v>
      </c>
      <c r="CG129" s="21">
        <v>0</v>
      </c>
      <c r="CH129" s="21">
        <v>0</v>
      </c>
      <c r="CI129" s="21">
        <v>0</v>
      </c>
      <c r="CJ129" s="21">
        <v>0</v>
      </c>
      <c r="CK129" s="21">
        <v>0</v>
      </c>
      <c r="CL129" s="21">
        <v>0</v>
      </c>
      <c r="CM129" s="21">
        <v>0</v>
      </c>
      <c r="CN129" s="21">
        <v>0</v>
      </c>
      <c r="CO129" s="21">
        <v>0</v>
      </c>
      <c r="CP129" s="21">
        <v>0</v>
      </c>
      <c r="CQ129" s="21">
        <v>0</v>
      </c>
      <c r="CR129" s="21">
        <v>0</v>
      </c>
      <c r="CS129" s="21">
        <v>0</v>
      </c>
      <c r="CT129" s="21">
        <v>0</v>
      </c>
      <c r="CU129" s="21">
        <v>0</v>
      </c>
      <c r="CV129" s="21">
        <v>0</v>
      </c>
      <c r="CW129" s="21">
        <v>0</v>
      </c>
      <c r="CX129" s="21">
        <v>0</v>
      </c>
      <c r="CY129" s="21">
        <v>0</v>
      </c>
      <c r="CZ129" s="21">
        <v>0</v>
      </c>
      <c r="DA129" s="21">
        <v>0</v>
      </c>
      <c r="DB129" s="21">
        <v>0</v>
      </c>
      <c r="DC129" s="21">
        <v>0</v>
      </c>
      <c r="DD129" s="21">
        <v>0</v>
      </c>
      <c r="DE129" s="21">
        <v>0</v>
      </c>
      <c r="DF129" s="21">
        <v>0</v>
      </c>
      <c r="DG129" s="21">
        <v>0</v>
      </c>
      <c r="DH129" s="21">
        <v>0</v>
      </c>
      <c r="DI129" s="21">
        <v>0</v>
      </c>
      <c r="DJ129" s="21">
        <v>0</v>
      </c>
      <c r="DK129" s="21">
        <v>0</v>
      </c>
      <c r="DL129" s="21">
        <v>0</v>
      </c>
      <c r="DM129" s="21">
        <v>0</v>
      </c>
      <c r="DN129" s="21">
        <v>0</v>
      </c>
      <c r="DO129" s="21">
        <v>0</v>
      </c>
      <c r="DP129" s="21">
        <v>0</v>
      </c>
      <c r="DQ129" s="21">
        <v>0</v>
      </c>
      <c r="DR129" s="21">
        <v>0</v>
      </c>
      <c r="DS129" s="21">
        <v>0</v>
      </c>
      <c r="DT129" s="21">
        <v>0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0</v>
      </c>
      <c r="ED129" s="21">
        <v>0</v>
      </c>
      <c r="EE129" s="21">
        <v>0</v>
      </c>
      <c r="EF129" s="21">
        <v>0</v>
      </c>
    </row>
    <row r="130" spans="1:136" ht="14.5" x14ac:dyDescent="0.35">
      <c r="A130" s="20" t="s">
        <v>12</v>
      </c>
      <c r="B130" s="20" t="s">
        <v>22</v>
      </c>
      <c r="C130" s="20" t="s">
        <v>22</v>
      </c>
      <c r="D130" s="20" t="s">
        <v>334</v>
      </c>
      <c r="E130" s="20" t="s">
        <v>10</v>
      </c>
      <c r="F130" s="20" t="s">
        <v>88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1">
        <v>0</v>
      </c>
      <c r="CH130" s="21">
        <v>0</v>
      </c>
      <c r="CI130" s="21">
        <v>0</v>
      </c>
      <c r="CJ130" s="21">
        <v>0</v>
      </c>
      <c r="CK130" s="21">
        <v>0</v>
      </c>
      <c r="CL130" s="21">
        <v>0</v>
      </c>
      <c r="CM130" s="21">
        <v>0</v>
      </c>
      <c r="CN130" s="21">
        <v>0</v>
      </c>
      <c r="CO130" s="21">
        <v>0</v>
      </c>
      <c r="CP130" s="21">
        <v>0</v>
      </c>
      <c r="CQ130" s="21">
        <v>0</v>
      </c>
      <c r="CR130" s="21">
        <v>0</v>
      </c>
      <c r="CS130" s="21">
        <v>0</v>
      </c>
      <c r="CT130" s="21">
        <v>0</v>
      </c>
      <c r="CU130" s="21">
        <v>0</v>
      </c>
      <c r="CV130" s="21">
        <v>0</v>
      </c>
      <c r="CW130" s="21">
        <v>0</v>
      </c>
      <c r="CX130" s="21">
        <v>0</v>
      </c>
      <c r="CY130" s="21">
        <v>0</v>
      </c>
      <c r="CZ130" s="21">
        <v>0</v>
      </c>
      <c r="DA130" s="21">
        <v>0</v>
      </c>
      <c r="DB130" s="21">
        <v>0</v>
      </c>
      <c r="DC130" s="21">
        <v>0</v>
      </c>
      <c r="DD130" s="21">
        <v>0</v>
      </c>
      <c r="DE130" s="21">
        <v>0</v>
      </c>
      <c r="DF130" s="21">
        <v>0</v>
      </c>
      <c r="DG130" s="21">
        <v>0</v>
      </c>
      <c r="DH130" s="21">
        <v>0</v>
      </c>
      <c r="DI130" s="21">
        <v>0</v>
      </c>
      <c r="DJ130" s="21">
        <v>0</v>
      </c>
      <c r="DK130" s="21">
        <v>0</v>
      </c>
      <c r="DL130" s="21">
        <v>0</v>
      </c>
      <c r="DM130" s="21">
        <v>0</v>
      </c>
      <c r="DN130" s="21">
        <v>0</v>
      </c>
      <c r="DO130" s="21">
        <v>0</v>
      </c>
      <c r="DP130" s="21">
        <v>0</v>
      </c>
      <c r="DQ130" s="21">
        <v>0</v>
      </c>
      <c r="DR130" s="21">
        <v>0</v>
      </c>
      <c r="DS130" s="21">
        <v>0</v>
      </c>
      <c r="DT130" s="21">
        <v>0</v>
      </c>
      <c r="DU130" s="21">
        <v>0</v>
      </c>
      <c r="DV130" s="21">
        <v>0</v>
      </c>
      <c r="DW130" s="21">
        <v>0</v>
      </c>
      <c r="DX130" s="21">
        <v>0</v>
      </c>
      <c r="DY130" s="21">
        <v>0</v>
      </c>
      <c r="DZ130" s="21">
        <v>0</v>
      </c>
      <c r="EA130" s="21">
        <v>0</v>
      </c>
      <c r="EB130" s="21">
        <v>0</v>
      </c>
      <c r="EC130" s="21">
        <v>0</v>
      </c>
      <c r="ED130" s="21">
        <v>0</v>
      </c>
      <c r="EE130" s="21">
        <v>0</v>
      </c>
      <c r="EF130" s="21">
        <v>0</v>
      </c>
    </row>
    <row r="131" spans="1:136" ht="14.5" x14ac:dyDescent="0.35">
      <c r="A131" s="20" t="s">
        <v>12</v>
      </c>
      <c r="B131" s="20" t="s">
        <v>22</v>
      </c>
      <c r="C131" s="20" t="s">
        <v>22</v>
      </c>
      <c r="D131" s="20" t="s">
        <v>333</v>
      </c>
      <c r="E131" s="20" t="s">
        <v>10</v>
      </c>
      <c r="F131" s="20" t="s">
        <v>88</v>
      </c>
      <c r="G131" s="21">
        <v>10</v>
      </c>
      <c r="H131" s="21">
        <v>10</v>
      </c>
      <c r="I131" s="21">
        <v>0</v>
      </c>
      <c r="J131" s="21">
        <v>10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</v>
      </c>
      <c r="CG131" s="21">
        <v>0</v>
      </c>
      <c r="CH131" s="21">
        <v>0</v>
      </c>
      <c r="CI131" s="21">
        <v>0</v>
      </c>
      <c r="CJ131" s="21">
        <v>0</v>
      </c>
      <c r="CK131" s="21">
        <v>0</v>
      </c>
      <c r="CL131" s="21">
        <v>0</v>
      </c>
      <c r="CM131" s="21">
        <v>0</v>
      </c>
      <c r="CN131" s="21">
        <v>0</v>
      </c>
      <c r="CO131" s="21">
        <v>0</v>
      </c>
      <c r="CP131" s="21">
        <v>0</v>
      </c>
      <c r="CQ131" s="21">
        <v>0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0</v>
      </c>
      <c r="DA131" s="21">
        <v>0</v>
      </c>
      <c r="DB131" s="21">
        <v>0</v>
      </c>
      <c r="DC131" s="21">
        <v>0</v>
      </c>
      <c r="DD131" s="21">
        <v>0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0</v>
      </c>
      <c r="DK131" s="21">
        <v>0</v>
      </c>
      <c r="DL131" s="21">
        <v>0</v>
      </c>
      <c r="DM131" s="21">
        <v>0</v>
      </c>
      <c r="DN131" s="21">
        <v>0</v>
      </c>
      <c r="DO131" s="21">
        <v>0</v>
      </c>
      <c r="DP131" s="21">
        <v>0</v>
      </c>
      <c r="DQ131" s="21">
        <v>0</v>
      </c>
      <c r="DR131" s="21">
        <v>0</v>
      </c>
      <c r="DS131" s="21">
        <v>0</v>
      </c>
      <c r="DT131" s="21">
        <v>0</v>
      </c>
      <c r="DU131" s="21">
        <v>0</v>
      </c>
      <c r="DV131" s="21">
        <v>0</v>
      </c>
      <c r="DW131" s="21">
        <v>0</v>
      </c>
      <c r="DX131" s="21">
        <v>0</v>
      </c>
      <c r="DY131" s="21">
        <v>0</v>
      </c>
      <c r="DZ131" s="21">
        <v>0</v>
      </c>
      <c r="EA131" s="21">
        <v>0</v>
      </c>
      <c r="EB131" s="21">
        <v>0</v>
      </c>
      <c r="EC131" s="21">
        <v>0</v>
      </c>
      <c r="ED131" s="21">
        <v>0</v>
      </c>
      <c r="EE131" s="21">
        <v>0</v>
      </c>
      <c r="EF131" s="21">
        <v>0</v>
      </c>
    </row>
    <row r="132" spans="1:136" ht="14.5" x14ac:dyDescent="0.35">
      <c r="A132" s="20" t="s">
        <v>12</v>
      </c>
      <c r="B132" s="20" t="s">
        <v>22</v>
      </c>
      <c r="C132" s="20" t="s">
        <v>22</v>
      </c>
      <c r="D132" s="20" t="s">
        <v>334</v>
      </c>
      <c r="E132" s="20" t="s">
        <v>10</v>
      </c>
      <c r="F132" s="20" t="s">
        <v>89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0</v>
      </c>
      <c r="CN132" s="21">
        <v>0</v>
      </c>
      <c r="CO132" s="21">
        <v>0</v>
      </c>
      <c r="CP132" s="21">
        <v>0</v>
      </c>
      <c r="CQ132" s="21">
        <v>0</v>
      </c>
      <c r="CR132" s="21">
        <v>0</v>
      </c>
      <c r="CS132" s="21">
        <v>0</v>
      </c>
      <c r="CT132" s="21">
        <v>0</v>
      </c>
      <c r="CU132" s="21">
        <v>0</v>
      </c>
      <c r="CV132" s="21">
        <v>0</v>
      </c>
      <c r="CW132" s="21">
        <v>0</v>
      </c>
      <c r="CX132" s="21">
        <v>0</v>
      </c>
      <c r="CY132" s="21">
        <v>0</v>
      </c>
      <c r="CZ132" s="21">
        <v>0</v>
      </c>
      <c r="DA132" s="21">
        <v>0</v>
      </c>
      <c r="DB132" s="21">
        <v>0</v>
      </c>
      <c r="DC132" s="21">
        <v>0</v>
      </c>
      <c r="DD132" s="21">
        <v>0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0</v>
      </c>
      <c r="DK132" s="21">
        <v>0</v>
      </c>
      <c r="DL132" s="21">
        <v>0</v>
      </c>
      <c r="DM132" s="21">
        <v>0</v>
      </c>
      <c r="DN132" s="21">
        <v>0</v>
      </c>
      <c r="DO132" s="21">
        <v>0</v>
      </c>
      <c r="DP132" s="21">
        <v>0</v>
      </c>
      <c r="DQ132" s="21">
        <v>0</v>
      </c>
      <c r="DR132" s="21">
        <v>0</v>
      </c>
      <c r="DS132" s="21">
        <v>0</v>
      </c>
      <c r="DT132" s="21">
        <v>0</v>
      </c>
      <c r="DU132" s="21">
        <v>0</v>
      </c>
      <c r="DV132" s="21">
        <v>0</v>
      </c>
      <c r="DW132" s="21">
        <v>0</v>
      </c>
      <c r="DX132" s="21">
        <v>0</v>
      </c>
      <c r="DY132" s="21">
        <v>0</v>
      </c>
      <c r="DZ132" s="21">
        <v>0</v>
      </c>
      <c r="EA132" s="21">
        <v>0</v>
      </c>
      <c r="EB132" s="21">
        <v>0</v>
      </c>
      <c r="EC132" s="21">
        <v>0</v>
      </c>
      <c r="ED132" s="21">
        <v>0</v>
      </c>
      <c r="EE132" s="21">
        <v>0</v>
      </c>
      <c r="EF132" s="21">
        <v>0</v>
      </c>
    </row>
    <row r="133" spans="1:136" ht="14.5" x14ac:dyDescent="0.35">
      <c r="A133" s="20" t="s">
        <v>12</v>
      </c>
      <c r="B133" s="20" t="s">
        <v>22</v>
      </c>
      <c r="C133" s="20" t="s">
        <v>22</v>
      </c>
      <c r="D133" s="20" t="s">
        <v>333</v>
      </c>
      <c r="E133" s="20" t="s">
        <v>10</v>
      </c>
      <c r="F133" s="20" t="s">
        <v>89</v>
      </c>
      <c r="G133" s="21">
        <v>0</v>
      </c>
      <c r="H133" s="21">
        <v>10</v>
      </c>
      <c r="I133" s="21">
        <v>0</v>
      </c>
      <c r="J133" s="21">
        <v>10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21">
        <v>0</v>
      </c>
      <c r="CQ133" s="21">
        <v>0</v>
      </c>
      <c r="CR133" s="21">
        <v>0</v>
      </c>
      <c r="CS133" s="21">
        <v>0</v>
      </c>
      <c r="CT133" s="21">
        <v>0</v>
      </c>
      <c r="CU133" s="21">
        <v>0</v>
      </c>
      <c r="CV133" s="21">
        <v>0</v>
      </c>
      <c r="CW133" s="21">
        <v>0</v>
      </c>
      <c r="CX133" s="21">
        <v>0</v>
      </c>
      <c r="CY133" s="21">
        <v>0</v>
      </c>
      <c r="CZ133" s="21">
        <v>0</v>
      </c>
      <c r="DA133" s="21">
        <v>0</v>
      </c>
      <c r="DB133" s="21">
        <v>0</v>
      </c>
      <c r="DC133" s="21">
        <v>0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0</v>
      </c>
      <c r="DJ133" s="21">
        <v>0</v>
      </c>
      <c r="DK133" s="21">
        <v>0</v>
      </c>
      <c r="DL133" s="21">
        <v>0</v>
      </c>
      <c r="DM133" s="21">
        <v>0</v>
      </c>
      <c r="DN133" s="21">
        <v>0</v>
      </c>
      <c r="DO133" s="21">
        <v>0</v>
      </c>
      <c r="DP133" s="21">
        <v>0</v>
      </c>
      <c r="DQ133" s="21">
        <v>0</v>
      </c>
      <c r="DR133" s="21">
        <v>0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0</v>
      </c>
      <c r="EA133" s="21">
        <v>0</v>
      </c>
      <c r="EB133" s="21">
        <v>0</v>
      </c>
      <c r="EC133" s="21">
        <v>0</v>
      </c>
      <c r="ED133" s="21">
        <v>0</v>
      </c>
      <c r="EE133" s="21">
        <v>0</v>
      </c>
      <c r="EF133" s="21">
        <v>0</v>
      </c>
    </row>
    <row r="134" spans="1:136" ht="14.5" x14ac:dyDescent="0.35">
      <c r="A134" s="20" t="s">
        <v>12</v>
      </c>
      <c r="B134" s="20" t="s">
        <v>22</v>
      </c>
      <c r="C134" s="20" t="s">
        <v>22</v>
      </c>
      <c r="D134" s="20" t="s">
        <v>334</v>
      </c>
      <c r="E134" s="20" t="s">
        <v>10</v>
      </c>
      <c r="F134" s="20" t="s">
        <v>40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1">
        <v>0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0</v>
      </c>
      <c r="CU134" s="21">
        <v>0</v>
      </c>
      <c r="CV134" s="21">
        <v>0</v>
      </c>
      <c r="CW134" s="21">
        <v>0</v>
      </c>
      <c r="CX134" s="21">
        <v>0</v>
      </c>
      <c r="CY134" s="21">
        <v>0</v>
      </c>
      <c r="CZ134" s="21">
        <v>0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0</v>
      </c>
      <c r="DH134" s="21">
        <v>0</v>
      </c>
      <c r="DI134" s="21">
        <v>0</v>
      </c>
      <c r="DJ134" s="21">
        <v>0</v>
      </c>
      <c r="DK134" s="21">
        <v>0</v>
      </c>
      <c r="DL134" s="21">
        <v>0</v>
      </c>
      <c r="DM134" s="21">
        <v>0</v>
      </c>
      <c r="DN134" s="21">
        <v>0</v>
      </c>
      <c r="DO134" s="21">
        <v>0</v>
      </c>
      <c r="DP134" s="21">
        <v>0</v>
      </c>
      <c r="DQ134" s="21">
        <v>0</v>
      </c>
      <c r="DR134" s="21">
        <v>0</v>
      </c>
      <c r="DS134" s="21">
        <v>0</v>
      </c>
      <c r="DT134" s="21">
        <v>0</v>
      </c>
      <c r="DU134" s="21">
        <v>0</v>
      </c>
      <c r="DV134" s="21">
        <v>0</v>
      </c>
      <c r="DW134" s="21">
        <v>0</v>
      </c>
      <c r="DX134" s="21">
        <v>0</v>
      </c>
      <c r="DY134" s="21">
        <v>0</v>
      </c>
      <c r="DZ134" s="21">
        <v>0</v>
      </c>
      <c r="EA134" s="21">
        <v>0</v>
      </c>
      <c r="EB134" s="21">
        <v>0</v>
      </c>
      <c r="EC134" s="21">
        <v>0</v>
      </c>
      <c r="ED134" s="21">
        <v>0</v>
      </c>
      <c r="EE134" s="21">
        <v>0</v>
      </c>
      <c r="EF134" s="21">
        <v>0</v>
      </c>
    </row>
    <row r="135" spans="1:136" ht="14.5" x14ac:dyDescent="0.35">
      <c r="A135" s="20" t="s">
        <v>12</v>
      </c>
      <c r="B135" s="20" t="s">
        <v>22</v>
      </c>
      <c r="C135" s="20" t="s">
        <v>22</v>
      </c>
      <c r="D135" s="20" t="s">
        <v>333</v>
      </c>
      <c r="E135" s="20" t="s">
        <v>10</v>
      </c>
      <c r="F135" s="20" t="s">
        <v>40</v>
      </c>
      <c r="G135" s="21">
        <v>0</v>
      </c>
      <c r="H135" s="21">
        <v>28</v>
      </c>
      <c r="I135" s="21">
        <v>0</v>
      </c>
      <c r="J135" s="21">
        <v>28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0</v>
      </c>
      <c r="CO135" s="21">
        <v>0</v>
      </c>
      <c r="CP135" s="21">
        <v>0</v>
      </c>
      <c r="CQ135" s="21">
        <v>0</v>
      </c>
      <c r="CR135" s="21">
        <v>0</v>
      </c>
      <c r="CS135" s="21">
        <v>0</v>
      </c>
      <c r="CT135" s="21">
        <v>0</v>
      </c>
      <c r="CU135" s="21">
        <v>0</v>
      </c>
      <c r="CV135" s="21">
        <v>0</v>
      </c>
      <c r="CW135" s="21">
        <v>0</v>
      </c>
      <c r="CX135" s="21">
        <v>0</v>
      </c>
      <c r="CY135" s="21">
        <v>0</v>
      </c>
      <c r="CZ135" s="21">
        <v>0</v>
      </c>
      <c r="DA135" s="21">
        <v>0</v>
      </c>
      <c r="DB135" s="21">
        <v>0</v>
      </c>
      <c r="DC135" s="21">
        <v>0</v>
      </c>
      <c r="DD135" s="21">
        <v>0</v>
      </c>
      <c r="DE135" s="21">
        <v>0</v>
      </c>
      <c r="DF135" s="21">
        <v>0</v>
      </c>
      <c r="DG135" s="21">
        <v>0</v>
      </c>
      <c r="DH135" s="21">
        <v>0</v>
      </c>
      <c r="DI135" s="21">
        <v>0</v>
      </c>
      <c r="DJ135" s="21">
        <v>0</v>
      </c>
      <c r="DK135" s="21">
        <v>0</v>
      </c>
      <c r="DL135" s="21">
        <v>0</v>
      </c>
      <c r="DM135" s="21">
        <v>0</v>
      </c>
      <c r="DN135" s="21">
        <v>0</v>
      </c>
      <c r="DO135" s="21">
        <v>0</v>
      </c>
      <c r="DP135" s="21">
        <v>0</v>
      </c>
      <c r="DQ135" s="21">
        <v>0</v>
      </c>
      <c r="DR135" s="21">
        <v>0</v>
      </c>
      <c r="DS135" s="21">
        <v>0</v>
      </c>
      <c r="DT135" s="21">
        <v>0</v>
      </c>
      <c r="DU135" s="21">
        <v>0</v>
      </c>
      <c r="DV135" s="21">
        <v>0</v>
      </c>
      <c r="DW135" s="21">
        <v>0</v>
      </c>
      <c r="DX135" s="21">
        <v>0</v>
      </c>
      <c r="DY135" s="21">
        <v>0</v>
      </c>
      <c r="DZ135" s="21">
        <v>0</v>
      </c>
      <c r="EA135" s="21">
        <v>0</v>
      </c>
      <c r="EB135" s="21">
        <v>0</v>
      </c>
      <c r="EC135" s="21">
        <v>0</v>
      </c>
      <c r="ED135" s="21">
        <v>0</v>
      </c>
      <c r="EE135" s="21">
        <v>0</v>
      </c>
      <c r="EF135" s="21">
        <v>0</v>
      </c>
    </row>
    <row r="136" spans="1:136" ht="14.5" x14ac:dyDescent="0.35">
      <c r="A136" s="20" t="s">
        <v>12</v>
      </c>
      <c r="B136" s="20" t="s">
        <v>22</v>
      </c>
      <c r="C136" s="20" t="s">
        <v>22</v>
      </c>
      <c r="D136" s="20" t="s">
        <v>334</v>
      </c>
      <c r="E136" s="20" t="s">
        <v>10</v>
      </c>
      <c r="F136" s="20" t="s">
        <v>103</v>
      </c>
      <c r="G136" s="21">
        <v>0</v>
      </c>
      <c r="H136" s="21">
        <v>0</v>
      </c>
      <c r="I136" s="21">
        <v>192.5</v>
      </c>
      <c r="J136" s="21">
        <v>-192.5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11</v>
      </c>
      <c r="AK136" s="21">
        <v>19</v>
      </c>
      <c r="AL136" s="21">
        <v>15</v>
      </c>
      <c r="AM136" s="21">
        <v>15</v>
      </c>
      <c r="AN136" s="21">
        <v>6.5</v>
      </c>
      <c r="AO136" s="21">
        <v>11</v>
      </c>
      <c r="AP136" s="21">
        <v>10</v>
      </c>
      <c r="AQ136" s="21">
        <v>12</v>
      </c>
      <c r="AR136" s="21">
        <v>13</v>
      </c>
      <c r="AS136" s="21">
        <v>2.5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10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5</v>
      </c>
      <c r="DC136" s="21">
        <v>5</v>
      </c>
      <c r="DD136" s="21">
        <v>10</v>
      </c>
      <c r="DE136" s="21">
        <v>10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10</v>
      </c>
      <c r="DM136" s="21">
        <v>10</v>
      </c>
      <c r="DN136" s="21">
        <v>10</v>
      </c>
      <c r="DO136" s="21">
        <v>10</v>
      </c>
      <c r="DP136" s="21">
        <v>0</v>
      </c>
      <c r="DQ136" s="21">
        <v>0</v>
      </c>
      <c r="DR136" s="21">
        <v>0</v>
      </c>
      <c r="DS136" s="21">
        <v>0</v>
      </c>
      <c r="DT136" s="21">
        <v>0</v>
      </c>
      <c r="DU136" s="21">
        <v>0</v>
      </c>
      <c r="DV136" s="21">
        <v>0</v>
      </c>
      <c r="DW136" s="21">
        <v>0</v>
      </c>
      <c r="DX136" s="21">
        <v>0</v>
      </c>
      <c r="DY136" s="21">
        <v>0</v>
      </c>
      <c r="DZ136" s="21">
        <v>0</v>
      </c>
      <c r="EA136" s="21">
        <v>0</v>
      </c>
      <c r="EB136" s="21">
        <v>0</v>
      </c>
      <c r="EC136" s="21">
        <v>0</v>
      </c>
      <c r="ED136" s="21">
        <v>0</v>
      </c>
      <c r="EE136" s="21">
        <v>0</v>
      </c>
      <c r="EF136" s="21">
        <v>0</v>
      </c>
    </row>
    <row r="137" spans="1:136" ht="14.5" x14ac:dyDescent="0.35">
      <c r="A137" s="20" t="s">
        <v>12</v>
      </c>
      <c r="B137" s="20" t="s">
        <v>22</v>
      </c>
      <c r="C137" s="20" t="s">
        <v>22</v>
      </c>
      <c r="D137" s="20" t="s">
        <v>333</v>
      </c>
      <c r="E137" s="20" t="s">
        <v>10</v>
      </c>
      <c r="F137" s="20" t="s">
        <v>103</v>
      </c>
      <c r="G137" s="21">
        <v>180.5</v>
      </c>
      <c r="H137" s="21">
        <v>270.5</v>
      </c>
      <c r="I137" s="21">
        <v>109</v>
      </c>
      <c r="J137" s="21">
        <v>161.5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7</v>
      </c>
      <c r="AD137" s="21">
        <v>7</v>
      </c>
      <c r="AE137" s="21">
        <v>11</v>
      </c>
      <c r="AF137" s="21">
        <v>16</v>
      </c>
      <c r="AG137" s="21">
        <v>25</v>
      </c>
      <c r="AH137" s="21">
        <v>18</v>
      </c>
      <c r="AI137" s="21">
        <v>18</v>
      </c>
      <c r="AJ137" s="21">
        <v>7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21">
        <v>0</v>
      </c>
      <c r="CF137" s="21">
        <v>0</v>
      </c>
      <c r="CG137" s="21">
        <v>0</v>
      </c>
      <c r="CH137" s="21">
        <v>0</v>
      </c>
      <c r="CI137" s="21">
        <v>0</v>
      </c>
      <c r="CJ137" s="21">
        <v>0</v>
      </c>
      <c r="CK137" s="21">
        <v>0</v>
      </c>
      <c r="CL137" s="21">
        <v>0</v>
      </c>
      <c r="CM137" s="21">
        <v>0</v>
      </c>
      <c r="CN137" s="21">
        <v>0</v>
      </c>
      <c r="CO137" s="21">
        <v>0</v>
      </c>
      <c r="CP137" s="21">
        <v>0</v>
      </c>
      <c r="CQ137" s="21">
        <v>0</v>
      </c>
      <c r="CR137" s="21">
        <v>0</v>
      </c>
      <c r="CS137" s="21">
        <v>0</v>
      </c>
      <c r="CT137" s="21">
        <v>0</v>
      </c>
      <c r="CU137" s="21">
        <v>0</v>
      </c>
      <c r="CV137" s="21">
        <v>0</v>
      </c>
      <c r="CW137" s="21">
        <v>0</v>
      </c>
      <c r="CX137" s="21">
        <v>0</v>
      </c>
      <c r="CY137" s="21">
        <v>0</v>
      </c>
      <c r="CZ137" s="21">
        <v>0</v>
      </c>
      <c r="DA137" s="21">
        <v>0</v>
      </c>
      <c r="DB137" s="21">
        <v>0</v>
      </c>
      <c r="DC137" s="21">
        <v>0</v>
      </c>
      <c r="DD137" s="21">
        <v>0</v>
      </c>
      <c r="DE137" s="21">
        <v>0</v>
      </c>
      <c r="DF137" s="21">
        <v>0</v>
      </c>
      <c r="DG137" s="21">
        <v>0</v>
      </c>
      <c r="DH137" s="21">
        <v>0</v>
      </c>
      <c r="DI137" s="21">
        <v>0</v>
      </c>
      <c r="DJ137" s="21">
        <v>0</v>
      </c>
      <c r="DK137" s="21">
        <v>0</v>
      </c>
      <c r="DL137" s="21">
        <v>0</v>
      </c>
      <c r="DM137" s="21">
        <v>0</v>
      </c>
      <c r="DN137" s="21">
        <v>0</v>
      </c>
      <c r="DO137" s="21">
        <v>0</v>
      </c>
      <c r="DP137" s="21">
        <v>0</v>
      </c>
      <c r="DQ137" s="21">
        <v>0</v>
      </c>
      <c r="DR137" s="21">
        <v>0</v>
      </c>
      <c r="DS137" s="21">
        <v>0</v>
      </c>
      <c r="DT137" s="21">
        <v>0</v>
      </c>
      <c r="DU137" s="21">
        <v>0</v>
      </c>
      <c r="DV137" s="21">
        <v>0</v>
      </c>
      <c r="DW137" s="21">
        <v>0</v>
      </c>
      <c r="DX137" s="21">
        <v>0</v>
      </c>
      <c r="DY137" s="21">
        <v>0</v>
      </c>
      <c r="DZ137" s="21">
        <v>0</v>
      </c>
      <c r="EA137" s="21">
        <v>0</v>
      </c>
      <c r="EB137" s="21">
        <v>0</v>
      </c>
      <c r="EC137" s="21">
        <v>0</v>
      </c>
      <c r="ED137" s="21">
        <v>0</v>
      </c>
      <c r="EE137" s="21">
        <v>0</v>
      </c>
      <c r="EF137" s="21">
        <v>0</v>
      </c>
    </row>
    <row r="138" spans="1:136" ht="14.5" x14ac:dyDescent="0.35">
      <c r="A138" s="20" t="s">
        <v>12</v>
      </c>
      <c r="B138" s="20" t="s">
        <v>22</v>
      </c>
      <c r="C138" s="20" t="s">
        <v>22</v>
      </c>
      <c r="D138" s="20" t="s">
        <v>334</v>
      </c>
      <c r="E138" s="20" t="s">
        <v>10</v>
      </c>
      <c r="F138" s="20" t="s">
        <v>98</v>
      </c>
      <c r="G138" s="21">
        <v>0</v>
      </c>
      <c r="H138" s="21">
        <v>0</v>
      </c>
      <c r="I138" s="21">
        <v>415</v>
      </c>
      <c r="J138" s="21">
        <v>-415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5</v>
      </c>
      <c r="AK138" s="21">
        <v>11.5</v>
      </c>
      <c r="AL138" s="21">
        <v>12.5</v>
      </c>
      <c r="AM138" s="21">
        <v>17</v>
      </c>
      <c r="AN138" s="21">
        <v>7.5</v>
      </c>
      <c r="AO138" s="21">
        <v>16</v>
      </c>
      <c r="AP138" s="21">
        <v>17.5</v>
      </c>
      <c r="AQ138" s="21">
        <v>7</v>
      </c>
      <c r="AR138" s="21">
        <v>8</v>
      </c>
      <c r="AS138" s="21">
        <v>1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1">
        <v>0</v>
      </c>
      <c r="CH138" s="21">
        <v>0</v>
      </c>
      <c r="CI138" s="21">
        <v>0</v>
      </c>
      <c r="CJ138" s="21">
        <v>0</v>
      </c>
      <c r="CK138" s="21">
        <v>0</v>
      </c>
      <c r="CL138" s="21">
        <v>0</v>
      </c>
      <c r="CM138" s="21">
        <v>0</v>
      </c>
      <c r="CN138" s="21">
        <v>0</v>
      </c>
      <c r="CO138" s="21">
        <v>0</v>
      </c>
      <c r="CP138" s="21">
        <v>0</v>
      </c>
      <c r="CQ138" s="21">
        <v>0</v>
      </c>
      <c r="CR138" s="21">
        <v>0</v>
      </c>
      <c r="CS138" s="21">
        <v>5</v>
      </c>
      <c r="CT138" s="21">
        <v>5</v>
      </c>
      <c r="CU138" s="21">
        <v>5</v>
      </c>
      <c r="CV138" s="21">
        <v>0</v>
      </c>
      <c r="CW138" s="21">
        <v>0</v>
      </c>
      <c r="CX138" s="21">
        <v>0</v>
      </c>
      <c r="CY138" s="21">
        <v>10</v>
      </c>
      <c r="CZ138" s="21">
        <v>10</v>
      </c>
      <c r="DA138" s="21">
        <v>0</v>
      </c>
      <c r="DB138" s="21">
        <v>0</v>
      </c>
      <c r="DC138" s="21">
        <v>0</v>
      </c>
      <c r="DD138" s="21">
        <v>0</v>
      </c>
      <c r="DE138" s="21">
        <v>0</v>
      </c>
      <c r="DF138" s="21">
        <v>0</v>
      </c>
      <c r="DG138" s="21">
        <v>0</v>
      </c>
      <c r="DH138" s="21">
        <v>8</v>
      </c>
      <c r="DI138" s="21">
        <v>0</v>
      </c>
      <c r="DJ138" s="21">
        <v>0</v>
      </c>
      <c r="DK138" s="21">
        <v>15</v>
      </c>
      <c r="DL138" s="21">
        <v>20</v>
      </c>
      <c r="DM138" s="21">
        <v>35</v>
      </c>
      <c r="DN138" s="21">
        <v>40</v>
      </c>
      <c r="DO138" s="21">
        <v>40</v>
      </c>
      <c r="DP138" s="21">
        <v>40</v>
      </c>
      <c r="DQ138" s="21">
        <v>40</v>
      </c>
      <c r="DR138" s="21">
        <v>40</v>
      </c>
      <c r="DS138" s="21">
        <v>0</v>
      </c>
      <c r="DT138" s="21">
        <v>0</v>
      </c>
      <c r="DU138" s="21">
        <v>0</v>
      </c>
      <c r="DV138" s="21">
        <v>0</v>
      </c>
      <c r="DW138" s="21">
        <v>0</v>
      </c>
      <c r="DX138" s="21">
        <v>0</v>
      </c>
      <c r="DY138" s="21">
        <v>0</v>
      </c>
      <c r="DZ138" s="21">
        <v>0</v>
      </c>
      <c r="EA138" s="21">
        <v>0</v>
      </c>
      <c r="EB138" s="21">
        <v>0</v>
      </c>
      <c r="EC138" s="21">
        <v>0</v>
      </c>
      <c r="ED138" s="21">
        <v>0</v>
      </c>
      <c r="EE138" s="21">
        <v>0</v>
      </c>
      <c r="EF138" s="21">
        <v>0</v>
      </c>
    </row>
    <row r="139" spans="1:136" ht="14.5" x14ac:dyDescent="0.35">
      <c r="A139" s="20" t="s">
        <v>12</v>
      </c>
      <c r="B139" s="20" t="s">
        <v>22</v>
      </c>
      <c r="C139" s="20" t="s">
        <v>22</v>
      </c>
      <c r="D139" s="20" t="s">
        <v>333</v>
      </c>
      <c r="E139" s="20" t="s">
        <v>10</v>
      </c>
      <c r="F139" s="20" t="s">
        <v>98</v>
      </c>
      <c r="G139" s="21">
        <v>107</v>
      </c>
      <c r="H139" s="21">
        <v>405</v>
      </c>
      <c r="I139" s="21">
        <v>13</v>
      </c>
      <c r="J139" s="21">
        <v>392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5</v>
      </c>
      <c r="AI139" s="21">
        <v>2</v>
      </c>
      <c r="AJ139" s="21">
        <v>6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</v>
      </c>
      <c r="CG139" s="21">
        <v>0</v>
      </c>
      <c r="CH139" s="21">
        <v>0</v>
      </c>
      <c r="CI139" s="21">
        <v>0</v>
      </c>
      <c r="CJ139" s="21">
        <v>0</v>
      </c>
      <c r="CK139" s="21">
        <v>0</v>
      </c>
      <c r="CL139" s="21">
        <v>0</v>
      </c>
      <c r="CM139" s="21">
        <v>0</v>
      </c>
      <c r="CN139" s="21">
        <v>0</v>
      </c>
      <c r="CO139" s="21">
        <v>0</v>
      </c>
      <c r="CP139" s="21">
        <v>0</v>
      </c>
      <c r="CQ139" s="21">
        <v>0</v>
      </c>
      <c r="CR139" s="21">
        <v>0</v>
      </c>
      <c r="CS139" s="21">
        <v>0</v>
      </c>
      <c r="CT139" s="21">
        <v>0</v>
      </c>
      <c r="CU139" s="21">
        <v>0</v>
      </c>
      <c r="CV139" s="21">
        <v>0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0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0</v>
      </c>
      <c r="DK139" s="21">
        <v>0</v>
      </c>
      <c r="DL139" s="21">
        <v>0</v>
      </c>
      <c r="DM139" s="21">
        <v>0</v>
      </c>
      <c r="DN139" s="21">
        <v>0</v>
      </c>
      <c r="DO139" s="21">
        <v>0</v>
      </c>
      <c r="DP139" s="21">
        <v>0</v>
      </c>
      <c r="DQ139" s="21">
        <v>0</v>
      </c>
      <c r="DR139" s="21">
        <v>0</v>
      </c>
      <c r="DS139" s="21">
        <v>0</v>
      </c>
      <c r="DT139" s="21">
        <v>0</v>
      </c>
      <c r="DU139" s="21">
        <v>0</v>
      </c>
      <c r="DV139" s="21">
        <v>0</v>
      </c>
      <c r="DW139" s="21">
        <v>0</v>
      </c>
      <c r="DX139" s="21">
        <v>0</v>
      </c>
      <c r="DY139" s="21">
        <v>0</v>
      </c>
      <c r="DZ139" s="21">
        <v>0</v>
      </c>
      <c r="EA139" s="21">
        <v>0</v>
      </c>
      <c r="EB139" s="21">
        <v>0</v>
      </c>
      <c r="EC139" s="21">
        <v>0</v>
      </c>
      <c r="ED139" s="21">
        <v>0</v>
      </c>
      <c r="EE139" s="21">
        <v>0</v>
      </c>
      <c r="EF139" s="21">
        <v>0</v>
      </c>
    </row>
    <row r="140" spans="1:136" ht="14.5" x14ac:dyDescent="0.35">
      <c r="A140" s="20" t="s">
        <v>12</v>
      </c>
      <c r="B140" s="20" t="s">
        <v>22</v>
      </c>
      <c r="C140" s="20" t="s">
        <v>22</v>
      </c>
      <c r="D140" s="20" t="s">
        <v>334</v>
      </c>
      <c r="E140" s="20" t="s">
        <v>10</v>
      </c>
      <c r="F140" s="20" t="s">
        <v>91</v>
      </c>
      <c r="G140" s="21">
        <v>0</v>
      </c>
      <c r="H140" s="21">
        <v>0</v>
      </c>
      <c r="I140" s="21">
        <v>2</v>
      </c>
      <c r="J140" s="21">
        <v>-2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2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1">
        <v>0</v>
      </c>
      <c r="CH140" s="21">
        <v>0</v>
      </c>
      <c r="CI140" s="21">
        <v>0</v>
      </c>
      <c r="CJ140" s="21">
        <v>0</v>
      </c>
      <c r="CK140" s="21">
        <v>0</v>
      </c>
      <c r="CL140" s="21">
        <v>0</v>
      </c>
      <c r="CM140" s="21">
        <v>0</v>
      </c>
      <c r="CN140" s="21">
        <v>0</v>
      </c>
      <c r="CO140" s="21">
        <v>0</v>
      </c>
      <c r="CP140" s="21">
        <v>0</v>
      </c>
      <c r="CQ140" s="21">
        <v>0</v>
      </c>
      <c r="CR140" s="21">
        <v>0</v>
      </c>
      <c r="CS140" s="21">
        <v>0</v>
      </c>
      <c r="CT140" s="21">
        <v>0</v>
      </c>
      <c r="CU140" s="21">
        <v>0</v>
      </c>
      <c r="CV140" s="21">
        <v>0</v>
      </c>
      <c r="CW140" s="21">
        <v>0</v>
      </c>
      <c r="CX140" s="21">
        <v>0</v>
      </c>
      <c r="CY140" s="21">
        <v>0</v>
      </c>
      <c r="CZ140" s="21">
        <v>0</v>
      </c>
      <c r="DA140" s="21">
        <v>0</v>
      </c>
      <c r="DB140" s="21">
        <v>0</v>
      </c>
      <c r="DC140" s="21">
        <v>0</v>
      </c>
      <c r="DD140" s="21">
        <v>0</v>
      </c>
      <c r="DE140" s="21">
        <v>0</v>
      </c>
      <c r="DF140" s="21">
        <v>0</v>
      </c>
      <c r="DG140" s="21">
        <v>0</v>
      </c>
      <c r="DH140" s="21">
        <v>0</v>
      </c>
      <c r="DI140" s="21">
        <v>0</v>
      </c>
      <c r="DJ140" s="21">
        <v>0</v>
      </c>
      <c r="DK140" s="21">
        <v>0</v>
      </c>
      <c r="DL140" s="21">
        <v>0</v>
      </c>
      <c r="DM140" s="21">
        <v>0</v>
      </c>
      <c r="DN140" s="21">
        <v>0</v>
      </c>
      <c r="DO140" s="21">
        <v>0</v>
      </c>
      <c r="DP140" s="21">
        <v>0</v>
      </c>
      <c r="DQ140" s="21">
        <v>0</v>
      </c>
      <c r="DR140" s="21">
        <v>0</v>
      </c>
      <c r="DS140" s="21">
        <v>0</v>
      </c>
      <c r="DT140" s="21">
        <v>0</v>
      </c>
      <c r="DU140" s="21">
        <v>0</v>
      </c>
      <c r="DV140" s="21">
        <v>0</v>
      </c>
      <c r="DW140" s="21">
        <v>0</v>
      </c>
      <c r="DX140" s="21">
        <v>0</v>
      </c>
      <c r="DY140" s="21">
        <v>0</v>
      </c>
      <c r="DZ140" s="21">
        <v>0</v>
      </c>
      <c r="EA140" s="21">
        <v>0</v>
      </c>
      <c r="EB140" s="21">
        <v>0</v>
      </c>
      <c r="EC140" s="21">
        <v>0</v>
      </c>
      <c r="ED140" s="21">
        <v>0</v>
      </c>
      <c r="EE140" s="21">
        <v>0</v>
      </c>
      <c r="EF140" s="21">
        <v>0</v>
      </c>
    </row>
    <row r="141" spans="1:136" ht="14.5" x14ac:dyDescent="0.35">
      <c r="A141" s="20" t="s">
        <v>12</v>
      </c>
      <c r="B141" s="20" t="s">
        <v>20</v>
      </c>
      <c r="C141" s="20" t="s">
        <v>20</v>
      </c>
      <c r="D141" s="20" t="s">
        <v>335</v>
      </c>
      <c r="E141" s="20" t="s">
        <v>10</v>
      </c>
      <c r="F141" s="20" t="s">
        <v>87</v>
      </c>
      <c r="G141" s="21">
        <v>0</v>
      </c>
      <c r="H141" s="21">
        <v>0</v>
      </c>
      <c r="I141" s="21">
        <v>9</v>
      </c>
      <c r="J141" s="21">
        <v>-9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2</v>
      </c>
      <c r="AA141" s="21">
        <v>7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>
        <v>0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0</v>
      </c>
      <c r="CI141" s="21">
        <v>0</v>
      </c>
      <c r="CJ141" s="21">
        <v>0</v>
      </c>
      <c r="CK141" s="21">
        <v>0</v>
      </c>
      <c r="CL141" s="21">
        <v>0</v>
      </c>
      <c r="CM141" s="21">
        <v>0</v>
      </c>
      <c r="CN141" s="21">
        <v>0</v>
      </c>
      <c r="CO141" s="21">
        <v>0</v>
      </c>
      <c r="CP141" s="21">
        <v>0</v>
      </c>
      <c r="CQ141" s="21">
        <v>0</v>
      </c>
      <c r="CR141" s="21">
        <v>0</v>
      </c>
      <c r="CS141" s="21">
        <v>0</v>
      </c>
      <c r="CT141" s="21">
        <v>0</v>
      </c>
      <c r="CU141" s="21">
        <v>0</v>
      </c>
      <c r="CV141" s="21">
        <v>0</v>
      </c>
      <c r="CW141" s="21">
        <v>0</v>
      </c>
      <c r="CX141" s="21">
        <v>0</v>
      </c>
      <c r="CY141" s="21">
        <v>0</v>
      </c>
      <c r="CZ141" s="21">
        <v>0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0</v>
      </c>
      <c r="DQ141" s="21">
        <v>0</v>
      </c>
      <c r="DR141" s="21">
        <v>0</v>
      </c>
      <c r="DS141" s="21">
        <v>0</v>
      </c>
      <c r="DT141" s="21">
        <v>0</v>
      </c>
      <c r="DU141" s="21">
        <v>0</v>
      </c>
      <c r="DV141" s="21">
        <v>0</v>
      </c>
      <c r="DW141" s="21">
        <v>0</v>
      </c>
      <c r="DX141" s="21">
        <v>0</v>
      </c>
      <c r="DY141" s="21">
        <v>0</v>
      </c>
      <c r="DZ141" s="21">
        <v>0</v>
      </c>
      <c r="EA141" s="21">
        <v>0</v>
      </c>
      <c r="EB141" s="21">
        <v>0</v>
      </c>
      <c r="EC141" s="21">
        <v>0</v>
      </c>
      <c r="ED141" s="21">
        <v>0</v>
      </c>
      <c r="EE141" s="21">
        <v>0</v>
      </c>
      <c r="EF141" s="21">
        <v>0</v>
      </c>
    </row>
    <row r="142" spans="1:136" ht="14.5" x14ac:dyDescent="0.35">
      <c r="A142" s="20" t="s">
        <v>12</v>
      </c>
      <c r="B142" s="20" t="s">
        <v>20</v>
      </c>
      <c r="C142" s="20" t="s">
        <v>20</v>
      </c>
      <c r="D142" s="20" t="s">
        <v>335</v>
      </c>
      <c r="E142" s="20" t="s">
        <v>10</v>
      </c>
      <c r="F142" s="20" t="s">
        <v>87</v>
      </c>
      <c r="G142" s="21">
        <v>10</v>
      </c>
      <c r="H142" s="21">
        <v>10</v>
      </c>
      <c r="I142" s="21">
        <v>10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10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0</v>
      </c>
      <c r="CL142" s="21">
        <v>0</v>
      </c>
      <c r="CM142" s="21">
        <v>0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v>0</v>
      </c>
      <c r="DV142" s="21">
        <v>0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0</v>
      </c>
      <c r="EE142" s="21">
        <v>0</v>
      </c>
      <c r="EF142" s="21">
        <v>0</v>
      </c>
    </row>
    <row r="143" spans="1:136" ht="14.5" x14ac:dyDescent="0.35">
      <c r="A143" s="20" t="s">
        <v>12</v>
      </c>
      <c r="B143" s="20" t="s">
        <v>20</v>
      </c>
      <c r="C143" s="20" t="s">
        <v>20</v>
      </c>
      <c r="D143" s="20" t="s">
        <v>334</v>
      </c>
      <c r="E143" s="20" t="s">
        <v>10</v>
      </c>
      <c r="F143" s="20" t="s">
        <v>87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0</v>
      </c>
      <c r="EE143" s="21">
        <v>0</v>
      </c>
      <c r="EF143" s="21">
        <v>0</v>
      </c>
    </row>
    <row r="144" spans="1:136" ht="14.5" x14ac:dyDescent="0.35">
      <c r="A144" s="20" t="s">
        <v>12</v>
      </c>
      <c r="B144" s="20" t="s">
        <v>20</v>
      </c>
      <c r="C144" s="20" t="s">
        <v>20</v>
      </c>
      <c r="D144" s="20" t="s">
        <v>335</v>
      </c>
      <c r="E144" s="20" t="s">
        <v>10</v>
      </c>
      <c r="F144" s="20" t="s">
        <v>88</v>
      </c>
      <c r="G144" s="21">
        <v>8</v>
      </c>
      <c r="H144" s="21">
        <v>8</v>
      </c>
      <c r="I144" s="21">
        <v>0</v>
      </c>
      <c r="J144" s="21">
        <v>8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0</v>
      </c>
      <c r="CP144" s="21">
        <v>0</v>
      </c>
      <c r="CQ144" s="21">
        <v>0</v>
      </c>
      <c r="CR144" s="21">
        <v>0</v>
      </c>
      <c r="CS144" s="21">
        <v>0</v>
      </c>
      <c r="CT144" s="21">
        <v>0</v>
      </c>
      <c r="CU144" s="21">
        <v>0</v>
      </c>
      <c r="CV144" s="21">
        <v>0</v>
      </c>
      <c r="CW144" s="21">
        <v>0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0</v>
      </c>
      <c r="DL144" s="21">
        <v>0</v>
      </c>
      <c r="DM144" s="21">
        <v>0</v>
      </c>
      <c r="DN144" s="21">
        <v>0</v>
      </c>
      <c r="DO144" s="21">
        <v>0</v>
      </c>
      <c r="DP144" s="21">
        <v>0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0</v>
      </c>
      <c r="DY144" s="21">
        <v>0</v>
      </c>
      <c r="DZ144" s="21">
        <v>0</v>
      </c>
      <c r="EA144" s="21">
        <v>0</v>
      </c>
      <c r="EB144" s="21">
        <v>0</v>
      </c>
      <c r="EC144" s="21">
        <v>0</v>
      </c>
      <c r="ED144" s="21">
        <v>0</v>
      </c>
      <c r="EE144" s="21">
        <v>0</v>
      </c>
      <c r="EF144" s="21">
        <v>0</v>
      </c>
    </row>
    <row r="145" spans="1:136" ht="14.5" x14ac:dyDescent="0.35">
      <c r="A145" s="20" t="s">
        <v>12</v>
      </c>
      <c r="B145" s="20" t="s">
        <v>20</v>
      </c>
      <c r="C145" s="20" t="s">
        <v>20</v>
      </c>
      <c r="D145" s="20" t="s">
        <v>334</v>
      </c>
      <c r="E145" s="20" t="s">
        <v>10</v>
      </c>
      <c r="F145" s="20" t="s">
        <v>88</v>
      </c>
      <c r="G145" s="21">
        <v>0</v>
      </c>
      <c r="H145" s="21">
        <v>0</v>
      </c>
      <c r="I145" s="21">
        <v>21</v>
      </c>
      <c r="J145" s="21">
        <v>-21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2</v>
      </c>
      <c r="AN145" s="21">
        <v>11</v>
      </c>
      <c r="AO145" s="21">
        <v>8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>
        <v>0</v>
      </c>
      <c r="BZ145" s="21">
        <v>0</v>
      </c>
      <c r="CA145" s="21">
        <v>0</v>
      </c>
      <c r="CB145" s="21">
        <v>0</v>
      </c>
      <c r="CC145" s="21">
        <v>0</v>
      </c>
      <c r="CD145" s="21">
        <v>0</v>
      </c>
      <c r="CE145" s="21">
        <v>0</v>
      </c>
      <c r="CF145" s="21">
        <v>0</v>
      </c>
      <c r="CG145" s="21">
        <v>0</v>
      </c>
      <c r="CH145" s="21">
        <v>0</v>
      </c>
      <c r="CI145" s="21">
        <v>0</v>
      </c>
      <c r="CJ145" s="21">
        <v>0</v>
      </c>
      <c r="CK145" s="21">
        <v>0</v>
      </c>
      <c r="CL145" s="21">
        <v>0</v>
      </c>
      <c r="CM145" s="21">
        <v>0</v>
      </c>
      <c r="CN145" s="21">
        <v>0</v>
      </c>
      <c r="CO145" s="21">
        <v>0</v>
      </c>
      <c r="CP145" s="21">
        <v>0</v>
      </c>
      <c r="CQ145" s="21">
        <v>0</v>
      </c>
      <c r="CR145" s="21">
        <v>0</v>
      </c>
      <c r="CS145" s="21">
        <v>0</v>
      </c>
      <c r="CT145" s="21">
        <v>0</v>
      </c>
      <c r="CU145" s="21">
        <v>0</v>
      </c>
      <c r="CV145" s="21">
        <v>0</v>
      </c>
      <c r="CW145" s="21">
        <v>0</v>
      </c>
      <c r="CX145" s="21">
        <v>0</v>
      </c>
      <c r="CY145" s="21">
        <v>0</v>
      </c>
      <c r="CZ145" s="21">
        <v>0</v>
      </c>
      <c r="DA145" s="21">
        <v>0</v>
      </c>
      <c r="DB145" s="21">
        <v>0</v>
      </c>
      <c r="DC145" s="21">
        <v>0</v>
      </c>
      <c r="DD145" s="21">
        <v>0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0</v>
      </c>
      <c r="DK145" s="21">
        <v>0</v>
      </c>
      <c r="DL145" s="21">
        <v>0</v>
      </c>
      <c r="DM145" s="21">
        <v>0</v>
      </c>
      <c r="DN145" s="21">
        <v>0</v>
      </c>
      <c r="DO145" s="21">
        <v>0</v>
      </c>
      <c r="DP145" s="21">
        <v>0</v>
      </c>
      <c r="DQ145" s="21">
        <v>0</v>
      </c>
      <c r="DR145" s="21">
        <v>0</v>
      </c>
      <c r="DS145" s="21">
        <v>0</v>
      </c>
      <c r="DT145" s="21">
        <v>0</v>
      </c>
      <c r="DU145" s="21">
        <v>0</v>
      </c>
      <c r="DV145" s="21">
        <v>0</v>
      </c>
      <c r="DW145" s="21">
        <v>0</v>
      </c>
      <c r="DX145" s="21">
        <v>0</v>
      </c>
      <c r="DY145" s="21">
        <v>0</v>
      </c>
      <c r="DZ145" s="21">
        <v>0</v>
      </c>
      <c r="EA145" s="21">
        <v>0</v>
      </c>
      <c r="EB145" s="21">
        <v>0</v>
      </c>
      <c r="EC145" s="21">
        <v>0</v>
      </c>
      <c r="ED145" s="21">
        <v>0</v>
      </c>
      <c r="EE145" s="21">
        <v>0</v>
      </c>
      <c r="EF145" s="21">
        <v>0</v>
      </c>
    </row>
    <row r="146" spans="1:136" ht="14.5" x14ac:dyDescent="0.35">
      <c r="A146" s="20" t="s">
        <v>12</v>
      </c>
      <c r="B146" s="20" t="s">
        <v>20</v>
      </c>
      <c r="C146" s="20" t="s">
        <v>20</v>
      </c>
      <c r="D146" s="20" t="s">
        <v>335</v>
      </c>
      <c r="E146" s="20" t="s">
        <v>10</v>
      </c>
      <c r="F146" s="20" t="s">
        <v>89</v>
      </c>
      <c r="G146" s="21">
        <v>0</v>
      </c>
      <c r="H146" s="21">
        <v>8</v>
      </c>
      <c r="I146" s="21">
        <v>0</v>
      </c>
      <c r="J146" s="21">
        <v>8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1">
        <v>0</v>
      </c>
      <c r="CH146" s="21">
        <v>0</v>
      </c>
      <c r="CI146" s="21">
        <v>0</v>
      </c>
      <c r="CJ146" s="21">
        <v>0</v>
      </c>
      <c r="CK146" s="21">
        <v>0</v>
      </c>
      <c r="CL146" s="21">
        <v>0</v>
      </c>
      <c r="CM146" s="21">
        <v>0</v>
      </c>
      <c r="CN146" s="21">
        <v>0</v>
      </c>
      <c r="CO146" s="21">
        <v>0</v>
      </c>
      <c r="CP146" s="21">
        <v>0</v>
      </c>
      <c r="CQ146" s="21">
        <v>0</v>
      </c>
      <c r="CR146" s="21">
        <v>0</v>
      </c>
      <c r="CS146" s="21">
        <v>0</v>
      </c>
      <c r="CT146" s="21">
        <v>0</v>
      </c>
      <c r="CU146" s="21">
        <v>0</v>
      </c>
      <c r="CV146" s="21">
        <v>0</v>
      </c>
      <c r="CW146" s="21">
        <v>0</v>
      </c>
      <c r="CX146" s="21">
        <v>0</v>
      </c>
      <c r="CY146" s="21">
        <v>0</v>
      </c>
      <c r="CZ146" s="21">
        <v>0</v>
      </c>
      <c r="DA146" s="21">
        <v>0</v>
      </c>
      <c r="DB146" s="21">
        <v>0</v>
      </c>
      <c r="DC146" s="21">
        <v>0</v>
      </c>
      <c r="DD146" s="21">
        <v>0</v>
      </c>
      <c r="DE146" s="21">
        <v>0</v>
      </c>
      <c r="DF146" s="21">
        <v>0</v>
      </c>
      <c r="DG146" s="21">
        <v>0</v>
      </c>
      <c r="DH146" s="21">
        <v>0</v>
      </c>
      <c r="DI146" s="21">
        <v>0</v>
      </c>
      <c r="DJ146" s="21">
        <v>0</v>
      </c>
      <c r="DK146" s="21">
        <v>0</v>
      </c>
      <c r="DL146" s="21">
        <v>0</v>
      </c>
      <c r="DM146" s="21">
        <v>0</v>
      </c>
      <c r="DN146" s="21">
        <v>0</v>
      </c>
      <c r="DO146" s="21">
        <v>0</v>
      </c>
      <c r="DP146" s="21">
        <v>0</v>
      </c>
      <c r="DQ146" s="21">
        <v>0</v>
      </c>
      <c r="DR146" s="21">
        <v>0</v>
      </c>
      <c r="DS146" s="21">
        <v>0</v>
      </c>
      <c r="DT146" s="21">
        <v>0</v>
      </c>
      <c r="DU146" s="21">
        <v>0</v>
      </c>
      <c r="DV146" s="21">
        <v>0</v>
      </c>
      <c r="DW146" s="21">
        <v>0</v>
      </c>
      <c r="DX146" s="21">
        <v>0</v>
      </c>
      <c r="DY146" s="21">
        <v>0</v>
      </c>
      <c r="DZ146" s="21">
        <v>0</v>
      </c>
      <c r="EA146" s="21">
        <v>0</v>
      </c>
      <c r="EB146" s="21">
        <v>0</v>
      </c>
      <c r="EC146" s="21">
        <v>0</v>
      </c>
      <c r="ED146" s="21">
        <v>0</v>
      </c>
      <c r="EE146" s="21">
        <v>0</v>
      </c>
      <c r="EF146" s="21">
        <v>0</v>
      </c>
    </row>
    <row r="147" spans="1:136" ht="14.5" x14ac:dyDescent="0.35">
      <c r="A147" s="20" t="s">
        <v>12</v>
      </c>
      <c r="B147" s="20" t="s">
        <v>20</v>
      </c>
      <c r="C147" s="20" t="s">
        <v>20</v>
      </c>
      <c r="D147" s="20" t="s">
        <v>334</v>
      </c>
      <c r="E147" s="20" t="s">
        <v>10</v>
      </c>
      <c r="F147" s="20" t="s">
        <v>89</v>
      </c>
      <c r="G147" s="21">
        <v>0</v>
      </c>
      <c r="H147" s="21">
        <v>0</v>
      </c>
      <c r="I147" s="21">
        <v>8</v>
      </c>
      <c r="J147" s="21">
        <v>-8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0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>
        <v>0</v>
      </c>
      <c r="BZ147" s="21">
        <v>0</v>
      </c>
      <c r="CA147" s="21">
        <v>0</v>
      </c>
      <c r="CB147" s="21">
        <v>0</v>
      </c>
      <c r="CC147" s="21">
        <v>0</v>
      </c>
      <c r="CD147" s="21">
        <v>0</v>
      </c>
      <c r="CE147" s="21">
        <v>0</v>
      </c>
      <c r="CF147" s="21">
        <v>0</v>
      </c>
      <c r="CG147" s="21">
        <v>0</v>
      </c>
      <c r="CH147" s="21">
        <v>0</v>
      </c>
      <c r="CI147" s="21">
        <v>0</v>
      </c>
      <c r="CJ147" s="21">
        <v>0</v>
      </c>
      <c r="CK147" s="21">
        <v>0</v>
      </c>
      <c r="CL147" s="21">
        <v>0</v>
      </c>
      <c r="CM147" s="21">
        <v>0</v>
      </c>
      <c r="CN147" s="21">
        <v>0</v>
      </c>
      <c r="CO147" s="21">
        <v>0</v>
      </c>
      <c r="CP147" s="21">
        <v>0</v>
      </c>
      <c r="CQ147" s="21">
        <v>0</v>
      </c>
      <c r="CR147" s="21">
        <v>0</v>
      </c>
      <c r="CS147" s="21">
        <v>0</v>
      </c>
      <c r="CT147" s="21">
        <v>0</v>
      </c>
      <c r="CU147" s="21">
        <v>0</v>
      </c>
      <c r="CV147" s="21">
        <v>0</v>
      </c>
      <c r="CW147" s="21">
        <v>0</v>
      </c>
      <c r="CX147" s="21">
        <v>0</v>
      </c>
      <c r="CY147" s="21">
        <v>0</v>
      </c>
      <c r="CZ147" s="21">
        <v>4</v>
      </c>
      <c r="DA147" s="21">
        <v>4</v>
      </c>
      <c r="DB147" s="21">
        <v>0</v>
      </c>
      <c r="DC147" s="21">
        <v>0</v>
      </c>
      <c r="DD147" s="21">
        <v>0</v>
      </c>
      <c r="DE147" s="21">
        <v>0</v>
      </c>
      <c r="DF147" s="21">
        <v>0</v>
      </c>
      <c r="DG147" s="21">
        <v>0</v>
      </c>
      <c r="DH147" s="21">
        <v>0</v>
      </c>
      <c r="DI147" s="21">
        <v>0</v>
      </c>
      <c r="DJ147" s="21">
        <v>0</v>
      </c>
      <c r="DK147" s="21">
        <v>0</v>
      </c>
      <c r="DL147" s="21">
        <v>0</v>
      </c>
      <c r="DM147" s="21">
        <v>0</v>
      </c>
      <c r="DN147" s="21">
        <v>0</v>
      </c>
      <c r="DO147" s="21">
        <v>0</v>
      </c>
      <c r="DP147" s="21">
        <v>0</v>
      </c>
      <c r="DQ147" s="21">
        <v>0</v>
      </c>
      <c r="DR147" s="21">
        <v>0</v>
      </c>
      <c r="DS147" s="21">
        <v>0</v>
      </c>
      <c r="DT147" s="21">
        <v>0</v>
      </c>
      <c r="DU147" s="21">
        <v>0</v>
      </c>
      <c r="DV147" s="21">
        <v>0</v>
      </c>
      <c r="DW147" s="21">
        <v>0</v>
      </c>
      <c r="DX147" s="21">
        <v>0</v>
      </c>
      <c r="DY147" s="21">
        <v>0</v>
      </c>
      <c r="DZ147" s="21">
        <v>0</v>
      </c>
      <c r="EA147" s="21">
        <v>0</v>
      </c>
      <c r="EB147" s="21">
        <v>0</v>
      </c>
      <c r="EC147" s="21">
        <v>0</v>
      </c>
      <c r="ED147" s="21">
        <v>0</v>
      </c>
      <c r="EE147" s="21">
        <v>0</v>
      </c>
      <c r="EF147" s="21">
        <v>0</v>
      </c>
    </row>
    <row r="148" spans="1:136" ht="14.5" x14ac:dyDescent="0.35">
      <c r="A148" s="20" t="s">
        <v>12</v>
      </c>
      <c r="B148" s="20" t="s">
        <v>20</v>
      </c>
      <c r="C148" s="20" t="s">
        <v>20</v>
      </c>
      <c r="D148" s="20" t="s">
        <v>335</v>
      </c>
      <c r="E148" s="20" t="s">
        <v>10</v>
      </c>
      <c r="F148" s="20" t="s">
        <v>40</v>
      </c>
      <c r="G148" s="21">
        <v>0</v>
      </c>
      <c r="H148" s="21">
        <v>18</v>
      </c>
      <c r="I148" s="21">
        <v>0</v>
      </c>
      <c r="J148" s="21">
        <v>18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0</v>
      </c>
      <c r="CI148" s="21">
        <v>0</v>
      </c>
      <c r="CJ148" s="21">
        <v>0</v>
      </c>
      <c r="CK148" s="21">
        <v>0</v>
      </c>
      <c r="CL148" s="21">
        <v>0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0</v>
      </c>
      <c r="CY148" s="21">
        <v>0</v>
      </c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0</v>
      </c>
      <c r="DS148" s="21">
        <v>0</v>
      </c>
      <c r="DT148" s="21">
        <v>0</v>
      </c>
      <c r="DU148" s="21">
        <v>0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0</v>
      </c>
      <c r="EE148" s="21">
        <v>0</v>
      </c>
      <c r="EF148" s="21">
        <v>0</v>
      </c>
    </row>
    <row r="149" spans="1:136" ht="14.5" x14ac:dyDescent="0.35">
      <c r="A149" s="20" t="s">
        <v>12</v>
      </c>
      <c r="B149" s="20" t="s">
        <v>20</v>
      </c>
      <c r="C149" s="20" t="s">
        <v>20</v>
      </c>
      <c r="D149" s="20" t="s">
        <v>334</v>
      </c>
      <c r="E149" s="20" t="s">
        <v>10</v>
      </c>
      <c r="F149" s="20" t="s">
        <v>40</v>
      </c>
      <c r="G149" s="21">
        <v>0</v>
      </c>
      <c r="H149" s="21">
        <v>0</v>
      </c>
      <c r="I149" s="21">
        <v>24</v>
      </c>
      <c r="J149" s="21">
        <v>-24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8</v>
      </c>
      <c r="DP149" s="21">
        <v>0</v>
      </c>
      <c r="DQ149" s="21">
        <v>6</v>
      </c>
      <c r="DR149" s="21">
        <v>10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</row>
    <row r="150" spans="1:136" ht="14.5" x14ac:dyDescent="0.35">
      <c r="A150" s="20" t="s">
        <v>12</v>
      </c>
      <c r="B150" s="20" t="s">
        <v>20</v>
      </c>
      <c r="C150" s="20" t="s">
        <v>20</v>
      </c>
      <c r="D150" s="20" t="s">
        <v>335</v>
      </c>
      <c r="E150" s="20" t="s">
        <v>10</v>
      </c>
      <c r="F150" s="20" t="s">
        <v>81</v>
      </c>
      <c r="G150" s="21">
        <v>105</v>
      </c>
      <c r="H150" s="21">
        <v>353</v>
      </c>
      <c r="I150" s="21">
        <v>56.5</v>
      </c>
      <c r="J150" s="21">
        <v>296.5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5</v>
      </c>
      <c r="AC150" s="21">
        <v>1</v>
      </c>
      <c r="AD150" s="21">
        <v>6</v>
      </c>
      <c r="AE150" s="21">
        <v>5</v>
      </c>
      <c r="AF150" s="21">
        <v>14</v>
      </c>
      <c r="AG150" s="21">
        <v>10</v>
      </c>
      <c r="AH150" s="21">
        <v>4.5</v>
      </c>
      <c r="AI150" s="21">
        <v>9</v>
      </c>
      <c r="AJ150" s="21">
        <v>2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</row>
    <row r="151" spans="1:136" ht="14.5" x14ac:dyDescent="0.35">
      <c r="A151" s="20" t="s">
        <v>12</v>
      </c>
      <c r="B151" s="20" t="s">
        <v>20</v>
      </c>
      <c r="C151" s="20" t="s">
        <v>20</v>
      </c>
      <c r="D151" s="20" t="s">
        <v>334</v>
      </c>
      <c r="E151" s="20" t="s">
        <v>10</v>
      </c>
      <c r="F151" s="20" t="s">
        <v>81</v>
      </c>
      <c r="G151" s="21">
        <v>0</v>
      </c>
      <c r="H151" s="21">
        <v>0</v>
      </c>
      <c r="I151" s="21">
        <v>420.5</v>
      </c>
      <c r="J151" s="21">
        <v>-420.5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3</v>
      </c>
      <c r="AK151" s="21">
        <v>6.5</v>
      </c>
      <c r="AL151" s="21">
        <v>8</v>
      </c>
      <c r="AM151" s="21">
        <v>6</v>
      </c>
      <c r="AN151" s="21">
        <v>1</v>
      </c>
      <c r="AO151" s="21">
        <v>1</v>
      </c>
      <c r="AP151" s="21">
        <v>18</v>
      </c>
      <c r="AQ151" s="21">
        <v>8.5</v>
      </c>
      <c r="AR151" s="21">
        <v>18</v>
      </c>
      <c r="AS151" s="21">
        <v>9.5</v>
      </c>
      <c r="AT151" s="21">
        <v>0</v>
      </c>
      <c r="AU151" s="21">
        <v>0</v>
      </c>
      <c r="AV151" s="21">
        <v>0</v>
      </c>
      <c r="AW151" s="21">
        <v>0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0</v>
      </c>
      <c r="BL151" s="21">
        <v>0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0</v>
      </c>
      <c r="BU151" s="21">
        <v>0</v>
      </c>
      <c r="BV151" s="21">
        <v>0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0</v>
      </c>
      <c r="CH151" s="21">
        <v>0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0</v>
      </c>
      <c r="CR151" s="21">
        <v>0</v>
      </c>
      <c r="CS151" s="21">
        <v>17.5</v>
      </c>
      <c r="CT151" s="21">
        <v>43.5</v>
      </c>
      <c r="CU151" s="21">
        <v>41.5</v>
      </c>
      <c r="CV151" s="21">
        <v>5.5</v>
      </c>
      <c r="CW151" s="21">
        <v>3.5</v>
      </c>
      <c r="CX151" s="21">
        <v>3.5</v>
      </c>
      <c r="CY151" s="21">
        <v>3.5</v>
      </c>
      <c r="CZ151" s="21">
        <v>3.5</v>
      </c>
      <c r="DA151" s="21">
        <v>3.5</v>
      </c>
      <c r="DB151" s="21">
        <v>5.5</v>
      </c>
      <c r="DC151" s="21">
        <v>3.5</v>
      </c>
      <c r="DD151" s="21">
        <v>11.5</v>
      </c>
      <c r="DE151" s="21">
        <v>42.5</v>
      </c>
      <c r="DF151" s="21">
        <v>40.5</v>
      </c>
      <c r="DG151" s="21">
        <v>11.5</v>
      </c>
      <c r="DH151" s="21">
        <v>0</v>
      </c>
      <c r="DI151" s="21">
        <v>0</v>
      </c>
      <c r="DJ151" s="21">
        <v>0</v>
      </c>
      <c r="DK151" s="21">
        <v>13.5</v>
      </c>
      <c r="DL151" s="21">
        <v>6.5</v>
      </c>
      <c r="DM151" s="21">
        <v>3.5</v>
      </c>
      <c r="DN151" s="21">
        <v>7.5</v>
      </c>
      <c r="DO151" s="21">
        <v>16.5</v>
      </c>
      <c r="DP151" s="21">
        <v>29.5</v>
      </c>
      <c r="DQ151" s="21">
        <v>21.5</v>
      </c>
      <c r="DR151" s="21">
        <v>11.5</v>
      </c>
      <c r="DS151" s="21">
        <v>0</v>
      </c>
      <c r="DT151" s="21">
        <v>0</v>
      </c>
      <c r="DU151" s="21">
        <v>0</v>
      </c>
      <c r="DV151" s="21">
        <v>0</v>
      </c>
      <c r="DW151" s="21">
        <v>0</v>
      </c>
      <c r="DX151" s="21">
        <v>0</v>
      </c>
      <c r="DY151" s="21">
        <v>0</v>
      </c>
      <c r="DZ151" s="21">
        <v>0</v>
      </c>
      <c r="EA151" s="21">
        <v>0</v>
      </c>
      <c r="EB151" s="21">
        <v>0</v>
      </c>
      <c r="EC151" s="21">
        <v>0</v>
      </c>
      <c r="ED151" s="21">
        <v>0</v>
      </c>
      <c r="EE151" s="21">
        <v>0</v>
      </c>
      <c r="EF151" s="21">
        <v>0</v>
      </c>
    </row>
    <row r="152" spans="1:136" ht="14.5" x14ac:dyDescent="0.35">
      <c r="A152" s="20" t="s">
        <v>12</v>
      </c>
      <c r="B152" s="20" t="s">
        <v>20</v>
      </c>
      <c r="C152" s="20" t="s">
        <v>20</v>
      </c>
      <c r="D152" s="20" t="s">
        <v>335</v>
      </c>
      <c r="E152" s="20" t="s">
        <v>10</v>
      </c>
      <c r="F152" s="20" t="s">
        <v>90</v>
      </c>
      <c r="G152" s="21">
        <v>0</v>
      </c>
      <c r="H152" s="21">
        <v>0</v>
      </c>
      <c r="I152" s="21">
        <v>42</v>
      </c>
      <c r="J152" s="21">
        <v>-42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3</v>
      </c>
      <c r="Z152" s="21">
        <v>20</v>
      </c>
      <c r="AA152" s="21">
        <v>19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0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1">
        <v>0</v>
      </c>
      <c r="CH152" s="21">
        <v>0</v>
      </c>
      <c r="CI152" s="21">
        <v>0</v>
      </c>
      <c r="CJ152" s="21">
        <v>0</v>
      </c>
      <c r="CK152" s="21">
        <v>0</v>
      </c>
      <c r="CL152" s="21">
        <v>0</v>
      </c>
      <c r="CM152" s="21">
        <v>0</v>
      </c>
      <c r="CN152" s="21">
        <v>0</v>
      </c>
      <c r="CO152" s="21">
        <v>0</v>
      </c>
      <c r="CP152" s="21">
        <v>0</v>
      </c>
      <c r="CQ152" s="21">
        <v>0</v>
      </c>
      <c r="CR152" s="21">
        <v>0</v>
      </c>
      <c r="CS152" s="21">
        <v>0</v>
      </c>
      <c r="CT152" s="21">
        <v>0</v>
      </c>
      <c r="CU152" s="21">
        <v>0</v>
      </c>
      <c r="CV152" s="21">
        <v>0</v>
      </c>
      <c r="CW152" s="21">
        <v>0</v>
      </c>
      <c r="CX152" s="21">
        <v>0</v>
      </c>
      <c r="CY152" s="21">
        <v>0</v>
      </c>
      <c r="CZ152" s="21">
        <v>0</v>
      </c>
      <c r="DA152" s="21">
        <v>0</v>
      </c>
      <c r="DB152" s="21">
        <v>0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0</v>
      </c>
      <c r="DL152" s="21">
        <v>0</v>
      </c>
      <c r="DM152" s="21">
        <v>0</v>
      </c>
      <c r="DN152" s="21">
        <v>0</v>
      </c>
      <c r="DO152" s="21">
        <v>0</v>
      </c>
      <c r="DP152" s="21">
        <v>0</v>
      </c>
      <c r="DQ152" s="21">
        <v>0</v>
      </c>
      <c r="DR152" s="21">
        <v>0</v>
      </c>
      <c r="DS152" s="21">
        <v>0</v>
      </c>
      <c r="DT152" s="21">
        <v>0</v>
      </c>
      <c r="DU152" s="21">
        <v>0</v>
      </c>
      <c r="DV152" s="21">
        <v>0</v>
      </c>
      <c r="DW152" s="21">
        <v>0</v>
      </c>
      <c r="DX152" s="21">
        <v>0</v>
      </c>
      <c r="DY152" s="21">
        <v>0</v>
      </c>
      <c r="DZ152" s="21">
        <v>0</v>
      </c>
      <c r="EA152" s="21">
        <v>0</v>
      </c>
      <c r="EB152" s="21">
        <v>0</v>
      </c>
      <c r="EC152" s="21">
        <v>0</v>
      </c>
      <c r="ED152" s="21">
        <v>0</v>
      </c>
      <c r="EE152" s="21">
        <v>0</v>
      </c>
      <c r="EF152" s="21">
        <v>0</v>
      </c>
    </row>
    <row r="153" spans="1:136" ht="14.5" x14ac:dyDescent="0.35">
      <c r="A153" s="20" t="s">
        <v>12</v>
      </c>
      <c r="B153" s="20" t="s">
        <v>20</v>
      </c>
      <c r="C153" s="20" t="s">
        <v>20</v>
      </c>
      <c r="D153" s="20" t="s">
        <v>334</v>
      </c>
      <c r="E153" s="20" t="s">
        <v>10</v>
      </c>
      <c r="F153" s="20" t="s">
        <v>43</v>
      </c>
      <c r="G153" s="21">
        <v>0</v>
      </c>
      <c r="H153" s="21">
        <v>0</v>
      </c>
      <c r="I153" s="21">
        <v>140</v>
      </c>
      <c r="J153" s="21">
        <v>-140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1</v>
      </c>
      <c r="AQ153" s="21">
        <v>3.5</v>
      </c>
      <c r="AR153" s="21">
        <v>0.5</v>
      </c>
      <c r="AS153" s="21">
        <v>1</v>
      </c>
      <c r="AT153" s="21">
        <v>0</v>
      </c>
      <c r="AU153" s="21">
        <v>0</v>
      </c>
      <c r="AV153" s="21">
        <v>0</v>
      </c>
      <c r="AW153" s="21">
        <v>0</v>
      </c>
      <c r="AX153" s="21">
        <v>0</v>
      </c>
      <c r="AY153" s="21">
        <v>0</v>
      </c>
      <c r="AZ153" s="21">
        <v>0</v>
      </c>
      <c r="BA153" s="21">
        <v>0</v>
      </c>
      <c r="BB153" s="21">
        <v>0</v>
      </c>
      <c r="BC153" s="21">
        <v>0</v>
      </c>
      <c r="BD153" s="21">
        <v>0</v>
      </c>
      <c r="BE153" s="21">
        <v>0</v>
      </c>
      <c r="BF153" s="21">
        <v>0</v>
      </c>
      <c r="BG153" s="21">
        <v>0</v>
      </c>
      <c r="BH153" s="21">
        <v>0</v>
      </c>
      <c r="BI153" s="21">
        <v>0</v>
      </c>
      <c r="BJ153" s="21">
        <v>0</v>
      </c>
      <c r="BK153" s="21">
        <v>0</v>
      </c>
      <c r="BL153" s="21">
        <v>0</v>
      </c>
      <c r="BM153" s="21">
        <v>0</v>
      </c>
      <c r="BN153" s="21">
        <v>0</v>
      </c>
      <c r="BO153" s="21">
        <v>0</v>
      </c>
      <c r="BP153" s="21">
        <v>0</v>
      </c>
      <c r="BQ153" s="21">
        <v>0</v>
      </c>
      <c r="BR153" s="21">
        <v>0</v>
      </c>
      <c r="BS153" s="21">
        <v>0</v>
      </c>
      <c r="BT153" s="21">
        <v>0</v>
      </c>
      <c r="BU153" s="21">
        <v>0</v>
      </c>
      <c r="BV153" s="21">
        <v>0</v>
      </c>
      <c r="BW153" s="21">
        <v>0</v>
      </c>
      <c r="BX153" s="21">
        <v>0</v>
      </c>
      <c r="BY153" s="21">
        <v>0</v>
      </c>
      <c r="BZ153" s="21">
        <v>0</v>
      </c>
      <c r="CA153" s="21">
        <v>0</v>
      </c>
      <c r="CB153" s="21">
        <v>0</v>
      </c>
      <c r="CC153" s="21">
        <v>0</v>
      </c>
      <c r="CD153" s="21">
        <v>0</v>
      </c>
      <c r="CE153" s="21">
        <v>0</v>
      </c>
      <c r="CF153" s="21">
        <v>0</v>
      </c>
      <c r="CG153" s="21">
        <v>0</v>
      </c>
      <c r="CH153" s="21">
        <v>0</v>
      </c>
      <c r="CI153" s="21">
        <v>0</v>
      </c>
      <c r="CJ153" s="21">
        <v>0</v>
      </c>
      <c r="CK153" s="21">
        <v>0</v>
      </c>
      <c r="CL153" s="21">
        <v>0</v>
      </c>
      <c r="CM153" s="21">
        <v>0</v>
      </c>
      <c r="CN153" s="21">
        <v>0</v>
      </c>
      <c r="CO153" s="21">
        <v>0</v>
      </c>
      <c r="CP153" s="21">
        <v>0</v>
      </c>
      <c r="CQ153" s="21">
        <v>0</v>
      </c>
      <c r="CR153" s="21">
        <v>0</v>
      </c>
      <c r="CS153" s="21">
        <v>10</v>
      </c>
      <c r="CT153" s="21">
        <v>10</v>
      </c>
      <c r="CU153" s="21">
        <v>10</v>
      </c>
      <c r="CV153" s="21">
        <v>5</v>
      </c>
      <c r="CW153" s="21">
        <v>5</v>
      </c>
      <c r="CX153" s="21">
        <v>5</v>
      </c>
      <c r="CY153" s="21">
        <v>5</v>
      </c>
      <c r="CZ153" s="21">
        <v>5</v>
      </c>
      <c r="DA153" s="21">
        <v>5</v>
      </c>
      <c r="DB153" s="21">
        <v>5</v>
      </c>
      <c r="DC153" s="21">
        <v>10</v>
      </c>
      <c r="DD153" s="21">
        <v>10</v>
      </c>
      <c r="DE153" s="21">
        <v>10</v>
      </c>
      <c r="DF153" s="21">
        <v>10</v>
      </c>
      <c r="DG153" s="21">
        <v>10</v>
      </c>
      <c r="DH153" s="21">
        <v>10</v>
      </c>
      <c r="DI153" s="21">
        <v>10</v>
      </c>
      <c r="DJ153" s="21">
        <v>0</v>
      </c>
      <c r="DK153" s="21">
        <v>0</v>
      </c>
      <c r="DL153" s="21">
        <v>0</v>
      </c>
      <c r="DM153" s="21">
        <v>0</v>
      </c>
      <c r="DN153" s="21">
        <v>0</v>
      </c>
      <c r="DO153" s="21">
        <v>0</v>
      </c>
      <c r="DP153" s="21">
        <v>0</v>
      </c>
      <c r="DQ153" s="21">
        <v>0</v>
      </c>
      <c r="DR153" s="21">
        <v>0</v>
      </c>
      <c r="DS153" s="21">
        <v>0</v>
      </c>
      <c r="DT153" s="21">
        <v>0</v>
      </c>
      <c r="DU153" s="21">
        <v>0</v>
      </c>
      <c r="DV153" s="21">
        <v>0</v>
      </c>
      <c r="DW153" s="21">
        <v>0</v>
      </c>
      <c r="DX153" s="21">
        <v>0</v>
      </c>
      <c r="DY153" s="21">
        <v>0</v>
      </c>
      <c r="DZ153" s="21">
        <v>0</v>
      </c>
      <c r="EA153" s="21">
        <v>0</v>
      </c>
      <c r="EB153" s="21">
        <v>0</v>
      </c>
      <c r="EC153" s="21">
        <v>0</v>
      </c>
      <c r="ED153" s="21">
        <v>0</v>
      </c>
      <c r="EE153" s="21">
        <v>0</v>
      </c>
      <c r="EF153" s="21">
        <v>0</v>
      </c>
    </row>
    <row r="154" spans="1:136" ht="14.5" x14ac:dyDescent="0.35">
      <c r="A154" s="20" t="s">
        <v>12</v>
      </c>
      <c r="B154" s="20" t="s">
        <v>20</v>
      </c>
      <c r="C154" s="20" t="s">
        <v>20</v>
      </c>
      <c r="D154" s="20" t="s">
        <v>335</v>
      </c>
      <c r="E154" s="20" t="s">
        <v>10</v>
      </c>
      <c r="F154" s="20" t="s">
        <v>125</v>
      </c>
      <c r="G154" s="21">
        <v>19.5</v>
      </c>
      <c r="H154" s="21">
        <v>91.5</v>
      </c>
      <c r="I154" s="21">
        <v>1</v>
      </c>
      <c r="J154" s="21">
        <v>90.5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</v>
      </c>
      <c r="AC154" s="21">
        <v>0</v>
      </c>
      <c r="AD154" s="21">
        <v>0</v>
      </c>
      <c r="AE154" s="21">
        <v>0</v>
      </c>
      <c r="AF154" s="21">
        <v>0</v>
      </c>
      <c r="AG154" s="21">
        <v>0</v>
      </c>
      <c r="AH154" s="21">
        <v>0</v>
      </c>
      <c r="AI154" s="21">
        <v>1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0</v>
      </c>
      <c r="AT154" s="21">
        <v>0</v>
      </c>
      <c r="AU154" s="21">
        <v>0</v>
      </c>
      <c r="AV154" s="21">
        <v>0</v>
      </c>
      <c r="AW154" s="21">
        <v>0</v>
      </c>
      <c r="AX154" s="21">
        <v>0</v>
      </c>
      <c r="AY154" s="21">
        <v>0</v>
      </c>
      <c r="AZ154" s="21">
        <v>0</v>
      </c>
      <c r="BA154" s="21">
        <v>0</v>
      </c>
      <c r="BB154" s="21">
        <v>0</v>
      </c>
      <c r="BC154" s="21">
        <v>0</v>
      </c>
      <c r="BD154" s="21">
        <v>0</v>
      </c>
      <c r="BE154" s="21">
        <v>0</v>
      </c>
      <c r="BF154" s="21">
        <v>0</v>
      </c>
      <c r="BG154" s="21">
        <v>0</v>
      </c>
      <c r="BH154" s="21">
        <v>0</v>
      </c>
      <c r="BI154" s="21">
        <v>0</v>
      </c>
      <c r="BJ154" s="21">
        <v>0</v>
      </c>
      <c r="BK154" s="21">
        <v>0</v>
      </c>
      <c r="BL154" s="21">
        <v>0</v>
      </c>
      <c r="BM154" s="21">
        <v>0</v>
      </c>
      <c r="BN154" s="21">
        <v>0</v>
      </c>
      <c r="BO154" s="21">
        <v>0</v>
      </c>
      <c r="BP154" s="21">
        <v>0</v>
      </c>
      <c r="BQ154" s="21">
        <v>0</v>
      </c>
      <c r="BR154" s="21">
        <v>0</v>
      </c>
      <c r="BS154" s="21">
        <v>0</v>
      </c>
      <c r="BT154" s="21">
        <v>0</v>
      </c>
      <c r="BU154" s="21">
        <v>0</v>
      </c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1">
        <v>0</v>
      </c>
      <c r="CH154" s="21">
        <v>0</v>
      </c>
      <c r="CI154" s="21">
        <v>0</v>
      </c>
      <c r="CJ154" s="21">
        <v>0</v>
      </c>
      <c r="CK154" s="21">
        <v>0</v>
      </c>
      <c r="CL154" s="21">
        <v>0</v>
      </c>
      <c r="CM154" s="21">
        <v>0</v>
      </c>
      <c r="CN154" s="21">
        <v>0</v>
      </c>
      <c r="CO154" s="21">
        <v>0</v>
      </c>
      <c r="CP154" s="21">
        <v>0</v>
      </c>
      <c r="CQ154" s="21">
        <v>0</v>
      </c>
      <c r="CR154" s="21">
        <v>0</v>
      </c>
      <c r="CS154" s="21">
        <v>0</v>
      </c>
      <c r="CT154" s="21">
        <v>0</v>
      </c>
      <c r="CU154" s="21">
        <v>0</v>
      </c>
      <c r="CV154" s="21">
        <v>0</v>
      </c>
      <c r="CW154" s="21">
        <v>0</v>
      </c>
      <c r="CX154" s="21">
        <v>0</v>
      </c>
      <c r="CY154" s="21">
        <v>0</v>
      </c>
      <c r="CZ154" s="21">
        <v>0</v>
      </c>
      <c r="DA154" s="21">
        <v>0</v>
      </c>
      <c r="DB154" s="21">
        <v>0</v>
      </c>
      <c r="DC154" s="21">
        <v>0</v>
      </c>
      <c r="DD154" s="21">
        <v>0</v>
      </c>
      <c r="DE154" s="21">
        <v>0</v>
      </c>
      <c r="DF154" s="21">
        <v>0</v>
      </c>
      <c r="DG154" s="21">
        <v>0</v>
      </c>
      <c r="DH154" s="21">
        <v>0</v>
      </c>
      <c r="DI154" s="21">
        <v>0</v>
      </c>
      <c r="DJ154" s="21">
        <v>0</v>
      </c>
      <c r="DK154" s="21">
        <v>0</v>
      </c>
      <c r="DL154" s="21">
        <v>0</v>
      </c>
      <c r="DM154" s="21">
        <v>0</v>
      </c>
      <c r="DN154" s="21">
        <v>0</v>
      </c>
      <c r="DO154" s="21">
        <v>0</v>
      </c>
      <c r="DP154" s="21">
        <v>0</v>
      </c>
      <c r="DQ154" s="21">
        <v>0</v>
      </c>
      <c r="DR154" s="21">
        <v>0</v>
      </c>
      <c r="DS154" s="21">
        <v>0</v>
      </c>
      <c r="DT154" s="21">
        <v>0</v>
      </c>
      <c r="DU154" s="21">
        <v>0</v>
      </c>
      <c r="DV154" s="21">
        <v>0</v>
      </c>
      <c r="DW154" s="21">
        <v>0</v>
      </c>
      <c r="DX154" s="21">
        <v>0</v>
      </c>
      <c r="DY154" s="21">
        <v>0</v>
      </c>
      <c r="DZ154" s="21">
        <v>0</v>
      </c>
      <c r="EA154" s="21">
        <v>0</v>
      </c>
      <c r="EB154" s="21">
        <v>0</v>
      </c>
      <c r="EC154" s="21">
        <v>0</v>
      </c>
      <c r="ED154" s="21">
        <v>0</v>
      </c>
      <c r="EE154" s="21">
        <v>0</v>
      </c>
      <c r="EF154" s="21">
        <v>0</v>
      </c>
    </row>
    <row r="155" spans="1:136" ht="14.5" x14ac:dyDescent="0.35">
      <c r="A155" s="20" t="s">
        <v>12</v>
      </c>
      <c r="B155" s="20" t="s">
        <v>20</v>
      </c>
      <c r="C155" s="20" t="s">
        <v>20</v>
      </c>
      <c r="D155" s="20" t="s">
        <v>334</v>
      </c>
      <c r="E155" s="20" t="s">
        <v>10</v>
      </c>
      <c r="F155" s="20" t="s">
        <v>125</v>
      </c>
      <c r="G155" s="21">
        <v>0</v>
      </c>
      <c r="H155" s="21">
        <v>0</v>
      </c>
      <c r="I155" s="21">
        <v>84.5</v>
      </c>
      <c r="J155" s="21">
        <v>-84.5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1</v>
      </c>
      <c r="AK155" s="21">
        <v>2</v>
      </c>
      <c r="AL155" s="21">
        <v>0</v>
      </c>
      <c r="AM155" s="21">
        <v>0.5</v>
      </c>
      <c r="AN155" s="21">
        <v>1</v>
      </c>
      <c r="AO155" s="21">
        <v>0</v>
      </c>
      <c r="AP155" s="21">
        <v>0</v>
      </c>
      <c r="AQ155" s="21">
        <v>3</v>
      </c>
      <c r="AR155" s="21">
        <v>4.5</v>
      </c>
      <c r="AS155" s="21">
        <v>2.5</v>
      </c>
      <c r="AT155" s="21">
        <v>0</v>
      </c>
      <c r="AU155" s="21">
        <v>0</v>
      </c>
      <c r="AV155" s="21">
        <v>0</v>
      </c>
      <c r="AW155" s="21">
        <v>0</v>
      </c>
      <c r="AX155" s="21">
        <v>0</v>
      </c>
      <c r="AY155" s="21">
        <v>0</v>
      </c>
      <c r="AZ155" s="21">
        <v>0</v>
      </c>
      <c r="BA155" s="21">
        <v>0</v>
      </c>
      <c r="BB155" s="21">
        <v>0</v>
      </c>
      <c r="BC155" s="21">
        <v>0</v>
      </c>
      <c r="BD155" s="21">
        <v>0</v>
      </c>
      <c r="BE155" s="21">
        <v>0</v>
      </c>
      <c r="BF155" s="21">
        <v>0</v>
      </c>
      <c r="BG155" s="21">
        <v>0</v>
      </c>
      <c r="BH155" s="21">
        <v>0</v>
      </c>
      <c r="BI155" s="21">
        <v>0</v>
      </c>
      <c r="BJ155" s="21">
        <v>0</v>
      </c>
      <c r="BK155" s="21">
        <v>0</v>
      </c>
      <c r="BL155" s="21">
        <v>0</v>
      </c>
      <c r="BM155" s="21">
        <v>0</v>
      </c>
      <c r="BN155" s="21">
        <v>0</v>
      </c>
      <c r="BO155" s="21">
        <v>0</v>
      </c>
      <c r="BP155" s="21">
        <v>0</v>
      </c>
      <c r="BQ155" s="21">
        <v>0</v>
      </c>
      <c r="BR155" s="21">
        <v>0</v>
      </c>
      <c r="BS155" s="21">
        <v>0</v>
      </c>
      <c r="BT155" s="21">
        <v>0</v>
      </c>
      <c r="BU155" s="21">
        <v>0</v>
      </c>
      <c r="BV155" s="21">
        <v>0</v>
      </c>
      <c r="BW155" s="21">
        <v>0</v>
      </c>
      <c r="BX155" s="21">
        <v>0</v>
      </c>
      <c r="BY155" s="21">
        <v>0</v>
      </c>
      <c r="BZ155" s="21">
        <v>0</v>
      </c>
      <c r="CA155" s="21">
        <v>0</v>
      </c>
      <c r="CB155" s="21">
        <v>0</v>
      </c>
      <c r="CC155" s="21">
        <v>0</v>
      </c>
      <c r="CD155" s="21">
        <v>0</v>
      </c>
      <c r="CE155" s="21">
        <v>0</v>
      </c>
      <c r="CF155" s="21">
        <v>0</v>
      </c>
      <c r="CG155" s="21">
        <v>0</v>
      </c>
      <c r="CH155" s="21">
        <v>0</v>
      </c>
      <c r="CI155" s="21">
        <v>0</v>
      </c>
      <c r="CJ155" s="21">
        <v>0</v>
      </c>
      <c r="CK155" s="21">
        <v>0</v>
      </c>
      <c r="CL155" s="21">
        <v>0</v>
      </c>
      <c r="CM155" s="21">
        <v>0</v>
      </c>
      <c r="CN155" s="21">
        <v>0</v>
      </c>
      <c r="CO155" s="21">
        <v>0</v>
      </c>
      <c r="CP155" s="21">
        <v>0</v>
      </c>
      <c r="CQ155" s="21">
        <v>0</v>
      </c>
      <c r="CR155" s="21">
        <v>0</v>
      </c>
      <c r="CS155" s="21">
        <v>2.5</v>
      </c>
      <c r="CT155" s="21">
        <v>2</v>
      </c>
      <c r="CU155" s="21">
        <v>4</v>
      </c>
      <c r="CV155" s="21">
        <v>4</v>
      </c>
      <c r="CW155" s="21">
        <v>4</v>
      </c>
      <c r="CX155" s="21">
        <v>0</v>
      </c>
      <c r="CY155" s="21">
        <v>0</v>
      </c>
      <c r="CZ155" s="21">
        <v>0</v>
      </c>
      <c r="DA155" s="21">
        <v>0</v>
      </c>
      <c r="DB155" s="21">
        <v>4</v>
      </c>
      <c r="DC155" s="21">
        <v>4</v>
      </c>
      <c r="DD155" s="21">
        <v>4</v>
      </c>
      <c r="DE155" s="21">
        <v>0</v>
      </c>
      <c r="DF155" s="21">
        <v>4</v>
      </c>
      <c r="DG155" s="21">
        <v>4</v>
      </c>
      <c r="DH155" s="21">
        <v>4</v>
      </c>
      <c r="DI155" s="21">
        <v>0</v>
      </c>
      <c r="DJ155" s="21">
        <v>0</v>
      </c>
      <c r="DK155" s="21">
        <v>0</v>
      </c>
      <c r="DL155" s="21">
        <v>4</v>
      </c>
      <c r="DM155" s="21">
        <v>10</v>
      </c>
      <c r="DN155" s="21">
        <v>10</v>
      </c>
      <c r="DO155" s="21">
        <v>8</v>
      </c>
      <c r="DP155" s="21">
        <v>0</v>
      </c>
      <c r="DQ155" s="21">
        <v>0</v>
      </c>
      <c r="DR155" s="21">
        <v>0</v>
      </c>
      <c r="DS155" s="21">
        <v>0</v>
      </c>
      <c r="DT155" s="21">
        <v>0</v>
      </c>
      <c r="DU155" s="21">
        <v>0</v>
      </c>
      <c r="DV155" s="21">
        <v>0</v>
      </c>
      <c r="DW155" s="21">
        <v>0</v>
      </c>
      <c r="DX155" s="21">
        <v>0</v>
      </c>
      <c r="DY155" s="21">
        <v>0</v>
      </c>
      <c r="DZ155" s="21">
        <v>0</v>
      </c>
      <c r="EA155" s="21">
        <v>0</v>
      </c>
      <c r="EB155" s="21">
        <v>0</v>
      </c>
      <c r="EC155" s="21">
        <v>0</v>
      </c>
      <c r="ED155" s="21">
        <v>0</v>
      </c>
      <c r="EE155" s="21">
        <v>0</v>
      </c>
      <c r="EF155" s="21">
        <v>0</v>
      </c>
    </row>
    <row r="156" spans="1:136" ht="14.5" x14ac:dyDescent="0.35">
      <c r="A156" s="20" t="s">
        <v>12</v>
      </c>
      <c r="B156" s="20" t="s">
        <v>20</v>
      </c>
      <c r="C156" s="20" t="s">
        <v>20</v>
      </c>
      <c r="D156" s="20" t="s">
        <v>335</v>
      </c>
      <c r="E156" s="20" t="s">
        <v>10</v>
      </c>
      <c r="F156" s="20" t="s">
        <v>102</v>
      </c>
      <c r="G156" s="21">
        <v>39</v>
      </c>
      <c r="H156" s="21">
        <v>286</v>
      </c>
      <c r="I156" s="21">
        <v>4</v>
      </c>
      <c r="J156" s="21">
        <v>282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2</v>
      </c>
      <c r="AI156" s="21">
        <v>2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0</v>
      </c>
      <c r="BI156" s="21">
        <v>0</v>
      </c>
      <c r="BJ156" s="21">
        <v>0</v>
      </c>
      <c r="BK156" s="21">
        <v>0</v>
      </c>
      <c r="BL156" s="21">
        <v>0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0</v>
      </c>
      <c r="CJ156" s="21">
        <v>0</v>
      </c>
      <c r="CK156" s="21">
        <v>0</v>
      </c>
      <c r="CL156" s="21">
        <v>0</v>
      </c>
      <c r="CM156" s="21">
        <v>0</v>
      </c>
      <c r="CN156" s="21">
        <v>0</v>
      </c>
      <c r="CO156" s="21">
        <v>0</v>
      </c>
      <c r="CP156" s="21">
        <v>0</v>
      </c>
      <c r="CQ156" s="21">
        <v>0</v>
      </c>
      <c r="CR156" s="21">
        <v>0</v>
      </c>
      <c r="CS156" s="21">
        <v>0</v>
      </c>
      <c r="CT156" s="21">
        <v>0</v>
      </c>
      <c r="CU156" s="21">
        <v>0</v>
      </c>
      <c r="CV156" s="21">
        <v>0</v>
      </c>
      <c r="CW156" s="21">
        <v>0</v>
      </c>
      <c r="CX156" s="21">
        <v>0</v>
      </c>
      <c r="CY156" s="21">
        <v>0</v>
      </c>
      <c r="CZ156" s="21">
        <v>0</v>
      </c>
      <c r="DA156" s="21">
        <v>0</v>
      </c>
      <c r="DB156" s="21">
        <v>0</v>
      </c>
      <c r="DC156" s="21">
        <v>0</v>
      </c>
      <c r="DD156" s="21">
        <v>0</v>
      </c>
      <c r="DE156" s="21">
        <v>0</v>
      </c>
      <c r="DF156" s="21">
        <v>0</v>
      </c>
      <c r="DG156" s="21">
        <v>0</v>
      </c>
      <c r="DH156" s="21">
        <v>0</v>
      </c>
      <c r="DI156" s="21">
        <v>0</v>
      </c>
      <c r="DJ156" s="21">
        <v>0</v>
      </c>
      <c r="DK156" s="21">
        <v>0</v>
      </c>
      <c r="DL156" s="21">
        <v>0</v>
      </c>
      <c r="DM156" s="21">
        <v>0</v>
      </c>
      <c r="DN156" s="21">
        <v>0</v>
      </c>
      <c r="DO156" s="21">
        <v>0</v>
      </c>
      <c r="DP156" s="21">
        <v>0</v>
      </c>
      <c r="DQ156" s="21">
        <v>0</v>
      </c>
      <c r="DR156" s="21">
        <v>0</v>
      </c>
      <c r="DS156" s="21">
        <v>0</v>
      </c>
      <c r="DT156" s="21">
        <v>0</v>
      </c>
      <c r="DU156" s="21">
        <v>0</v>
      </c>
      <c r="DV156" s="21">
        <v>0</v>
      </c>
      <c r="DW156" s="21">
        <v>0</v>
      </c>
      <c r="DX156" s="21">
        <v>0</v>
      </c>
      <c r="DY156" s="21">
        <v>0</v>
      </c>
      <c r="DZ156" s="21">
        <v>0</v>
      </c>
      <c r="EA156" s="21">
        <v>0</v>
      </c>
      <c r="EB156" s="21">
        <v>0</v>
      </c>
      <c r="EC156" s="21">
        <v>0</v>
      </c>
      <c r="ED156" s="21">
        <v>0</v>
      </c>
      <c r="EE156" s="21">
        <v>0</v>
      </c>
      <c r="EF156" s="21">
        <v>0</v>
      </c>
    </row>
    <row r="157" spans="1:136" ht="14.5" x14ac:dyDescent="0.35">
      <c r="A157" s="20" t="s">
        <v>12</v>
      </c>
      <c r="B157" s="20" t="s">
        <v>20</v>
      </c>
      <c r="C157" s="20" t="s">
        <v>20</v>
      </c>
      <c r="D157" s="20" t="s">
        <v>334</v>
      </c>
      <c r="E157" s="20" t="s">
        <v>10</v>
      </c>
      <c r="F157" s="20" t="s">
        <v>102</v>
      </c>
      <c r="G157" s="21">
        <v>0</v>
      </c>
      <c r="H157" s="21">
        <v>0</v>
      </c>
      <c r="I157" s="21">
        <v>312.5</v>
      </c>
      <c r="J157" s="21">
        <v>-312.5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3.5</v>
      </c>
      <c r="AL157" s="21">
        <v>5</v>
      </c>
      <c r="AM157" s="21">
        <v>12</v>
      </c>
      <c r="AN157" s="21">
        <v>8</v>
      </c>
      <c r="AO157" s="21">
        <v>21</v>
      </c>
      <c r="AP157" s="21">
        <v>11</v>
      </c>
      <c r="AQ157" s="21">
        <v>0</v>
      </c>
      <c r="AR157" s="21">
        <v>0</v>
      </c>
      <c r="AS157" s="21">
        <v>1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1</v>
      </c>
      <c r="CT157" s="21">
        <v>1</v>
      </c>
      <c r="CU157" s="21">
        <v>2</v>
      </c>
      <c r="CV157" s="21">
        <v>2</v>
      </c>
      <c r="CW157" s="21">
        <v>4</v>
      </c>
      <c r="CX157" s="21">
        <v>4</v>
      </c>
      <c r="CY157" s="21">
        <v>12</v>
      </c>
      <c r="CZ157" s="21">
        <v>20</v>
      </c>
      <c r="DA157" s="21">
        <v>12</v>
      </c>
      <c r="DB157" s="21">
        <v>0</v>
      </c>
      <c r="DC157" s="21">
        <v>0</v>
      </c>
      <c r="DD157" s="21">
        <v>0</v>
      </c>
      <c r="DE157" s="21">
        <v>0</v>
      </c>
      <c r="DF157" s="21">
        <v>0</v>
      </c>
      <c r="DG157" s="21">
        <v>0</v>
      </c>
      <c r="DH157" s="21">
        <v>3</v>
      </c>
      <c r="DI157" s="21">
        <v>0</v>
      </c>
      <c r="DJ157" s="21">
        <v>0</v>
      </c>
      <c r="DK157" s="21">
        <v>0</v>
      </c>
      <c r="DL157" s="21">
        <v>6</v>
      </c>
      <c r="DM157" s="21">
        <v>15</v>
      </c>
      <c r="DN157" s="21">
        <v>20</v>
      </c>
      <c r="DO157" s="21">
        <v>30</v>
      </c>
      <c r="DP157" s="21">
        <v>30</v>
      </c>
      <c r="DQ157" s="21">
        <v>45</v>
      </c>
      <c r="DR157" s="21">
        <v>45</v>
      </c>
      <c r="DS157" s="21">
        <v>0</v>
      </c>
      <c r="DT157" s="21">
        <v>0</v>
      </c>
      <c r="DU157" s="21">
        <v>0</v>
      </c>
      <c r="DV157" s="21">
        <v>0</v>
      </c>
      <c r="DW157" s="21">
        <v>0</v>
      </c>
      <c r="DX157" s="21">
        <v>0</v>
      </c>
      <c r="DY157" s="21">
        <v>0</v>
      </c>
      <c r="DZ157" s="21">
        <v>0</v>
      </c>
      <c r="EA157" s="21">
        <v>0</v>
      </c>
      <c r="EB157" s="21">
        <v>0</v>
      </c>
      <c r="EC157" s="21">
        <v>0</v>
      </c>
      <c r="ED157" s="21">
        <v>0</v>
      </c>
      <c r="EE157" s="21">
        <v>0</v>
      </c>
      <c r="EF157" s="21">
        <v>0</v>
      </c>
    </row>
    <row r="158" spans="1:136" ht="14.5" x14ac:dyDescent="0.35">
      <c r="A158" s="20" t="s">
        <v>12</v>
      </c>
      <c r="B158" s="20" t="s">
        <v>20</v>
      </c>
      <c r="C158" s="20" t="s">
        <v>20</v>
      </c>
      <c r="D158" s="20" t="s">
        <v>335</v>
      </c>
      <c r="E158" s="20" t="s">
        <v>10</v>
      </c>
      <c r="F158" s="20" t="s">
        <v>128</v>
      </c>
      <c r="G158" s="21">
        <v>0</v>
      </c>
      <c r="H158" s="21">
        <v>90</v>
      </c>
      <c r="I158" s="21">
        <v>0</v>
      </c>
      <c r="J158" s="21">
        <v>90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1">
        <v>0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0</v>
      </c>
      <c r="BU158" s="21">
        <v>0</v>
      </c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0</v>
      </c>
      <c r="CJ158" s="21">
        <v>0</v>
      </c>
      <c r="CK158" s="21">
        <v>0</v>
      </c>
      <c r="CL158" s="21">
        <v>0</v>
      </c>
      <c r="CM158" s="21">
        <v>0</v>
      </c>
      <c r="CN158" s="21">
        <v>0</v>
      </c>
      <c r="CO158" s="21">
        <v>0</v>
      </c>
      <c r="CP158" s="21">
        <v>0</v>
      </c>
      <c r="CQ158" s="21">
        <v>0</v>
      </c>
      <c r="CR158" s="21">
        <v>0</v>
      </c>
      <c r="CS158" s="21">
        <v>0</v>
      </c>
      <c r="CT158" s="21">
        <v>0</v>
      </c>
      <c r="CU158" s="21">
        <v>0</v>
      </c>
      <c r="CV158" s="21">
        <v>0</v>
      </c>
      <c r="CW158" s="21">
        <v>0</v>
      </c>
      <c r="CX158" s="21">
        <v>0</v>
      </c>
      <c r="CY158" s="21">
        <v>0</v>
      </c>
      <c r="CZ158" s="21">
        <v>0</v>
      </c>
      <c r="DA158" s="21">
        <v>0</v>
      </c>
      <c r="DB158" s="21">
        <v>0</v>
      </c>
      <c r="DC158" s="21">
        <v>0</v>
      </c>
      <c r="DD158" s="21">
        <v>0</v>
      </c>
      <c r="DE158" s="21">
        <v>0</v>
      </c>
      <c r="DF158" s="21">
        <v>0</v>
      </c>
      <c r="DG158" s="21">
        <v>0</v>
      </c>
      <c r="DH158" s="21">
        <v>0</v>
      </c>
      <c r="DI158" s="21">
        <v>0</v>
      </c>
      <c r="DJ158" s="21">
        <v>0</v>
      </c>
      <c r="DK158" s="21">
        <v>0</v>
      </c>
      <c r="DL158" s="21">
        <v>0</v>
      </c>
      <c r="DM158" s="21">
        <v>0</v>
      </c>
      <c r="DN158" s="21">
        <v>0</v>
      </c>
      <c r="DO158" s="21">
        <v>0</v>
      </c>
      <c r="DP158" s="21">
        <v>0</v>
      </c>
      <c r="DQ158" s="21">
        <v>0</v>
      </c>
      <c r="DR158" s="21">
        <v>0</v>
      </c>
      <c r="DS158" s="21">
        <v>0</v>
      </c>
      <c r="DT158" s="21">
        <v>0</v>
      </c>
      <c r="DU158" s="21">
        <v>0</v>
      </c>
      <c r="DV158" s="21">
        <v>0</v>
      </c>
      <c r="DW158" s="21">
        <v>0</v>
      </c>
      <c r="DX158" s="21">
        <v>0</v>
      </c>
      <c r="DY158" s="21">
        <v>0</v>
      </c>
      <c r="DZ158" s="21">
        <v>0</v>
      </c>
      <c r="EA158" s="21">
        <v>0</v>
      </c>
      <c r="EB158" s="21">
        <v>0</v>
      </c>
      <c r="EC158" s="21">
        <v>0</v>
      </c>
      <c r="ED158" s="21">
        <v>0</v>
      </c>
      <c r="EE158" s="21">
        <v>0</v>
      </c>
      <c r="EF158" s="21">
        <v>0</v>
      </c>
    </row>
    <row r="159" spans="1:136" ht="14.5" x14ac:dyDescent="0.35">
      <c r="A159" s="20" t="s">
        <v>12</v>
      </c>
      <c r="B159" s="20" t="s">
        <v>20</v>
      </c>
      <c r="C159" s="20" t="s">
        <v>20</v>
      </c>
      <c r="D159" s="20" t="s">
        <v>334</v>
      </c>
      <c r="E159" s="20" t="s">
        <v>10</v>
      </c>
      <c r="F159" s="20" t="s">
        <v>128</v>
      </c>
      <c r="G159" s="21">
        <v>0</v>
      </c>
      <c r="H159" s="21">
        <v>0</v>
      </c>
      <c r="I159" s="21">
        <v>90</v>
      </c>
      <c r="J159" s="21">
        <v>-90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0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0</v>
      </c>
      <c r="DF159" s="21">
        <v>0</v>
      </c>
      <c r="DG159" s="21">
        <v>0</v>
      </c>
      <c r="DH159" s="21">
        <v>0</v>
      </c>
      <c r="DI159" s="21">
        <v>0</v>
      </c>
      <c r="DJ159" s="21">
        <v>0</v>
      </c>
      <c r="DK159" s="21">
        <v>0</v>
      </c>
      <c r="DL159" s="21">
        <v>0</v>
      </c>
      <c r="DM159" s="21">
        <v>0</v>
      </c>
      <c r="DN159" s="21">
        <v>0</v>
      </c>
      <c r="DO159" s="21">
        <v>0</v>
      </c>
      <c r="DP159" s="21">
        <v>0</v>
      </c>
      <c r="DQ159" s="21">
        <v>0</v>
      </c>
      <c r="DR159" s="21">
        <v>0</v>
      </c>
      <c r="DS159" s="21">
        <v>30</v>
      </c>
      <c r="DT159" s="21">
        <v>30</v>
      </c>
      <c r="DU159" s="21">
        <v>30</v>
      </c>
      <c r="DV159" s="21">
        <v>0</v>
      </c>
      <c r="DW159" s="21">
        <v>0</v>
      </c>
      <c r="DX159" s="21">
        <v>0</v>
      </c>
      <c r="DY159" s="21">
        <v>0</v>
      </c>
      <c r="DZ159" s="21">
        <v>0</v>
      </c>
      <c r="EA159" s="21">
        <v>0</v>
      </c>
      <c r="EB159" s="21">
        <v>0</v>
      </c>
      <c r="EC159" s="21">
        <v>0</v>
      </c>
      <c r="ED159" s="21">
        <v>0</v>
      </c>
      <c r="EE159" s="21">
        <v>0</v>
      </c>
      <c r="EF159" s="21">
        <v>0</v>
      </c>
    </row>
    <row r="160" spans="1:136" ht="14.5" x14ac:dyDescent="0.35">
      <c r="A160" s="20" t="s">
        <v>12</v>
      </c>
      <c r="B160" s="20" t="s">
        <v>20</v>
      </c>
      <c r="C160" s="20" t="s">
        <v>20</v>
      </c>
      <c r="D160" s="20" t="s">
        <v>335</v>
      </c>
      <c r="E160" s="20" t="s">
        <v>10</v>
      </c>
      <c r="F160" s="20" t="s">
        <v>91</v>
      </c>
      <c r="G160" s="21">
        <v>12</v>
      </c>
      <c r="H160" s="21">
        <v>12</v>
      </c>
      <c r="I160" s="21">
        <v>0</v>
      </c>
      <c r="J160" s="21">
        <v>12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0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1">
        <v>0</v>
      </c>
      <c r="CH160" s="21">
        <v>0</v>
      </c>
      <c r="CI160" s="21">
        <v>0</v>
      </c>
      <c r="CJ160" s="21">
        <v>0</v>
      </c>
      <c r="CK160" s="21">
        <v>0</v>
      </c>
      <c r="CL160" s="21">
        <v>0</v>
      </c>
      <c r="CM160" s="21">
        <v>0</v>
      </c>
      <c r="CN160" s="21">
        <v>0</v>
      </c>
      <c r="CO160" s="21">
        <v>0</v>
      </c>
      <c r="CP160" s="21">
        <v>0</v>
      </c>
      <c r="CQ160" s="21">
        <v>0</v>
      </c>
      <c r="CR160" s="21">
        <v>0</v>
      </c>
      <c r="CS160" s="21">
        <v>0</v>
      </c>
      <c r="CT160" s="21">
        <v>0</v>
      </c>
      <c r="CU160" s="21">
        <v>0</v>
      </c>
      <c r="CV160" s="21">
        <v>0</v>
      </c>
      <c r="CW160" s="21">
        <v>0</v>
      </c>
      <c r="CX160" s="21">
        <v>0</v>
      </c>
      <c r="CY160" s="21">
        <v>0</v>
      </c>
      <c r="CZ160" s="21">
        <v>0</v>
      </c>
      <c r="DA160" s="21">
        <v>0</v>
      </c>
      <c r="DB160" s="21">
        <v>0</v>
      </c>
      <c r="DC160" s="21">
        <v>0</v>
      </c>
      <c r="DD160" s="21">
        <v>0</v>
      </c>
      <c r="DE160" s="21">
        <v>0</v>
      </c>
      <c r="DF160" s="21">
        <v>0</v>
      </c>
      <c r="DG160" s="21">
        <v>0</v>
      </c>
      <c r="DH160" s="21">
        <v>0</v>
      </c>
      <c r="DI160" s="21">
        <v>0</v>
      </c>
      <c r="DJ160" s="21">
        <v>0</v>
      </c>
      <c r="DK160" s="21">
        <v>0</v>
      </c>
      <c r="DL160" s="21">
        <v>0</v>
      </c>
      <c r="DM160" s="21">
        <v>0</v>
      </c>
      <c r="DN160" s="21">
        <v>0</v>
      </c>
      <c r="DO160" s="21">
        <v>0</v>
      </c>
      <c r="DP160" s="21">
        <v>0</v>
      </c>
      <c r="DQ160" s="21">
        <v>0</v>
      </c>
      <c r="DR160" s="21">
        <v>0</v>
      </c>
      <c r="DS160" s="21">
        <v>0</v>
      </c>
      <c r="DT160" s="21">
        <v>0</v>
      </c>
      <c r="DU160" s="21">
        <v>0</v>
      </c>
      <c r="DV160" s="21">
        <v>0</v>
      </c>
      <c r="DW160" s="21">
        <v>0</v>
      </c>
      <c r="DX160" s="21">
        <v>0</v>
      </c>
      <c r="DY160" s="21">
        <v>0</v>
      </c>
      <c r="DZ160" s="21">
        <v>0</v>
      </c>
      <c r="EA160" s="21">
        <v>0</v>
      </c>
      <c r="EB160" s="21">
        <v>0</v>
      </c>
      <c r="EC160" s="21">
        <v>0</v>
      </c>
      <c r="ED160" s="21">
        <v>0</v>
      </c>
      <c r="EE160" s="21">
        <v>0</v>
      </c>
      <c r="EF160" s="21">
        <v>0</v>
      </c>
    </row>
    <row r="161" spans="1:136" ht="14.5" x14ac:dyDescent="0.35">
      <c r="A161" s="20" t="s">
        <v>12</v>
      </c>
      <c r="B161" s="20" t="s">
        <v>20</v>
      </c>
      <c r="C161" s="20" t="s">
        <v>20</v>
      </c>
      <c r="D161" s="20" t="s">
        <v>334</v>
      </c>
      <c r="E161" s="20" t="s">
        <v>10</v>
      </c>
      <c r="F161" s="20" t="s">
        <v>91</v>
      </c>
      <c r="G161" s="21">
        <v>0</v>
      </c>
      <c r="H161" s="21">
        <v>0</v>
      </c>
      <c r="I161" s="21">
        <v>32</v>
      </c>
      <c r="J161" s="21">
        <v>-32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3</v>
      </c>
      <c r="AM161" s="21">
        <v>10</v>
      </c>
      <c r="AN161" s="21">
        <v>15</v>
      </c>
      <c r="AO161" s="21">
        <v>4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>
        <v>0</v>
      </c>
      <c r="AV161" s="21">
        <v>0</v>
      </c>
      <c r="AW161" s="21">
        <v>0</v>
      </c>
      <c r="AX161" s="21">
        <v>0</v>
      </c>
      <c r="AY161" s="21">
        <v>0</v>
      </c>
      <c r="AZ161" s="21">
        <v>0</v>
      </c>
      <c r="BA161" s="21">
        <v>0</v>
      </c>
      <c r="BB161" s="21">
        <v>0</v>
      </c>
      <c r="BC161" s="21">
        <v>0</v>
      </c>
      <c r="BD161" s="21">
        <v>0</v>
      </c>
      <c r="BE161" s="21">
        <v>0</v>
      </c>
      <c r="BF161" s="21">
        <v>0</v>
      </c>
      <c r="BG161" s="21">
        <v>0</v>
      </c>
      <c r="BH161" s="21">
        <v>0</v>
      </c>
      <c r="BI161" s="21">
        <v>0</v>
      </c>
      <c r="BJ161" s="21">
        <v>0</v>
      </c>
      <c r="BK161" s="21">
        <v>0</v>
      </c>
      <c r="BL161" s="21">
        <v>0</v>
      </c>
      <c r="BM161" s="21">
        <v>0</v>
      </c>
      <c r="BN161" s="21">
        <v>0</v>
      </c>
      <c r="BO161" s="21">
        <v>0</v>
      </c>
      <c r="BP161" s="21">
        <v>0</v>
      </c>
      <c r="BQ161" s="21">
        <v>0</v>
      </c>
      <c r="BR161" s="21">
        <v>0</v>
      </c>
      <c r="BS161" s="21">
        <v>0</v>
      </c>
      <c r="BT161" s="21">
        <v>0</v>
      </c>
      <c r="BU161" s="21">
        <v>0</v>
      </c>
      <c r="BV161" s="21">
        <v>0</v>
      </c>
      <c r="BW161" s="21">
        <v>0</v>
      </c>
      <c r="BX161" s="21">
        <v>0</v>
      </c>
      <c r="BY161" s="21">
        <v>0</v>
      </c>
      <c r="BZ161" s="21">
        <v>0</v>
      </c>
      <c r="CA161" s="21">
        <v>0</v>
      </c>
      <c r="CB161" s="21">
        <v>0</v>
      </c>
      <c r="CC161" s="21">
        <v>0</v>
      </c>
      <c r="CD161" s="21">
        <v>0</v>
      </c>
      <c r="CE161" s="21">
        <v>0</v>
      </c>
      <c r="CF161" s="21">
        <v>0</v>
      </c>
      <c r="CG161" s="21">
        <v>0</v>
      </c>
      <c r="CH161" s="21">
        <v>0</v>
      </c>
      <c r="CI161" s="21">
        <v>0</v>
      </c>
      <c r="CJ161" s="21">
        <v>0</v>
      </c>
      <c r="CK161" s="21">
        <v>0</v>
      </c>
      <c r="CL161" s="21">
        <v>0</v>
      </c>
      <c r="CM161" s="21">
        <v>0</v>
      </c>
      <c r="CN161" s="21">
        <v>0</v>
      </c>
      <c r="CO161" s="21">
        <v>0</v>
      </c>
      <c r="CP161" s="21">
        <v>0</v>
      </c>
      <c r="CQ161" s="21">
        <v>0</v>
      </c>
      <c r="CR161" s="21">
        <v>0</v>
      </c>
      <c r="CS161" s="21">
        <v>0</v>
      </c>
      <c r="CT161" s="21">
        <v>0</v>
      </c>
      <c r="CU161" s="21">
        <v>0</v>
      </c>
      <c r="CV161" s="21">
        <v>0</v>
      </c>
      <c r="CW161" s="21">
        <v>0</v>
      </c>
      <c r="CX161" s="21">
        <v>0</v>
      </c>
      <c r="CY161" s="21">
        <v>0</v>
      </c>
      <c r="CZ161" s="21">
        <v>0</v>
      </c>
      <c r="DA161" s="21">
        <v>0</v>
      </c>
      <c r="DB161" s="21">
        <v>0</v>
      </c>
      <c r="DC161" s="21">
        <v>0</v>
      </c>
      <c r="DD161" s="21">
        <v>0</v>
      </c>
      <c r="DE161" s="21">
        <v>0</v>
      </c>
      <c r="DF161" s="21">
        <v>0</v>
      </c>
      <c r="DG161" s="21">
        <v>0</v>
      </c>
      <c r="DH161" s="21">
        <v>0</v>
      </c>
      <c r="DI161" s="21">
        <v>0</v>
      </c>
      <c r="DJ161" s="21">
        <v>0</v>
      </c>
      <c r="DK161" s="21">
        <v>0</v>
      </c>
      <c r="DL161" s="21">
        <v>0</v>
      </c>
      <c r="DM161" s="21">
        <v>0</v>
      </c>
      <c r="DN161" s="21">
        <v>0</v>
      </c>
      <c r="DO161" s="21">
        <v>0</v>
      </c>
      <c r="DP161" s="21">
        <v>0</v>
      </c>
      <c r="DQ161" s="21">
        <v>0</v>
      </c>
      <c r="DR161" s="21">
        <v>0</v>
      </c>
      <c r="DS161" s="21">
        <v>0</v>
      </c>
      <c r="DT161" s="21">
        <v>0</v>
      </c>
      <c r="DU161" s="21">
        <v>0</v>
      </c>
      <c r="DV161" s="21">
        <v>0</v>
      </c>
      <c r="DW161" s="21">
        <v>0</v>
      </c>
      <c r="DX161" s="21">
        <v>0</v>
      </c>
      <c r="DY161" s="21">
        <v>0</v>
      </c>
      <c r="DZ161" s="21">
        <v>0</v>
      </c>
      <c r="EA161" s="21">
        <v>0</v>
      </c>
      <c r="EB161" s="21">
        <v>0</v>
      </c>
      <c r="EC161" s="21">
        <v>0</v>
      </c>
      <c r="ED161" s="21">
        <v>0</v>
      </c>
      <c r="EE161" s="21">
        <v>0</v>
      </c>
      <c r="EF161" s="21">
        <v>0</v>
      </c>
    </row>
    <row r="162" spans="1:136" ht="14.5" x14ac:dyDescent="0.35">
      <c r="A162" s="20" t="s">
        <v>12</v>
      </c>
      <c r="B162" s="20" t="s">
        <v>20</v>
      </c>
      <c r="C162" s="20" t="s">
        <v>20</v>
      </c>
      <c r="D162" s="20" t="s">
        <v>335</v>
      </c>
      <c r="E162" s="20" t="s">
        <v>10</v>
      </c>
      <c r="F162" s="20" t="s">
        <v>92</v>
      </c>
      <c r="G162" s="21">
        <v>0</v>
      </c>
      <c r="H162" s="21">
        <v>12</v>
      </c>
      <c r="I162" s="21">
        <v>0</v>
      </c>
      <c r="J162" s="21">
        <v>12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0</v>
      </c>
      <c r="CS162" s="21">
        <v>0</v>
      </c>
      <c r="CT162" s="21">
        <v>0</v>
      </c>
      <c r="CU162" s="21">
        <v>0</v>
      </c>
      <c r="CV162" s="21">
        <v>0</v>
      </c>
      <c r="CW162" s="21">
        <v>0</v>
      </c>
      <c r="CX162" s="21">
        <v>0</v>
      </c>
      <c r="CY162" s="21">
        <v>0</v>
      </c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</row>
    <row r="163" spans="1:136" ht="14.5" x14ac:dyDescent="0.35">
      <c r="A163" s="20" t="s">
        <v>12</v>
      </c>
      <c r="B163" s="20" t="s">
        <v>20</v>
      </c>
      <c r="C163" s="20" t="s">
        <v>20</v>
      </c>
      <c r="D163" s="20" t="s">
        <v>334</v>
      </c>
      <c r="E163" s="20" t="s">
        <v>10</v>
      </c>
      <c r="F163" s="20" t="s">
        <v>92</v>
      </c>
      <c r="G163" s="21">
        <v>0</v>
      </c>
      <c r="H163" s="21">
        <v>0</v>
      </c>
      <c r="I163" s="21">
        <v>12</v>
      </c>
      <c r="J163" s="21">
        <v>-12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0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21">
        <v>0</v>
      </c>
      <c r="CH163" s="21">
        <v>0</v>
      </c>
      <c r="CI163" s="21">
        <v>0</v>
      </c>
      <c r="CJ163" s="21">
        <v>0</v>
      </c>
      <c r="CK163" s="21">
        <v>0</v>
      </c>
      <c r="CL163" s="21">
        <v>0</v>
      </c>
      <c r="CM163" s="21">
        <v>0</v>
      </c>
      <c r="CN163" s="21">
        <v>0</v>
      </c>
      <c r="CO163" s="21">
        <v>0</v>
      </c>
      <c r="CP163" s="21">
        <v>0</v>
      </c>
      <c r="CQ163" s="21">
        <v>0</v>
      </c>
      <c r="CR163" s="21">
        <v>0</v>
      </c>
      <c r="CS163" s="21">
        <v>0</v>
      </c>
      <c r="CT163" s="21">
        <v>0</v>
      </c>
      <c r="CU163" s="21">
        <v>0</v>
      </c>
      <c r="CV163" s="21">
        <v>0</v>
      </c>
      <c r="CW163" s="21">
        <v>0</v>
      </c>
      <c r="CX163" s="21">
        <v>0</v>
      </c>
      <c r="CY163" s="21">
        <v>0</v>
      </c>
      <c r="CZ163" s="21">
        <v>6</v>
      </c>
      <c r="DA163" s="21">
        <v>6</v>
      </c>
      <c r="DB163" s="21">
        <v>0</v>
      </c>
      <c r="DC163" s="21">
        <v>0</v>
      </c>
      <c r="DD163" s="21">
        <v>0</v>
      </c>
      <c r="DE163" s="21">
        <v>0</v>
      </c>
      <c r="DF163" s="21">
        <v>0</v>
      </c>
      <c r="DG163" s="21">
        <v>0</v>
      </c>
      <c r="DH163" s="21">
        <v>0</v>
      </c>
      <c r="DI163" s="21">
        <v>0</v>
      </c>
      <c r="DJ163" s="21">
        <v>0</v>
      </c>
      <c r="DK163" s="21">
        <v>0</v>
      </c>
      <c r="DL163" s="21">
        <v>0</v>
      </c>
      <c r="DM163" s="21">
        <v>0</v>
      </c>
      <c r="DN163" s="21">
        <v>0</v>
      </c>
      <c r="DO163" s="21">
        <v>0</v>
      </c>
      <c r="DP163" s="21">
        <v>0</v>
      </c>
      <c r="DQ163" s="21">
        <v>0</v>
      </c>
      <c r="DR163" s="21">
        <v>0</v>
      </c>
      <c r="DS163" s="21">
        <v>0</v>
      </c>
      <c r="DT163" s="21">
        <v>0</v>
      </c>
      <c r="DU163" s="21">
        <v>0</v>
      </c>
      <c r="DV163" s="21">
        <v>0</v>
      </c>
      <c r="DW163" s="21">
        <v>0</v>
      </c>
      <c r="DX163" s="21">
        <v>0</v>
      </c>
      <c r="DY163" s="21">
        <v>0</v>
      </c>
      <c r="DZ163" s="21">
        <v>0</v>
      </c>
      <c r="EA163" s="21">
        <v>0</v>
      </c>
      <c r="EB163" s="21">
        <v>0</v>
      </c>
      <c r="EC163" s="21">
        <v>0</v>
      </c>
      <c r="ED163" s="21">
        <v>0</v>
      </c>
      <c r="EE163" s="21">
        <v>0</v>
      </c>
      <c r="EF163" s="21">
        <v>0</v>
      </c>
    </row>
    <row r="164" spans="1:136" ht="14.5" x14ac:dyDescent="0.35">
      <c r="A164" s="20" t="s">
        <v>12</v>
      </c>
      <c r="B164" s="20" t="s">
        <v>23</v>
      </c>
      <c r="C164" s="20" t="s">
        <v>23</v>
      </c>
      <c r="D164" s="20" t="s">
        <v>335</v>
      </c>
      <c r="E164" s="20" t="s">
        <v>10</v>
      </c>
      <c r="F164" s="20" t="s">
        <v>86</v>
      </c>
      <c r="G164" s="21">
        <v>11</v>
      </c>
      <c r="H164" s="21">
        <v>86</v>
      </c>
      <c r="I164" s="21">
        <v>4</v>
      </c>
      <c r="J164" s="21">
        <v>82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4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</v>
      </c>
      <c r="CO164" s="21">
        <v>0</v>
      </c>
      <c r="CP164" s="21">
        <v>0</v>
      </c>
      <c r="CQ164" s="21">
        <v>0</v>
      </c>
      <c r="CR164" s="21">
        <v>0</v>
      </c>
      <c r="CS164" s="21">
        <v>0</v>
      </c>
      <c r="CT164" s="21">
        <v>0</v>
      </c>
      <c r="CU164" s="21">
        <v>0</v>
      </c>
      <c r="CV164" s="21">
        <v>0</v>
      </c>
      <c r="CW164" s="21">
        <v>0</v>
      </c>
      <c r="CX164" s="21">
        <v>0</v>
      </c>
      <c r="CY164" s="21">
        <v>0</v>
      </c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0</v>
      </c>
      <c r="DG164" s="21">
        <v>0</v>
      </c>
      <c r="DH164" s="21">
        <v>0</v>
      </c>
      <c r="DI164" s="21">
        <v>0</v>
      </c>
      <c r="DJ164" s="21">
        <v>0</v>
      </c>
      <c r="DK164" s="21">
        <v>0</v>
      </c>
      <c r="DL164" s="21">
        <v>0</v>
      </c>
      <c r="DM164" s="21">
        <v>0</v>
      </c>
      <c r="DN164" s="21">
        <v>0</v>
      </c>
      <c r="DO164" s="21">
        <v>0</v>
      </c>
      <c r="DP164" s="21">
        <v>0</v>
      </c>
      <c r="DQ164" s="21">
        <v>0</v>
      </c>
      <c r="DR164" s="21">
        <v>0</v>
      </c>
      <c r="DS164" s="21">
        <v>0</v>
      </c>
      <c r="DT164" s="21">
        <v>0</v>
      </c>
      <c r="DU164" s="21">
        <v>0</v>
      </c>
      <c r="DV164" s="21">
        <v>0</v>
      </c>
      <c r="DW164" s="21">
        <v>0</v>
      </c>
      <c r="DX164" s="21">
        <v>0</v>
      </c>
      <c r="DY164" s="21">
        <v>0</v>
      </c>
      <c r="DZ164" s="21">
        <v>0</v>
      </c>
      <c r="EA164" s="21">
        <v>0</v>
      </c>
      <c r="EB164" s="21">
        <v>0</v>
      </c>
      <c r="EC164" s="21">
        <v>0</v>
      </c>
      <c r="ED164" s="21">
        <v>0</v>
      </c>
      <c r="EE164" s="21">
        <v>0</v>
      </c>
      <c r="EF164" s="21">
        <v>0</v>
      </c>
    </row>
    <row r="165" spans="1:136" ht="14.5" x14ac:dyDescent="0.35">
      <c r="A165" s="20" t="s">
        <v>12</v>
      </c>
      <c r="B165" s="20" t="s">
        <v>23</v>
      </c>
      <c r="C165" s="20" t="s">
        <v>23</v>
      </c>
      <c r="D165" s="20" t="s">
        <v>334</v>
      </c>
      <c r="E165" s="20" t="s">
        <v>10</v>
      </c>
      <c r="F165" s="20" t="s">
        <v>86</v>
      </c>
      <c r="G165" s="21">
        <v>0</v>
      </c>
      <c r="H165" s="21">
        <v>0</v>
      </c>
      <c r="I165" s="21">
        <v>75</v>
      </c>
      <c r="J165" s="21">
        <v>-75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1</v>
      </c>
      <c r="CU165" s="21">
        <v>0</v>
      </c>
      <c r="CV165" s="21">
        <v>0</v>
      </c>
      <c r="CW165" s="21">
        <v>2</v>
      </c>
      <c r="CX165" s="21">
        <v>0</v>
      </c>
      <c r="CY165" s="21">
        <v>2</v>
      </c>
      <c r="CZ165" s="21">
        <v>6</v>
      </c>
      <c r="DA165" s="21">
        <v>4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2</v>
      </c>
      <c r="DH165" s="21">
        <v>2</v>
      </c>
      <c r="DI165" s="21">
        <v>0</v>
      </c>
      <c r="DJ165" s="21">
        <v>0</v>
      </c>
      <c r="DK165" s="21">
        <v>3</v>
      </c>
      <c r="DL165" s="21">
        <v>5</v>
      </c>
      <c r="DM165" s="21">
        <v>4</v>
      </c>
      <c r="DN165" s="21">
        <v>2</v>
      </c>
      <c r="DO165" s="21">
        <v>0</v>
      </c>
      <c r="DP165" s="21">
        <v>0</v>
      </c>
      <c r="DQ165" s="21">
        <v>0</v>
      </c>
      <c r="DR165" s="21">
        <v>0</v>
      </c>
      <c r="DS165" s="21">
        <v>10</v>
      </c>
      <c r="DT165" s="21">
        <v>17</v>
      </c>
      <c r="DU165" s="21">
        <v>15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</row>
    <row r="166" spans="1:136" ht="14.5" x14ac:dyDescent="0.35">
      <c r="A166" s="20" t="s">
        <v>12</v>
      </c>
      <c r="B166" s="20" t="s">
        <v>23</v>
      </c>
      <c r="C166" s="20" t="s">
        <v>23</v>
      </c>
      <c r="D166" s="20" t="s">
        <v>335</v>
      </c>
      <c r="E166" s="20" t="s">
        <v>10</v>
      </c>
      <c r="F166" s="20" t="s">
        <v>78</v>
      </c>
      <c r="G166" s="21">
        <v>6.6</v>
      </c>
      <c r="H166" s="21">
        <v>29.5</v>
      </c>
      <c r="I166" s="21">
        <v>0</v>
      </c>
      <c r="J166" s="21">
        <v>29.5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0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0</v>
      </c>
      <c r="CO166" s="21">
        <v>0</v>
      </c>
      <c r="CP166" s="21">
        <v>0</v>
      </c>
      <c r="CQ166" s="21">
        <v>0</v>
      </c>
      <c r="CR166" s="21">
        <v>0</v>
      </c>
      <c r="CS166" s="21">
        <v>0</v>
      </c>
      <c r="CT166" s="21">
        <v>0</v>
      </c>
      <c r="CU166" s="21">
        <v>0</v>
      </c>
      <c r="CV166" s="21">
        <v>0</v>
      </c>
      <c r="CW166" s="21">
        <v>0</v>
      </c>
      <c r="CX166" s="21">
        <v>0</v>
      </c>
      <c r="CY166" s="21">
        <v>0</v>
      </c>
      <c r="CZ166" s="21">
        <v>0</v>
      </c>
      <c r="DA166" s="21">
        <v>0</v>
      </c>
      <c r="DB166" s="21">
        <v>0</v>
      </c>
      <c r="DC166" s="21">
        <v>0</v>
      </c>
      <c r="DD166" s="21">
        <v>0</v>
      </c>
      <c r="DE166" s="21">
        <v>0</v>
      </c>
      <c r="DF166" s="21">
        <v>0</v>
      </c>
      <c r="DG166" s="21">
        <v>0</v>
      </c>
      <c r="DH166" s="21">
        <v>0</v>
      </c>
      <c r="DI166" s="21">
        <v>0</v>
      </c>
      <c r="DJ166" s="21">
        <v>0</v>
      </c>
      <c r="DK166" s="21">
        <v>0</v>
      </c>
      <c r="DL166" s="21">
        <v>0</v>
      </c>
      <c r="DM166" s="21">
        <v>0</v>
      </c>
      <c r="DN166" s="21">
        <v>0</v>
      </c>
      <c r="DO166" s="21">
        <v>0</v>
      </c>
      <c r="DP166" s="21">
        <v>0</v>
      </c>
      <c r="DQ166" s="21">
        <v>0</v>
      </c>
      <c r="DR166" s="21">
        <v>0</v>
      </c>
      <c r="DS166" s="21">
        <v>0</v>
      </c>
      <c r="DT166" s="21">
        <v>0</v>
      </c>
      <c r="DU166" s="21">
        <v>0</v>
      </c>
      <c r="DV166" s="21">
        <v>0</v>
      </c>
      <c r="DW166" s="21">
        <v>0</v>
      </c>
      <c r="DX166" s="21">
        <v>0</v>
      </c>
      <c r="DY166" s="21">
        <v>0</v>
      </c>
      <c r="DZ166" s="21">
        <v>0</v>
      </c>
      <c r="EA166" s="21">
        <v>0</v>
      </c>
      <c r="EB166" s="21">
        <v>0</v>
      </c>
      <c r="EC166" s="21">
        <v>0</v>
      </c>
      <c r="ED166" s="21">
        <v>0</v>
      </c>
      <c r="EE166" s="21">
        <v>0</v>
      </c>
      <c r="EF166" s="21">
        <v>0</v>
      </c>
    </row>
    <row r="167" spans="1:136" ht="14.5" x14ac:dyDescent="0.35">
      <c r="A167" s="20" t="s">
        <v>12</v>
      </c>
      <c r="B167" s="20" t="s">
        <v>23</v>
      </c>
      <c r="C167" s="20" t="s">
        <v>23</v>
      </c>
      <c r="D167" s="20" t="s">
        <v>334</v>
      </c>
      <c r="E167" s="20" t="s">
        <v>10</v>
      </c>
      <c r="F167" s="20" t="s">
        <v>78</v>
      </c>
      <c r="G167" s="21">
        <v>0</v>
      </c>
      <c r="H167" s="21">
        <v>0</v>
      </c>
      <c r="I167" s="21">
        <v>22.7</v>
      </c>
      <c r="J167" s="21">
        <v>-22.7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>
        <v>0</v>
      </c>
      <c r="AY167" s="21">
        <v>0</v>
      </c>
      <c r="AZ167" s="21">
        <v>0</v>
      </c>
      <c r="BA167" s="21">
        <v>0</v>
      </c>
      <c r="BB167" s="21">
        <v>0</v>
      </c>
      <c r="BC167" s="21">
        <v>0</v>
      </c>
      <c r="BD167" s="21">
        <v>0</v>
      </c>
      <c r="BE167" s="21">
        <v>0</v>
      </c>
      <c r="BF167" s="21">
        <v>0</v>
      </c>
      <c r="BG167" s="21">
        <v>0</v>
      </c>
      <c r="BH167" s="21">
        <v>0</v>
      </c>
      <c r="BI167" s="21">
        <v>0</v>
      </c>
      <c r="BJ167" s="21">
        <v>0</v>
      </c>
      <c r="BK167" s="21">
        <v>0</v>
      </c>
      <c r="BL167" s="21">
        <v>0</v>
      </c>
      <c r="BM167" s="21">
        <v>0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  <c r="BT167" s="21">
        <v>0</v>
      </c>
      <c r="BU167" s="21">
        <v>0</v>
      </c>
      <c r="BV167" s="21">
        <v>0</v>
      </c>
      <c r="BW167" s="21">
        <v>0</v>
      </c>
      <c r="BX167" s="21">
        <v>0</v>
      </c>
      <c r="BY167" s="21">
        <v>0</v>
      </c>
      <c r="BZ167" s="21">
        <v>0</v>
      </c>
      <c r="CA167" s="21">
        <v>0</v>
      </c>
      <c r="CB167" s="21">
        <v>0</v>
      </c>
      <c r="CC167" s="21">
        <v>0</v>
      </c>
      <c r="CD167" s="21">
        <v>0</v>
      </c>
      <c r="CE167" s="21">
        <v>0</v>
      </c>
      <c r="CF167" s="21">
        <v>0</v>
      </c>
      <c r="CG167" s="21">
        <v>0</v>
      </c>
      <c r="CH167" s="21">
        <v>0</v>
      </c>
      <c r="CI167" s="21">
        <v>0</v>
      </c>
      <c r="CJ167" s="21">
        <v>0</v>
      </c>
      <c r="CK167" s="21">
        <v>0</v>
      </c>
      <c r="CL167" s="21">
        <v>0</v>
      </c>
      <c r="CM167" s="21">
        <v>0</v>
      </c>
      <c r="CN167" s="21">
        <v>0</v>
      </c>
      <c r="CO167" s="21">
        <v>0</v>
      </c>
      <c r="CP167" s="21">
        <v>0</v>
      </c>
      <c r="CQ167" s="21">
        <v>0</v>
      </c>
      <c r="CR167" s="21">
        <v>0</v>
      </c>
      <c r="CS167" s="21">
        <v>0.614035</v>
      </c>
      <c r="CT167" s="21">
        <v>0.614035</v>
      </c>
      <c r="CU167" s="21">
        <v>0.614035</v>
      </c>
      <c r="CV167" s="21">
        <v>0.614035</v>
      </c>
      <c r="CW167" s="21">
        <v>0.614035</v>
      </c>
      <c r="CX167" s="21">
        <v>0.614035</v>
      </c>
      <c r="CY167" s="21">
        <v>0.614035</v>
      </c>
      <c r="CZ167" s="21">
        <v>0.614035</v>
      </c>
      <c r="DA167" s="21">
        <v>0.614035</v>
      </c>
      <c r="DB167" s="21">
        <v>0.614035</v>
      </c>
      <c r="DC167" s="21">
        <v>0.614035</v>
      </c>
      <c r="DD167" s="21">
        <v>0.614035</v>
      </c>
      <c r="DE167" s="21">
        <v>0.614035</v>
      </c>
      <c r="DF167" s="21">
        <v>0.614035</v>
      </c>
      <c r="DG167" s="21">
        <v>0.614035</v>
      </c>
      <c r="DH167" s="21">
        <v>0.614035</v>
      </c>
      <c r="DI167" s="21">
        <v>0.614035</v>
      </c>
      <c r="DJ167" s="21">
        <v>0.8</v>
      </c>
      <c r="DK167" s="21">
        <v>1.5</v>
      </c>
      <c r="DL167" s="21">
        <v>1.5</v>
      </c>
      <c r="DM167" s="21">
        <v>1.5</v>
      </c>
      <c r="DN167" s="21">
        <v>1.5</v>
      </c>
      <c r="DO167" s="21">
        <v>1</v>
      </c>
      <c r="DP167" s="21">
        <v>1.5</v>
      </c>
      <c r="DQ167" s="21">
        <v>1.5</v>
      </c>
      <c r="DR167" s="21">
        <v>1.5</v>
      </c>
      <c r="DS167" s="21">
        <v>0</v>
      </c>
      <c r="DT167" s="21">
        <v>0</v>
      </c>
      <c r="DU167" s="21">
        <v>0</v>
      </c>
      <c r="DV167" s="21">
        <v>0</v>
      </c>
      <c r="DW167" s="21">
        <v>0</v>
      </c>
      <c r="DX167" s="21">
        <v>0</v>
      </c>
      <c r="DY167" s="21">
        <v>0</v>
      </c>
      <c r="DZ167" s="21">
        <v>0</v>
      </c>
      <c r="EA167" s="21">
        <v>0</v>
      </c>
      <c r="EB167" s="21">
        <v>0</v>
      </c>
      <c r="EC167" s="21">
        <v>0</v>
      </c>
      <c r="ED167" s="21">
        <v>0</v>
      </c>
      <c r="EE167" s="21">
        <v>0</v>
      </c>
      <c r="EF167" s="21">
        <v>0</v>
      </c>
    </row>
    <row r="168" spans="1:136" ht="14.5" x14ac:dyDescent="0.35">
      <c r="A168" s="20" t="s">
        <v>12</v>
      </c>
      <c r="B168" s="20" t="s">
        <v>23</v>
      </c>
      <c r="C168" s="20" t="s">
        <v>23</v>
      </c>
      <c r="D168" s="20" t="s">
        <v>335</v>
      </c>
      <c r="E168" s="20" t="s">
        <v>10</v>
      </c>
      <c r="F168" s="20" t="s">
        <v>80</v>
      </c>
      <c r="G168" s="21">
        <v>31</v>
      </c>
      <c r="H168" s="21">
        <v>278</v>
      </c>
      <c r="I168" s="21">
        <v>0</v>
      </c>
      <c r="J168" s="21">
        <v>278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0</v>
      </c>
      <c r="Z168" s="21">
        <v>0</v>
      </c>
      <c r="AA168" s="21">
        <v>0</v>
      </c>
      <c r="AB168" s="21">
        <v>0</v>
      </c>
      <c r="AC168" s="21">
        <v>0</v>
      </c>
      <c r="AD168" s="21">
        <v>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U168" s="21">
        <v>0</v>
      </c>
      <c r="AV168" s="21">
        <v>0</v>
      </c>
      <c r="AW168" s="21">
        <v>0</v>
      </c>
      <c r="AX168" s="21">
        <v>0</v>
      </c>
      <c r="AY168" s="21">
        <v>0</v>
      </c>
      <c r="AZ168" s="21">
        <v>0</v>
      </c>
      <c r="BA168" s="21">
        <v>0</v>
      </c>
      <c r="BB168" s="21">
        <v>0</v>
      </c>
      <c r="BC168" s="21">
        <v>0</v>
      </c>
      <c r="BD168" s="21">
        <v>0</v>
      </c>
      <c r="BE168" s="21">
        <v>0</v>
      </c>
      <c r="BF168" s="21">
        <v>0</v>
      </c>
      <c r="BG168" s="21">
        <v>0</v>
      </c>
      <c r="BH168" s="21">
        <v>0</v>
      </c>
      <c r="BI168" s="21">
        <v>0</v>
      </c>
      <c r="BJ168" s="21">
        <v>0</v>
      </c>
    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r="BP168" s="21">
        <v>0</v>
      </c>
      <c r="BQ168" s="21">
        <v>0</v>
      </c>
      <c r="BR168" s="21">
        <v>0</v>
      </c>
      <c r="BS168" s="21">
        <v>0</v>
      </c>
      <c r="BT168" s="21">
        <v>0</v>
      </c>
      <c r="BU168" s="21">
        <v>0</v>
      </c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1">
        <v>0</v>
      </c>
      <c r="CH168" s="21">
        <v>0</v>
      </c>
      <c r="CI168" s="21">
        <v>0</v>
      </c>
      <c r="CJ168" s="21">
        <v>0</v>
      </c>
      <c r="CK168" s="21">
        <v>0</v>
      </c>
      <c r="CL168" s="21">
        <v>0</v>
      </c>
      <c r="CM168" s="21">
        <v>0</v>
      </c>
      <c r="CN168" s="21">
        <v>0</v>
      </c>
      <c r="CO168" s="21">
        <v>0</v>
      </c>
      <c r="CP168" s="21">
        <v>0</v>
      </c>
      <c r="CQ168" s="21">
        <v>0</v>
      </c>
      <c r="CR168" s="21">
        <v>0</v>
      </c>
      <c r="CS168" s="21">
        <v>0</v>
      </c>
      <c r="CT168" s="21">
        <v>0</v>
      </c>
      <c r="CU168" s="21">
        <v>0</v>
      </c>
      <c r="CV168" s="21">
        <v>0</v>
      </c>
      <c r="CW168" s="21">
        <v>0</v>
      </c>
      <c r="CX168" s="21">
        <v>0</v>
      </c>
      <c r="CY168" s="21">
        <v>0</v>
      </c>
      <c r="CZ168" s="21">
        <v>0</v>
      </c>
      <c r="DA168" s="21">
        <v>0</v>
      </c>
      <c r="DB168" s="21">
        <v>0</v>
      </c>
      <c r="DC168" s="21">
        <v>0</v>
      </c>
      <c r="DD168" s="21">
        <v>0</v>
      </c>
      <c r="DE168" s="21">
        <v>0</v>
      </c>
      <c r="DF168" s="21">
        <v>0</v>
      </c>
      <c r="DG168" s="21">
        <v>0</v>
      </c>
      <c r="DH168" s="21">
        <v>0</v>
      </c>
      <c r="DI168" s="21">
        <v>0</v>
      </c>
      <c r="DJ168" s="21">
        <v>0</v>
      </c>
      <c r="DK168" s="21">
        <v>0</v>
      </c>
      <c r="DL168" s="21">
        <v>0</v>
      </c>
      <c r="DM168" s="21">
        <v>0</v>
      </c>
      <c r="DN168" s="21">
        <v>0</v>
      </c>
      <c r="DO168" s="21">
        <v>0</v>
      </c>
      <c r="DP168" s="21">
        <v>0</v>
      </c>
      <c r="DQ168" s="21">
        <v>0</v>
      </c>
      <c r="DR168" s="21">
        <v>0</v>
      </c>
      <c r="DS168" s="21">
        <v>0</v>
      </c>
      <c r="DT168" s="21">
        <v>0</v>
      </c>
      <c r="DU168" s="21">
        <v>0</v>
      </c>
      <c r="DV168" s="21">
        <v>0</v>
      </c>
      <c r="DW168" s="21">
        <v>0</v>
      </c>
      <c r="DX168" s="21">
        <v>0</v>
      </c>
      <c r="DY168" s="21">
        <v>0</v>
      </c>
      <c r="DZ168" s="21">
        <v>0</v>
      </c>
      <c r="EA168" s="21">
        <v>0</v>
      </c>
      <c r="EB168" s="21">
        <v>0</v>
      </c>
      <c r="EC168" s="21">
        <v>0</v>
      </c>
      <c r="ED168" s="21">
        <v>0</v>
      </c>
      <c r="EE168" s="21">
        <v>0</v>
      </c>
      <c r="EF168" s="21">
        <v>0</v>
      </c>
    </row>
    <row r="169" spans="1:136" ht="14.5" x14ac:dyDescent="0.35">
      <c r="A169" s="20" t="s">
        <v>12</v>
      </c>
      <c r="B169" s="20" t="s">
        <v>23</v>
      </c>
      <c r="C169" s="20" t="s">
        <v>23</v>
      </c>
      <c r="D169" s="20" t="s">
        <v>335</v>
      </c>
      <c r="E169" s="20" t="s">
        <v>10</v>
      </c>
      <c r="F169" s="20" t="s">
        <v>80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>
        <v>0</v>
      </c>
      <c r="AV169" s="21">
        <v>0</v>
      </c>
      <c r="AW169" s="21">
        <v>0</v>
      </c>
      <c r="AX169" s="21">
        <v>0</v>
      </c>
      <c r="AY169" s="21">
        <v>0</v>
      </c>
      <c r="AZ169" s="21">
        <v>0</v>
      </c>
      <c r="BA169" s="21">
        <v>0</v>
      </c>
      <c r="BB169" s="21">
        <v>0</v>
      </c>
      <c r="BC169" s="21">
        <v>0</v>
      </c>
      <c r="BD169" s="21">
        <v>0</v>
      </c>
      <c r="BE169" s="21">
        <v>0</v>
      </c>
      <c r="BF169" s="21">
        <v>0</v>
      </c>
      <c r="BG169" s="21">
        <v>0</v>
      </c>
      <c r="BH169" s="21">
        <v>0</v>
      </c>
      <c r="BI169" s="21">
        <v>0</v>
      </c>
      <c r="BJ169" s="21">
        <v>0</v>
      </c>
      <c r="BK169" s="21">
        <v>0</v>
      </c>
      <c r="BL169" s="21">
        <v>0</v>
      </c>
      <c r="BM169" s="21">
        <v>0</v>
      </c>
      <c r="BN169" s="21">
        <v>0</v>
      </c>
      <c r="BO169" s="21">
        <v>0</v>
      </c>
      <c r="BP169" s="21">
        <v>0</v>
      </c>
      <c r="BQ169" s="21">
        <v>0</v>
      </c>
      <c r="BR169" s="21">
        <v>0</v>
      </c>
      <c r="BS169" s="21">
        <v>0</v>
      </c>
      <c r="BT169" s="21">
        <v>0</v>
      </c>
      <c r="BU169" s="21">
        <v>0</v>
      </c>
      <c r="BV169" s="21">
        <v>0</v>
      </c>
      <c r="BW169" s="21">
        <v>0</v>
      </c>
      <c r="BX169" s="21">
        <v>0</v>
      </c>
      <c r="BY169" s="21">
        <v>0</v>
      </c>
      <c r="BZ169" s="21">
        <v>0</v>
      </c>
      <c r="CA169" s="21">
        <v>0</v>
      </c>
      <c r="CB169" s="21">
        <v>0</v>
      </c>
      <c r="CC169" s="21">
        <v>0</v>
      </c>
      <c r="CD169" s="21">
        <v>0</v>
      </c>
      <c r="CE169" s="21">
        <v>0</v>
      </c>
      <c r="CF169" s="21">
        <v>0</v>
      </c>
      <c r="CG169" s="21">
        <v>0</v>
      </c>
      <c r="CH169" s="21">
        <v>0</v>
      </c>
      <c r="CI169" s="21">
        <v>0</v>
      </c>
      <c r="CJ169" s="21">
        <v>0</v>
      </c>
      <c r="CK169" s="21">
        <v>0</v>
      </c>
      <c r="CL169" s="21">
        <v>0</v>
      </c>
      <c r="CM169" s="21">
        <v>0</v>
      </c>
      <c r="CN169" s="21">
        <v>0</v>
      </c>
      <c r="CO169" s="21">
        <v>0</v>
      </c>
      <c r="CP169" s="21">
        <v>0</v>
      </c>
      <c r="CQ169" s="21">
        <v>0</v>
      </c>
      <c r="CR169" s="21">
        <v>0</v>
      </c>
      <c r="CS169" s="21">
        <v>0</v>
      </c>
      <c r="CT169" s="21">
        <v>0</v>
      </c>
      <c r="CU169" s="21">
        <v>0</v>
      </c>
      <c r="CV169" s="21">
        <v>0</v>
      </c>
      <c r="CW169" s="21">
        <v>0</v>
      </c>
      <c r="CX169" s="21">
        <v>0</v>
      </c>
      <c r="CY169" s="21">
        <v>0</v>
      </c>
      <c r="CZ169" s="21">
        <v>0</v>
      </c>
      <c r="DA169" s="21">
        <v>0</v>
      </c>
      <c r="DB169" s="21">
        <v>0</v>
      </c>
      <c r="DC169" s="21">
        <v>0</v>
      </c>
      <c r="DD169" s="21">
        <v>0</v>
      </c>
      <c r="DE169" s="21">
        <v>0</v>
      </c>
      <c r="DF169" s="21">
        <v>0</v>
      </c>
      <c r="DG169" s="21">
        <v>0</v>
      </c>
      <c r="DH169" s="21">
        <v>0</v>
      </c>
      <c r="DI169" s="21">
        <v>0</v>
      </c>
      <c r="DJ169" s="21">
        <v>0</v>
      </c>
      <c r="DK169" s="21">
        <v>0</v>
      </c>
      <c r="DL169" s="21">
        <v>0</v>
      </c>
      <c r="DM169" s="21">
        <v>0</v>
      </c>
      <c r="DN169" s="21">
        <v>0</v>
      </c>
      <c r="DO169" s="21">
        <v>0</v>
      </c>
      <c r="DP169" s="21">
        <v>0</v>
      </c>
      <c r="DQ169" s="21">
        <v>0</v>
      </c>
      <c r="DR169" s="21">
        <v>0</v>
      </c>
      <c r="DS169" s="21">
        <v>0</v>
      </c>
      <c r="DT169" s="21">
        <v>0</v>
      </c>
      <c r="DU169" s="21">
        <v>0</v>
      </c>
      <c r="DV169" s="21">
        <v>0</v>
      </c>
      <c r="DW169" s="21">
        <v>0</v>
      </c>
      <c r="DX169" s="21">
        <v>0</v>
      </c>
      <c r="DY169" s="21">
        <v>0</v>
      </c>
      <c r="DZ169" s="21">
        <v>0</v>
      </c>
      <c r="EA169" s="21">
        <v>0</v>
      </c>
      <c r="EB169" s="21">
        <v>0</v>
      </c>
      <c r="EC169" s="21">
        <v>0</v>
      </c>
      <c r="ED169" s="21">
        <v>0</v>
      </c>
      <c r="EE169" s="21">
        <v>0</v>
      </c>
      <c r="EF169" s="21">
        <v>0</v>
      </c>
    </row>
    <row r="170" spans="1:136" ht="14.5" x14ac:dyDescent="0.35">
      <c r="A170" s="20" t="s">
        <v>12</v>
      </c>
      <c r="B170" s="20" t="s">
        <v>23</v>
      </c>
      <c r="C170" s="20" t="s">
        <v>23</v>
      </c>
      <c r="D170" s="20" t="s">
        <v>334</v>
      </c>
      <c r="E170" s="20" t="s">
        <v>10</v>
      </c>
      <c r="F170" s="20" t="s">
        <v>80</v>
      </c>
      <c r="G170" s="21">
        <v>0</v>
      </c>
      <c r="H170" s="21">
        <v>0</v>
      </c>
      <c r="I170" s="21">
        <v>270</v>
      </c>
      <c r="J170" s="21">
        <v>-270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0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>
        <v>0</v>
      </c>
      <c r="AV170" s="21">
        <v>0</v>
      </c>
      <c r="AW170" s="21">
        <v>0</v>
      </c>
      <c r="AX170" s="21">
        <v>0</v>
      </c>
      <c r="AY170" s="21">
        <v>0</v>
      </c>
      <c r="AZ170" s="21">
        <v>0</v>
      </c>
      <c r="BA170" s="21">
        <v>0</v>
      </c>
      <c r="BB170" s="21">
        <v>0</v>
      </c>
      <c r="BC170" s="21">
        <v>0</v>
      </c>
      <c r="BD170" s="21">
        <v>0</v>
      </c>
      <c r="BE170" s="21">
        <v>0</v>
      </c>
      <c r="BF170" s="21">
        <v>0</v>
      </c>
      <c r="BG170" s="21">
        <v>0</v>
      </c>
      <c r="BH170" s="21">
        <v>0</v>
      </c>
      <c r="BI170" s="21">
        <v>0</v>
      </c>
      <c r="BJ170" s="21">
        <v>0</v>
      </c>
      <c r="BK170" s="21">
        <v>0</v>
      </c>
      <c r="BL170" s="21">
        <v>0</v>
      </c>
      <c r="BM170" s="21">
        <v>0</v>
      </c>
      <c r="BN170" s="21">
        <v>0</v>
      </c>
      <c r="BO170" s="21">
        <v>0</v>
      </c>
      <c r="BP170" s="21">
        <v>0</v>
      </c>
      <c r="BQ170" s="21">
        <v>0</v>
      </c>
      <c r="BR170" s="21">
        <v>0</v>
      </c>
      <c r="BS170" s="21">
        <v>0</v>
      </c>
      <c r="BT170" s="21">
        <v>0</v>
      </c>
      <c r="BU170" s="21">
        <v>0</v>
      </c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1">
        <v>0</v>
      </c>
      <c r="CH170" s="21">
        <v>0</v>
      </c>
      <c r="CI170" s="21">
        <v>0</v>
      </c>
      <c r="CJ170" s="21">
        <v>0</v>
      </c>
      <c r="CK170" s="21">
        <v>0</v>
      </c>
      <c r="CL170" s="21">
        <v>0</v>
      </c>
      <c r="CM170" s="21">
        <v>0</v>
      </c>
      <c r="CN170" s="21">
        <v>0</v>
      </c>
      <c r="CO170" s="21">
        <v>0</v>
      </c>
      <c r="CP170" s="21">
        <v>0</v>
      </c>
      <c r="CQ170" s="21">
        <v>0</v>
      </c>
      <c r="CR170" s="21">
        <v>0</v>
      </c>
      <c r="CS170" s="21">
        <v>0</v>
      </c>
      <c r="CT170" s="21">
        <v>13</v>
      </c>
      <c r="CU170" s="21">
        <v>18</v>
      </c>
      <c r="CV170" s="21">
        <v>18</v>
      </c>
      <c r="CW170" s="21">
        <v>17</v>
      </c>
      <c r="CX170" s="21">
        <v>7</v>
      </c>
      <c r="CY170" s="21">
        <v>7</v>
      </c>
      <c r="CZ170" s="21">
        <v>10</v>
      </c>
      <c r="DA170" s="21">
        <v>10</v>
      </c>
      <c r="DB170" s="21">
        <v>7</v>
      </c>
      <c r="DC170" s="21">
        <v>8</v>
      </c>
      <c r="DD170" s="21">
        <v>10</v>
      </c>
      <c r="DE170" s="21">
        <v>8</v>
      </c>
      <c r="DF170" s="21">
        <v>4</v>
      </c>
      <c r="DG170" s="21">
        <v>10</v>
      </c>
      <c r="DH170" s="21">
        <v>7</v>
      </c>
      <c r="DI170" s="21">
        <v>0</v>
      </c>
      <c r="DJ170" s="21">
        <v>0</v>
      </c>
      <c r="DK170" s="21">
        <v>7</v>
      </c>
      <c r="DL170" s="21">
        <v>10</v>
      </c>
      <c r="DM170" s="21">
        <v>18</v>
      </c>
      <c r="DN170" s="21">
        <v>20</v>
      </c>
      <c r="DO170" s="21">
        <v>20</v>
      </c>
      <c r="DP170" s="21">
        <v>20</v>
      </c>
      <c r="DQ170" s="21">
        <v>15</v>
      </c>
      <c r="DR170" s="21">
        <v>6</v>
      </c>
      <c r="DS170" s="21">
        <v>0</v>
      </c>
      <c r="DT170" s="21">
        <v>0</v>
      </c>
      <c r="DU170" s="21">
        <v>0</v>
      </c>
      <c r="DV170" s="21">
        <v>0</v>
      </c>
      <c r="DW170" s="21">
        <v>0</v>
      </c>
      <c r="DX170" s="21">
        <v>0</v>
      </c>
      <c r="DY170" s="21">
        <v>0</v>
      </c>
      <c r="DZ170" s="21">
        <v>0</v>
      </c>
      <c r="EA170" s="21">
        <v>0</v>
      </c>
      <c r="EB170" s="21">
        <v>0</v>
      </c>
      <c r="EC170" s="21">
        <v>0</v>
      </c>
      <c r="ED170" s="21">
        <v>0</v>
      </c>
      <c r="EE170" s="21">
        <v>0</v>
      </c>
      <c r="EF170" s="21">
        <v>0</v>
      </c>
    </row>
    <row r="171" spans="1:136" ht="14.5" x14ac:dyDescent="0.35">
      <c r="A171" s="20" t="s">
        <v>12</v>
      </c>
      <c r="B171" s="20" t="s">
        <v>23</v>
      </c>
      <c r="C171" s="20" t="s">
        <v>23</v>
      </c>
      <c r="D171" s="20" t="s">
        <v>335</v>
      </c>
      <c r="E171" s="20" t="s">
        <v>10</v>
      </c>
      <c r="F171" s="20" t="s">
        <v>87</v>
      </c>
      <c r="G171" s="21">
        <v>0</v>
      </c>
      <c r="H171" s="21">
        <v>0</v>
      </c>
      <c r="I171" s="21">
        <v>7</v>
      </c>
      <c r="J171" s="21">
        <v>-7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7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0</v>
      </c>
      <c r="BG171" s="21">
        <v>0</v>
      </c>
      <c r="BH171" s="21">
        <v>0</v>
      </c>
      <c r="BI171" s="21">
        <v>0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>
        <v>0</v>
      </c>
      <c r="BZ171" s="21">
        <v>0</v>
      </c>
      <c r="CA171" s="21">
        <v>0</v>
      </c>
      <c r="CB171" s="21">
        <v>0</v>
      </c>
      <c r="CC171" s="21">
        <v>0</v>
      </c>
      <c r="CD171" s="21">
        <v>0</v>
      </c>
      <c r="CE171" s="21">
        <v>0</v>
      </c>
      <c r="CF171" s="21">
        <v>0</v>
      </c>
      <c r="CG171" s="21">
        <v>0</v>
      </c>
      <c r="CH171" s="21">
        <v>0</v>
      </c>
      <c r="CI171" s="21">
        <v>0</v>
      </c>
      <c r="CJ171" s="21">
        <v>0</v>
      </c>
      <c r="CK171" s="21">
        <v>0</v>
      </c>
      <c r="CL171" s="21">
        <v>0</v>
      </c>
      <c r="CM171" s="21">
        <v>0</v>
      </c>
      <c r="CN171" s="21">
        <v>0</v>
      </c>
      <c r="CO171" s="21">
        <v>0</v>
      </c>
      <c r="CP171" s="21">
        <v>0</v>
      </c>
      <c r="CQ171" s="21">
        <v>0</v>
      </c>
      <c r="CR171" s="21">
        <v>0</v>
      </c>
      <c r="CS171" s="21">
        <v>0</v>
      </c>
      <c r="CT171" s="21">
        <v>0</v>
      </c>
      <c r="CU171" s="21">
        <v>0</v>
      </c>
      <c r="CV171" s="21">
        <v>0</v>
      </c>
      <c r="CW171" s="21">
        <v>0</v>
      </c>
      <c r="CX171" s="21">
        <v>0</v>
      </c>
      <c r="CY171" s="21">
        <v>0</v>
      </c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0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0</v>
      </c>
      <c r="EE171" s="21">
        <v>0</v>
      </c>
      <c r="EF171" s="21">
        <v>0</v>
      </c>
    </row>
    <row r="172" spans="1:136" ht="14.5" x14ac:dyDescent="0.35">
      <c r="A172" s="20" t="s">
        <v>12</v>
      </c>
      <c r="B172" s="20" t="s">
        <v>23</v>
      </c>
      <c r="C172" s="20" t="s">
        <v>23</v>
      </c>
      <c r="D172" s="20" t="s">
        <v>335</v>
      </c>
      <c r="E172" s="20" t="s">
        <v>10</v>
      </c>
      <c r="F172" s="20" t="s">
        <v>87</v>
      </c>
      <c r="G172" s="21">
        <v>15</v>
      </c>
      <c r="H172" s="21">
        <v>15</v>
      </c>
      <c r="I172" s="21">
        <v>15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0</v>
      </c>
      <c r="Z172" s="21">
        <v>0</v>
      </c>
      <c r="AA172" s="21">
        <v>0</v>
      </c>
      <c r="AB172" s="21">
        <v>15</v>
      </c>
      <c r="AC172" s="21">
        <v>0</v>
      </c>
      <c r="AD172" s="21">
        <v>0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0</v>
      </c>
      <c r="AO172" s="21">
        <v>0</v>
      </c>
      <c r="AP172" s="21">
        <v>0</v>
      </c>
      <c r="AQ172" s="21">
        <v>0</v>
      </c>
      <c r="AR172" s="21">
        <v>0</v>
      </c>
      <c r="AS172" s="21">
        <v>0</v>
      </c>
      <c r="AT172" s="21">
        <v>0</v>
      </c>
      <c r="AU172" s="21">
        <v>0</v>
      </c>
      <c r="AV172" s="21">
        <v>0</v>
      </c>
      <c r="AW172" s="21">
        <v>0</v>
      </c>
      <c r="AX172" s="21">
        <v>0</v>
      </c>
      <c r="AY172" s="21">
        <v>0</v>
      </c>
      <c r="AZ172" s="21">
        <v>0</v>
      </c>
      <c r="BA172" s="21">
        <v>0</v>
      </c>
      <c r="BB172" s="21">
        <v>0</v>
      </c>
      <c r="BC172" s="21">
        <v>0</v>
      </c>
      <c r="BD172" s="21">
        <v>0</v>
      </c>
      <c r="BE172" s="21">
        <v>0</v>
      </c>
      <c r="BF172" s="21">
        <v>0</v>
      </c>
      <c r="BG172" s="21">
        <v>0</v>
      </c>
      <c r="BH172" s="21">
        <v>0</v>
      </c>
      <c r="BI172" s="21">
        <v>0</v>
      </c>
      <c r="BJ172" s="21">
        <v>0</v>
      </c>
      <c r="BK172" s="21">
        <v>0</v>
      </c>
      <c r="BL172" s="21">
        <v>0</v>
      </c>
      <c r="BM172" s="21">
        <v>0</v>
      </c>
      <c r="BN172" s="21">
        <v>0</v>
      </c>
      <c r="BO172" s="21">
        <v>0</v>
      </c>
      <c r="BP172" s="21">
        <v>0</v>
      </c>
      <c r="BQ172" s="21">
        <v>0</v>
      </c>
      <c r="BR172" s="21">
        <v>0</v>
      </c>
      <c r="BS172" s="21">
        <v>0</v>
      </c>
      <c r="BT172" s="21">
        <v>0</v>
      </c>
      <c r="BU172" s="21">
        <v>0</v>
      </c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1">
        <v>0</v>
      </c>
      <c r="CH172" s="21">
        <v>0</v>
      </c>
      <c r="CI172" s="21">
        <v>0</v>
      </c>
      <c r="CJ172" s="21">
        <v>0</v>
      </c>
      <c r="CK172" s="21">
        <v>0</v>
      </c>
      <c r="CL172" s="21">
        <v>0</v>
      </c>
      <c r="CM172" s="21">
        <v>0</v>
      </c>
      <c r="CN172" s="21">
        <v>0</v>
      </c>
      <c r="CO172" s="21">
        <v>0</v>
      </c>
      <c r="CP172" s="21">
        <v>0</v>
      </c>
      <c r="CQ172" s="21">
        <v>0</v>
      </c>
      <c r="CR172" s="21">
        <v>0</v>
      </c>
      <c r="CS172" s="21">
        <v>0</v>
      </c>
      <c r="CT172" s="21">
        <v>0</v>
      </c>
      <c r="CU172" s="21">
        <v>0</v>
      </c>
      <c r="CV172" s="21">
        <v>0</v>
      </c>
      <c r="CW172" s="21">
        <v>0</v>
      </c>
      <c r="CX172" s="21">
        <v>0</v>
      </c>
      <c r="CY172" s="21">
        <v>0</v>
      </c>
      <c r="CZ172" s="21">
        <v>0</v>
      </c>
      <c r="DA172" s="21">
        <v>0</v>
      </c>
      <c r="DB172" s="21">
        <v>0</v>
      </c>
      <c r="DC172" s="21">
        <v>0</v>
      </c>
      <c r="DD172" s="21">
        <v>0</v>
      </c>
      <c r="DE172" s="21">
        <v>0</v>
      </c>
      <c r="DF172" s="21">
        <v>0</v>
      </c>
      <c r="DG172" s="21">
        <v>0</v>
      </c>
      <c r="DH172" s="21">
        <v>0</v>
      </c>
      <c r="DI172" s="21">
        <v>0</v>
      </c>
      <c r="DJ172" s="21">
        <v>0</v>
      </c>
      <c r="DK172" s="21">
        <v>0</v>
      </c>
      <c r="DL172" s="21">
        <v>0</v>
      </c>
      <c r="DM172" s="21">
        <v>0</v>
      </c>
      <c r="DN172" s="21">
        <v>0</v>
      </c>
      <c r="DO172" s="21">
        <v>0</v>
      </c>
      <c r="DP172" s="21">
        <v>0</v>
      </c>
      <c r="DQ172" s="21">
        <v>0</v>
      </c>
      <c r="DR172" s="21">
        <v>0</v>
      </c>
      <c r="DS172" s="21">
        <v>0</v>
      </c>
      <c r="DT172" s="21">
        <v>0</v>
      </c>
      <c r="DU172" s="21">
        <v>0</v>
      </c>
      <c r="DV172" s="21">
        <v>0</v>
      </c>
      <c r="DW172" s="21">
        <v>0</v>
      </c>
      <c r="DX172" s="21">
        <v>0</v>
      </c>
      <c r="DY172" s="21">
        <v>0</v>
      </c>
      <c r="DZ172" s="21">
        <v>0</v>
      </c>
      <c r="EA172" s="21">
        <v>0</v>
      </c>
      <c r="EB172" s="21">
        <v>0</v>
      </c>
      <c r="EC172" s="21">
        <v>0</v>
      </c>
      <c r="ED172" s="21">
        <v>0</v>
      </c>
      <c r="EE172" s="21">
        <v>0</v>
      </c>
      <c r="EF172" s="21">
        <v>0</v>
      </c>
    </row>
    <row r="173" spans="1:136" ht="14.5" x14ac:dyDescent="0.35">
      <c r="A173" s="20" t="s">
        <v>12</v>
      </c>
      <c r="B173" s="20" t="s">
        <v>23</v>
      </c>
      <c r="C173" s="20" t="s">
        <v>23</v>
      </c>
      <c r="D173" s="20" t="s">
        <v>334</v>
      </c>
      <c r="E173" s="20" t="s">
        <v>10</v>
      </c>
      <c r="F173" s="20" t="s">
        <v>87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>
        <v>0</v>
      </c>
      <c r="AV173" s="21">
        <v>0</v>
      </c>
      <c r="AW173" s="21">
        <v>0</v>
      </c>
      <c r="AX173" s="21">
        <v>0</v>
      </c>
      <c r="AY173" s="21">
        <v>0</v>
      </c>
      <c r="AZ173" s="21">
        <v>0</v>
      </c>
      <c r="BA173" s="21">
        <v>0</v>
      </c>
      <c r="BB173" s="21">
        <v>0</v>
      </c>
      <c r="BC173" s="21">
        <v>0</v>
      </c>
      <c r="BD173" s="21">
        <v>0</v>
      </c>
      <c r="BE173" s="21">
        <v>0</v>
      </c>
      <c r="BF173" s="21">
        <v>0</v>
      </c>
      <c r="BG173" s="21">
        <v>0</v>
      </c>
      <c r="BH173" s="21">
        <v>0</v>
      </c>
      <c r="BI173" s="21">
        <v>0</v>
      </c>
      <c r="BJ173" s="21">
        <v>0</v>
      </c>
      <c r="BK173" s="21">
        <v>0</v>
      </c>
      <c r="BL173" s="21">
        <v>0</v>
      </c>
      <c r="BM173" s="21">
        <v>0</v>
      </c>
      <c r="BN173" s="21">
        <v>0</v>
      </c>
      <c r="BO173" s="21">
        <v>0</v>
      </c>
      <c r="BP173" s="21">
        <v>0</v>
      </c>
      <c r="BQ173" s="21">
        <v>0</v>
      </c>
      <c r="BR173" s="21">
        <v>0</v>
      </c>
      <c r="BS173" s="21">
        <v>0</v>
      </c>
      <c r="BT173" s="21">
        <v>0</v>
      </c>
      <c r="BU173" s="21">
        <v>0</v>
      </c>
      <c r="BV173" s="21">
        <v>0</v>
      </c>
      <c r="BW173" s="21">
        <v>0</v>
      </c>
      <c r="BX173" s="21">
        <v>0</v>
      </c>
      <c r="BY173" s="21">
        <v>0</v>
      </c>
      <c r="BZ173" s="21">
        <v>0</v>
      </c>
      <c r="CA173" s="21">
        <v>0</v>
      </c>
      <c r="CB173" s="21">
        <v>0</v>
      </c>
      <c r="CC173" s="21">
        <v>0</v>
      </c>
      <c r="CD173" s="21">
        <v>0</v>
      </c>
      <c r="CE173" s="21">
        <v>0</v>
      </c>
      <c r="CF173" s="21">
        <v>0</v>
      </c>
      <c r="CG173" s="21">
        <v>0</v>
      </c>
      <c r="CH173" s="21">
        <v>0</v>
      </c>
      <c r="CI173" s="21">
        <v>0</v>
      </c>
      <c r="CJ173" s="21">
        <v>0</v>
      </c>
      <c r="CK173" s="21">
        <v>0</v>
      </c>
      <c r="CL173" s="21">
        <v>0</v>
      </c>
      <c r="CM173" s="21">
        <v>0</v>
      </c>
      <c r="CN173" s="21">
        <v>0</v>
      </c>
      <c r="CO173" s="21">
        <v>0</v>
      </c>
      <c r="CP173" s="21">
        <v>0</v>
      </c>
      <c r="CQ173" s="21">
        <v>0</v>
      </c>
      <c r="CR173" s="21">
        <v>0</v>
      </c>
      <c r="CS173" s="21">
        <v>0</v>
      </c>
      <c r="CT173" s="21">
        <v>0</v>
      </c>
      <c r="CU173" s="21">
        <v>0</v>
      </c>
      <c r="CV173" s="21">
        <v>0</v>
      </c>
      <c r="CW173" s="21">
        <v>0</v>
      </c>
      <c r="CX173" s="21">
        <v>0</v>
      </c>
      <c r="CY173" s="21">
        <v>0</v>
      </c>
      <c r="CZ173" s="21">
        <v>0</v>
      </c>
      <c r="DA173" s="21">
        <v>0</v>
      </c>
      <c r="DB173" s="21">
        <v>0</v>
      </c>
      <c r="DC173" s="21">
        <v>0</v>
      </c>
      <c r="DD173" s="21">
        <v>0</v>
      </c>
      <c r="DE173" s="21">
        <v>0</v>
      </c>
      <c r="DF173" s="21">
        <v>0</v>
      </c>
      <c r="DG173" s="21">
        <v>0</v>
      </c>
      <c r="DH173" s="21">
        <v>0</v>
      </c>
      <c r="DI173" s="21">
        <v>0</v>
      </c>
      <c r="DJ173" s="21">
        <v>0</v>
      </c>
      <c r="DK173" s="21">
        <v>0</v>
      </c>
      <c r="DL173" s="21">
        <v>0</v>
      </c>
      <c r="DM173" s="21">
        <v>0</v>
      </c>
      <c r="DN173" s="21">
        <v>0</v>
      </c>
      <c r="DO173" s="21">
        <v>0</v>
      </c>
      <c r="DP173" s="21">
        <v>0</v>
      </c>
      <c r="DQ173" s="21">
        <v>0</v>
      </c>
      <c r="DR173" s="21">
        <v>0</v>
      </c>
      <c r="DS173" s="21">
        <v>0</v>
      </c>
      <c r="DT173" s="21">
        <v>0</v>
      </c>
      <c r="DU173" s="21">
        <v>0</v>
      </c>
      <c r="DV173" s="21">
        <v>0</v>
      </c>
      <c r="DW173" s="21">
        <v>0</v>
      </c>
      <c r="DX173" s="21">
        <v>0</v>
      </c>
      <c r="DY173" s="21">
        <v>0</v>
      </c>
      <c r="DZ173" s="21">
        <v>0</v>
      </c>
      <c r="EA173" s="21">
        <v>0</v>
      </c>
      <c r="EB173" s="21">
        <v>0</v>
      </c>
      <c r="EC173" s="21">
        <v>0</v>
      </c>
      <c r="ED173" s="21">
        <v>0</v>
      </c>
      <c r="EE173" s="21">
        <v>0</v>
      </c>
      <c r="EF173" s="21">
        <v>0</v>
      </c>
    </row>
    <row r="174" spans="1:136" ht="14.5" x14ac:dyDescent="0.35">
      <c r="A174" s="20" t="s">
        <v>12</v>
      </c>
      <c r="B174" s="20" t="s">
        <v>23</v>
      </c>
      <c r="C174" s="20" t="s">
        <v>23</v>
      </c>
      <c r="D174" s="20" t="s">
        <v>335</v>
      </c>
      <c r="E174" s="20" t="s">
        <v>10</v>
      </c>
      <c r="F174" s="20" t="s">
        <v>88</v>
      </c>
      <c r="G174" s="21">
        <v>10</v>
      </c>
      <c r="H174" s="21">
        <v>10</v>
      </c>
      <c r="I174" s="21">
        <v>0</v>
      </c>
      <c r="J174" s="21">
        <v>10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0</v>
      </c>
      <c r="AN174" s="21">
        <v>0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U174" s="21">
        <v>0</v>
      </c>
      <c r="AV174" s="21">
        <v>0</v>
      </c>
      <c r="AW174" s="21">
        <v>0</v>
      </c>
      <c r="AX174" s="21">
        <v>0</v>
      </c>
      <c r="AY174" s="21">
        <v>0</v>
      </c>
      <c r="AZ174" s="21">
        <v>0</v>
      </c>
      <c r="BA174" s="21">
        <v>0</v>
      </c>
      <c r="BB174" s="21">
        <v>0</v>
      </c>
      <c r="BC174" s="21">
        <v>0</v>
      </c>
      <c r="BD174" s="21">
        <v>0</v>
      </c>
      <c r="BE174" s="21">
        <v>0</v>
      </c>
      <c r="BF174" s="21">
        <v>0</v>
      </c>
      <c r="BG174" s="21">
        <v>0</v>
      </c>
      <c r="BH174" s="21">
        <v>0</v>
      </c>
      <c r="BI174" s="21">
        <v>0</v>
      </c>
      <c r="BJ174" s="21">
        <v>0</v>
      </c>
      <c r="BK174" s="21">
        <v>0</v>
      </c>
      <c r="BL174" s="21">
        <v>0</v>
      </c>
      <c r="BM174" s="21">
        <v>0</v>
      </c>
      <c r="BN174" s="21">
        <v>0</v>
      </c>
      <c r="BO174" s="21">
        <v>0</v>
      </c>
      <c r="BP174" s="21">
        <v>0</v>
      </c>
      <c r="BQ174" s="21">
        <v>0</v>
      </c>
      <c r="BR174" s="21">
        <v>0</v>
      </c>
      <c r="BS174" s="21">
        <v>0</v>
      </c>
      <c r="BT174" s="21">
        <v>0</v>
      </c>
      <c r="BU174" s="21">
        <v>0</v>
      </c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1">
        <v>0</v>
      </c>
      <c r="CH174" s="21">
        <v>0</v>
      </c>
      <c r="CI174" s="21">
        <v>0</v>
      </c>
      <c r="CJ174" s="21">
        <v>0</v>
      </c>
      <c r="CK174" s="21">
        <v>0</v>
      </c>
      <c r="CL174" s="21">
        <v>0</v>
      </c>
      <c r="CM174" s="21">
        <v>0</v>
      </c>
      <c r="CN174" s="21">
        <v>0</v>
      </c>
      <c r="CO174" s="21">
        <v>0</v>
      </c>
      <c r="CP174" s="21">
        <v>0</v>
      </c>
      <c r="CQ174" s="21">
        <v>0</v>
      </c>
      <c r="CR174" s="21">
        <v>0</v>
      </c>
      <c r="CS174" s="21">
        <v>0</v>
      </c>
      <c r="CT174" s="21">
        <v>0</v>
      </c>
      <c r="CU174" s="21">
        <v>0</v>
      </c>
      <c r="CV174" s="21">
        <v>0</v>
      </c>
      <c r="CW174" s="21">
        <v>0</v>
      </c>
      <c r="CX174" s="21">
        <v>0</v>
      </c>
      <c r="CY174" s="21">
        <v>0</v>
      </c>
      <c r="CZ174" s="21">
        <v>0</v>
      </c>
      <c r="DA174" s="21">
        <v>0</v>
      </c>
      <c r="DB174" s="21">
        <v>0</v>
      </c>
      <c r="DC174" s="21">
        <v>0</v>
      </c>
      <c r="DD174" s="21">
        <v>0</v>
      </c>
      <c r="DE174" s="21">
        <v>0</v>
      </c>
      <c r="DF174" s="21">
        <v>0</v>
      </c>
      <c r="DG174" s="21">
        <v>0</v>
      </c>
      <c r="DH174" s="21">
        <v>0</v>
      </c>
      <c r="DI174" s="21">
        <v>0</v>
      </c>
      <c r="DJ174" s="21">
        <v>0</v>
      </c>
      <c r="DK174" s="21">
        <v>0</v>
      </c>
      <c r="DL174" s="21">
        <v>0</v>
      </c>
      <c r="DM174" s="21">
        <v>0</v>
      </c>
      <c r="DN174" s="21">
        <v>0</v>
      </c>
      <c r="DO174" s="21">
        <v>0</v>
      </c>
      <c r="DP174" s="21">
        <v>0</v>
      </c>
      <c r="DQ174" s="21">
        <v>0</v>
      </c>
      <c r="DR174" s="21">
        <v>0</v>
      </c>
      <c r="DS174" s="21">
        <v>0</v>
      </c>
      <c r="DT174" s="21">
        <v>0</v>
      </c>
      <c r="DU174" s="21">
        <v>0</v>
      </c>
      <c r="DV174" s="21">
        <v>0</v>
      </c>
      <c r="DW174" s="21">
        <v>0</v>
      </c>
      <c r="DX174" s="21">
        <v>0</v>
      </c>
      <c r="DY174" s="21">
        <v>0</v>
      </c>
      <c r="DZ174" s="21">
        <v>0</v>
      </c>
      <c r="EA174" s="21">
        <v>0</v>
      </c>
      <c r="EB174" s="21">
        <v>0</v>
      </c>
      <c r="EC174" s="21">
        <v>0</v>
      </c>
      <c r="ED174" s="21">
        <v>0</v>
      </c>
      <c r="EE174" s="21">
        <v>0</v>
      </c>
      <c r="EF174" s="21">
        <v>0</v>
      </c>
    </row>
    <row r="175" spans="1:136" ht="14.5" x14ac:dyDescent="0.35">
      <c r="A175" s="20" t="s">
        <v>12</v>
      </c>
      <c r="B175" s="20" t="s">
        <v>23</v>
      </c>
      <c r="C175" s="20" t="s">
        <v>23</v>
      </c>
      <c r="D175" s="20" t="s">
        <v>334</v>
      </c>
      <c r="E175" s="20" t="s">
        <v>10</v>
      </c>
      <c r="F175" s="20" t="s">
        <v>88</v>
      </c>
      <c r="G175" s="21">
        <v>0</v>
      </c>
      <c r="H175" s="21">
        <v>0</v>
      </c>
      <c r="I175" s="21">
        <v>5</v>
      </c>
      <c r="J175" s="21">
        <v>-5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</v>
      </c>
      <c r="AM175" s="21">
        <v>0</v>
      </c>
      <c r="AN175" s="21">
        <v>5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U175" s="21">
        <v>0</v>
      </c>
      <c r="AV175" s="21">
        <v>0</v>
      </c>
      <c r="AW175" s="21">
        <v>0</v>
      </c>
      <c r="AX175" s="21">
        <v>0</v>
      </c>
      <c r="AY175" s="21">
        <v>0</v>
      </c>
      <c r="AZ175" s="21">
        <v>0</v>
      </c>
      <c r="BA175" s="21">
        <v>0</v>
      </c>
      <c r="BB175" s="21">
        <v>0</v>
      </c>
      <c r="BC175" s="21">
        <v>0</v>
      </c>
      <c r="BD175" s="21">
        <v>0</v>
      </c>
      <c r="BE175" s="21">
        <v>0</v>
      </c>
      <c r="BF175" s="21">
        <v>0</v>
      </c>
      <c r="BG175" s="21">
        <v>0</v>
      </c>
      <c r="BH175" s="21">
        <v>0</v>
      </c>
      <c r="BI175" s="21">
        <v>0</v>
      </c>
      <c r="BJ175" s="21">
        <v>0</v>
      </c>
      <c r="BK175" s="21">
        <v>0</v>
      </c>
      <c r="BL175" s="21">
        <v>0</v>
      </c>
      <c r="BM175" s="21">
        <v>0</v>
      </c>
      <c r="BN175" s="21">
        <v>0</v>
      </c>
      <c r="BO175" s="21">
        <v>0</v>
      </c>
      <c r="BP175" s="21">
        <v>0</v>
      </c>
      <c r="BQ175" s="21">
        <v>0</v>
      </c>
      <c r="BR175" s="21">
        <v>0</v>
      </c>
      <c r="BS175" s="21">
        <v>0</v>
      </c>
      <c r="BT175" s="21">
        <v>0</v>
      </c>
      <c r="BU175" s="21">
        <v>0</v>
      </c>
      <c r="BV175" s="21">
        <v>0</v>
      </c>
      <c r="BW175" s="21">
        <v>0</v>
      </c>
      <c r="BX175" s="21">
        <v>0</v>
      </c>
      <c r="BY175" s="21">
        <v>0</v>
      </c>
      <c r="BZ175" s="21">
        <v>0</v>
      </c>
      <c r="CA175" s="21">
        <v>0</v>
      </c>
      <c r="CB175" s="21">
        <v>0</v>
      </c>
      <c r="CC175" s="21">
        <v>0</v>
      </c>
      <c r="CD175" s="21">
        <v>0</v>
      </c>
      <c r="CE175" s="21">
        <v>0</v>
      </c>
      <c r="CF175" s="21">
        <v>0</v>
      </c>
      <c r="CG175" s="21">
        <v>0</v>
      </c>
      <c r="CH175" s="21">
        <v>0</v>
      </c>
      <c r="CI175" s="21">
        <v>0</v>
      </c>
      <c r="CJ175" s="21">
        <v>0</v>
      </c>
      <c r="CK175" s="21">
        <v>0</v>
      </c>
      <c r="CL175" s="21">
        <v>0</v>
      </c>
      <c r="CM175" s="21">
        <v>0</v>
      </c>
      <c r="CN175" s="21">
        <v>0</v>
      </c>
      <c r="CO175" s="21">
        <v>0</v>
      </c>
      <c r="CP175" s="21">
        <v>0</v>
      </c>
      <c r="CQ175" s="21">
        <v>0</v>
      </c>
      <c r="CR175" s="21">
        <v>0</v>
      </c>
      <c r="CS175" s="21">
        <v>0</v>
      </c>
      <c r="CT175" s="21">
        <v>0</v>
      </c>
      <c r="CU175" s="21">
        <v>0</v>
      </c>
      <c r="CV175" s="21">
        <v>0</v>
      </c>
      <c r="CW175" s="21">
        <v>0</v>
      </c>
      <c r="CX175" s="21">
        <v>0</v>
      </c>
      <c r="CY175" s="21">
        <v>0</v>
      </c>
      <c r="CZ175" s="21">
        <v>0</v>
      </c>
      <c r="DA175" s="21">
        <v>0</v>
      </c>
      <c r="DB175" s="21">
        <v>0</v>
      </c>
      <c r="DC175" s="21">
        <v>0</v>
      </c>
      <c r="DD175" s="21">
        <v>0</v>
      </c>
      <c r="DE175" s="21">
        <v>0</v>
      </c>
      <c r="DF175" s="21">
        <v>0</v>
      </c>
      <c r="DG175" s="21">
        <v>0</v>
      </c>
      <c r="DH175" s="21">
        <v>0</v>
      </c>
      <c r="DI175" s="21">
        <v>0</v>
      </c>
      <c r="DJ175" s="21">
        <v>0</v>
      </c>
      <c r="DK175" s="21">
        <v>0</v>
      </c>
      <c r="DL175" s="21">
        <v>0</v>
      </c>
      <c r="DM175" s="21">
        <v>0</v>
      </c>
      <c r="DN175" s="21">
        <v>0</v>
      </c>
      <c r="DO175" s="21">
        <v>0</v>
      </c>
      <c r="DP175" s="21">
        <v>0</v>
      </c>
      <c r="DQ175" s="21">
        <v>0</v>
      </c>
      <c r="DR175" s="21">
        <v>0</v>
      </c>
      <c r="DS175" s="21">
        <v>0</v>
      </c>
      <c r="DT175" s="21">
        <v>0</v>
      </c>
      <c r="DU175" s="21">
        <v>0</v>
      </c>
      <c r="DV175" s="21">
        <v>0</v>
      </c>
      <c r="DW175" s="21">
        <v>0</v>
      </c>
      <c r="DX175" s="21">
        <v>0</v>
      </c>
      <c r="DY175" s="21">
        <v>0</v>
      </c>
      <c r="DZ175" s="21">
        <v>0</v>
      </c>
      <c r="EA175" s="21">
        <v>0</v>
      </c>
      <c r="EB175" s="21">
        <v>0</v>
      </c>
      <c r="EC175" s="21">
        <v>0</v>
      </c>
      <c r="ED175" s="21">
        <v>0</v>
      </c>
      <c r="EE175" s="21">
        <v>0</v>
      </c>
      <c r="EF175" s="21">
        <v>0</v>
      </c>
    </row>
    <row r="176" spans="1:136" ht="14.5" x14ac:dyDescent="0.35">
      <c r="A176" s="20" t="s">
        <v>12</v>
      </c>
      <c r="B176" s="20" t="s">
        <v>23</v>
      </c>
      <c r="C176" s="20" t="s">
        <v>23</v>
      </c>
      <c r="D176" s="20" t="s">
        <v>335</v>
      </c>
      <c r="E176" s="20" t="s">
        <v>10</v>
      </c>
      <c r="F176" s="20" t="s">
        <v>89</v>
      </c>
      <c r="G176" s="21">
        <v>0</v>
      </c>
      <c r="H176" s="21">
        <v>10</v>
      </c>
      <c r="I176" s="21">
        <v>0</v>
      </c>
      <c r="J176" s="21">
        <v>10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0</v>
      </c>
      <c r="AT176" s="21">
        <v>0</v>
      </c>
      <c r="AU176" s="21">
        <v>0</v>
      </c>
      <c r="AV176" s="21">
        <v>0</v>
      </c>
      <c r="AW176" s="21">
        <v>0</v>
      </c>
      <c r="AX176" s="21">
        <v>0</v>
      </c>
      <c r="AY176" s="21">
        <v>0</v>
      </c>
      <c r="AZ176" s="21">
        <v>0</v>
      </c>
      <c r="BA176" s="21">
        <v>0</v>
      </c>
      <c r="BB176" s="21">
        <v>0</v>
      </c>
      <c r="BC176" s="21">
        <v>0</v>
      </c>
      <c r="BD176" s="21">
        <v>0</v>
      </c>
      <c r="BE176" s="21">
        <v>0</v>
      </c>
      <c r="BF176" s="21">
        <v>0</v>
      </c>
      <c r="BG176" s="21">
        <v>0</v>
      </c>
      <c r="BH176" s="21">
        <v>0</v>
      </c>
      <c r="BI176" s="21">
        <v>0</v>
      </c>
      <c r="BJ176" s="21">
        <v>0</v>
      </c>
      <c r="BK176" s="21">
        <v>0</v>
      </c>
      <c r="BL176" s="21">
        <v>0</v>
      </c>
      <c r="BM176" s="21">
        <v>0</v>
      </c>
      <c r="BN176" s="21">
        <v>0</v>
      </c>
      <c r="BO176" s="21">
        <v>0</v>
      </c>
      <c r="BP176" s="21">
        <v>0</v>
      </c>
      <c r="BQ176" s="21">
        <v>0</v>
      </c>
      <c r="BR176" s="21">
        <v>0</v>
      </c>
      <c r="BS176" s="21">
        <v>0</v>
      </c>
      <c r="BT176" s="21">
        <v>0</v>
      </c>
      <c r="BU176" s="21">
        <v>0</v>
      </c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1">
        <v>0</v>
      </c>
      <c r="CH176" s="21">
        <v>0</v>
      </c>
      <c r="CI176" s="21">
        <v>0</v>
      </c>
      <c r="CJ176" s="21">
        <v>0</v>
      </c>
      <c r="CK176" s="21">
        <v>0</v>
      </c>
      <c r="CL176" s="21">
        <v>0</v>
      </c>
      <c r="CM176" s="21">
        <v>0</v>
      </c>
      <c r="CN176" s="21">
        <v>0</v>
      </c>
      <c r="CO176" s="21">
        <v>0</v>
      </c>
      <c r="CP176" s="21">
        <v>0</v>
      </c>
      <c r="CQ176" s="21">
        <v>0</v>
      </c>
      <c r="CR176" s="21">
        <v>0</v>
      </c>
      <c r="CS176" s="21">
        <v>0</v>
      </c>
      <c r="CT176" s="21">
        <v>0</v>
      </c>
      <c r="CU176" s="21">
        <v>0</v>
      </c>
      <c r="CV176" s="21">
        <v>0</v>
      </c>
      <c r="CW176" s="21">
        <v>0</v>
      </c>
      <c r="CX176" s="21">
        <v>0</v>
      </c>
      <c r="CY176" s="21">
        <v>0</v>
      </c>
      <c r="CZ176" s="21">
        <v>0</v>
      </c>
      <c r="DA176" s="21">
        <v>0</v>
      </c>
      <c r="DB176" s="21">
        <v>0</v>
      </c>
      <c r="DC176" s="21">
        <v>0</v>
      </c>
      <c r="DD176" s="21">
        <v>0</v>
      </c>
      <c r="DE176" s="21">
        <v>0</v>
      </c>
      <c r="DF176" s="21">
        <v>0</v>
      </c>
      <c r="DG176" s="21">
        <v>0</v>
      </c>
      <c r="DH176" s="21">
        <v>0</v>
      </c>
      <c r="DI176" s="21">
        <v>0</v>
      </c>
      <c r="DJ176" s="21">
        <v>0</v>
      </c>
      <c r="DK176" s="21">
        <v>0</v>
      </c>
      <c r="DL176" s="21">
        <v>0</v>
      </c>
      <c r="DM176" s="21">
        <v>0</v>
      </c>
      <c r="DN176" s="21">
        <v>0</v>
      </c>
      <c r="DO176" s="21">
        <v>0</v>
      </c>
      <c r="DP176" s="21">
        <v>0</v>
      </c>
      <c r="DQ176" s="21">
        <v>0</v>
      </c>
      <c r="DR176" s="21">
        <v>0</v>
      </c>
      <c r="DS176" s="21">
        <v>0</v>
      </c>
      <c r="DT176" s="21">
        <v>0</v>
      </c>
      <c r="DU176" s="21">
        <v>0</v>
      </c>
      <c r="DV176" s="21">
        <v>0</v>
      </c>
      <c r="DW176" s="21">
        <v>0</v>
      </c>
      <c r="DX176" s="21">
        <v>0</v>
      </c>
      <c r="DY176" s="21">
        <v>0</v>
      </c>
      <c r="DZ176" s="21">
        <v>0</v>
      </c>
      <c r="EA176" s="21">
        <v>0</v>
      </c>
      <c r="EB176" s="21">
        <v>0</v>
      </c>
      <c r="EC176" s="21">
        <v>0</v>
      </c>
      <c r="ED176" s="21">
        <v>0</v>
      </c>
      <c r="EE176" s="21">
        <v>0</v>
      </c>
      <c r="EF176" s="21">
        <v>0</v>
      </c>
    </row>
    <row r="177" spans="1:136" ht="14.5" x14ac:dyDescent="0.35">
      <c r="A177" s="20" t="s">
        <v>12</v>
      </c>
      <c r="B177" s="20" t="s">
        <v>23</v>
      </c>
      <c r="C177" s="20" t="s">
        <v>23</v>
      </c>
      <c r="D177" s="20" t="s">
        <v>334</v>
      </c>
      <c r="E177" s="20" t="s">
        <v>10</v>
      </c>
      <c r="F177" s="20" t="s">
        <v>89</v>
      </c>
      <c r="G177" s="21">
        <v>0</v>
      </c>
      <c r="H177" s="21">
        <v>0</v>
      </c>
      <c r="I177" s="21">
        <v>10</v>
      </c>
      <c r="J177" s="21">
        <v>-10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0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0</v>
      </c>
      <c r="AL177" s="21">
        <v>0</v>
      </c>
      <c r="AM177" s="21">
        <v>0</v>
      </c>
      <c r="AN177" s="21">
        <v>0</v>
      </c>
      <c r="AO177" s="21">
        <v>0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U177" s="21">
        <v>0</v>
      </c>
      <c r="AV177" s="21">
        <v>0</v>
      </c>
      <c r="AW177" s="21">
        <v>0</v>
      </c>
      <c r="AX177" s="21">
        <v>0</v>
      </c>
      <c r="AY177" s="21">
        <v>0</v>
      </c>
      <c r="AZ177" s="21">
        <v>0</v>
      </c>
      <c r="BA177" s="21">
        <v>0</v>
      </c>
      <c r="BB177" s="21">
        <v>0</v>
      </c>
      <c r="BC177" s="21">
        <v>0</v>
      </c>
      <c r="BD177" s="21">
        <v>0</v>
      </c>
      <c r="BE177" s="21">
        <v>0</v>
      </c>
      <c r="BF177" s="21">
        <v>0</v>
      </c>
      <c r="BG177" s="21">
        <v>0</v>
      </c>
      <c r="BH177" s="21">
        <v>0</v>
      </c>
      <c r="BI177" s="21">
        <v>0</v>
      </c>
      <c r="BJ177" s="21">
        <v>0</v>
      </c>
      <c r="BK177" s="21">
        <v>0</v>
      </c>
      <c r="BL177" s="21">
        <v>0</v>
      </c>
      <c r="BM177" s="21">
        <v>0</v>
      </c>
      <c r="BN177" s="21">
        <v>0</v>
      </c>
      <c r="BO177" s="21">
        <v>0</v>
      </c>
      <c r="BP177" s="21">
        <v>0</v>
      </c>
      <c r="BQ177" s="21">
        <v>0</v>
      </c>
      <c r="BR177" s="21">
        <v>0</v>
      </c>
      <c r="BS177" s="21">
        <v>0</v>
      </c>
      <c r="BT177" s="21">
        <v>0</v>
      </c>
      <c r="BU177" s="21">
        <v>0</v>
      </c>
      <c r="BV177" s="21">
        <v>0</v>
      </c>
      <c r="BW177" s="21">
        <v>0</v>
      </c>
      <c r="BX177" s="21">
        <v>0</v>
      </c>
      <c r="BY177" s="21">
        <v>0</v>
      </c>
      <c r="BZ177" s="21">
        <v>0</v>
      </c>
      <c r="CA177" s="21">
        <v>0</v>
      </c>
      <c r="CB177" s="21">
        <v>0</v>
      </c>
      <c r="CC177" s="21">
        <v>0</v>
      </c>
      <c r="CD177" s="21">
        <v>0</v>
      </c>
      <c r="CE177" s="21">
        <v>0</v>
      </c>
      <c r="CF177" s="21">
        <v>0</v>
      </c>
      <c r="CG177" s="21">
        <v>0</v>
      </c>
      <c r="CH177" s="21">
        <v>0</v>
      </c>
      <c r="CI177" s="21">
        <v>0</v>
      </c>
      <c r="CJ177" s="21">
        <v>0</v>
      </c>
      <c r="CK177" s="21">
        <v>0</v>
      </c>
      <c r="CL177" s="21">
        <v>0</v>
      </c>
      <c r="CM177" s="21">
        <v>0</v>
      </c>
      <c r="CN177" s="21">
        <v>0</v>
      </c>
      <c r="CO177" s="21">
        <v>0</v>
      </c>
      <c r="CP177" s="21">
        <v>0</v>
      </c>
      <c r="CQ177" s="21">
        <v>0</v>
      </c>
      <c r="CR177" s="21">
        <v>0</v>
      </c>
      <c r="CS177" s="21">
        <v>0</v>
      </c>
      <c r="CT177" s="21">
        <v>0</v>
      </c>
      <c r="CU177" s="21">
        <v>0</v>
      </c>
      <c r="CV177" s="21">
        <v>0</v>
      </c>
      <c r="CW177" s="21">
        <v>0</v>
      </c>
      <c r="CX177" s="21">
        <v>0</v>
      </c>
      <c r="CY177" s="21">
        <v>0</v>
      </c>
      <c r="CZ177" s="21">
        <v>5</v>
      </c>
      <c r="DA177" s="21">
        <v>5</v>
      </c>
      <c r="DB177" s="21">
        <v>0</v>
      </c>
      <c r="DC177" s="21">
        <v>0</v>
      </c>
      <c r="DD177" s="21">
        <v>0</v>
      </c>
      <c r="DE177" s="21">
        <v>0</v>
      </c>
      <c r="DF177" s="21">
        <v>0</v>
      </c>
      <c r="DG177" s="21">
        <v>0</v>
      </c>
      <c r="DH177" s="21">
        <v>0</v>
      </c>
      <c r="DI177" s="21">
        <v>0</v>
      </c>
      <c r="DJ177" s="21">
        <v>0</v>
      </c>
      <c r="DK177" s="21">
        <v>0</v>
      </c>
      <c r="DL177" s="21">
        <v>0</v>
      </c>
      <c r="DM177" s="21">
        <v>0</v>
      </c>
      <c r="DN177" s="21">
        <v>0</v>
      </c>
      <c r="DO177" s="21">
        <v>0</v>
      </c>
      <c r="DP177" s="21">
        <v>0</v>
      </c>
      <c r="DQ177" s="21">
        <v>0</v>
      </c>
      <c r="DR177" s="21">
        <v>0</v>
      </c>
      <c r="DS177" s="21">
        <v>0</v>
      </c>
      <c r="DT177" s="21">
        <v>0</v>
      </c>
      <c r="DU177" s="21">
        <v>0</v>
      </c>
      <c r="DV177" s="21">
        <v>0</v>
      </c>
      <c r="DW177" s="21">
        <v>0</v>
      </c>
      <c r="DX177" s="21">
        <v>0</v>
      </c>
      <c r="DY177" s="21">
        <v>0</v>
      </c>
      <c r="DZ177" s="21">
        <v>0</v>
      </c>
      <c r="EA177" s="21">
        <v>0</v>
      </c>
      <c r="EB177" s="21">
        <v>0</v>
      </c>
      <c r="EC177" s="21">
        <v>0</v>
      </c>
      <c r="ED177" s="21">
        <v>0</v>
      </c>
      <c r="EE177" s="21">
        <v>0</v>
      </c>
      <c r="EF177" s="21">
        <v>0</v>
      </c>
    </row>
    <row r="178" spans="1:136" ht="14.5" x14ac:dyDescent="0.35">
      <c r="A178" s="20" t="s">
        <v>12</v>
      </c>
      <c r="B178" s="20" t="s">
        <v>23</v>
      </c>
      <c r="C178" s="20" t="s">
        <v>23</v>
      </c>
      <c r="D178" s="20" t="s">
        <v>335</v>
      </c>
      <c r="E178" s="20" t="s">
        <v>10</v>
      </c>
      <c r="F178" s="20" t="s">
        <v>40</v>
      </c>
      <c r="G178" s="21">
        <v>0</v>
      </c>
      <c r="H178" s="21">
        <v>18</v>
      </c>
      <c r="I178" s="21">
        <v>0</v>
      </c>
      <c r="J178" s="21">
        <v>18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0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1">
        <v>0</v>
      </c>
      <c r="AZ178" s="21">
        <v>0</v>
      </c>
      <c r="BA178" s="21">
        <v>0</v>
      </c>
      <c r="BB178" s="21">
        <v>0</v>
      </c>
      <c r="BC178" s="21">
        <v>0</v>
      </c>
      <c r="BD178" s="21">
        <v>0</v>
      </c>
      <c r="BE178" s="21">
        <v>0</v>
      </c>
      <c r="BF178" s="21">
        <v>0</v>
      </c>
      <c r="BG178" s="21">
        <v>0</v>
      </c>
      <c r="BH178" s="21">
        <v>0</v>
      </c>
      <c r="BI178" s="21">
        <v>0</v>
      </c>
      <c r="BJ178" s="21">
        <v>0</v>
      </c>
      <c r="BK178" s="21">
        <v>0</v>
      </c>
      <c r="BL178" s="21">
        <v>0</v>
      </c>
      <c r="BM178" s="21">
        <v>0</v>
      </c>
      <c r="BN178" s="21">
        <v>0</v>
      </c>
      <c r="BO178" s="21">
        <v>0</v>
      </c>
      <c r="BP178" s="21">
        <v>0</v>
      </c>
      <c r="BQ178" s="21">
        <v>0</v>
      </c>
      <c r="BR178" s="21">
        <v>0</v>
      </c>
      <c r="BS178" s="21">
        <v>0</v>
      </c>
      <c r="BT178" s="21">
        <v>0</v>
      </c>
      <c r="BU178" s="21">
        <v>0</v>
      </c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1">
        <v>0</v>
      </c>
      <c r="CH178" s="21">
        <v>0</v>
      </c>
      <c r="CI178" s="21">
        <v>0</v>
      </c>
      <c r="CJ178" s="21">
        <v>0</v>
      </c>
      <c r="CK178" s="21">
        <v>0</v>
      </c>
      <c r="CL178" s="21">
        <v>0</v>
      </c>
      <c r="CM178" s="21">
        <v>0</v>
      </c>
      <c r="CN178" s="21">
        <v>0</v>
      </c>
      <c r="CO178" s="21">
        <v>0</v>
      </c>
      <c r="CP178" s="21">
        <v>0</v>
      </c>
      <c r="CQ178" s="21">
        <v>0</v>
      </c>
      <c r="CR178" s="21">
        <v>0</v>
      </c>
      <c r="CS178" s="21">
        <v>0</v>
      </c>
      <c r="CT178" s="21">
        <v>0</v>
      </c>
      <c r="CU178" s="21">
        <v>0</v>
      </c>
      <c r="CV178" s="21">
        <v>0</v>
      </c>
      <c r="CW178" s="21">
        <v>0</v>
      </c>
      <c r="CX178" s="21">
        <v>0</v>
      </c>
      <c r="CY178" s="21">
        <v>0</v>
      </c>
      <c r="CZ178" s="21">
        <v>0</v>
      </c>
      <c r="DA178" s="21">
        <v>0</v>
      </c>
      <c r="DB178" s="21">
        <v>0</v>
      </c>
      <c r="DC178" s="21">
        <v>0</v>
      </c>
      <c r="DD178" s="21">
        <v>0</v>
      </c>
      <c r="DE178" s="21">
        <v>0</v>
      </c>
      <c r="DF178" s="21">
        <v>0</v>
      </c>
      <c r="DG178" s="21">
        <v>0</v>
      </c>
      <c r="DH178" s="21">
        <v>0</v>
      </c>
      <c r="DI178" s="21">
        <v>0</v>
      </c>
      <c r="DJ178" s="21">
        <v>0</v>
      </c>
      <c r="DK178" s="21">
        <v>0</v>
      </c>
      <c r="DL178" s="21">
        <v>0</v>
      </c>
      <c r="DM178" s="21">
        <v>0</v>
      </c>
      <c r="DN178" s="21">
        <v>0</v>
      </c>
      <c r="DO178" s="21">
        <v>0</v>
      </c>
      <c r="DP178" s="21">
        <v>0</v>
      </c>
      <c r="DQ178" s="21">
        <v>0</v>
      </c>
      <c r="DR178" s="21">
        <v>0</v>
      </c>
      <c r="DS178" s="21">
        <v>0</v>
      </c>
      <c r="DT178" s="21">
        <v>0</v>
      </c>
      <c r="DU178" s="21">
        <v>0</v>
      </c>
      <c r="DV178" s="21">
        <v>0</v>
      </c>
      <c r="DW178" s="21">
        <v>0</v>
      </c>
      <c r="DX178" s="21">
        <v>0</v>
      </c>
      <c r="DY178" s="21">
        <v>0</v>
      </c>
      <c r="DZ178" s="21">
        <v>0</v>
      </c>
      <c r="EA178" s="21">
        <v>0</v>
      </c>
      <c r="EB178" s="21">
        <v>0</v>
      </c>
      <c r="EC178" s="21">
        <v>0</v>
      </c>
      <c r="ED178" s="21">
        <v>0</v>
      </c>
      <c r="EE178" s="21">
        <v>0</v>
      </c>
      <c r="EF178" s="21">
        <v>0</v>
      </c>
    </row>
    <row r="179" spans="1:136" ht="14.5" x14ac:dyDescent="0.35">
      <c r="A179" s="20" t="s">
        <v>12</v>
      </c>
      <c r="B179" s="20" t="s">
        <v>23</v>
      </c>
      <c r="C179" s="20" t="s">
        <v>23</v>
      </c>
      <c r="D179" s="20" t="s">
        <v>334</v>
      </c>
      <c r="E179" s="20" t="s">
        <v>10</v>
      </c>
      <c r="F179" s="20" t="s">
        <v>40</v>
      </c>
      <c r="G179" s="21">
        <v>0</v>
      </c>
      <c r="H179" s="21">
        <v>0</v>
      </c>
      <c r="I179" s="21">
        <v>18</v>
      </c>
      <c r="J179" s="21">
        <v>-18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1">
        <v>0</v>
      </c>
      <c r="AZ179" s="21">
        <v>0</v>
      </c>
      <c r="BA179" s="21">
        <v>0</v>
      </c>
      <c r="BB179" s="21">
        <v>0</v>
      </c>
      <c r="BC179" s="21">
        <v>0</v>
      </c>
      <c r="BD179" s="21">
        <v>0</v>
      </c>
      <c r="BE179" s="21">
        <v>0</v>
      </c>
      <c r="BF179" s="21">
        <v>0</v>
      </c>
      <c r="BG179" s="21">
        <v>0</v>
      </c>
      <c r="BH179" s="21">
        <v>0</v>
      </c>
      <c r="BI179" s="21">
        <v>0</v>
      </c>
      <c r="BJ179" s="21">
        <v>0</v>
      </c>
      <c r="BK179" s="21">
        <v>0</v>
      </c>
      <c r="BL179" s="21">
        <v>0</v>
      </c>
      <c r="BM179" s="21">
        <v>0</v>
      </c>
      <c r="BN179" s="21">
        <v>0</v>
      </c>
      <c r="BO179" s="21">
        <v>0</v>
      </c>
      <c r="BP179" s="21">
        <v>0</v>
      </c>
      <c r="BQ179" s="21">
        <v>0</v>
      </c>
      <c r="BR179" s="21">
        <v>0</v>
      </c>
      <c r="BS179" s="21">
        <v>0</v>
      </c>
      <c r="BT179" s="21">
        <v>0</v>
      </c>
      <c r="BU179" s="21">
        <v>0</v>
      </c>
      <c r="BV179" s="21">
        <v>0</v>
      </c>
      <c r="BW179" s="21">
        <v>0</v>
      </c>
      <c r="BX179" s="21">
        <v>0</v>
      </c>
      <c r="BY179" s="21">
        <v>0</v>
      </c>
      <c r="BZ179" s="21">
        <v>0</v>
      </c>
      <c r="CA179" s="21">
        <v>0</v>
      </c>
      <c r="CB179" s="21">
        <v>0</v>
      </c>
      <c r="CC179" s="21">
        <v>0</v>
      </c>
      <c r="CD179" s="21">
        <v>0</v>
      </c>
      <c r="CE179" s="21">
        <v>0</v>
      </c>
      <c r="CF179" s="21">
        <v>0</v>
      </c>
      <c r="CG179" s="21">
        <v>0</v>
      </c>
      <c r="CH179" s="21">
        <v>0</v>
      </c>
      <c r="CI179" s="21">
        <v>0</v>
      </c>
      <c r="CJ179" s="21">
        <v>0</v>
      </c>
      <c r="CK179" s="21">
        <v>0</v>
      </c>
      <c r="CL179" s="21">
        <v>0</v>
      </c>
      <c r="CM179" s="21">
        <v>0</v>
      </c>
      <c r="CN179" s="21">
        <v>0</v>
      </c>
      <c r="CO179" s="21">
        <v>0</v>
      </c>
      <c r="CP179" s="21">
        <v>0</v>
      </c>
      <c r="CQ179" s="21">
        <v>0</v>
      </c>
      <c r="CR179" s="21">
        <v>0</v>
      </c>
      <c r="CS179" s="21">
        <v>0</v>
      </c>
      <c r="CT179" s="21">
        <v>0</v>
      </c>
      <c r="CU179" s="21">
        <v>0</v>
      </c>
      <c r="CV179" s="21">
        <v>0</v>
      </c>
      <c r="CW179" s="21">
        <v>0</v>
      </c>
      <c r="CX179" s="21">
        <v>0</v>
      </c>
      <c r="CY179" s="21">
        <v>0</v>
      </c>
      <c r="CZ179" s="21">
        <v>0</v>
      </c>
      <c r="DA179" s="21">
        <v>0</v>
      </c>
      <c r="DB179" s="21">
        <v>0</v>
      </c>
      <c r="DC179" s="21">
        <v>0</v>
      </c>
      <c r="DD179" s="21">
        <v>0</v>
      </c>
      <c r="DE179" s="21">
        <v>0</v>
      </c>
      <c r="DF179" s="21">
        <v>0</v>
      </c>
      <c r="DG179" s="21">
        <v>0</v>
      </c>
      <c r="DH179" s="21">
        <v>0</v>
      </c>
      <c r="DI179" s="21">
        <v>0</v>
      </c>
      <c r="DJ179" s="21">
        <v>0</v>
      </c>
      <c r="DK179" s="21">
        <v>0</v>
      </c>
      <c r="DL179" s="21">
        <v>0</v>
      </c>
      <c r="DM179" s="21">
        <v>0</v>
      </c>
      <c r="DN179" s="21">
        <v>0</v>
      </c>
      <c r="DO179" s="21">
        <v>0</v>
      </c>
      <c r="DP179" s="21">
        <v>3</v>
      </c>
      <c r="DQ179" s="21">
        <v>5</v>
      </c>
      <c r="DR179" s="21">
        <v>10</v>
      </c>
      <c r="DS179" s="21">
        <v>0</v>
      </c>
      <c r="DT179" s="21">
        <v>0</v>
      </c>
      <c r="DU179" s="21">
        <v>0</v>
      </c>
      <c r="DV179" s="21">
        <v>0</v>
      </c>
      <c r="DW179" s="21">
        <v>0</v>
      </c>
      <c r="DX179" s="21">
        <v>0</v>
      </c>
      <c r="DY179" s="21">
        <v>0</v>
      </c>
      <c r="DZ179" s="21">
        <v>0</v>
      </c>
      <c r="EA179" s="21">
        <v>0</v>
      </c>
      <c r="EB179" s="21">
        <v>0</v>
      </c>
      <c r="EC179" s="21">
        <v>0</v>
      </c>
      <c r="ED179" s="21">
        <v>0</v>
      </c>
      <c r="EE179" s="21">
        <v>0</v>
      </c>
      <c r="EF179" s="21">
        <v>0</v>
      </c>
    </row>
    <row r="180" spans="1:136" ht="14.5" x14ac:dyDescent="0.35">
      <c r="A180" s="20" t="s">
        <v>12</v>
      </c>
      <c r="B180" s="20" t="s">
        <v>23</v>
      </c>
      <c r="C180" s="20" t="s">
        <v>23</v>
      </c>
      <c r="D180" s="20" t="s">
        <v>335</v>
      </c>
      <c r="E180" s="20" t="s">
        <v>10</v>
      </c>
      <c r="F180" s="20" t="s">
        <v>81</v>
      </c>
      <c r="G180" s="21">
        <v>1</v>
      </c>
      <c r="H180" s="21">
        <v>1</v>
      </c>
      <c r="I180" s="21">
        <v>1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>
        <v>0</v>
      </c>
      <c r="Z180" s="21">
        <v>0</v>
      </c>
      <c r="AA180" s="21">
        <v>0</v>
      </c>
      <c r="AB180" s="21">
        <v>0</v>
      </c>
      <c r="AC180" s="21">
        <v>0</v>
      </c>
      <c r="AD180" s="21">
        <v>1</v>
      </c>
      <c r="AE180" s="21">
        <v>0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0</v>
      </c>
      <c r="AT180" s="21">
        <v>0</v>
      </c>
      <c r="AU180" s="21">
        <v>0</v>
      </c>
      <c r="AV180" s="21">
        <v>0</v>
      </c>
      <c r="AW180" s="21">
        <v>0</v>
      </c>
      <c r="AX180" s="21">
        <v>0</v>
      </c>
      <c r="AY180" s="21">
        <v>0</v>
      </c>
      <c r="AZ180" s="21">
        <v>0</v>
      </c>
      <c r="BA180" s="21">
        <v>0</v>
      </c>
      <c r="BB180" s="21">
        <v>0</v>
      </c>
      <c r="BC180" s="21">
        <v>0</v>
      </c>
      <c r="BD180" s="21">
        <v>0</v>
      </c>
      <c r="BE180" s="21">
        <v>0</v>
      </c>
      <c r="BF180" s="21">
        <v>0</v>
      </c>
      <c r="BG180" s="21">
        <v>0</v>
      </c>
      <c r="BH180" s="21">
        <v>0</v>
      </c>
      <c r="BI180" s="21">
        <v>0</v>
      </c>
      <c r="BJ180" s="21">
        <v>0</v>
      </c>
      <c r="BK180" s="21">
        <v>0</v>
      </c>
      <c r="BL180" s="21">
        <v>0</v>
      </c>
      <c r="BM180" s="21">
        <v>0</v>
      </c>
      <c r="BN180" s="21">
        <v>0</v>
      </c>
      <c r="BO180" s="21">
        <v>0</v>
      </c>
      <c r="BP180" s="21">
        <v>0</v>
      </c>
      <c r="BQ180" s="21">
        <v>0</v>
      </c>
      <c r="BR180" s="21">
        <v>0</v>
      </c>
      <c r="BS180" s="21">
        <v>0</v>
      </c>
      <c r="BT180" s="21">
        <v>0</v>
      </c>
      <c r="BU180" s="21">
        <v>0</v>
      </c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1">
        <v>0</v>
      </c>
      <c r="CH180" s="21">
        <v>0</v>
      </c>
      <c r="CI180" s="21">
        <v>0</v>
      </c>
      <c r="CJ180" s="21">
        <v>0</v>
      </c>
      <c r="CK180" s="21">
        <v>0</v>
      </c>
      <c r="CL180" s="21">
        <v>0</v>
      </c>
      <c r="CM180" s="21">
        <v>0</v>
      </c>
      <c r="CN180" s="21">
        <v>0</v>
      </c>
      <c r="CO180" s="21">
        <v>0</v>
      </c>
      <c r="CP180" s="21">
        <v>0</v>
      </c>
      <c r="CQ180" s="21">
        <v>0</v>
      </c>
      <c r="CR180" s="21">
        <v>0</v>
      </c>
      <c r="CS180" s="21">
        <v>0</v>
      </c>
      <c r="CT180" s="21">
        <v>0</v>
      </c>
      <c r="CU180" s="21">
        <v>0</v>
      </c>
      <c r="CV180" s="21">
        <v>0</v>
      </c>
      <c r="CW180" s="21">
        <v>0</v>
      </c>
      <c r="CX180" s="21">
        <v>0</v>
      </c>
      <c r="CY180" s="21">
        <v>0</v>
      </c>
      <c r="CZ180" s="21">
        <v>0</v>
      </c>
      <c r="DA180" s="21">
        <v>0</v>
      </c>
      <c r="DB180" s="21">
        <v>0</v>
      </c>
      <c r="DC180" s="21">
        <v>0</v>
      </c>
      <c r="DD180" s="21">
        <v>0</v>
      </c>
      <c r="DE180" s="21">
        <v>0</v>
      </c>
      <c r="DF180" s="21">
        <v>0</v>
      </c>
      <c r="DG180" s="21">
        <v>0</v>
      </c>
      <c r="DH180" s="21">
        <v>0</v>
      </c>
      <c r="DI180" s="21">
        <v>0</v>
      </c>
      <c r="DJ180" s="21">
        <v>0</v>
      </c>
      <c r="DK180" s="21">
        <v>0</v>
      </c>
      <c r="DL180" s="21">
        <v>0</v>
      </c>
      <c r="DM180" s="21">
        <v>0</v>
      </c>
      <c r="DN180" s="21">
        <v>0</v>
      </c>
      <c r="DO180" s="21">
        <v>0</v>
      </c>
      <c r="DP180" s="21">
        <v>0</v>
      </c>
      <c r="DQ180" s="21">
        <v>0</v>
      </c>
      <c r="DR180" s="21">
        <v>0</v>
      </c>
      <c r="DS180" s="21">
        <v>0</v>
      </c>
      <c r="DT180" s="21">
        <v>0</v>
      </c>
      <c r="DU180" s="21">
        <v>0</v>
      </c>
      <c r="DV180" s="21">
        <v>0</v>
      </c>
      <c r="DW180" s="21">
        <v>0</v>
      </c>
      <c r="DX180" s="21">
        <v>0</v>
      </c>
      <c r="DY180" s="21">
        <v>0</v>
      </c>
      <c r="DZ180" s="21">
        <v>0</v>
      </c>
      <c r="EA180" s="21">
        <v>0</v>
      </c>
      <c r="EB180" s="21">
        <v>0</v>
      </c>
      <c r="EC180" s="21">
        <v>0</v>
      </c>
      <c r="ED180" s="21">
        <v>0</v>
      </c>
      <c r="EE180" s="21">
        <v>0</v>
      </c>
      <c r="EF180" s="21">
        <v>0</v>
      </c>
    </row>
    <row r="181" spans="1:136" ht="14.5" x14ac:dyDescent="0.35">
      <c r="A181" s="20" t="s">
        <v>12</v>
      </c>
      <c r="B181" s="20" t="s">
        <v>23</v>
      </c>
      <c r="C181" s="20" t="s">
        <v>23</v>
      </c>
      <c r="D181" s="20" t="s">
        <v>334</v>
      </c>
      <c r="E181" s="20" t="s">
        <v>10</v>
      </c>
      <c r="F181" s="20" t="s">
        <v>81</v>
      </c>
      <c r="G181" s="21">
        <v>0</v>
      </c>
      <c r="H181" s="21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0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0</v>
      </c>
      <c r="AT181" s="21">
        <v>0</v>
      </c>
      <c r="AU181" s="21">
        <v>0</v>
      </c>
      <c r="AV181" s="21">
        <v>0</v>
      </c>
      <c r="AW181" s="21">
        <v>0</v>
      </c>
      <c r="AX181" s="21">
        <v>0</v>
      </c>
      <c r="AY181" s="21">
        <v>0</v>
      </c>
      <c r="AZ181" s="21">
        <v>0</v>
      </c>
      <c r="BA181" s="21">
        <v>0</v>
      </c>
      <c r="BB181" s="21">
        <v>0</v>
      </c>
      <c r="BC181" s="21">
        <v>0</v>
      </c>
      <c r="BD181" s="21">
        <v>0</v>
      </c>
      <c r="BE181" s="21">
        <v>0</v>
      </c>
      <c r="BF181" s="21">
        <v>0</v>
      </c>
      <c r="BG181" s="21">
        <v>0</v>
      </c>
      <c r="BH181" s="21">
        <v>0</v>
      </c>
      <c r="BI181" s="21">
        <v>0</v>
      </c>
      <c r="BJ181" s="21">
        <v>0</v>
      </c>
      <c r="BK181" s="21">
        <v>0</v>
      </c>
      <c r="BL181" s="21">
        <v>0</v>
      </c>
      <c r="BM181" s="21">
        <v>0</v>
      </c>
      <c r="BN181" s="21">
        <v>0</v>
      </c>
      <c r="BO181" s="21">
        <v>0</v>
      </c>
      <c r="BP181" s="21">
        <v>0</v>
      </c>
      <c r="BQ181" s="21">
        <v>0</v>
      </c>
      <c r="BR181" s="21">
        <v>0</v>
      </c>
      <c r="BS181" s="21">
        <v>0</v>
      </c>
      <c r="BT181" s="21">
        <v>0</v>
      </c>
      <c r="BU181" s="21">
        <v>0</v>
      </c>
      <c r="BV181" s="21">
        <v>0</v>
      </c>
      <c r="BW181" s="21">
        <v>0</v>
      </c>
      <c r="BX181" s="21">
        <v>0</v>
      </c>
      <c r="BY181" s="21">
        <v>0</v>
      </c>
      <c r="BZ181" s="21">
        <v>0</v>
      </c>
      <c r="CA181" s="21">
        <v>0</v>
      </c>
      <c r="CB181" s="21">
        <v>0</v>
      </c>
      <c r="CC181" s="21">
        <v>0</v>
      </c>
      <c r="CD181" s="21">
        <v>0</v>
      </c>
      <c r="CE181" s="21">
        <v>0</v>
      </c>
      <c r="CF181" s="21">
        <v>0</v>
      </c>
      <c r="CG181" s="21">
        <v>0</v>
      </c>
      <c r="CH181" s="21">
        <v>0</v>
      </c>
      <c r="CI181" s="21">
        <v>0</v>
      </c>
      <c r="CJ181" s="21">
        <v>0</v>
      </c>
      <c r="CK181" s="21">
        <v>0</v>
      </c>
      <c r="CL181" s="21">
        <v>0</v>
      </c>
      <c r="CM181" s="21">
        <v>0</v>
      </c>
      <c r="CN181" s="21">
        <v>0</v>
      </c>
      <c r="CO181" s="21">
        <v>0</v>
      </c>
      <c r="CP181" s="21">
        <v>0</v>
      </c>
      <c r="CQ181" s="21">
        <v>0</v>
      </c>
      <c r="CR181" s="21">
        <v>0</v>
      </c>
      <c r="CS181" s="21">
        <v>0</v>
      </c>
      <c r="CT181" s="21">
        <v>0</v>
      </c>
      <c r="CU181" s="21">
        <v>0</v>
      </c>
      <c r="CV181" s="21">
        <v>0</v>
      </c>
      <c r="CW181" s="21">
        <v>0</v>
      </c>
      <c r="CX181" s="21">
        <v>0</v>
      </c>
      <c r="CY181" s="21">
        <v>0</v>
      </c>
      <c r="CZ181" s="21">
        <v>0</v>
      </c>
      <c r="DA181" s="21">
        <v>0</v>
      </c>
      <c r="DB181" s="21">
        <v>0</v>
      </c>
      <c r="DC181" s="21">
        <v>0</v>
      </c>
      <c r="DD181" s="21">
        <v>0</v>
      </c>
      <c r="DE181" s="21">
        <v>0</v>
      </c>
      <c r="DF181" s="21">
        <v>0</v>
      </c>
      <c r="DG181" s="21">
        <v>0</v>
      </c>
      <c r="DH181" s="21">
        <v>0</v>
      </c>
      <c r="DI181" s="21">
        <v>0</v>
      </c>
      <c r="DJ181" s="21">
        <v>0</v>
      </c>
      <c r="DK181" s="21">
        <v>0</v>
      </c>
      <c r="DL181" s="21">
        <v>0</v>
      </c>
      <c r="DM181" s="21">
        <v>0</v>
      </c>
      <c r="DN181" s="21">
        <v>0</v>
      </c>
      <c r="DO181" s="21">
        <v>0</v>
      </c>
      <c r="DP181" s="21">
        <v>0</v>
      </c>
      <c r="DQ181" s="21">
        <v>0</v>
      </c>
      <c r="DR181" s="21">
        <v>0</v>
      </c>
      <c r="DS181" s="21">
        <v>0</v>
      </c>
      <c r="DT181" s="21">
        <v>0</v>
      </c>
      <c r="DU181" s="21">
        <v>0</v>
      </c>
      <c r="DV181" s="21">
        <v>0</v>
      </c>
      <c r="DW181" s="21">
        <v>0</v>
      </c>
      <c r="DX181" s="21">
        <v>0</v>
      </c>
      <c r="DY181" s="21">
        <v>0</v>
      </c>
      <c r="DZ181" s="21">
        <v>0</v>
      </c>
      <c r="EA181" s="21">
        <v>0</v>
      </c>
      <c r="EB181" s="21">
        <v>0</v>
      </c>
      <c r="EC181" s="21">
        <v>0</v>
      </c>
      <c r="ED181" s="21">
        <v>0</v>
      </c>
      <c r="EE181" s="21">
        <v>0</v>
      </c>
      <c r="EF181" s="21">
        <v>0</v>
      </c>
    </row>
    <row r="182" spans="1:136" ht="14.5" x14ac:dyDescent="0.35">
      <c r="A182" s="20" t="s">
        <v>12</v>
      </c>
      <c r="B182" s="20" t="s">
        <v>23</v>
      </c>
      <c r="C182" s="20" t="s">
        <v>23</v>
      </c>
      <c r="D182" s="20" t="s">
        <v>335</v>
      </c>
      <c r="E182" s="20" t="s">
        <v>10</v>
      </c>
      <c r="F182" s="20" t="s">
        <v>103</v>
      </c>
      <c r="G182" s="21">
        <v>0</v>
      </c>
      <c r="H182" s="21">
        <v>0</v>
      </c>
      <c r="I182" s="21">
        <v>2.5</v>
      </c>
      <c r="J182" s="21">
        <v>-2.5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2.5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0</v>
      </c>
      <c r="AT182" s="21">
        <v>0</v>
      </c>
      <c r="AU182" s="21">
        <v>0</v>
      </c>
      <c r="AV182" s="21">
        <v>0</v>
      </c>
      <c r="AW182" s="21">
        <v>0</v>
      </c>
      <c r="AX182" s="21">
        <v>0</v>
      </c>
      <c r="AY182" s="21">
        <v>0</v>
      </c>
      <c r="AZ182" s="21">
        <v>0</v>
      </c>
      <c r="BA182" s="21">
        <v>0</v>
      </c>
      <c r="BB182" s="21">
        <v>0</v>
      </c>
      <c r="BC182" s="21">
        <v>0</v>
      </c>
      <c r="BD182" s="21">
        <v>0</v>
      </c>
      <c r="BE182" s="21">
        <v>0</v>
      </c>
      <c r="BF182" s="21">
        <v>0</v>
      </c>
      <c r="BG182" s="21">
        <v>0</v>
      </c>
      <c r="BH182" s="21">
        <v>0</v>
      </c>
      <c r="BI182" s="21">
        <v>0</v>
      </c>
      <c r="BJ182" s="21">
        <v>0</v>
      </c>
      <c r="BK182" s="21">
        <v>0</v>
      </c>
      <c r="BL182" s="21">
        <v>0</v>
      </c>
      <c r="BM182" s="21">
        <v>0</v>
      </c>
      <c r="BN182" s="21">
        <v>0</v>
      </c>
      <c r="BO182" s="21">
        <v>0</v>
      </c>
      <c r="BP182" s="21">
        <v>0</v>
      </c>
      <c r="BQ182" s="21">
        <v>0</v>
      </c>
      <c r="BR182" s="21">
        <v>0</v>
      </c>
      <c r="BS182" s="21">
        <v>0</v>
      </c>
      <c r="BT182" s="21">
        <v>0</v>
      </c>
      <c r="BU182" s="21">
        <v>0</v>
      </c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1">
        <v>0</v>
      </c>
      <c r="CH182" s="21">
        <v>0</v>
      </c>
      <c r="CI182" s="21">
        <v>0</v>
      </c>
      <c r="CJ182" s="21">
        <v>0</v>
      </c>
      <c r="CK182" s="21">
        <v>0</v>
      </c>
      <c r="CL182" s="21">
        <v>0</v>
      </c>
      <c r="CM182" s="21">
        <v>0</v>
      </c>
      <c r="CN182" s="21">
        <v>0</v>
      </c>
      <c r="CO182" s="21">
        <v>0</v>
      </c>
      <c r="CP182" s="21">
        <v>0</v>
      </c>
      <c r="CQ182" s="21">
        <v>0</v>
      </c>
      <c r="CR182" s="21">
        <v>0</v>
      </c>
      <c r="CS182" s="21">
        <v>0</v>
      </c>
      <c r="CT182" s="21">
        <v>0</v>
      </c>
      <c r="CU182" s="21">
        <v>0</v>
      </c>
      <c r="CV182" s="21">
        <v>0</v>
      </c>
      <c r="CW182" s="21">
        <v>0</v>
      </c>
      <c r="CX182" s="21">
        <v>0</v>
      </c>
      <c r="CY182" s="21">
        <v>0</v>
      </c>
      <c r="CZ182" s="21">
        <v>0</v>
      </c>
      <c r="DA182" s="21">
        <v>0</v>
      </c>
      <c r="DB182" s="21">
        <v>0</v>
      </c>
      <c r="DC182" s="21">
        <v>0</v>
      </c>
      <c r="DD182" s="21">
        <v>0</v>
      </c>
      <c r="DE182" s="21">
        <v>0</v>
      </c>
      <c r="DF182" s="21">
        <v>0</v>
      </c>
      <c r="DG182" s="21">
        <v>0</v>
      </c>
      <c r="DH182" s="21">
        <v>0</v>
      </c>
      <c r="DI182" s="21">
        <v>0</v>
      </c>
      <c r="DJ182" s="21">
        <v>0</v>
      </c>
      <c r="DK182" s="21">
        <v>0</v>
      </c>
      <c r="DL182" s="21">
        <v>0</v>
      </c>
      <c r="DM182" s="21">
        <v>0</v>
      </c>
      <c r="DN182" s="21">
        <v>0</v>
      </c>
      <c r="DO182" s="21">
        <v>0</v>
      </c>
      <c r="DP182" s="21">
        <v>0</v>
      </c>
      <c r="DQ182" s="21">
        <v>0</v>
      </c>
      <c r="DR182" s="21">
        <v>0</v>
      </c>
      <c r="DS182" s="21">
        <v>0</v>
      </c>
      <c r="DT182" s="21">
        <v>0</v>
      </c>
      <c r="DU182" s="21">
        <v>0</v>
      </c>
      <c r="DV182" s="21">
        <v>0</v>
      </c>
      <c r="DW182" s="21">
        <v>0</v>
      </c>
      <c r="DX182" s="21">
        <v>0</v>
      </c>
      <c r="DY182" s="21">
        <v>0</v>
      </c>
      <c r="DZ182" s="21">
        <v>0</v>
      </c>
      <c r="EA182" s="21">
        <v>0</v>
      </c>
      <c r="EB182" s="21">
        <v>0</v>
      </c>
      <c r="EC182" s="21">
        <v>0</v>
      </c>
      <c r="ED182" s="21">
        <v>0</v>
      </c>
      <c r="EE182" s="21">
        <v>0</v>
      </c>
      <c r="EF182" s="21">
        <v>0</v>
      </c>
    </row>
    <row r="183" spans="1:136" ht="14.5" x14ac:dyDescent="0.35">
      <c r="A183" s="20" t="s">
        <v>12</v>
      </c>
      <c r="B183" s="20" t="s">
        <v>23</v>
      </c>
      <c r="C183" s="20" t="s">
        <v>23</v>
      </c>
      <c r="D183" s="20" t="s">
        <v>335</v>
      </c>
      <c r="E183" s="20" t="s">
        <v>10</v>
      </c>
      <c r="F183" s="20" t="s">
        <v>103</v>
      </c>
      <c r="G183" s="21">
        <v>101</v>
      </c>
      <c r="H183" s="21">
        <v>401</v>
      </c>
      <c r="I183" s="21">
        <v>69</v>
      </c>
      <c r="J183" s="21">
        <v>332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0</v>
      </c>
      <c r="AA183" s="21">
        <v>0</v>
      </c>
      <c r="AB183" s="21">
        <v>0</v>
      </c>
      <c r="AC183" s="21">
        <v>5</v>
      </c>
      <c r="AD183" s="21">
        <v>12</v>
      </c>
      <c r="AE183" s="21">
        <v>5</v>
      </c>
      <c r="AF183" s="21">
        <v>10</v>
      </c>
      <c r="AG183" s="21">
        <v>14</v>
      </c>
      <c r="AH183" s="21">
        <v>19</v>
      </c>
      <c r="AI183" s="21">
        <v>2</v>
      </c>
      <c r="AJ183" s="21">
        <v>2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0</v>
      </c>
      <c r="AU183" s="21">
        <v>0</v>
      </c>
      <c r="AV183" s="21">
        <v>0</v>
      </c>
      <c r="AW183" s="21">
        <v>0</v>
      </c>
      <c r="AX183" s="21">
        <v>0</v>
      </c>
      <c r="AY183" s="21">
        <v>0</v>
      </c>
      <c r="AZ183" s="21">
        <v>0</v>
      </c>
      <c r="BA183" s="21">
        <v>0</v>
      </c>
      <c r="BB183" s="21">
        <v>0</v>
      </c>
      <c r="BC183" s="21">
        <v>0</v>
      </c>
      <c r="BD183" s="21">
        <v>0</v>
      </c>
      <c r="BE183" s="21">
        <v>0</v>
      </c>
      <c r="BF183" s="21">
        <v>0</v>
      </c>
      <c r="BG183" s="21">
        <v>0</v>
      </c>
      <c r="BH183" s="21">
        <v>0</v>
      </c>
      <c r="BI183" s="21">
        <v>0</v>
      </c>
      <c r="BJ183" s="21">
        <v>0</v>
      </c>
      <c r="BK183" s="21">
        <v>0</v>
      </c>
      <c r="BL183" s="21">
        <v>0</v>
      </c>
      <c r="BM183" s="21">
        <v>0</v>
      </c>
      <c r="BN183" s="21">
        <v>0</v>
      </c>
      <c r="BO183" s="21">
        <v>0</v>
      </c>
      <c r="BP183" s="21">
        <v>0</v>
      </c>
      <c r="BQ183" s="21">
        <v>0</v>
      </c>
      <c r="BR183" s="21">
        <v>0</v>
      </c>
      <c r="BS183" s="21">
        <v>0</v>
      </c>
      <c r="BT183" s="21">
        <v>0</v>
      </c>
      <c r="BU183" s="21">
        <v>0</v>
      </c>
      <c r="BV183" s="21">
        <v>0</v>
      </c>
      <c r="BW183" s="21">
        <v>0</v>
      </c>
      <c r="BX183" s="21">
        <v>0</v>
      </c>
      <c r="BY183" s="21">
        <v>0</v>
      </c>
      <c r="BZ183" s="21">
        <v>0</v>
      </c>
      <c r="CA183" s="21">
        <v>0</v>
      </c>
      <c r="CB183" s="21">
        <v>0</v>
      </c>
      <c r="CC183" s="21">
        <v>0</v>
      </c>
      <c r="CD183" s="21">
        <v>0</v>
      </c>
      <c r="CE183" s="21">
        <v>0</v>
      </c>
      <c r="CF183" s="21">
        <v>0</v>
      </c>
      <c r="CG183" s="21">
        <v>0</v>
      </c>
      <c r="CH183" s="21">
        <v>0</v>
      </c>
      <c r="CI183" s="21">
        <v>0</v>
      </c>
      <c r="CJ183" s="21">
        <v>0</v>
      </c>
      <c r="CK183" s="21">
        <v>0</v>
      </c>
      <c r="CL183" s="21">
        <v>0</v>
      </c>
      <c r="CM183" s="21">
        <v>0</v>
      </c>
      <c r="CN183" s="21">
        <v>0</v>
      </c>
      <c r="CO183" s="21">
        <v>0</v>
      </c>
      <c r="CP183" s="21">
        <v>0</v>
      </c>
      <c r="CQ183" s="21">
        <v>0</v>
      </c>
      <c r="CR183" s="21">
        <v>0</v>
      </c>
      <c r="CS183" s="21">
        <v>0</v>
      </c>
      <c r="CT183" s="21">
        <v>0</v>
      </c>
      <c r="CU183" s="21">
        <v>0</v>
      </c>
      <c r="CV183" s="21">
        <v>0</v>
      </c>
      <c r="CW183" s="21">
        <v>0</v>
      </c>
      <c r="CX183" s="21">
        <v>0</v>
      </c>
      <c r="CY183" s="21">
        <v>0</v>
      </c>
      <c r="CZ183" s="21">
        <v>0</v>
      </c>
      <c r="DA183" s="21">
        <v>0</v>
      </c>
      <c r="DB183" s="21">
        <v>0</v>
      </c>
      <c r="DC183" s="21">
        <v>0</v>
      </c>
      <c r="DD183" s="21">
        <v>0</v>
      </c>
      <c r="DE183" s="21">
        <v>0</v>
      </c>
      <c r="DF183" s="21">
        <v>0</v>
      </c>
      <c r="DG183" s="21">
        <v>0</v>
      </c>
      <c r="DH183" s="21">
        <v>0</v>
      </c>
      <c r="DI183" s="21">
        <v>0</v>
      </c>
      <c r="DJ183" s="21">
        <v>0</v>
      </c>
      <c r="DK183" s="21">
        <v>0</v>
      </c>
      <c r="DL183" s="21">
        <v>0</v>
      </c>
      <c r="DM183" s="21">
        <v>0</v>
      </c>
      <c r="DN183" s="21">
        <v>0</v>
      </c>
      <c r="DO183" s="21">
        <v>0</v>
      </c>
      <c r="DP183" s="21">
        <v>0</v>
      </c>
      <c r="DQ183" s="21">
        <v>0</v>
      </c>
      <c r="DR183" s="21">
        <v>0</v>
      </c>
      <c r="DS183" s="21">
        <v>0</v>
      </c>
      <c r="DT183" s="21">
        <v>0</v>
      </c>
      <c r="DU183" s="21">
        <v>0</v>
      </c>
      <c r="DV183" s="21">
        <v>0</v>
      </c>
      <c r="DW183" s="21">
        <v>0</v>
      </c>
      <c r="DX183" s="21">
        <v>0</v>
      </c>
      <c r="DY183" s="21">
        <v>0</v>
      </c>
      <c r="DZ183" s="21">
        <v>0</v>
      </c>
      <c r="EA183" s="21">
        <v>0</v>
      </c>
      <c r="EB183" s="21">
        <v>0</v>
      </c>
      <c r="EC183" s="21">
        <v>0</v>
      </c>
      <c r="ED183" s="21">
        <v>0</v>
      </c>
      <c r="EE183" s="21">
        <v>0</v>
      </c>
      <c r="EF183" s="21">
        <v>0</v>
      </c>
    </row>
    <row r="184" spans="1:136" ht="14.5" x14ac:dyDescent="0.35">
      <c r="A184" s="20" t="s">
        <v>12</v>
      </c>
      <c r="B184" s="20" t="s">
        <v>23</v>
      </c>
      <c r="C184" s="20" t="s">
        <v>23</v>
      </c>
      <c r="D184" s="20" t="s">
        <v>334</v>
      </c>
      <c r="E184" s="20" t="s">
        <v>10</v>
      </c>
      <c r="F184" s="20" t="s">
        <v>103</v>
      </c>
      <c r="G184" s="21">
        <v>0</v>
      </c>
      <c r="H184" s="21">
        <v>0</v>
      </c>
      <c r="I184" s="21">
        <v>304</v>
      </c>
      <c r="J184" s="21">
        <v>-304</v>
      </c>
      <c r="K184" s="21">
        <v>0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  <c r="AC184" s="21">
        <v>0</v>
      </c>
      <c r="AD184" s="21">
        <v>0</v>
      </c>
      <c r="AE184" s="21">
        <v>0</v>
      </c>
      <c r="AF184" s="21">
        <v>0</v>
      </c>
      <c r="AG184" s="21">
        <v>0</v>
      </c>
      <c r="AH184" s="21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3</v>
      </c>
      <c r="AN184" s="21">
        <v>1</v>
      </c>
      <c r="AO184" s="21">
        <v>0</v>
      </c>
      <c r="AP184" s="21">
        <v>0</v>
      </c>
      <c r="AQ184" s="21">
        <v>0</v>
      </c>
      <c r="AR184" s="21">
        <v>0</v>
      </c>
      <c r="AS184" s="21">
        <v>0</v>
      </c>
      <c r="AT184" s="21">
        <v>0</v>
      </c>
      <c r="AU184" s="21">
        <v>0</v>
      </c>
      <c r="AV184" s="21">
        <v>0</v>
      </c>
      <c r="AW184" s="21">
        <v>0</v>
      </c>
      <c r="AX184" s="21">
        <v>0</v>
      </c>
      <c r="AY184" s="21">
        <v>0</v>
      </c>
      <c r="AZ184" s="21">
        <v>0</v>
      </c>
      <c r="BA184" s="21">
        <v>0</v>
      </c>
      <c r="BB184" s="21">
        <v>0</v>
      </c>
      <c r="BC184" s="21">
        <v>0</v>
      </c>
      <c r="BD184" s="21">
        <v>0</v>
      </c>
      <c r="BE184" s="21">
        <v>0</v>
      </c>
      <c r="BF184" s="21">
        <v>0</v>
      </c>
      <c r="BG184" s="21">
        <v>0</v>
      </c>
      <c r="BH184" s="21">
        <v>0</v>
      </c>
      <c r="BI184" s="21">
        <v>0</v>
      </c>
      <c r="BJ184" s="21">
        <v>0</v>
      </c>
      <c r="BK184" s="21">
        <v>0</v>
      </c>
      <c r="BL184" s="21">
        <v>0</v>
      </c>
      <c r="BM184" s="21">
        <v>0</v>
      </c>
      <c r="BN184" s="21">
        <v>0</v>
      </c>
      <c r="BO184" s="21">
        <v>0</v>
      </c>
      <c r="BP184" s="21">
        <v>0</v>
      </c>
      <c r="BQ184" s="21">
        <v>0</v>
      </c>
      <c r="BR184" s="21">
        <v>0</v>
      </c>
      <c r="BS184" s="21">
        <v>0</v>
      </c>
      <c r="BT184" s="21">
        <v>0</v>
      </c>
      <c r="BU184" s="21">
        <v>0</v>
      </c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1">
        <v>0</v>
      </c>
      <c r="CH184" s="21">
        <v>0</v>
      </c>
      <c r="CI184" s="21">
        <v>0</v>
      </c>
      <c r="CJ184" s="21">
        <v>0</v>
      </c>
      <c r="CK184" s="21">
        <v>0</v>
      </c>
      <c r="CL184" s="21">
        <v>0</v>
      </c>
      <c r="CM184" s="21">
        <v>0</v>
      </c>
      <c r="CN184" s="21">
        <v>0</v>
      </c>
      <c r="CO184" s="21">
        <v>0</v>
      </c>
      <c r="CP184" s="21">
        <v>0</v>
      </c>
      <c r="CQ184" s="21">
        <v>0</v>
      </c>
      <c r="CR184" s="21">
        <v>0</v>
      </c>
      <c r="CS184" s="21">
        <v>0</v>
      </c>
      <c r="CT184" s="21">
        <v>0</v>
      </c>
      <c r="CU184" s="21">
        <v>0</v>
      </c>
      <c r="CV184" s="21">
        <v>0</v>
      </c>
      <c r="CW184" s="21">
        <v>0</v>
      </c>
      <c r="CX184" s="21">
        <v>0</v>
      </c>
      <c r="CY184" s="21">
        <v>15</v>
      </c>
      <c r="CZ184" s="21">
        <v>15</v>
      </c>
      <c r="DA184" s="21">
        <v>20</v>
      </c>
      <c r="DB184" s="21">
        <v>0</v>
      </c>
      <c r="DC184" s="21">
        <v>5</v>
      </c>
      <c r="DD184" s="21">
        <v>15</v>
      </c>
      <c r="DE184" s="21">
        <v>0</v>
      </c>
      <c r="DF184" s="21">
        <v>0</v>
      </c>
      <c r="DG184" s="21">
        <v>0</v>
      </c>
      <c r="DH184" s="21">
        <v>0</v>
      </c>
      <c r="DI184" s="21">
        <v>0</v>
      </c>
      <c r="DJ184" s="21">
        <v>0</v>
      </c>
      <c r="DK184" s="21">
        <v>25</v>
      </c>
      <c r="DL184" s="21">
        <v>25</v>
      </c>
      <c r="DM184" s="21">
        <v>35</v>
      </c>
      <c r="DN184" s="21">
        <v>40</v>
      </c>
      <c r="DO184" s="21">
        <v>35</v>
      </c>
      <c r="DP184" s="21">
        <v>45</v>
      </c>
      <c r="DQ184" s="21">
        <v>25</v>
      </c>
      <c r="DR184" s="21">
        <v>0</v>
      </c>
      <c r="DS184" s="21">
        <v>0</v>
      </c>
      <c r="DT184" s="21">
        <v>0</v>
      </c>
      <c r="DU184" s="21">
        <v>0</v>
      </c>
      <c r="DV184" s="21">
        <v>0</v>
      </c>
      <c r="DW184" s="21">
        <v>0</v>
      </c>
      <c r="DX184" s="21">
        <v>0</v>
      </c>
      <c r="DY184" s="21">
        <v>0</v>
      </c>
      <c r="DZ184" s="21">
        <v>0</v>
      </c>
      <c r="EA184" s="21">
        <v>0</v>
      </c>
      <c r="EB184" s="21">
        <v>0</v>
      </c>
      <c r="EC184" s="21">
        <v>0</v>
      </c>
      <c r="ED184" s="21">
        <v>0</v>
      </c>
      <c r="EE184" s="21">
        <v>0</v>
      </c>
      <c r="EF184" s="21">
        <v>0</v>
      </c>
    </row>
    <row r="185" spans="1:136" ht="14.5" x14ac:dyDescent="0.35">
      <c r="A185" s="20" t="s">
        <v>12</v>
      </c>
      <c r="B185" s="20" t="s">
        <v>23</v>
      </c>
      <c r="C185" s="20" t="s">
        <v>23</v>
      </c>
      <c r="D185" s="20" t="s">
        <v>335</v>
      </c>
      <c r="E185" s="20" t="s">
        <v>10</v>
      </c>
      <c r="F185" s="20" t="s">
        <v>90</v>
      </c>
      <c r="G185" s="21">
        <v>0</v>
      </c>
      <c r="H185" s="21">
        <v>0</v>
      </c>
      <c r="I185" s="21">
        <v>32</v>
      </c>
      <c r="J185" s="21">
        <v>-32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3</v>
      </c>
      <c r="Z185" s="21">
        <v>13</v>
      </c>
      <c r="AA185" s="21">
        <v>16</v>
      </c>
      <c r="AB185" s="21">
        <v>0</v>
      </c>
      <c r="AC185" s="21">
        <v>0</v>
      </c>
      <c r="AD185" s="21">
        <v>0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0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1">
        <v>0</v>
      </c>
      <c r="AT185" s="21">
        <v>0</v>
      </c>
      <c r="AU185" s="21">
        <v>0</v>
      </c>
      <c r="AV185" s="21">
        <v>0</v>
      </c>
      <c r="AW185" s="21">
        <v>0</v>
      </c>
      <c r="AX185" s="21">
        <v>0</v>
      </c>
      <c r="AY185" s="21">
        <v>0</v>
      </c>
      <c r="AZ185" s="21">
        <v>0</v>
      </c>
      <c r="BA185" s="21">
        <v>0</v>
      </c>
      <c r="BB185" s="21">
        <v>0</v>
      </c>
      <c r="BC185" s="21">
        <v>0</v>
      </c>
      <c r="BD185" s="21">
        <v>0</v>
      </c>
      <c r="BE185" s="21">
        <v>0</v>
      </c>
      <c r="BF185" s="21">
        <v>0</v>
      </c>
      <c r="BG185" s="21">
        <v>0</v>
      </c>
      <c r="BH185" s="21">
        <v>0</v>
      </c>
      <c r="BI185" s="21">
        <v>0</v>
      </c>
      <c r="BJ185" s="21">
        <v>0</v>
      </c>
      <c r="BK185" s="21">
        <v>0</v>
      </c>
      <c r="BL185" s="21">
        <v>0</v>
      </c>
      <c r="BM185" s="21">
        <v>0</v>
      </c>
      <c r="BN185" s="21">
        <v>0</v>
      </c>
      <c r="BO185" s="21">
        <v>0</v>
      </c>
      <c r="BP185" s="21">
        <v>0</v>
      </c>
      <c r="BQ185" s="21">
        <v>0</v>
      </c>
      <c r="BR185" s="21">
        <v>0</v>
      </c>
      <c r="BS185" s="21">
        <v>0</v>
      </c>
      <c r="BT185" s="21">
        <v>0</v>
      </c>
      <c r="BU185" s="21">
        <v>0</v>
      </c>
      <c r="BV185" s="21">
        <v>0</v>
      </c>
      <c r="BW185" s="21">
        <v>0</v>
      </c>
      <c r="BX185" s="21">
        <v>0</v>
      </c>
      <c r="BY185" s="21">
        <v>0</v>
      </c>
      <c r="BZ185" s="21">
        <v>0</v>
      </c>
      <c r="CA185" s="21">
        <v>0</v>
      </c>
      <c r="CB185" s="21">
        <v>0</v>
      </c>
      <c r="CC185" s="21">
        <v>0</v>
      </c>
      <c r="CD185" s="21">
        <v>0</v>
      </c>
      <c r="CE185" s="21">
        <v>0</v>
      </c>
      <c r="CF185" s="21">
        <v>0</v>
      </c>
      <c r="CG185" s="21">
        <v>0</v>
      </c>
      <c r="CH185" s="21">
        <v>0</v>
      </c>
      <c r="CI185" s="21">
        <v>0</v>
      </c>
      <c r="CJ185" s="21">
        <v>0</v>
      </c>
      <c r="CK185" s="21">
        <v>0</v>
      </c>
      <c r="CL185" s="21">
        <v>0</v>
      </c>
      <c r="CM185" s="21">
        <v>0</v>
      </c>
      <c r="CN185" s="21">
        <v>0</v>
      </c>
      <c r="CO185" s="21">
        <v>0</v>
      </c>
      <c r="CP185" s="21">
        <v>0</v>
      </c>
      <c r="CQ185" s="21">
        <v>0</v>
      </c>
      <c r="CR185" s="21">
        <v>0</v>
      </c>
      <c r="CS185" s="21">
        <v>0</v>
      </c>
      <c r="CT185" s="21">
        <v>0</v>
      </c>
      <c r="CU185" s="21">
        <v>0</v>
      </c>
      <c r="CV185" s="21">
        <v>0</v>
      </c>
      <c r="CW185" s="21">
        <v>0</v>
      </c>
      <c r="CX185" s="21">
        <v>0</v>
      </c>
      <c r="CY185" s="21">
        <v>0</v>
      </c>
      <c r="CZ185" s="21">
        <v>0</v>
      </c>
      <c r="DA185" s="21">
        <v>0</v>
      </c>
      <c r="DB185" s="21">
        <v>0</v>
      </c>
      <c r="DC185" s="21">
        <v>0</v>
      </c>
      <c r="DD185" s="21">
        <v>0</v>
      </c>
      <c r="DE185" s="21">
        <v>0</v>
      </c>
      <c r="DF185" s="21">
        <v>0</v>
      </c>
      <c r="DG185" s="21">
        <v>0</v>
      </c>
      <c r="DH185" s="21">
        <v>0</v>
      </c>
      <c r="DI185" s="21">
        <v>0</v>
      </c>
      <c r="DJ185" s="21">
        <v>0</v>
      </c>
      <c r="DK185" s="21">
        <v>0</v>
      </c>
      <c r="DL185" s="21">
        <v>0</v>
      </c>
      <c r="DM185" s="21">
        <v>0</v>
      </c>
      <c r="DN185" s="21">
        <v>0</v>
      </c>
      <c r="DO185" s="21">
        <v>0</v>
      </c>
      <c r="DP185" s="21">
        <v>0</v>
      </c>
      <c r="DQ185" s="21">
        <v>0</v>
      </c>
      <c r="DR185" s="21">
        <v>0</v>
      </c>
      <c r="DS185" s="21">
        <v>0</v>
      </c>
      <c r="DT185" s="21">
        <v>0</v>
      </c>
      <c r="DU185" s="21">
        <v>0</v>
      </c>
      <c r="DV185" s="21">
        <v>0</v>
      </c>
      <c r="DW185" s="21">
        <v>0</v>
      </c>
      <c r="DX185" s="21">
        <v>0</v>
      </c>
      <c r="DY185" s="21">
        <v>0</v>
      </c>
      <c r="DZ185" s="21">
        <v>0</v>
      </c>
      <c r="EA185" s="21">
        <v>0</v>
      </c>
      <c r="EB185" s="21">
        <v>0</v>
      </c>
      <c r="EC185" s="21">
        <v>0</v>
      </c>
      <c r="ED185" s="21">
        <v>0</v>
      </c>
      <c r="EE185" s="21">
        <v>0</v>
      </c>
      <c r="EF185" s="21">
        <v>0</v>
      </c>
    </row>
    <row r="186" spans="1:136" ht="14.5" x14ac:dyDescent="0.35">
      <c r="A186" s="20" t="s">
        <v>12</v>
      </c>
      <c r="B186" s="20" t="s">
        <v>23</v>
      </c>
      <c r="C186" s="20" t="s">
        <v>23</v>
      </c>
      <c r="D186" s="20" t="s">
        <v>335</v>
      </c>
      <c r="E186" s="20" t="s">
        <v>10</v>
      </c>
      <c r="F186" s="20" t="s">
        <v>113</v>
      </c>
      <c r="G186" s="21">
        <v>0</v>
      </c>
      <c r="H186" s="21">
        <v>0</v>
      </c>
      <c r="I186" s="21">
        <v>7</v>
      </c>
      <c r="J186" s="21">
        <v>-7</v>
      </c>
      <c r="K186" s="21">
        <v>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1</v>
      </c>
      <c r="AA186" s="21">
        <v>6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21">
        <v>0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0</v>
      </c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>
        <v>0</v>
      </c>
      <c r="BN186" s="21">
        <v>0</v>
      </c>
      <c r="BO186" s="21">
        <v>0</v>
      </c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21">
        <v>0</v>
      </c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1">
        <v>0</v>
      </c>
      <c r="CH186" s="21">
        <v>0</v>
      </c>
      <c r="CI186" s="21">
        <v>0</v>
      </c>
      <c r="CJ186" s="21">
        <v>0</v>
      </c>
      <c r="CK186" s="21">
        <v>0</v>
      </c>
      <c r="CL186" s="21">
        <v>0</v>
      </c>
      <c r="CM186" s="21">
        <v>0</v>
      </c>
      <c r="CN186" s="21">
        <v>0</v>
      </c>
      <c r="CO186" s="21">
        <v>0</v>
      </c>
      <c r="CP186" s="21">
        <v>0</v>
      </c>
      <c r="CQ186" s="21">
        <v>0</v>
      </c>
      <c r="CR186" s="21">
        <v>0</v>
      </c>
      <c r="CS186" s="21">
        <v>0</v>
      </c>
      <c r="CT186" s="21">
        <v>0</v>
      </c>
      <c r="CU186" s="21">
        <v>0</v>
      </c>
      <c r="CV186" s="21">
        <v>0</v>
      </c>
      <c r="CW186" s="21">
        <v>0</v>
      </c>
      <c r="CX186" s="21">
        <v>0</v>
      </c>
      <c r="CY186" s="21">
        <v>0</v>
      </c>
      <c r="CZ186" s="21">
        <v>0</v>
      </c>
      <c r="DA186" s="21">
        <v>0</v>
      </c>
      <c r="DB186" s="21">
        <v>0</v>
      </c>
      <c r="DC186" s="21">
        <v>0</v>
      </c>
      <c r="DD186" s="21">
        <v>0</v>
      </c>
      <c r="DE186" s="21">
        <v>0</v>
      </c>
      <c r="DF186" s="21">
        <v>0</v>
      </c>
      <c r="DG186" s="21">
        <v>0</v>
      </c>
      <c r="DH186" s="21">
        <v>0</v>
      </c>
      <c r="DI186" s="21">
        <v>0</v>
      </c>
      <c r="DJ186" s="21">
        <v>0</v>
      </c>
      <c r="DK186" s="21">
        <v>0</v>
      </c>
      <c r="DL186" s="21">
        <v>0</v>
      </c>
      <c r="DM186" s="21">
        <v>0</v>
      </c>
      <c r="DN186" s="21">
        <v>0</v>
      </c>
      <c r="DO186" s="21">
        <v>0</v>
      </c>
      <c r="DP186" s="21">
        <v>0</v>
      </c>
      <c r="DQ186" s="21">
        <v>0</v>
      </c>
      <c r="DR186" s="21">
        <v>0</v>
      </c>
      <c r="DS186" s="21">
        <v>0</v>
      </c>
      <c r="DT186" s="21">
        <v>0</v>
      </c>
      <c r="DU186" s="21">
        <v>0</v>
      </c>
      <c r="DV186" s="21">
        <v>0</v>
      </c>
      <c r="DW186" s="21">
        <v>0</v>
      </c>
      <c r="DX186" s="21">
        <v>0</v>
      </c>
      <c r="DY186" s="21">
        <v>0</v>
      </c>
      <c r="DZ186" s="21">
        <v>0</v>
      </c>
      <c r="EA186" s="21">
        <v>0</v>
      </c>
      <c r="EB186" s="21">
        <v>0</v>
      </c>
      <c r="EC186" s="21">
        <v>0</v>
      </c>
      <c r="ED186" s="21">
        <v>0</v>
      </c>
      <c r="EE186" s="21">
        <v>0</v>
      </c>
      <c r="EF186" s="21">
        <v>0</v>
      </c>
    </row>
    <row r="187" spans="1:136" ht="14.5" x14ac:dyDescent="0.35">
      <c r="A187" s="20" t="s">
        <v>12</v>
      </c>
      <c r="B187" s="20" t="s">
        <v>23</v>
      </c>
      <c r="C187" s="20" t="s">
        <v>23</v>
      </c>
      <c r="D187" s="20" t="s">
        <v>335</v>
      </c>
      <c r="E187" s="20" t="s">
        <v>10</v>
      </c>
      <c r="F187" s="20" t="s">
        <v>113</v>
      </c>
      <c r="G187" s="21">
        <v>126</v>
      </c>
      <c r="H187" s="21">
        <v>230</v>
      </c>
      <c r="I187" s="21">
        <v>31.5</v>
      </c>
      <c r="J187" s="21">
        <v>198.5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0</v>
      </c>
      <c r="Z187" s="21">
        <v>0</v>
      </c>
      <c r="AA187" s="21">
        <v>0</v>
      </c>
      <c r="AB187" s="21">
        <v>0</v>
      </c>
      <c r="AC187" s="21">
        <v>0</v>
      </c>
      <c r="AD187" s="21">
        <v>4</v>
      </c>
      <c r="AE187" s="21">
        <v>3</v>
      </c>
      <c r="AF187" s="21">
        <v>4</v>
      </c>
      <c r="AG187" s="21">
        <v>9</v>
      </c>
      <c r="AH187" s="21">
        <v>2.5</v>
      </c>
      <c r="AI187" s="21">
        <v>5</v>
      </c>
      <c r="AJ187" s="21">
        <v>4</v>
      </c>
      <c r="AK187" s="21">
        <v>0</v>
      </c>
      <c r="AL187" s="21">
        <v>0</v>
      </c>
      <c r="AM187" s="21">
        <v>0</v>
      </c>
      <c r="AN187" s="21">
        <v>0</v>
      </c>
      <c r="AO187" s="21">
        <v>0</v>
      </c>
      <c r="AP187" s="21">
        <v>0</v>
      </c>
      <c r="AQ187" s="21">
        <v>0</v>
      </c>
      <c r="AR187" s="21">
        <v>0</v>
      </c>
      <c r="AS187" s="21">
        <v>0</v>
      </c>
      <c r="AT187" s="21">
        <v>0</v>
      </c>
      <c r="AU187" s="21">
        <v>0</v>
      </c>
      <c r="AV187" s="21">
        <v>0</v>
      </c>
      <c r="AW187" s="21">
        <v>0</v>
      </c>
      <c r="AX187" s="21">
        <v>0</v>
      </c>
      <c r="AY187" s="21">
        <v>0</v>
      </c>
      <c r="AZ187" s="21">
        <v>0</v>
      </c>
      <c r="BA187" s="21">
        <v>0</v>
      </c>
      <c r="BB187" s="21">
        <v>0</v>
      </c>
      <c r="BC187" s="21">
        <v>0</v>
      </c>
      <c r="BD187" s="21">
        <v>0</v>
      </c>
      <c r="BE187" s="21">
        <v>0</v>
      </c>
      <c r="BF187" s="21">
        <v>0</v>
      </c>
      <c r="BG187" s="21">
        <v>0</v>
      </c>
      <c r="BH187" s="21">
        <v>0</v>
      </c>
      <c r="BI187" s="21">
        <v>0</v>
      </c>
      <c r="BJ187" s="21">
        <v>0</v>
      </c>
      <c r="BK187" s="21">
        <v>0</v>
      </c>
      <c r="BL187" s="21">
        <v>0</v>
      </c>
      <c r="BM187" s="21">
        <v>0</v>
      </c>
      <c r="BN187" s="21">
        <v>0</v>
      </c>
      <c r="BO187" s="21">
        <v>0</v>
      </c>
      <c r="BP187" s="21">
        <v>0</v>
      </c>
      <c r="BQ187" s="21">
        <v>0</v>
      </c>
      <c r="BR187" s="21">
        <v>0</v>
      </c>
      <c r="BS187" s="21">
        <v>0</v>
      </c>
      <c r="BT187" s="21">
        <v>0</v>
      </c>
      <c r="BU187" s="21">
        <v>0</v>
      </c>
      <c r="BV187" s="21">
        <v>0</v>
      </c>
      <c r="BW187" s="21">
        <v>0</v>
      </c>
      <c r="BX187" s="21">
        <v>0</v>
      </c>
      <c r="BY187" s="21">
        <v>0</v>
      </c>
      <c r="BZ187" s="21">
        <v>0</v>
      </c>
      <c r="CA187" s="21">
        <v>0</v>
      </c>
      <c r="CB187" s="21">
        <v>0</v>
      </c>
      <c r="CC187" s="21">
        <v>0</v>
      </c>
      <c r="CD187" s="21">
        <v>0</v>
      </c>
      <c r="CE187" s="21">
        <v>0</v>
      </c>
      <c r="CF187" s="21">
        <v>0</v>
      </c>
      <c r="CG187" s="21">
        <v>0</v>
      </c>
      <c r="CH187" s="21">
        <v>0</v>
      </c>
      <c r="CI187" s="21">
        <v>0</v>
      </c>
      <c r="CJ187" s="21">
        <v>0</v>
      </c>
      <c r="CK187" s="21">
        <v>0</v>
      </c>
      <c r="CL187" s="21">
        <v>0</v>
      </c>
      <c r="CM187" s="21">
        <v>0</v>
      </c>
      <c r="CN187" s="21">
        <v>0</v>
      </c>
      <c r="CO187" s="21">
        <v>0</v>
      </c>
      <c r="CP187" s="21">
        <v>0</v>
      </c>
      <c r="CQ187" s="21">
        <v>0</v>
      </c>
      <c r="CR187" s="21">
        <v>0</v>
      </c>
      <c r="CS187" s="21">
        <v>0</v>
      </c>
      <c r="CT187" s="21">
        <v>0</v>
      </c>
      <c r="CU187" s="21">
        <v>0</v>
      </c>
      <c r="CV187" s="21">
        <v>0</v>
      </c>
      <c r="CW187" s="21">
        <v>0</v>
      </c>
      <c r="CX187" s="21">
        <v>0</v>
      </c>
      <c r="CY187" s="21">
        <v>0</v>
      </c>
      <c r="CZ187" s="21">
        <v>0</v>
      </c>
      <c r="DA187" s="21">
        <v>0</v>
      </c>
      <c r="DB187" s="21">
        <v>0</v>
      </c>
      <c r="DC187" s="21">
        <v>0</v>
      </c>
      <c r="DD187" s="21">
        <v>0</v>
      </c>
      <c r="DE187" s="21">
        <v>0</v>
      </c>
      <c r="DF187" s="21">
        <v>0</v>
      </c>
      <c r="DG187" s="21">
        <v>0</v>
      </c>
      <c r="DH187" s="21">
        <v>0</v>
      </c>
      <c r="DI187" s="21">
        <v>0</v>
      </c>
      <c r="DJ187" s="21">
        <v>0</v>
      </c>
      <c r="DK187" s="21">
        <v>0</v>
      </c>
      <c r="DL187" s="21">
        <v>0</v>
      </c>
      <c r="DM187" s="21">
        <v>0</v>
      </c>
      <c r="DN187" s="21">
        <v>0</v>
      </c>
      <c r="DO187" s="21">
        <v>0</v>
      </c>
      <c r="DP187" s="21">
        <v>0</v>
      </c>
      <c r="DQ187" s="21">
        <v>0</v>
      </c>
      <c r="DR187" s="21">
        <v>0</v>
      </c>
      <c r="DS187" s="21">
        <v>0</v>
      </c>
      <c r="DT187" s="21">
        <v>0</v>
      </c>
      <c r="DU187" s="21">
        <v>0</v>
      </c>
      <c r="DV187" s="21">
        <v>0</v>
      </c>
      <c r="DW187" s="21">
        <v>0</v>
      </c>
      <c r="DX187" s="21">
        <v>0</v>
      </c>
      <c r="DY187" s="21">
        <v>0</v>
      </c>
      <c r="DZ187" s="21">
        <v>0</v>
      </c>
      <c r="EA187" s="21">
        <v>0</v>
      </c>
      <c r="EB187" s="21">
        <v>0</v>
      </c>
      <c r="EC187" s="21">
        <v>0</v>
      </c>
      <c r="ED187" s="21">
        <v>0</v>
      </c>
      <c r="EE187" s="21">
        <v>0</v>
      </c>
      <c r="EF187" s="21">
        <v>0</v>
      </c>
    </row>
    <row r="188" spans="1:136" ht="14.5" x14ac:dyDescent="0.35">
      <c r="A188" s="20" t="s">
        <v>12</v>
      </c>
      <c r="B188" s="20" t="s">
        <v>23</v>
      </c>
      <c r="C188" s="20" t="s">
        <v>23</v>
      </c>
      <c r="D188" s="20" t="s">
        <v>334</v>
      </c>
      <c r="E188" s="20" t="s">
        <v>10</v>
      </c>
      <c r="F188" s="20" t="s">
        <v>113</v>
      </c>
      <c r="G188" s="21">
        <v>0</v>
      </c>
      <c r="H188" s="21">
        <v>0</v>
      </c>
      <c r="I188" s="21">
        <v>141.5</v>
      </c>
      <c r="J188" s="21">
        <v>-141.5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0</v>
      </c>
      <c r="Z188" s="21">
        <v>0</v>
      </c>
      <c r="AA188" s="21">
        <v>0</v>
      </c>
      <c r="AB188" s="21">
        <v>0</v>
      </c>
      <c r="AC188" s="21">
        <v>0</v>
      </c>
      <c r="AD188" s="21">
        <v>0</v>
      </c>
      <c r="AE188" s="21">
        <v>0</v>
      </c>
      <c r="AF188" s="21">
        <v>0</v>
      </c>
      <c r="AG188" s="21">
        <v>0</v>
      </c>
      <c r="AH188" s="21">
        <v>0</v>
      </c>
      <c r="AI188" s="21">
        <v>0</v>
      </c>
      <c r="AJ188" s="21">
        <v>6</v>
      </c>
      <c r="AK188" s="21">
        <v>0</v>
      </c>
      <c r="AL188" s="21">
        <v>10.5</v>
      </c>
      <c r="AM188" s="21">
        <v>5</v>
      </c>
      <c r="AN188" s="21">
        <v>6</v>
      </c>
      <c r="AO188" s="21">
        <v>3</v>
      </c>
      <c r="AP188" s="21">
        <v>5</v>
      </c>
      <c r="AQ188" s="21">
        <v>2</v>
      </c>
      <c r="AR188" s="21">
        <v>0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0</v>
      </c>
      <c r="AY188" s="21">
        <v>0</v>
      </c>
      <c r="AZ188" s="21">
        <v>0</v>
      </c>
      <c r="BA188" s="21">
        <v>0</v>
      </c>
      <c r="BB188" s="21">
        <v>0</v>
      </c>
      <c r="BC188" s="21">
        <v>0</v>
      </c>
      <c r="BD188" s="21">
        <v>0</v>
      </c>
      <c r="BE188" s="21">
        <v>0</v>
      </c>
      <c r="BF188" s="21">
        <v>0</v>
      </c>
      <c r="BG188" s="21">
        <v>0</v>
      </c>
      <c r="BH188" s="21">
        <v>0</v>
      </c>
      <c r="BI188" s="21">
        <v>0</v>
      </c>
      <c r="BJ188" s="21">
        <v>0</v>
      </c>
      <c r="BK188" s="21">
        <v>0</v>
      </c>
      <c r="BL188" s="21">
        <v>0</v>
      </c>
      <c r="BM188" s="21">
        <v>0</v>
      </c>
      <c r="BN188" s="21">
        <v>0</v>
      </c>
      <c r="BO188" s="21">
        <v>0</v>
      </c>
      <c r="BP188" s="21">
        <v>0</v>
      </c>
      <c r="BQ188" s="21">
        <v>0</v>
      </c>
      <c r="BR188" s="21">
        <v>0</v>
      </c>
      <c r="BS188" s="21">
        <v>0</v>
      </c>
      <c r="BT188" s="21">
        <v>0</v>
      </c>
      <c r="BU188" s="21">
        <v>0</v>
      </c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1">
        <v>0</v>
      </c>
      <c r="CH188" s="21">
        <v>0</v>
      </c>
      <c r="CI188" s="21">
        <v>0</v>
      </c>
      <c r="CJ188" s="21">
        <v>0</v>
      </c>
      <c r="CK188" s="21">
        <v>0</v>
      </c>
      <c r="CL188" s="21">
        <v>0</v>
      </c>
      <c r="CM188" s="21">
        <v>0</v>
      </c>
      <c r="CN188" s="21">
        <v>0</v>
      </c>
      <c r="CO188" s="21">
        <v>0</v>
      </c>
      <c r="CP188" s="21">
        <v>0</v>
      </c>
      <c r="CQ188" s="21">
        <v>0</v>
      </c>
      <c r="CR188" s="21">
        <v>0</v>
      </c>
      <c r="CS188" s="21">
        <v>0</v>
      </c>
      <c r="CT188" s="21">
        <v>0</v>
      </c>
      <c r="CU188" s="21">
        <v>0</v>
      </c>
      <c r="CV188" s="21">
        <v>0</v>
      </c>
      <c r="CW188" s="21">
        <v>0</v>
      </c>
      <c r="CX188" s="21">
        <v>8</v>
      </c>
      <c r="CY188" s="21">
        <v>8</v>
      </c>
      <c r="CZ188" s="21">
        <v>10</v>
      </c>
      <c r="DA188" s="21">
        <v>12</v>
      </c>
      <c r="DB188" s="21">
        <v>10</v>
      </c>
      <c r="DC188" s="21">
        <v>8</v>
      </c>
      <c r="DD188" s="21">
        <v>8</v>
      </c>
      <c r="DE188" s="21">
        <v>0</v>
      </c>
      <c r="DF188" s="21">
        <v>8</v>
      </c>
      <c r="DG188" s="21">
        <v>10</v>
      </c>
      <c r="DH188" s="21">
        <v>10</v>
      </c>
      <c r="DI188" s="21">
        <v>0</v>
      </c>
      <c r="DJ188" s="21">
        <v>0</v>
      </c>
      <c r="DK188" s="21">
        <v>6</v>
      </c>
      <c r="DL188" s="21">
        <v>6</v>
      </c>
      <c r="DM188" s="21">
        <v>0</v>
      </c>
      <c r="DN188" s="21">
        <v>0</v>
      </c>
      <c r="DO188" s="21">
        <v>0</v>
      </c>
      <c r="DP188" s="21">
        <v>0</v>
      </c>
      <c r="DQ188" s="21">
        <v>0</v>
      </c>
      <c r="DR188" s="21">
        <v>0</v>
      </c>
      <c r="DS188" s="21">
        <v>0</v>
      </c>
      <c r="DT188" s="21">
        <v>0</v>
      </c>
      <c r="DU188" s="21">
        <v>0</v>
      </c>
      <c r="DV188" s="21">
        <v>0</v>
      </c>
      <c r="DW188" s="21">
        <v>0</v>
      </c>
      <c r="DX188" s="21">
        <v>0</v>
      </c>
      <c r="DY188" s="21">
        <v>0</v>
      </c>
      <c r="DZ188" s="21">
        <v>0</v>
      </c>
      <c r="EA188" s="21">
        <v>0</v>
      </c>
      <c r="EB188" s="21">
        <v>0</v>
      </c>
      <c r="EC188" s="21">
        <v>0</v>
      </c>
      <c r="ED188" s="21">
        <v>0</v>
      </c>
      <c r="EE188" s="21">
        <v>0</v>
      </c>
      <c r="EF188" s="21">
        <v>0</v>
      </c>
    </row>
    <row r="189" spans="1:136" ht="14.5" x14ac:dyDescent="0.35">
      <c r="A189" s="20" t="s">
        <v>12</v>
      </c>
      <c r="B189" s="20" t="s">
        <v>23</v>
      </c>
      <c r="C189" s="20" t="s">
        <v>23</v>
      </c>
      <c r="D189" s="20" t="s">
        <v>335</v>
      </c>
      <c r="E189" s="20" t="s">
        <v>10</v>
      </c>
      <c r="F189" s="20" t="s">
        <v>125</v>
      </c>
      <c r="G189" s="21">
        <v>0</v>
      </c>
      <c r="H189" s="21">
        <v>0</v>
      </c>
      <c r="I189" s="21">
        <v>1</v>
      </c>
      <c r="J189" s="21">
        <v>-1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1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0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1">
        <v>0</v>
      </c>
      <c r="AZ189" s="21">
        <v>0</v>
      </c>
      <c r="BA189" s="21">
        <v>0</v>
      </c>
      <c r="BB189" s="21">
        <v>0</v>
      </c>
      <c r="BC189" s="21">
        <v>0</v>
      </c>
      <c r="BD189" s="21">
        <v>0</v>
      </c>
      <c r="BE189" s="21">
        <v>0</v>
      </c>
      <c r="BF189" s="21">
        <v>0</v>
      </c>
      <c r="BG189" s="21">
        <v>0</v>
      </c>
      <c r="BH189" s="21">
        <v>0</v>
      </c>
      <c r="BI189" s="21">
        <v>0</v>
      </c>
      <c r="BJ189" s="21">
        <v>0</v>
      </c>
      <c r="BK189" s="21">
        <v>0</v>
      </c>
      <c r="BL189" s="21">
        <v>0</v>
      </c>
      <c r="BM189" s="21">
        <v>0</v>
      </c>
      <c r="BN189" s="21">
        <v>0</v>
      </c>
      <c r="BO189" s="21">
        <v>0</v>
      </c>
      <c r="BP189" s="21">
        <v>0</v>
      </c>
      <c r="BQ189" s="21">
        <v>0</v>
      </c>
      <c r="BR189" s="21">
        <v>0</v>
      </c>
      <c r="BS189" s="21">
        <v>0</v>
      </c>
      <c r="BT189" s="21">
        <v>0</v>
      </c>
      <c r="BU189" s="21">
        <v>0</v>
      </c>
      <c r="BV189" s="21">
        <v>0</v>
      </c>
      <c r="BW189" s="21">
        <v>0</v>
      </c>
      <c r="BX189" s="21">
        <v>0</v>
      </c>
      <c r="BY189" s="21">
        <v>0</v>
      </c>
      <c r="BZ189" s="21">
        <v>0</v>
      </c>
      <c r="CA189" s="21">
        <v>0</v>
      </c>
      <c r="CB189" s="21">
        <v>0</v>
      </c>
      <c r="CC189" s="21">
        <v>0</v>
      </c>
      <c r="CD189" s="21">
        <v>0</v>
      </c>
      <c r="CE189" s="21">
        <v>0</v>
      </c>
      <c r="CF189" s="21">
        <v>0</v>
      </c>
      <c r="CG189" s="21">
        <v>0</v>
      </c>
      <c r="CH189" s="21">
        <v>0</v>
      </c>
      <c r="CI189" s="21">
        <v>0</v>
      </c>
      <c r="CJ189" s="21">
        <v>0</v>
      </c>
      <c r="CK189" s="21">
        <v>0</v>
      </c>
      <c r="CL189" s="21">
        <v>0</v>
      </c>
      <c r="CM189" s="21">
        <v>0</v>
      </c>
      <c r="CN189" s="21">
        <v>0</v>
      </c>
      <c r="CO189" s="21">
        <v>0</v>
      </c>
      <c r="CP189" s="21">
        <v>0</v>
      </c>
      <c r="CQ189" s="21">
        <v>0</v>
      </c>
      <c r="CR189" s="21">
        <v>0</v>
      </c>
      <c r="CS189" s="21">
        <v>0</v>
      </c>
      <c r="CT189" s="21">
        <v>0</v>
      </c>
      <c r="CU189" s="21">
        <v>0</v>
      </c>
      <c r="CV189" s="21">
        <v>0</v>
      </c>
      <c r="CW189" s="21">
        <v>0</v>
      </c>
      <c r="CX189" s="21">
        <v>0</v>
      </c>
      <c r="CY189" s="21">
        <v>0</v>
      </c>
      <c r="CZ189" s="21">
        <v>0</v>
      </c>
      <c r="DA189" s="21">
        <v>0</v>
      </c>
      <c r="DB189" s="21">
        <v>0</v>
      </c>
      <c r="DC189" s="21">
        <v>0</v>
      </c>
      <c r="DD189" s="21">
        <v>0</v>
      </c>
      <c r="DE189" s="21">
        <v>0</v>
      </c>
      <c r="DF189" s="21">
        <v>0</v>
      </c>
      <c r="DG189" s="21">
        <v>0</v>
      </c>
      <c r="DH189" s="21">
        <v>0</v>
      </c>
      <c r="DI189" s="21">
        <v>0</v>
      </c>
      <c r="DJ189" s="21">
        <v>0</v>
      </c>
      <c r="DK189" s="21">
        <v>0</v>
      </c>
      <c r="DL189" s="21">
        <v>0</v>
      </c>
      <c r="DM189" s="21">
        <v>0</v>
      </c>
      <c r="DN189" s="21">
        <v>0</v>
      </c>
      <c r="DO189" s="21">
        <v>0</v>
      </c>
      <c r="DP189" s="21">
        <v>0</v>
      </c>
      <c r="DQ189" s="21">
        <v>0</v>
      </c>
      <c r="DR189" s="21">
        <v>0</v>
      </c>
      <c r="DS189" s="21">
        <v>0</v>
      </c>
      <c r="DT189" s="21">
        <v>0</v>
      </c>
      <c r="DU189" s="21">
        <v>0</v>
      </c>
      <c r="DV189" s="21">
        <v>0</v>
      </c>
      <c r="DW189" s="21">
        <v>0</v>
      </c>
      <c r="DX189" s="21">
        <v>0</v>
      </c>
      <c r="DY189" s="21">
        <v>0</v>
      </c>
      <c r="DZ189" s="21">
        <v>0</v>
      </c>
      <c r="EA189" s="21">
        <v>0</v>
      </c>
      <c r="EB189" s="21">
        <v>0</v>
      </c>
      <c r="EC189" s="21">
        <v>0</v>
      </c>
      <c r="ED189" s="21">
        <v>0</v>
      </c>
      <c r="EE189" s="21">
        <v>0</v>
      </c>
      <c r="EF189" s="21">
        <v>0</v>
      </c>
    </row>
    <row r="190" spans="1:136" ht="14.5" x14ac:dyDescent="0.35">
      <c r="A190" s="20" t="s">
        <v>12</v>
      </c>
      <c r="B190" s="20" t="s">
        <v>23</v>
      </c>
      <c r="C190" s="20" t="s">
        <v>23</v>
      </c>
      <c r="D190" s="20" t="s">
        <v>335</v>
      </c>
      <c r="E190" s="20" t="s">
        <v>10</v>
      </c>
      <c r="F190" s="20" t="s">
        <v>91</v>
      </c>
      <c r="G190" s="21">
        <v>14</v>
      </c>
      <c r="H190" s="21">
        <v>14</v>
      </c>
      <c r="I190" s="21">
        <v>0</v>
      </c>
      <c r="J190" s="21">
        <v>14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0</v>
      </c>
      <c r="Z190" s="21">
        <v>0</v>
      </c>
      <c r="AA190" s="21">
        <v>0</v>
      </c>
      <c r="AB190" s="21">
        <v>0</v>
      </c>
      <c r="AC190" s="21">
        <v>0</v>
      </c>
      <c r="AD190" s="21">
        <v>0</v>
      </c>
      <c r="AE190" s="21">
        <v>0</v>
      </c>
      <c r="AF190" s="21">
        <v>0</v>
      </c>
      <c r="AG190" s="21">
        <v>0</v>
      </c>
      <c r="AH190" s="21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0</v>
      </c>
      <c r="AT190" s="21">
        <v>0</v>
      </c>
      <c r="AU190" s="21">
        <v>0</v>
      </c>
      <c r="AV190" s="21">
        <v>0</v>
      </c>
      <c r="AW190" s="21">
        <v>0</v>
      </c>
      <c r="AX190" s="21">
        <v>0</v>
      </c>
      <c r="AY190" s="21">
        <v>0</v>
      </c>
      <c r="AZ190" s="21">
        <v>0</v>
      </c>
      <c r="BA190" s="21">
        <v>0</v>
      </c>
      <c r="BB190" s="21">
        <v>0</v>
      </c>
      <c r="BC190" s="21">
        <v>0</v>
      </c>
      <c r="BD190" s="21">
        <v>0</v>
      </c>
      <c r="BE190" s="21">
        <v>0</v>
      </c>
      <c r="BF190" s="21">
        <v>0</v>
      </c>
      <c r="BG190" s="21">
        <v>0</v>
      </c>
      <c r="BH190" s="21">
        <v>0</v>
      </c>
      <c r="BI190" s="21">
        <v>0</v>
      </c>
      <c r="BJ190" s="21">
        <v>0</v>
      </c>
      <c r="BK190" s="21">
        <v>0</v>
      </c>
      <c r="BL190" s="21">
        <v>0</v>
      </c>
      <c r="BM190" s="21">
        <v>0</v>
      </c>
      <c r="BN190" s="21">
        <v>0</v>
      </c>
      <c r="BO190" s="21">
        <v>0</v>
      </c>
      <c r="BP190" s="21">
        <v>0</v>
      </c>
      <c r="BQ190" s="21">
        <v>0</v>
      </c>
      <c r="BR190" s="21">
        <v>0</v>
      </c>
      <c r="BS190" s="21">
        <v>0</v>
      </c>
      <c r="BT190" s="21">
        <v>0</v>
      </c>
      <c r="BU190" s="21">
        <v>0</v>
      </c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1">
        <v>0</v>
      </c>
      <c r="CH190" s="21">
        <v>0</v>
      </c>
      <c r="CI190" s="21">
        <v>0</v>
      </c>
      <c r="CJ190" s="21">
        <v>0</v>
      </c>
      <c r="CK190" s="21">
        <v>0</v>
      </c>
      <c r="CL190" s="21">
        <v>0</v>
      </c>
      <c r="CM190" s="21">
        <v>0</v>
      </c>
      <c r="CN190" s="21">
        <v>0</v>
      </c>
      <c r="CO190" s="21">
        <v>0</v>
      </c>
      <c r="CP190" s="21">
        <v>0</v>
      </c>
      <c r="CQ190" s="21">
        <v>0</v>
      </c>
      <c r="CR190" s="21">
        <v>0</v>
      </c>
      <c r="CS190" s="21">
        <v>0</v>
      </c>
      <c r="CT190" s="21">
        <v>0</v>
      </c>
      <c r="CU190" s="21">
        <v>0</v>
      </c>
      <c r="CV190" s="21">
        <v>0</v>
      </c>
      <c r="CW190" s="21">
        <v>0</v>
      </c>
      <c r="CX190" s="21">
        <v>0</v>
      </c>
      <c r="CY190" s="21">
        <v>0</v>
      </c>
      <c r="CZ190" s="21">
        <v>0</v>
      </c>
      <c r="DA190" s="21">
        <v>0</v>
      </c>
      <c r="DB190" s="21">
        <v>0</v>
      </c>
      <c r="DC190" s="21">
        <v>0</v>
      </c>
      <c r="DD190" s="21">
        <v>0</v>
      </c>
      <c r="DE190" s="21">
        <v>0</v>
      </c>
      <c r="DF190" s="21">
        <v>0</v>
      </c>
      <c r="DG190" s="21">
        <v>0</v>
      </c>
      <c r="DH190" s="21">
        <v>0</v>
      </c>
      <c r="DI190" s="21">
        <v>0</v>
      </c>
      <c r="DJ190" s="21">
        <v>0</v>
      </c>
      <c r="DK190" s="21">
        <v>0</v>
      </c>
      <c r="DL190" s="21">
        <v>0</v>
      </c>
      <c r="DM190" s="21">
        <v>0</v>
      </c>
      <c r="DN190" s="21">
        <v>0</v>
      </c>
      <c r="DO190" s="21">
        <v>0</v>
      </c>
      <c r="DP190" s="21">
        <v>0</v>
      </c>
      <c r="DQ190" s="21">
        <v>0</v>
      </c>
      <c r="DR190" s="21">
        <v>0</v>
      </c>
      <c r="DS190" s="21">
        <v>0</v>
      </c>
      <c r="DT190" s="21">
        <v>0</v>
      </c>
      <c r="DU190" s="21">
        <v>0</v>
      </c>
      <c r="DV190" s="21">
        <v>0</v>
      </c>
      <c r="DW190" s="21">
        <v>0</v>
      </c>
      <c r="DX190" s="21">
        <v>0</v>
      </c>
      <c r="DY190" s="21">
        <v>0</v>
      </c>
      <c r="DZ190" s="21">
        <v>0</v>
      </c>
      <c r="EA190" s="21">
        <v>0</v>
      </c>
      <c r="EB190" s="21">
        <v>0</v>
      </c>
      <c r="EC190" s="21">
        <v>0</v>
      </c>
      <c r="ED190" s="21">
        <v>0</v>
      </c>
      <c r="EE190" s="21">
        <v>0</v>
      </c>
      <c r="EF190" s="21">
        <v>0</v>
      </c>
    </row>
    <row r="191" spans="1:136" ht="14.5" x14ac:dyDescent="0.35">
      <c r="A191" s="20" t="s">
        <v>12</v>
      </c>
      <c r="B191" s="20" t="s">
        <v>23</v>
      </c>
      <c r="C191" s="20" t="s">
        <v>23</v>
      </c>
      <c r="D191" s="20" t="s">
        <v>334</v>
      </c>
      <c r="E191" s="20" t="s">
        <v>10</v>
      </c>
      <c r="F191" s="20" t="s">
        <v>91</v>
      </c>
      <c r="G191" s="21">
        <v>0</v>
      </c>
      <c r="H191" s="21">
        <v>0</v>
      </c>
      <c r="I191" s="21">
        <v>12</v>
      </c>
      <c r="J191" s="21">
        <v>-12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0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9</v>
      </c>
      <c r="AN191" s="21">
        <v>3</v>
      </c>
      <c r="AO191" s="21">
        <v>0</v>
      </c>
      <c r="AP191" s="21">
        <v>0</v>
      </c>
      <c r="AQ191" s="21">
        <v>0</v>
      </c>
      <c r="AR191" s="21">
        <v>0</v>
      </c>
      <c r="AS191" s="21">
        <v>0</v>
      </c>
      <c r="AT191" s="21">
        <v>0</v>
      </c>
      <c r="AU191" s="21">
        <v>0</v>
      </c>
      <c r="AV191" s="21">
        <v>0</v>
      </c>
      <c r="AW191" s="21">
        <v>0</v>
      </c>
      <c r="AX191" s="21">
        <v>0</v>
      </c>
      <c r="AY191" s="21">
        <v>0</v>
      </c>
      <c r="AZ191" s="21">
        <v>0</v>
      </c>
      <c r="BA191" s="21">
        <v>0</v>
      </c>
      <c r="BB191" s="21">
        <v>0</v>
      </c>
      <c r="BC191" s="21">
        <v>0</v>
      </c>
      <c r="BD191" s="21">
        <v>0</v>
      </c>
      <c r="BE191" s="21">
        <v>0</v>
      </c>
      <c r="BF191" s="21">
        <v>0</v>
      </c>
      <c r="BG191" s="21">
        <v>0</v>
      </c>
      <c r="BH191" s="21">
        <v>0</v>
      </c>
      <c r="BI191" s="21">
        <v>0</v>
      </c>
      <c r="BJ191" s="21">
        <v>0</v>
      </c>
      <c r="BK191" s="21">
        <v>0</v>
      </c>
      <c r="BL191" s="21">
        <v>0</v>
      </c>
      <c r="BM191" s="21">
        <v>0</v>
      </c>
      <c r="BN191" s="21">
        <v>0</v>
      </c>
      <c r="BO191" s="21">
        <v>0</v>
      </c>
      <c r="BP191" s="21">
        <v>0</v>
      </c>
      <c r="BQ191" s="21">
        <v>0</v>
      </c>
      <c r="BR191" s="21">
        <v>0</v>
      </c>
      <c r="BS191" s="21">
        <v>0</v>
      </c>
      <c r="BT191" s="21">
        <v>0</v>
      </c>
      <c r="BU191" s="21">
        <v>0</v>
      </c>
      <c r="BV191" s="21">
        <v>0</v>
      </c>
      <c r="BW191" s="21">
        <v>0</v>
      </c>
      <c r="BX191" s="21">
        <v>0</v>
      </c>
      <c r="BY191" s="21">
        <v>0</v>
      </c>
      <c r="BZ191" s="21">
        <v>0</v>
      </c>
      <c r="CA191" s="21">
        <v>0</v>
      </c>
      <c r="CB191" s="21">
        <v>0</v>
      </c>
      <c r="CC191" s="21">
        <v>0</v>
      </c>
      <c r="CD191" s="21">
        <v>0</v>
      </c>
      <c r="CE191" s="21">
        <v>0</v>
      </c>
      <c r="CF191" s="21">
        <v>0</v>
      </c>
      <c r="CG191" s="21">
        <v>0</v>
      </c>
      <c r="CH191" s="21">
        <v>0</v>
      </c>
      <c r="CI191" s="21">
        <v>0</v>
      </c>
      <c r="CJ191" s="21">
        <v>0</v>
      </c>
      <c r="CK191" s="21">
        <v>0</v>
      </c>
      <c r="CL191" s="21">
        <v>0</v>
      </c>
      <c r="CM191" s="21">
        <v>0</v>
      </c>
      <c r="CN191" s="21">
        <v>0</v>
      </c>
      <c r="CO191" s="21">
        <v>0</v>
      </c>
      <c r="CP191" s="21">
        <v>0</v>
      </c>
      <c r="CQ191" s="21">
        <v>0</v>
      </c>
      <c r="CR191" s="21">
        <v>0</v>
      </c>
      <c r="CS191" s="21">
        <v>0</v>
      </c>
      <c r="CT191" s="21">
        <v>0</v>
      </c>
      <c r="CU191" s="21">
        <v>0</v>
      </c>
      <c r="CV191" s="21">
        <v>0</v>
      </c>
      <c r="CW191" s="21">
        <v>0</v>
      </c>
      <c r="CX191" s="21">
        <v>0</v>
      </c>
      <c r="CY191" s="21">
        <v>0</v>
      </c>
      <c r="CZ191" s="21">
        <v>0</v>
      </c>
      <c r="DA191" s="21">
        <v>0</v>
      </c>
      <c r="DB191" s="21">
        <v>0</v>
      </c>
      <c r="DC191" s="21">
        <v>0</v>
      </c>
      <c r="DD191" s="21">
        <v>0</v>
      </c>
      <c r="DE191" s="21">
        <v>0</v>
      </c>
      <c r="DF191" s="21">
        <v>0</v>
      </c>
      <c r="DG191" s="21">
        <v>0</v>
      </c>
      <c r="DH191" s="21">
        <v>0</v>
      </c>
      <c r="DI191" s="21">
        <v>0</v>
      </c>
      <c r="DJ191" s="21">
        <v>0</v>
      </c>
      <c r="DK191" s="21">
        <v>0</v>
      </c>
      <c r="DL191" s="21">
        <v>0</v>
      </c>
      <c r="DM191" s="21">
        <v>0</v>
      </c>
      <c r="DN191" s="21">
        <v>0</v>
      </c>
      <c r="DO191" s="21">
        <v>0</v>
      </c>
      <c r="DP191" s="21">
        <v>0</v>
      </c>
      <c r="DQ191" s="21">
        <v>0</v>
      </c>
      <c r="DR191" s="21">
        <v>0</v>
      </c>
      <c r="DS191" s="21">
        <v>0</v>
      </c>
      <c r="DT191" s="21">
        <v>0</v>
      </c>
      <c r="DU191" s="21">
        <v>0</v>
      </c>
      <c r="DV191" s="21">
        <v>0</v>
      </c>
      <c r="DW191" s="21">
        <v>0</v>
      </c>
      <c r="DX191" s="21">
        <v>0</v>
      </c>
      <c r="DY191" s="21">
        <v>0</v>
      </c>
      <c r="DZ191" s="21">
        <v>0</v>
      </c>
      <c r="EA191" s="21">
        <v>0</v>
      </c>
      <c r="EB191" s="21">
        <v>0</v>
      </c>
      <c r="EC191" s="21">
        <v>0</v>
      </c>
      <c r="ED191" s="21">
        <v>0</v>
      </c>
      <c r="EE191" s="21">
        <v>0</v>
      </c>
      <c r="EF191" s="21">
        <v>0</v>
      </c>
    </row>
    <row r="192" spans="1:136" ht="14.5" x14ac:dyDescent="0.35">
      <c r="A192" s="20" t="s">
        <v>12</v>
      </c>
      <c r="B192" s="20" t="s">
        <v>23</v>
      </c>
      <c r="C192" s="20" t="s">
        <v>23</v>
      </c>
      <c r="D192" s="20" t="s">
        <v>335</v>
      </c>
      <c r="E192" s="20" t="s">
        <v>10</v>
      </c>
      <c r="F192" s="20" t="s">
        <v>92</v>
      </c>
      <c r="G192" s="21">
        <v>0</v>
      </c>
      <c r="H192" s="21">
        <v>14</v>
      </c>
      <c r="I192" s="21">
        <v>0</v>
      </c>
      <c r="J192" s="21">
        <v>14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0</v>
      </c>
      <c r="Z192" s="21">
        <v>0</v>
      </c>
      <c r="AA192" s="21">
        <v>0</v>
      </c>
      <c r="AB192" s="21">
        <v>0</v>
      </c>
      <c r="AC192" s="21">
        <v>0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0</v>
      </c>
      <c r="AT192" s="21">
        <v>0</v>
      </c>
      <c r="AU192" s="21">
        <v>0</v>
      </c>
      <c r="AV192" s="21">
        <v>0</v>
      </c>
      <c r="AW192" s="21">
        <v>0</v>
      </c>
      <c r="AX192" s="21">
        <v>0</v>
      </c>
      <c r="AY192" s="21">
        <v>0</v>
      </c>
      <c r="AZ192" s="21">
        <v>0</v>
      </c>
      <c r="BA192" s="21">
        <v>0</v>
      </c>
      <c r="BB192" s="21">
        <v>0</v>
      </c>
      <c r="BC192" s="21">
        <v>0</v>
      </c>
      <c r="BD192" s="21">
        <v>0</v>
      </c>
      <c r="BE192" s="21">
        <v>0</v>
      </c>
      <c r="BF192" s="21">
        <v>0</v>
      </c>
      <c r="BG192" s="21">
        <v>0</v>
      </c>
      <c r="BH192" s="21">
        <v>0</v>
      </c>
      <c r="BI192" s="21">
        <v>0</v>
      </c>
      <c r="BJ192" s="21">
        <v>0</v>
      </c>
      <c r="BK192" s="21">
        <v>0</v>
      </c>
      <c r="BL192" s="21">
        <v>0</v>
      </c>
      <c r="BM192" s="21">
        <v>0</v>
      </c>
      <c r="BN192" s="21">
        <v>0</v>
      </c>
      <c r="BO192" s="21">
        <v>0</v>
      </c>
      <c r="BP192" s="21">
        <v>0</v>
      </c>
      <c r="BQ192" s="21">
        <v>0</v>
      </c>
      <c r="BR192" s="21">
        <v>0</v>
      </c>
      <c r="BS192" s="21">
        <v>0</v>
      </c>
      <c r="BT192" s="21">
        <v>0</v>
      </c>
      <c r="BU192" s="21">
        <v>0</v>
      </c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1">
        <v>0</v>
      </c>
      <c r="CH192" s="21">
        <v>0</v>
      </c>
      <c r="CI192" s="21">
        <v>0</v>
      </c>
      <c r="CJ192" s="21">
        <v>0</v>
      </c>
      <c r="CK192" s="21">
        <v>0</v>
      </c>
      <c r="CL192" s="21">
        <v>0</v>
      </c>
      <c r="CM192" s="21">
        <v>0</v>
      </c>
      <c r="CN192" s="21">
        <v>0</v>
      </c>
      <c r="CO192" s="21">
        <v>0</v>
      </c>
      <c r="CP192" s="21">
        <v>0</v>
      </c>
      <c r="CQ192" s="21">
        <v>0</v>
      </c>
      <c r="CR192" s="21">
        <v>0</v>
      </c>
      <c r="CS192" s="21">
        <v>0</v>
      </c>
      <c r="CT192" s="21">
        <v>0</v>
      </c>
      <c r="CU192" s="21">
        <v>0</v>
      </c>
      <c r="CV192" s="21">
        <v>0</v>
      </c>
      <c r="CW192" s="21">
        <v>0</v>
      </c>
      <c r="CX192" s="21">
        <v>0</v>
      </c>
      <c r="CY192" s="21">
        <v>0</v>
      </c>
      <c r="CZ192" s="21">
        <v>0</v>
      </c>
      <c r="DA192" s="21">
        <v>0</v>
      </c>
      <c r="DB192" s="21">
        <v>0</v>
      </c>
      <c r="DC192" s="21">
        <v>0</v>
      </c>
      <c r="DD192" s="21">
        <v>0</v>
      </c>
      <c r="DE192" s="21">
        <v>0</v>
      </c>
      <c r="DF192" s="21">
        <v>0</v>
      </c>
      <c r="DG192" s="21">
        <v>0</v>
      </c>
      <c r="DH192" s="21">
        <v>0</v>
      </c>
      <c r="DI192" s="21">
        <v>0</v>
      </c>
      <c r="DJ192" s="21">
        <v>0</v>
      </c>
      <c r="DK192" s="21">
        <v>0</v>
      </c>
      <c r="DL192" s="21">
        <v>0</v>
      </c>
      <c r="DM192" s="21">
        <v>0</v>
      </c>
      <c r="DN192" s="21">
        <v>0</v>
      </c>
      <c r="DO192" s="21">
        <v>0</v>
      </c>
      <c r="DP192" s="21">
        <v>0</v>
      </c>
      <c r="DQ192" s="21">
        <v>0</v>
      </c>
      <c r="DR192" s="21">
        <v>0</v>
      </c>
      <c r="DS192" s="21">
        <v>0</v>
      </c>
      <c r="DT192" s="21">
        <v>0</v>
      </c>
      <c r="DU192" s="21">
        <v>0</v>
      </c>
      <c r="DV192" s="21">
        <v>0</v>
      </c>
      <c r="DW192" s="21">
        <v>0</v>
      </c>
      <c r="DX192" s="21">
        <v>0</v>
      </c>
      <c r="DY192" s="21">
        <v>0</v>
      </c>
      <c r="DZ192" s="21">
        <v>0</v>
      </c>
      <c r="EA192" s="21">
        <v>0</v>
      </c>
      <c r="EB192" s="21">
        <v>0</v>
      </c>
      <c r="EC192" s="21">
        <v>0</v>
      </c>
      <c r="ED192" s="21">
        <v>0</v>
      </c>
      <c r="EE192" s="21">
        <v>0</v>
      </c>
      <c r="EF192" s="21">
        <v>0</v>
      </c>
    </row>
    <row r="193" spans="1:136" ht="14.5" x14ac:dyDescent="0.35">
      <c r="A193" s="20" t="s">
        <v>12</v>
      </c>
      <c r="B193" s="20" t="s">
        <v>23</v>
      </c>
      <c r="C193" s="20" t="s">
        <v>23</v>
      </c>
      <c r="D193" s="20" t="s">
        <v>334</v>
      </c>
      <c r="E193" s="20" t="s">
        <v>10</v>
      </c>
      <c r="F193" s="20" t="s">
        <v>92</v>
      </c>
      <c r="G193" s="21">
        <v>0</v>
      </c>
      <c r="H193" s="21">
        <v>0</v>
      </c>
      <c r="I193" s="21">
        <v>14</v>
      </c>
      <c r="J193" s="21">
        <v>-14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0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U193" s="21">
        <v>0</v>
      </c>
      <c r="AV193" s="21">
        <v>0</v>
      </c>
      <c r="AW193" s="21">
        <v>0</v>
      </c>
      <c r="AX193" s="21">
        <v>0</v>
      </c>
      <c r="AY193" s="21">
        <v>0</v>
      </c>
      <c r="AZ193" s="21">
        <v>0</v>
      </c>
      <c r="BA193" s="21">
        <v>0</v>
      </c>
      <c r="BB193" s="21">
        <v>0</v>
      </c>
      <c r="BC193" s="21">
        <v>0</v>
      </c>
      <c r="BD193" s="21">
        <v>0</v>
      </c>
      <c r="BE193" s="21">
        <v>0</v>
      </c>
      <c r="BF193" s="21">
        <v>0</v>
      </c>
      <c r="BG193" s="21">
        <v>0</v>
      </c>
      <c r="BH193" s="21">
        <v>0</v>
      </c>
      <c r="BI193" s="21">
        <v>0</v>
      </c>
      <c r="BJ193" s="21">
        <v>0</v>
      </c>
      <c r="BK193" s="21">
        <v>0</v>
      </c>
      <c r="BL193" s="21">
        <v>0</v>
      </c>
      <c r="BM193" s="21">
        <v>0</v>
      </c>
      <c r="BN193" s="21">
        <v>0</v>
      </c>
      <c r="BO193" s="21">
        <v>0</v>
      </c>
      <c r="BP193" s="21">
        <v>0</v>
      </c>
      <c r="BQ193" s="21">
        <v>0</v>
      </c>
      <c r="BR193" s="21">
        <v>0</v>
      </c>
      <c r="BS193" s="21">
        <v>0</v>
      </c>
      <c r="BT193" s="21">
        <v>0</v>
      </c>
      <c r="BU193" s="21">
        <v>0</v>
      </c>
      <c r="BV193" s="21">
        <v>0</v>
      </c>
      <c r="BW193" s="21">
        <v>0</v>
      </c>
      <c r="BX193" s="21">
        <v>0</v>
      </c>
      <c r="BY193" s="21">
        <v>0</v>
      </c>
      <c r="BZ193" s="21">
        <v>0</v>
      </c>
      <c r="CA193" s="21">
        <v>0</v>
      </c>
      <c r="CB193" s="21">
        <v>0</v>
      </c>
      <c r="CC193" s="21">
        <v>0</v>
      </c>
      <c r="CD193" s="21">
        <v>0</v>
      </c>
      <c r="CE193" s="21">
        <v>0</v>
      </c>
      <c r="CF193" s="21">
        <v>0</v>
      </c>
      <c r="CG193" s="21">
        <v>0</v>
      </c>
      <c r="CH193" s="21">
        <v>0</v>
      </c>
      <c r="CI193" s="21">
        <v>0</v>
      </c>
      <c r="CJ193" s="21">
        <v>0</v>
      </c>
      <c r="CK193" s="21">
        <v>0</v>
      </c>
      <c r="CL193" s="21">
        <v>0</v>
      </c>
      <c r="CM193" s="21">
        <v>0</v>
      </c>
      <c r="CN193" s="21">
        <v>0</v>
      </c>
      <c r="CO193" s="21">
        <v>0</v>
      </c>
      <c r="CP193" s="21">
        <v>0</v>
      </c>
      <c r="CQ193" s="21">
        <v>0</v>
      </c>
      <c r="CR193" s="21">
        <v>0</v>
      </c>
      <c r="CS193" s="21">
        <v>0</v>
      </c>
      <c r="CT193" s="21">
        <v>0</v>
      </c>
      <c r="CU193" s="21">
        <v>0</v>
      </c>
      <c r="CV193" s="21">
        <v>0</v>
      </c>
      <c r="CW193" s="21">
        <v>0</v>
      </c>
      <c r="CX193" s="21">
        <v>0</v>
      </c>
      <c r="CY193" s="21">
        <v>0</v>
      </c>
      <c r="CZ193" s="21">
        <v>8</v>
      </c>
      <c r="DA193" s="21">
        <v>6</v>
      </c>
      <c r="DB193" s="21">
        <v>0</v>
      </c>
      <c r="DC193" s="21">
        <v>0</v>
      </c>
      <c r="DD193" s="21">
        <v>0</v>
      </c>
      <c r="DE193" s="21">
        <v>0</v>
      </c>
      <c r="DF193" s="21">
        <v>0</v>
      </c>
      <c r="DG193" s="21">
        <v>0</v>
      </c>
      <c r="DH193" s="21">
        <v>0</v>
      </c>
      <c r="DI193" s="21">
        <v>0</v>
      </c>
      <c r="DJ193" s="21">
        <v>0</v>
      </c>
      <c r="DK193" s="21">
        <v>0</v>
      </c>
      <c r="DL193" s="21">
        <v>0</v>
      </c>
      <c r="DM193" s="21">
        <v>0</v>
      </c>
      <c r="DN193" s="21">
        <v>0</v>
      </c>
      <c r="DO193" s="21">
        <v>0</v>
      </c>
      <c r="DP193" s="21">
        <v>0</v>
      </c>
      <c r="DQ193" s="21">
        <v>0</v>
      </c>
      <c r="DR193" s="21">
        <v>0</v>
      </c>
      <c r="DS193" s="21">
        <v>0</v>
      </c>
      <c r="DT193" s="21">
        <v>0</v>
      </c>
      <c r="DU193" s="21">
        <v>0</v>
      </c>
      <c r="DV193" s="21">
        <v>0</v>
      </c>
      <c r="DW193" s="21">
        <v>0</v>
      </c>
      <c r="DX193" s="21">
        <v>0</v>
      </c>
      <c r="DY193" s="21">
        <v>0</v>
      </c>
      <c r="DZ193" s="21">
        <v>0</v>
      </c>
      <c r="EA193" s="21">
        <v>0</v>
      </c>
      <c r="EB193" s="21">
        <v>0</v>
      </c>
      <c r="EC193" s="21">
        <v>0</v>
      </c>
      <c r="ED193" s="21">
        <v>0</v>
      </c>
      <c r="EE193" s="21">
        <v>0</v>
      </c>
      <c r="EF193" s="21">
        <v>0</v>
      </c>
    </row>
    <row r="194" spans="1:136" ht="14.5" x14ac:dyDescent="0.35">
      <c r="A194" s="20" t="s">
        <v>12</v>
      </c>
      <c r="B194" s="20" t="s">
        <v>17</v>
      </c>
      <c r="C194" s="20" t="s">
        <v>17</v>
      </c>
      <c r="D194" s="20" t="s">
        <v>332</v>
      </c>
      <c r="E194" s="20" t="s">
        <v>14</v>
      </c>
      <c r="F194" s="20" t="s">
        <v>158</v>
      </c>
      <c r="G194" s="21">
        <v>0</v>
      </c>
      <c r="H194" s="21">
        <v>0</v>
      </c>
      <c r="I194" s="21">
        <v>114</v>
      </c>
      <c r="J194" s="21">
        <v>-114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14</v>
      </c>
      <c r="AK194" s="21">
        <v>16</v>
      </c>
      <c r="AL194" s="21">
        <v>17</v>
      </c>
      <c r="AM194" s="21">
        <v>0</v>
      </c>
      <c r="AN194" s="21">
        <v>0</v>
      </c>
      <c r="AO194" s="21">
        <v>5</v>
      </c>
      <c r="AP194" s="21">
        <v>4</v>
      </c>
      <c r="AQ194" s="21">
        <v>9</v>
      </c>
      <c r="AR194" s="21">
        <v>10</v>
      </c>
      <c r="AS194" s="21">
        <v>4</v>
      </c>
      <c r="AT194" s="21">
        <v>0</v>
      </c>
      <c r="AU194" s="21">
        <v>0</v>
      </c>
      <c r="AV194" s="21">
        <v>0</v>
      </c>
      <c r="AW194" s="21">
        <v>0</v>
      </c>
      <c r="AX194" s="21">
        <v>0</v>
      </c>
      <c r="AY194" s="21">
        <v>0</v>
      </c>
      <c r="AZ194" s="21">
        <v>0</v>
      </c>
      <c r="BA194" s="21">
        <v>0</v>
      </c>
      <c r="BB194" s="21">
        <v>0</v>
      </c>
      <c r="BC194" s="21">
        <v>0</v>
      </c>
      <c r="BD194" s="21">
        <v>0</v>
      </c>
      <c r="BE194" s="21">
        <v>0</v>
      </c>
      <c r="BF194" s="21">
        <v>0</v>
      </c>
      <c r="BG194" s="21">
        <v>0</v>
      </c>
      <c r="BH194" s="21">
        <v>0</v>
      </c>
      <c r="BI194" s="21">
        <v>0</v>
      </c>
      <c r="BJ194" s="21">
        <v>0</v>
      </c>
      <c r="BK194" s="21">
        <v>0</v>
      </c>
      <c r="BL194" s="21">
        <v>0</v>
      </c>
      <c r="BM194" s="21">
        <v>0</v>
      </c>
      <c r="BN194" s="21">
        <v>0</v>
      </c>
      <c r="BO194" s="21">
        <v>0</v>
      </c>
      <c r="BP194" s="21">
        <v>0</v>
      </c>
      <c r="BQ194" s="21">
        <v>0</v>
      </c>
      <c r="BR194" s="21">
        <v>0</v>
      </c>
      <c r="BS194" s="21">
        <v>0</v>
      </c>
      <c r="BT194" s="21">
        <v>0</v>
      </c>
      <c r="BU194" s="21">
        <v>0</v>
      </c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1">
        <v>0</v>
      </c>
      <c r="CH194" s="21">
        <v>0</v>
      </c>
      <c r="CI194" s="21">
        <v>0</v>
      </c>
      <c r="CJ194" s="21">
        <v>0</v>
      </c>
      <c r="CK194" s="21">
        <v>0</v>
      </c>
      <c r="CL194" s="21">
        <v>0</v>
      </c>
      <c r="CM194" s="21">
        <v>0</v>
      </c>
      <c r="CN194" s="21">
        <v>0</v>
      </c>
      <c r="CO194" s="21">
        <v>0</v>
      </c>
      <c r="CP194" s="21">
        <v>0</v>
      </c>
      <c r="CQ194" s="21">
        <v>0</v>
      </c>
      <c r="CR194" s="21">
        <v>0</v>
      </c>
      <c r="CS194" s="21">
        <v>4</v>
      </c>
      <c r="CT194" s="21">
        <v>0</v>
      </c>
      <c r="CU194" s="21">
        <v>0</v>
      </c>
      <c r="CV194" s="21">
        <v>0</v>
      </c>
      <c r="CW194" s="21">
        <v>0</v>
      </c>
      <c r="CX194" s="21">
        <v>0</v>
      </c>
      <c r="CY194" s="21">
        <v>0</v>
      </c>
      <c r="CZ194" s="21">
        <v>2</v>
      </c>
      <c r="DA194" s="21">
        <v>3</v>
      </c>
      <c r="DB194" s="21">
        <v>3</v>
      </c>
      <c r="DC194" s="21">
        <v>3</v>
      </c>
      <c r="DD194" s="21">
        <v>3</v>
      </c>
      <c r="DE194" s="21">
        <v>0</v>
      </c>
      <c r="DF194" s="21">
        <v>3</v>
      </c>
      <c r="DG194" s="21">
        <v>3</v>
      </c>
      <c r="DH194" s="21">
        <v>3</v>
      </c>
      <c r="DI194" s="21">
        <v>0</v>
      </c>
      <c r="DJ194" s="21">
        <v>0</v>
      </c>
      <c r="DK194" s="21">
        <v>3</v>
      </c>
      <c r="DL194" s="21">
        <v>3</v>
      </c>
      <c r="DM194" s="21">
        <v>3</v>
      </c>
      <c r="DN194" s="21">
        <v>3</v>
      </c>
      <c r="DO194" s="21">
        <v>0</v>
      </c>
      <c r="DP194" s="21">
        <v>0</v>
      </c>
      <c r="DQ194" s="21">
        <v>0</v>
      </c>
      <c r="DR194" s="21">
        <v>0</v>
      </c>
      <c r="DS194" s="21">
        <v>0</v>
      </c>
      <c r="DT194" s="21">
        <v>0</v>
      </c>
      <c r="DU194" s="21">
        <v>0</v>
      </c>
      <c r="DV194" s="21">
        <v>0</v>
      </c>
      <c r="DW194" s="21">
        <v>0</v>
      </c>
      <c r="DX194" s="21">
        <v>0</v>
      </c>
      <c r="DY194" s="21">
        <v>0</v>
      </c>
      <c r="DZ194" s="21">
        <v>0</v>
      </c>
      <c r="EA194" s="21">
        <v>0</v>
      </c>
      <c r="EB194" s="21">
        <v>0</v>
      </c>
      <c r="EC194" s="21">
        <v>0</v>
      </c>
      <c r="ED194" s="21">
        <v>0</v>
      </c>
      <c r="EE194" s="21">
        <v>0</v>
      </c>
      <c r="EF194" s="21">
        <v>0</v>
      </c>
    </row>
    <row r="195" spans="1:136" ht="14.5" x14ac:dyDescent="0.35">
      <c r="A195" s="20" t="s">
        <v>12</v>
      </c>
      <c r="B195" s="20" t="s">
        <v>17</v>
      </c>
      <c r="C195" s="20" t="s">
        <v>17</v>
      </c>
      <c r="D195" s="20" t="s">
        <v>333</v>
      </c>
      <c r="E195" s="20" t="s">
        <v>14</v>
      </c>
      <c r="F195" s="20" t="s">
        <v>158</v>
      </c>
      <c r="G195" s="21">
        <v>11</v>
      </c>
      <c r="H195" s="21">
        <v>46</v>
      </c>
      <c r="I195" s="21">
        <v>6</v>
      </c>
      <c r="J195" s="21">
        <v>40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0</v>
      </c>
      <c r="AC195" s="21">
        <v>5</v>
      </c>
      <c r="AD195" s="21">
        <v>0</v>
      </c>
      <c r="AE195" s="21">
        <v>0</v>
      </c>
      <c r="AF195" s="21">
        <v>1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0</v>
      </c>
      <c r="AX195" s="21">
        <v>0</v>
      </c>
      <c r="AY195" s="21">
        <v>0</v>
      </c>
      <c r="AZ195" s="21">
        <v>0</v>
      </c>
      <c r="BA195" s="21">
        <v>0</v>
      </c>
      <c r="BB195" s="21">
        <v>0</v>
      </c>
      <c r="BC195" s="21">
        <v>0</v>
      </c>
      <c r="BD195" s="21">
        <v>0</v>
      </c>
      <c r="BE195" s="21">
        <v>0</v>
      </c>
      <c r="BF195" s="21">
        <v>0</v>
      </c>
      <c r="BG195" s="21">
        <v>0</v>
      </c>
      <c r="BH195" s="21">
        <v>0</v>
      </c>
      <c r="BI195" s="21">
        <v>0</v>
      </c>
      <c r="BJ195" s="21">
        <v>0</v>
      </c>
      <c r="BK195" s="21">
        <v>0</v>
      </c>
      <c r="BL195" s="21">
        <v>0</v>
      </c>
      <c r="BM195" s="21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0</v>
      </c>
      <c r="BW195" s="21">
        <v>0</v>
      </c>
      <c r="BX195" s="21">
        <v>0</v>
      </c>
      <c r="BY195" s="21">
        <v>0</v>
      </c>
      <c r="BZ195" s="21">
        <v>0</v>
      </c>
      <c r="CA195" s="21">
        <v>0</v>
      </c>
      <c r="CB195" s="21">
        <v>0</v>
      </c>
      <c r="CC195" s="21">
        <v>0</v>
      </c>
      <c r="CD195" s="21">
        <v>0</v>
      </c>
      <c r="CE195" s="21">
        <v>0</v>
      </c>
      <c r="CF195" s="21">
        <v>0</v>
      </c>
      <c r="CG195" s="21">
        <v>0</v>
      </c>
      <c r="CH195" s="21">
        <v>0</v>
      </c>
      <c r="CI195" s="21">
        <v>0</v>
      </c>
      <c r="CJ195" s="21">
        <v>0</v>
      </c>
      <c r="CK195" s="21">
        <v>0</v>
      </c>
      <c r="CL195" s="21">
        <v>0</v>
      </c>
      <c r="CM195" s="21">
        <v>0</v>
      </c>
      <c r="CN195" s="21">
        <v>0</v>
      </c>
      <c r="CO195" s="21">
        <v>0</v>
      </c>
      <c r="CP195" s="21">
        <v>0</v>
      </c>
      <c r="CQ195" s="21">
        <v>0</v>
      </c>
      <c r="CR195" s="21">
        <v>0</v>
      </c>
      <c r="CS195" s="21">
        <v>0</v>
      </c>
      <c r="CT195" s="21">
        <v>0</v>
      </c>
      <c r="CU195" s="21">
        <v>0</v>
      </c>
      <c r="CV195" s="21">
        <v>0</v>
      </c>
      <c r="CW195" s="21">
        <v>0</v>
      </c>
      <c r="CX195" s="21">
        <v>0</v>
      </c>
      <c r="CY195" s="21">
        <v>0</v>
      </c>
      <c r="CZ195" s="21">
        <v>0</v>
      </c>
      <c r="DA195" s="21">
        <v>0</v>
      </c>
      <c r="DB195" s="21">
        <v>0</v>
      </c>
      <c r="DC195" s="21">
        <v>0</v>
      </c>
      <c r="DD195" s="21">
        <v>0</v>
      </c>
      <c r="DE195" s="21">
        <v>0</v>
      </c>
      <c r="DF195" s="21">
        <v>0</v>
      </c>
      <c r="DG195" s="21">
        <v>0</v>
      </c>
      <c r="DH195" s="21">
        <v>0</v>
      </c>
      <c r="DI195" s="21">
        <v>0</v>
      </c>
      <c r="DJ195" s="21">
        <v>0</v>
      </c>
      <c r="DK195" s="21">
        <v>0</v>
      </c>
      <c r="DL195" s="21">
        <v>0</v>
      </c>
      <c r="DM195" s="21">
        <v>0</v>
      </c>
      <c r="DN195" s="21">
        <v>0</v>
      </c>
      <c r="DO195" s="21">
        <v>0</v>
      </c>
      <c r="DP195" s="21">
        <v>0</v>
      </c>
      <c r="DQ195" s="21">
        <v>0</v>
      </c>
      <c r="DR195" s="21">
        <v>0</v>
      </c>
      <c r="DS195" s="21">
        <v>0</v>
      </c>
      <c r="DT195" s="21">
        <v>0</v>
      </c>
      <c r="DU195" s="21">
        <v>0</v>
      </c>
      <c r="DV195" s="21">
        <v>0</v>
      </c>
      <c r="DW195" s="21">
        <v>0</v>
      </c>
      <c r="DX195" s="21">
        <v>0</v>
      </c>
      <c r="DY195" s="21">
        <v>0</v>
      </c>
      <c r="DZ195" s="21">
        <v>0</v>
      </c>
      <c r="EA195" s="21">
        <v>0</v>
      </c>
      <c r="EB195" s="21">
        <v>0</v>
      </c>
      <c r="EC195" s="21">
        <v>0</v>
      </c>
      <c r="ED195" s="21">
        <v>0</v>
      </c>
      <c r="EE195" s="21">
        <v>0</v>
      </c>
      <c r="EF195" s="21">
        <v>0</v>
      </c>
    </row>
    <row r="196" spans="1:136" ht="14.5" x14ac:dyDescent="0.35">
      <c r="A196" s="20" t="s">
        <v>12</v>
      </c>
      <c r="B196" s="20" t="s">
        <v>17</v>
      </c>
      <c r="C196" s="20" t="s">
        <v>17</v>
      </c>
      <c r="D196" s="20" t="s">
        <v>332</v>
      </c>
      <c r="E196" s="20" t="s">
        <v>14</v>
      </c>
      <c r="F196" s="20" t="s">
        <v>87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>
        <v>0</v>
      </c>
      <c r="AA196" s="21">
        <v>0</v>
      </c>
      <c r="AB196" s="21">
        <v>0</v>
      </c>
      <c r="AC196" s="21">
        <v>0</v>
      </c>
      <c r="AD196" s="21">
        <v>0</v>
      </c>
      <c r="AE196" s="21">
        <v>0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1">
        <v>0</v>
      </c>
      <c r="AT196" s="21">
        <v>0</v>
      </c>
      <c r="AU196" s="21">
        <v>0</v>
      </c>
      <c r="AV196" s="21">
        <v>0</v>
      </c>
      <c r="AW196" s="21">
        <v>0</v>
      </c>
      <c r="AX196" s="21">
        <v>0</v>
      </c>
      <c r="AY196" s="21">
        <v>0</v>
      </c>
      <c r="AZ196" s="21">
        <v>0</v>
      </c>
      <c r="BA196" s="21">
        <v>0</v>
      </c>
      <c r="BB196" s="21">
        <v>0</v>
      </c>
      <c r="BC196" s="21">
        <v>0</v>
      </c>
      <c r="BD196" s="21">
        <v>0</v>
      </c>
      <c r="BE196" s="21">
        <v>0</v>
      </c>
      <c r="BF196" s="21">
        <v>0</v>
      </c>
      <c r="BG196" s="21">
        <v>0</v>
      </c>
      <c r="BH196" s="21">
        <v>0</v>
      </c>
      <c r="BI196" s="21">
        <v>0</v>
      </c>
      <c r="BJ196" s="21">
        <v>0</v>
      </c>
      <c r="BK196" s="21">
        <v>0</v>
      </c>
      <c r="BL196" s="21">
        <v>0</v>
      </c>
      <c r="BM196" s="21">
        <v>0</v>
      </c>
      <c r="BN196" s="21">
        <v>0</v>
      </c>
      <c r="BO196" s="21">
        <v>0</v>
      </c>
      <c r="BP196" s="21">
        <v>0</v>
      </c>
      <c r="BQ196" s="21">
        <v>0</v>
      </c>
      <c r="BR196" s="21">
        <v>0</v>
      </c>
      <c r="BS196" s="21">
        <v>0</v>
      </c>
      <c r="BT196" s="21">
        <v>0</v>
      </c>
      <c r="BU196" s="21">
        <v>0</v>
      </c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1">
        <v>0</v>
      </c>
      <c r="CH196" s="21">
        <v>0</v>
      </c>
      <c r="CI196" s="21">
        <v>0</v>
      </c>
      <c r="CJ196" s="21">
        <v>0</v>
      </c>
      <c r="CK196" s="21">
        <v>0</v>
      </c>
      <c r="CL196" s="21">
        <v>0</v>
      </c>
      <c r="CM196" s="21">
        <v>0</v>
      </c>
      <c r="CN196" s="21">
        <v>0</v>
      </c>
      <c r="CO196" s="21">
        <v>0</v>
      </c>
      <c r="CP196" s="21">
        <v>0</v>
      </c>
      <c r="CQ196" s="21">
        <v>0</v>
      </c>
      <c r="CR196" s="21">
        <v>0</v>
      </c>
      <c r="CS196" s="21">
        <v>0</v>
      </c>
      <c r="CT196" s="21">
        <v>0</v>
      </c>
      <c r="CU196" s="21">
        <v>0</v>
      </c>
      <c r="CV196" s="21">
        <v>0</v>
      </c>
      <c r="CW196" s="21">
        <v>0</v>
      </c>
      <c r="CX196" s="21">
        <v>0</v>
      </c>
      <c r="CY196" s="21">
        <v>0</v>
      </c>
      <c r="CZ196" s="21">
        <v>0</v>
      </c>
      <c r="DA196" s="21">
        <v>0</v>
      </c>
      <c r="DB196" s="21">
        <v>0</v>
      </c>
      <c r="DC196" s="21">
        <v>0</v>
      </c>
      <c r="DD196" s="21">
        <v>0</v>
      </c>
      <c r="DE196" s="21">
        <v>0</v>
      </c>
      <c r="DF196" s="21">
        <v>0</v>
      </c>
      <c r="DG196" s="21">
        <v>0</v>
      </c>
      <c r="DH196" s="21">
        <v>0</v>
      </c>
      <c r="DI196" s="21">
        <v>0</v>
      </c>
      <c r="DJ196" s="21">
        <v>0</v>
      </c>
      <c r="DK196" s="21">
        <v>0</v>
      </c>
      <c r="DL196" s="21">
        <v>0</v>
      </c>
      <c r="DM196" s="21">
        <v>0</v>
      </c>
      <c r="DN196" s="21">
        <v>0</v>
      </c>
      <c r="DO196" s="21">
        <v>0</v>
      </c>
      <c r="DP196" s="21">
        <v>0</v>
      </c>
      <c r="DQ196" s="21">
        <v>0</v>
      </c>
      <c r="DR196" s="21">
        <v>0</v>
      </c>
      <c r="DS196" s="21">
        <v>0</v>
      </c>
      <c r="DT196" s="21">
        <v>0</v>
      </c>
      <c r="DU196" s="21">
        <v>0</v>
      </c>
      <c r="DV196" s="21">
        <v>0</v>
      </c>
      <c r="DW196" s="21">
        <v>0</v>
      </c>
      <c r="DX196" s="21">
        <v>0</v>
      </c>
      <c r="DY196" s="21">
        <v>0</v>
      </c>
      <c r="DZ196" s="21">
        <v>0</v>
      </c>
      <c r="EA196" s="21">
        <v>0</v>
      </c>
      <c r="EB196" s="21">
        <v>0</v>
      </c>
      <c r="EC196" s="21">
        <v>0</v>
      </c>
      <c r="ED196" s="21">
        <v>0</v>
      </c>
      <c r="EE196" s="21">
        <v>0</v>
      </c>
      <c r="EF196" s="21">
        <v>0</v>
      </c>
    </row>
    <row r="197" spans="1:136" ht="14.5" x14ac:dyDescent="0.35">
      <c r="A197" s="20" t="s">
        <v>12</v>
      </c>
      <c r="B197" s="20" t="s">
        <v>17</v>
      </c>
      <c r="C197" s="20" t="s">
        <v>17</v>
      </c>
      <c r="D197" s="20" t="s">
        <v>333</v>
      </c>
      <c r="E197" s="20" t="s">
        <v>14</v>
      </c>
      <c r="F197" s="20" t="s">
        <v>87</v>
      </c>
      <c r="G197" s="21">
        <v>40</v>
      </c>
      <c r="H197" s="21">
        <v>40</v>
      </c>
      <c r="I197" s="21">
        <v>40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0</v>
      </c>
      <c r="Z197" s="21">
        <v>0</v>
      </c>
      <c r="AA197" s="21">
        <v>0</v>
      </c>
      <c r="AB197" s="21">
        <v>40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>
        <v>0</v>
      </c>
      <c r="AV197" s="21">
        <v>0</v>
      </c>
      <c r="AW197" s="21">
        <v>0</v>
      </c>
      <c r="AX197" s="21">
        <v>0</v>
      </c>
      <c r="AY197" s="21">
        <v>0</v>
      </c>
      <c r="AZ197" s="21">
        <v>0</v>
      </c>
      <c r="BA197" s="21">
        <v>0</v>
      </c>
      <c r="BB197" s="21">
        <v>0</v>
      </c>
      <c r="BC197" s="21">
        <v>0</v>
      </c>
      <c r="BD197" s="21">
        <v>0</v>
      </c>
      <c r="BE197" s="21">
        <v>0</v>
      </c>
      <c r="BF197" s="21">
        <v>0</v>
      </c>
      <c r="BG197" s="21">
        <v>0</v>
      </c>
      <c r="BH197" s="21">
        <v>0</v>
      </c>
      <c r="BI197" s="21">
        <v>0</v>
      </c>
      <c r="BJ197" s="21">
        <v>0</v>
      </c>
      <c r="BK197" s="21">
        <v>0</v>
      </c>
      <c r="BL197" s="21">
        <v>0</v>
      </c>
      <c r="BM197" s="21">
        <v>0</v>
      </c>
      <c r="BN197" s="21">
        <v>0</v>
      </c>
      <c r="BO197" s="21">
        <v>0</v>
      </c>
      <c r="BP197" s="21">
        <v>0</v>
      </c>
      <c r="BQ197" s="21">
        <v>0</v>
      </c>
      <c r="BR197" s="21">
        <v>0</v>
      </c>
      <c r="BS197" s="21">
        <v>0</v>
      </c>
      <c r="BT197" s="21">
        <v>0</v>
      </c>
      <c r="BU197" s="21">
        <v>0</v>
      </c>
      <c r="BV197" s="21">
        <v>0</v>
      </c>
      <c r="BW197" s="21">
        <v>0</v>
      </c>
      <c r="BX197" s="21">
        <v>0</v>
      </c>
      <c r="BY197" s="21">
        <v>0</v>
      </c>
      <c r="BZ197" s="21">
        <v>0</v>
      </c>
      <c r="CA197" s="21">
        <v>0</v>
      </c>
      <c r="CB197" s="21">
        <v>0</v>
      </c>
      <c r="CC197" s="21">
        <v>0</v>
      </c>
      <c r="CD197" s="21">
        <v>0</v>
      </c>
      <c r="CE197" s="21">
        <v>0</v>
      </c>
      <c r="CF197" s="21">
        <v>0</v>
      </c>
      <c r="CG197" s="21">
        <v>0</v>
      </c>
      <c r="CH197" s="21">
        <v>0</v>
      </c>
      <c r="CI197" s="21">
        <v>0</v>
      </c>
      <c r="CJ197" s="21">
        <v>0</v>
      </c>
      <c r="CK197" s="21">
        <v>0</v>
      </c>
      <c r="CL197" s="21">
        <v>0</v>
      </c>
      <c r="CM197" s="21">
        <v>0</v>
      </c>
      <c r="CN197" s="21">
        <v>0</v>
      </c>
      <c r="CO197" s="21">
        <v>0</v>
      </c>
      <c r="CP197" s="21">
        <v>0</v>
      </c>
      <c r="CQ197" s="21">
        <v>0</v>
      </c>
      <c r="CR197" s="21">
        <v>0</v>
      </c>
      <c r="CS197" s="21">
        <v>0</v>
      </c>
      <c r="CT197" s="21">
        <v>0</v>
      </c>
      <c r="CU197" s="21">
        <v>0</v>
      </c>
      <c r="CV197" s="21">
        <v>0</v>
      </c>
      <c r="CW197" s="21">
        <v>0</v>
      </c>
      <c r="CX197" s="21">
        <v>0</v>
      </c>
      <c r="CY197" s="21">
        <v>0</v>
      </c>
      <c r="CZ197" s="21">
        <v>0</v>
      </c>
      <c r="DA197" s="21">
        <v>0</v>
      </c>
      <c r="DB197" s="21">
        <v>0</v>
      </c>
      <c r="DC197" s="21">
        <v>0</v>
      </c>
      <c r="DD197" s="21">
        <v>0</v>
      </c>
      <c r="DE197" s="21">
        <v>0</v>
      </c>
      <c r="DF197" s="21">
        <v>0</v>
      </c>
      <c r="DG197" s="21">
        <v>0</v>
      </c>
      <c r="DH197" s="21">
        <v>0</v>
      </c>
      <c r="DI197" s="21">
        <v>0</v>
      </c>
      <c r="DJ197" s="21">
        <v>0</v>
      </c>
      <c r="DK197" s="21">
        <v>0</v>
      </c>
      <c r="DL197" s="21">
        <v>0</v>
      </c>
      <c r="DM197" s="21">
        <v>0</v>
      </c>
      <c r="DN197" s="21">
        <v>0</v>
      </c>
      <c r="DO197" s="21">
        <v>0</v>
      </c>
      <c r="DP197" s="21">
        <v>0</v>
      </c>
      <c r="DQ197" s="21">
        <v>0</v>
      </c>
      <c r="DR197" s="21">
        <v>0</v>
      </c>
      <c r="DS197" s="21">
        <v>0</v>
      </c>
      <c r="DT197" s="21">
        <v>0</v>
      </c>
      <c r="DU197" s="21">
        <v>0</v>
      </c>
      <c r="DV197" s="21">
        <v>0</v>
      </c>
      <c r="DW197" s="21">
        <v>0</v>
      </c>
      <c r="DX197" s="21">
        <v>0</v>
      </c>
      <c r="DY197" s="21">
        <v>0</v>
      </c>
      <c r="DZ197" s="21">
        <v>0</v>
      </c>
      <c r="EA197" s="21">
        <v>0</v>
      </c>
      <c r="EB197" s="21">
        <v>0</v>
      </c>
      <c r="EC197" s="21">
        <v>0</v>
      </c>
      <c r="ED197" s="21">
        <v>0</v>
      </c>
      <c r="EE197" s="21">
        <v>0</v>
      </c>
      <c r="EF197" s="21">
        <v>0</v>
      </c>
    </row>
    <row r="198" spans="1:136" ht="14.5" x14ac:dyDescent="0.35">
      <c r="A198" s="20" t="s">
        <v>12</v>
      </c>
      <c r="B198" s="20" t="s">
        <v>17</v>
      </c>
      <c r="C198" s="20" t="s">
        <v>17</v>
      </c>
      <c r="D198" s="20" t="s">
        <v>333</v>
      </c>
      <c r="E198" s="20" t="s">
        <v>14</v>
      </c>
      <c r="F198" s="20" t="s">
        <v>87</v>
      </c>
      <c r="G198" s="21">
        <v>0</v>
      </c>
      <c r="H198" s="21">
        <v>0</v>
      </c>
      <c r="I198" s="21">
        <v>20</v>
      </c>
      <c r="J198" s="21">
        <v>-20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12</v>
      </c>
      <c r="AA198" s="21">
        <v>8</v>
      </c>
      <c r="AB198" s="21">
        <v>0</v>
      </c>
      <c r="AC198" s="21">
        <v>0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0</v>
      </c>
      <c r="AS198" s="21">
        <v>0</v>
      </c>
      <c r="AT198" s="21">
        <v>0</v>
      </c>
      <c r="AU198" s="21">
        <v>0</v>
      </c>
      <c r="AV198" s="21">
        <v>0</v>
      </c>
      <c r="AW198" s="21">
        <v>0</v>
      </c>
      <c r="AX198" s="21">
        <v>0</v>
      </c>
      <c r="AY198" s="21">
        <v>0</v>
      </c>
      <c r="AZ198" s="21">
        <v>0</v>
      </c>
      <c r="BA198" s="21">
        <v>0</v>
      </c>
      <c r="BB198" s="21">
        <v>0</v>
      </c>
      <c r="BC198" s="21">
        <v>0</v>
      </c>
      <c r="BD198" s="21">
        <v>0</v>
      </c>
      <c r="BE198" s="21">
        <v>0</v>
      </c>
      <c r="BF198" s="21">
        <v>0</v>
      </c>
      <c r="BG198" s="21">
        <v>0</v>
      </c>
      <c r="BH198" s="21">
        <v>0</v>
      </c>
      <c r="BI198" s="21">
        <v>0</v>
      </c>
      <c r="BJ198" s="21">
        <v>0</v>
      </c>
      <c r="BK198" s="21">
        <v>0</v>
      </c>
      <c r="BL198" s="21">
        <v>0</v>
      </c>
      <c r="BM198" s="21">
        <v>0</v>
      </c>
      <c r="BN198" s="21">
        <v>0</v>
      </c>
      <c r="BO198" s="21">
        <v>0</v>
      </c>
      <c r="BP198" s="21">
        <v>0</v>
      </c>
      <c r="BQ198" s="21">
        <v>0</v>
      </c>
      <c r="BR198" s="21">
        <v>0</v>
      </c>
      <c r="BS198" s="21">
        <v>0</v>
      </c>
      <c r="BT198" s="21">
        <v>0</v>
      </c>
      <c r="BU198" s="21">
        <v>0</v>
      </c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1">
        <v>0</v>
      </c>
      <c r="CH198" s="21">
        <v>0</v>
      </c>
      <c r="CI198" s="21">
        <v>0</v>
      </c>
      <c r="CJ198" s="21">
        <v>0</v>
      </c>
      <c r="CK198" s="21">
        <v>0</v>
      </c>
      <c r="CL198" s="21">
        <v>0</v>
      </c>
      <c r="CM198" s="21">
        <v>0</v>
      </c>
      <c r="CN198" s="21">
        <v>0</v>
      </c>
      <c r="CO198" s="21">
        <v>0</v>
      </c>
      <c r="CP198" s="21">
        <v>0</v>
      </c>
      <c r="CQ198" s="21">
        <v>0</v>
      </c>
      <c r="CR198" s="21">
        <v>0</v>
      </c>
      <c r="CS198" s="21">
        <v>0</v>
      </c>
      <c r="CT198" s="21">
        <v>0</v>
      </c>
      <c r="CU198" s="21">
        <v>0</v>
      </c>
      <c r="CV198" s="21">
        <v>0</v>
      </c>
      <c r="CW198" s="21">
        <v>0</v>
      </c>
      <c r="CX198" s="21">
        <v>0</v>
      </c>
      <c r="CY198" s="21">
        <v>0</v>
      </c>
      <c r="CZ198" s="21">
        <v>0</v>
      </c>
      <c r="DA198" s="21">
        <v>0</v>
      </c>
      <c r="DB198" s="21">
        <v>0</v>
      </c>
      <c r="DC198" s="21">
        <v>0</v>
      </c>
      <c r="DD198" s="21">
        <v>0</v>
      </c>
      <c r="DE198" s="21">
        <v>0</v>
      </c>
      <c r="DF198" s="21">
        <v>0</v>
      </c>
      <c r="DG198" s="21">
        <v>0</v>
      </c>
      <c r="DH198" s="21">
        <v>0</v>
      </c>
      <c r="DI198" s="21">
        <v>0</v>
      </c>
      <c r="DJ198" s="21">
        <v>0</v>
      </c>
      <c r="DK198" s="21">
        <v>0</v>
      </c>
      <c r="DL198" s="21">
        <v>0</v>
      </c>
      <c r="DM198" s="21">
        <v>0</v>
      </c>
      <c r="DN198" s="21">
        <v>0</v>
      </c>
      <c r="DO198" s="21">
        <v>0</v>
      </c>
      <c r="DP198" s="21">
        <v>0</v>
      </c>
      <c r="DQ198" s="21">
        <v>0</v>
      </c>
      <c r="DR198" s="21">
        <v>0</v>
      </c>
      <c r="DS198" s="21">
        <v>0</v>
      </c>
      <c r="DT198" s="21">
        <v>0</v>
      </c>
      <c r="DU198" s="21">
        <v>0</v>
      </c>
      <c r="DV198" s="21">
        <v>0</v>
      </c>
      <c r="DW198" s="21">
        <v>0</v>
      </c>
      <c r="DX198" s="21">
        <v>0</v>
      </c>
      <c r="DY198" s="21">
        <v>0</v>
      </c>
      <c r="DZ198" s="21">
        <v>0</v>
      </c>
      <c r="EA198" s="21">
        <v>0</v>
      </c>
      <c r="EB198" s="21">
        <v>0</v>
      </c>
      <c r="EC198" s="21">
        <v>0</v>
      </c>
      <c r="ED198" s="21">
        <v>0</v>
      </c>
      <c r="EE198" s="21">
        <v>0</v>
      </c>
      <c r="EF198" s="21">
        <v>0</v>
      </c>
    </row>
    <row r="199" spans="1:136" ht="14.5" x14ac:dyDescent="0.35">
      <c r="A199" s="20" t="s">
        <v>12</v>
      </c>
      <c r="B199" s="20" t="s">
        <v>17</v>
      </c>
      <c r="C199" s="20" t="s">
        <v>17</v>
      </c>
      <c r="D199" s="20" t="s">
        <v>332</v>
      </c>
      <c r="E199" s="20" t="s">
        <v>14</v>
      </c>
      <c r="F199" s="20" t="s">
        <v>88</v>
      </c>
      <c r="G199" s="21">
        <v>0</v>
      </c>
      <c r="H199" s="21">
        <v>0</v>
      </c>
      <c r="I199" s="21">
        <v>32</v>
      </c>
      <c r="J199" s="21">
        <v>-32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0</v>
      </c>
      <c r="AN199" s="21">
        <v>4</v>
      </c>
      <c r="AO199" s="21">
        <v>28</v>
      </c>
      <c r="AP199" s="21">
        <v>0</v>
      </c>
      <c r="AQ199" s="21">
        <v>0</v>
      </c>
      <c r="AR199" s="21">
        <v>0</v>
      </c>
      <c r="AS199" s="21">
        <v>0</v>
      </c>
      <c r="AT199" s="21">
        <v>0</v>
      </c>
      <c r="AU199" s="21">
        <v>0</v>
      </c>
      <c r="AV199" s="21">
        <v>0</v>
      </c>
      <c r="AW199" s="21">
        <v>0</v>
      </c>
      <c r="AX199" s="21">
        <v>0</v>
      </c>
      <c r="AY199" s="21">
        <v>0</v>
      </c>
      <c r="AZ199" s="21">
        <v>0</v>
      </c>
      <c r="BA199" s="21">
        <v>0</v>
      </c>
      <c r="BB199" s="21">
        <v>0</v>
      </c>
      <c r="BC199" s="21">
        <v>0</v>
      </c>
      <c r="BD199" s="21">
        <v>0</v>
      </c>
      <c r="BE199" s="21">
        <v>0</v>
      </c>
      <c r="BF199" s="21">
        <v>0</v>
      </c>
      <c r="BG199" s="21">
        <v>0</v>
      </c>
      <c r="BH199" s="21">
        <v>0</v>
      </c>
      <c r="BI199" s="21">
        <v>0</v>
      </c>
      <c r="BJ199" s="21">
        <v>0</v>
      </c>
      <c r="BK199" s="21">
        <v>0</v>
      </c>
      <c r="BL199" s="21">
        <v>0</v>
      </c>
      <c r="BM199" s="21">
        <v>0</v>
      </c>
      <c r="BN199" s="21">
        <v>0</v>
      </c>
      <c r="BO199" s="21">
        <v>0</v>
      </c>
      <c r="BP199" s="21">
        <v>0</v>
      </c>
      <c r="BQ199" s="21">
        <v>0</v>
      </c>
      <c r="BR199" s="21">
        <v>0</v>
      </c>
      <c r="BS199" s="21">
        <v>0</v>
      </c>
      <c r="BT199" s="21">
        <v>0</v>
      </c>
      <c r="BU199" s="21">
        <v>0</v>
      </c>
      <c r="BV199" s="21">
        <v>0</v>
      </c>
      <c r="BW199" s="21">
        <v>0</v>
      </c>
      <c r="BX199" s="21">
        <v>0</v>
      </c>
      <c r="BY199" s="21">
        <v>0</v>
      </c>
      <c r="BZ199" s="21">
        <v>0</v>
      </c>
      <c r="CA199" s="21">
        <v>0</v>
      </c>
      <c r="CB199" s="21">
        <v>0</v>
      </c>
      <c r="CC199" s="21">
        <v>0</v>
      </c>
      <c r="CD199" s="21">
        <v>0</v>
      </c>
      <c r="CE199" s="21">
        <v>0</v>
      </c>
      <c r="CF199" s="21">
        <v>0</v>
      </c>
      <c r="CG199" s="21">
        <v>0</v>
      </c>
      <c r="CH199" s="21">
        <v>0</v>
      </c>
      <c r="CI199" s="21">
        <v>0</v>
      </c>
      <c r="CJ199" s="21">
        <v>0</v>
      </c>
      <c r="CK199" s="21">
        <v>0</v>
      </c>
      <c r="CL199" s="21">
        <v>0</v>
      </c>
      <c r="CM199" s="21">
        <v>0</v>
      </c>
      <c r="CN199" s="21">
        <v>0</v>
      </c>
      <c r="CO199" s="21">
        <v>0</v>
      </c>
      <c r="CP199" s="21">
        <v>0</v>
      </c>
      <c r="CQ199" s="21">
        <v>0</v>
      </c>
      <c r="CR199" s="21">
        <v>0</v>
      </c>
      <c r="CS199" s="21">
        <v>0</v>
      </c>
      <c r="CT199" s="21">
        <v>0</v>
      </c>
      <c r="CU199" s="21">
        <v>0</v>
      </c>
      <c r="CV199" s="21">
        <v>0</v>
      </c>
      <c r="CW199" s="21">
        <v>0</v>
      </c>
      <c r="CX199" s="21">
        <v>0</v>
      </c>
      <c r="CY199" s="21">
        <v>0</v>
      </c>
      <c r="CZ199" s="21">
        <v>0</v>
      </c>
      <c r="DA199" s="21">
        <v>0</v>
      </c>
      <c r="DB199" s="21">
        <v>0</v>
      </c>
      <c r="DC199" s="21">
        <v>0</v>
      </c>
      <c r="DD199" s="21">
        <v>0</v>
      </c>
      <c r="DE199" s="21">
        <v>0</v>
      </c>
      <c r="DF199" s="21">
        <v>0</v>
      </c>
      <c r="DG199" s="21">
        <v>0</v>
      </c>
      <c r="DH199" s="21">
        <v>0</v>
      </c>
      <c r="DI199" s="21">
        <v>0</v>
      </c>
      <c r="DJ199" s="21">
        <v>0</v>
      </c>
      <c r="DK199" s="21">
        <v>0</v>
      </c>
      <c r="DL199" s="21">
        <v>0</v>
      </c>
      <c r="DM199" s="21">
        <v>0</v>
      </c>
      <c r="DN199" s="21">
        <v>0</v>
      </c>
      <c r="DO199" s="21">
        <v>0</v>
      </c>
      <c r="DP199" s="21">
        <v>0</v>
      </c>
      <c r="DQ199" s="21">
        <v>0</v>
      </c>
      <c r="DR199" s="21">
        <v>0</v>
      </c>
      <c r="DS199" s="21">
        <v>0</v>
      </c>
      <c r="DT199" s="21">
        <v>0</v>
      </c>
      <c r="DU199" s="21">
        <v>0</v>
      </c>
      <c r="DV199" s="21">
        <v>0</v>
      </c>
      <c r="DW199" s="21">
        <v>0</v>
      </c>
      <c r="DX199" s="21">
        <v>0</v>
      </c>
      <c r="DY199" s="21">
        <v>0</v>
      </c>
      <c r="DZ199" s="21">
        <v>0</v>
      </c>
      <c r="EA199" s="21">
        <v>0</v>
      </c>
      <c r="EB199" s="21">
        <v>0</v>
      </c>
      <c r="EC199" s="21">
        <v>0</v>
      </c>
      <c r="ED199" s="21">
        <v>0</v>
      </c>
      <c r="EE199" s="21">
        <v>0</v>
      </c>
      <c r="EF199" s="21">
        <v>0</v>
      </c>
    </row>
    <row r="200" spans="1:136" ht="14.5" x14ac:dyDescent="0.35">
      <c r="A200" s="20" t="s">
        <v>12</v>
      </c>
      <c r="B200" s="20" t="s">
        <v>17</v>
      </c>
      <c r="C200" s="20" t="s">
        <v>17</v>
      </c>
      <c r="D200" s="20" t="s">
        <v>333</v>
      </c>
      <c r="E200" s="20" t="s">
        <v>14</v>
      </c>
      <c r="F200" s="20" t="s">
        <v>88</v>
      </c>
      <c r="G200" s="21">
        <v>20</v>
      </c>
      <c r="H200" s="21">
        <v>20</v>
      </c>
      <c r="I200" s="21">
        <v>0</v>
      </c>
      <c r="J200" s="21">
        <v>20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>
        <v>0</v>
      </c>
      <c r="Z200" s="21">
        <v>0</v>
      </c>
      <c r="AA200" s="21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U200" s="21">
        <v>0</v>
      </c>
      <c r="AV200" s="21">
        <v>0</v>
      </c>
      <c r="AW200" s="21">
        <v>0</v>
      </c>
      <c r="AX200" s="21">
        <v>0</v>
      </c>
      <c r="AY200" s="21">
        <v>0</v>
      </c>
      <c r="AZ200" s="21">
        <v>0</v>
      </c>
      <c r="BA200" s="21">
        <v>0</v>
      </c>
      <c r="BB200" s="21">
        <v>0</v>
      </c>
      <c r="BC200" s="21">
        <v>0</v>
      </c>
      <c r="BD200" s="21">
        <v>0</v>
      </c>
      <c r="BE200" s="21">
        <v>0</v>
      </c>
      <c r="BF200" s="21">
        <v>0</v>
      </c>
      <c r="BG200" s="21">
        <v>0</v>
      </c>
      <c r="BH200" s="21">
        <v>0</v>
      </c>
      <c r="BI200" s="21">
        <v>0</v>
      </c>
      <c r="BJ200" s="21">
        <v>0</v>
      </c>
      <c r="BK200" s="21">
        <v>0</v>
      </c>
      <c r="BL200" s="21">
        <v>0</v>
      </c>
      <c r="BM200" s="21">
        <v>0</v>
      </c>
      <c r="BN200" s="21">
        <v>0</v>
      </c>
      <c r="BO200" s="21">
        <v>0</v>
      </c>
      <c r="BP200" s="21">
        <v>0</v>
      </c>
      <c r="BQ200" s="21">
        <v>0</v>
      </c>
      <c r="BR200" s="21">
        <v>0</v>
      </c>
      <c r="BS200" s="21">
        <v>0</v>
      </c>
      <c r="BT200" s="21">
        <v>0</v>
      </c>
      <c r="BU200" s="21">
        <v>0</v>
      </c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1">
        <v>0</v>
      </c>
      <c r="CH200" s="21">
        <v>0</v>
      </c>
      <c r="CI200" s="21">
        <v>0</v>
      </c>
      <c r="CJ200" s="21">
        <v>0</v>
      </c>
      <c r="CK200" s="21">
        <v>0</v>
      </c>
      <c r="CL200" s="21">
        <v>0</v>
      </c>
      <c r="CM200" s="21">
        <v>0</v>
      </c>
      <c r="CN200" s="21">
        <v>0</v>
      </c>
      <c r="CO200" s="21">
        <v>0</v>
      </c>
      <c r="CP200" s="21">
        <v>0</v>
      </c>
      <c r="CQ200" s="21">
        <v>0</v>
      </c>
      <c r="CR200" s="21">
        <v>0</v>
      </c>
      <c r="CS200" s="21">
        <v>0</v>
      </c>
      <c r="CT200" s="21">
        <v>0</v>
      </c>
      <c r="CU200" s="21">
        <v>0</v>
      </c>
      <c r="CV200" s="21">
        <v>0</v>
      </c>
      <c r="CW200" s="21">
        <v>0</v>
      </c>
      <c r="CX200" s="21">
        <v>0</v>
      </c>
      <c r="CY200" s="21">
        <v>0</v>
      </c>
      <c r="CZ200" s="21">
        <v>0</v>
      </c>
      <c r="DA200" s="21">
        <v>0</v>
      </c>
      <c r="DB200" s="21">
        <v>0</v>
      </c>
      <c r="DC200" s="21">
        <v>0</v>
      </c>
      <c r="DD200" s="21">
        <v>0</v>
      </c>
      <c r="DE200" s="21">
        <v>0</v>
      </c>
      <c r="DF200" s="21">
        <v>0</v>
      </c>
      <c r="DG200" s="21">
        <v>0</v>
      </c>
      <c r="DH200" s="21">
        <v>0</v>
      </c>
      <c r="DI200" s="21">
        <v>0</v>
      </c>
      <c r="DJ200" s="21">
        <v>0</v>
      </c>
      <c r="DK200" s="21">
        <v>0</v>
      </c>
      <c r="DL200" s="21">
        <v>0</v>
      </c>
      <c r="DM200" s="21">
        <v>0</v>
      </c>
      <c r="DN200" s="21">
        <v>0</v>
      </c>
      <c r="DO200" s="21">
        <v>0</v>
      </c>
      <c r="DP200" s="21">
        <v>0</v>
      </c>
      <c r="DQ200" s="21">
        <v>0</v>
      </c>
      <c r="DR200" s="21">
        <v>0</v>
      </c>
      <c r="DS200" s="21">
        <v>0</v>
      </c>
      <c r="DT200" s="21">
        <v>0</v>
      </c>
      <c r="DU200" s="21">
        <v>0</v>
      </c>
      <c r="DV200" s="21">
        <v>0</v>
      </c>
      <c r="DW200" s="21">
        <v>0</v>
      </c>
      <c r="DX200" s="21">
        <v>0</v>
      </c>
      <c r="DY200" s="21">
        <v>0</v>
      </c>
      <c r="DZ200" s="21">
        <v>0</v>
      </c>
      <c r="EA200" s="21">
        <v>0</v>
      </c>
      <c r="EB200" s="21">
        <v>0</v>
      </c>
      <c r="EC200" s="21">
        <v>0</v>
      </c>
      <c r="ED200" s="21">
        <v>0</v>
      </c>
      <c r="EE200" s="21">
        <v>0</v>
      </c>
      <c r="EF200" s="21">
        <v>0</v>
      </c>
    </row>
    <row r="201" spans="1:136" ht="14.5" x14ac:dyDescent="0.35">
      <c r="A201" s="20" t="s">
        <v>12</v>
      </c>
      <c r="B201" s="20" t="s">
        <v>17</v>
      </c>
      <c r="C201" s="20" t="s">
        <v>17</v>
      </c>
      <c r="D201" s="20" t="s">
        <v>332</v>
      </c>
      <c r="E201" s="20" t="s">
        <v>14</v>
      </c>
      <c r="F201" s="20" t="s">
        <v>89</v>
      </c>
      <c r="G201" s="21">
        <v>0</v>
      </c>
      <c r="H201" s="21">
        <v>0</v>
      </c>
      <c r="I201" s="21">
        <v>20</v>
      </c>
      <c r="J201" s="21">
        <v>-20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0</v>
      </c>
      <c r="AT201" s="21">
        <v>0</v>
      </c>
      <c r="AU201" s="21">
        <v>0</v>
      </c>
      <c r="AV201" s="21">
        <v>0</v>
      </c>
      <c r="AW201" s="21">
        <v>0</v>
      </c>
      <c r="AX201" s="21">
        <v>0</v>
      </c>
      <c r="AY201" s="21">
        <v>0</v>
      </c>
      <c r="AZ201" s="21">
        <v>0</v>
      </c>
      <c r="BA201" s="21">
        <v>0</v>
      </c>
      <c r="BB201" s="21">
        <v>0</v>
      </c>
      <c r="BC201" s="21">
        <v>0</v>
      </c>
      <c r="BD201" s="21">
        <v>0</v>
      </c>
      <c r="BE201" s="21">
        <v>0</v>
      </c>
      <c r="BF201" s="21">
        <v>0</v>
      </c>
      <c r="BG201" s="21">
        <v>0</v>
      </c>
      <c r="BH201" s="21">
        <v>0</v>
      </c>
      <c r="BI201" s="21">
        <v>0</v>
      </c>
      <c r="BJ201" s="21">
        <v>0</v>
      </c>
      <c r="BK201" s="21">
        <v>0</v>
      </c>
      <c r="BL201" s="21">
        <v>0</v>
      </c>
      <c r="BM201" s="21">
        <v>0</v>
      </c>
      <c r="BN201" s="21">
        <v>0</v>
      </c>
      <c r="BO201" s="21">
        <v>0</v>
      </c>
      <c r="BP201" s="21">
        <v>0</v>
      </c>
      <c r="BQ201" s="21">
        <v>0</v>
      </c>
      <c r="BR201" s="21">
        <v>0</v>
      </c>
      <c r="BS201" s="21">
        <v>0</v>
      </c>
      <c r="BT201" s="21">
        <v>0</v>
      </c>
      <c r="BU201" s="21">
        <v>0</v>
      </c>
      <c r="BV201" s="21">
        <v>0</v>
      </c>
      <c r="BW201" s="21">
        <v>0</v>
      </c>
      <c r="BX201" s="21">
        <v>0</v>
      </c>
      <c r="BY201" s="21">
        <v>0</v>
      </c>
      <c r="BZ201" s="21">
        <v>0</v>
      </c>
      <c r="CA201" s="21">
        <v>0</v>
      </c>
      <c r="CB201" s="21">
        <v>0</v>
      </c>
      <c r="CC201" s="21">
        <v>0</v>
      </c>
      <c r="CD201" s="21">
        <v>0</v>
      </c>
      <c r="CE201" s="21">
        <v>0</v>
      </c>
      <c r="CF201" s="21">
        <v>0</v>
      </c>
      <c r="CG201" s="21">
        <v>0</v>
      </c>
      <c r="CH201" s="21">
        <v>0</v>
      </c>
      <c r="CI201" s="21">
        <v>0</v>
      </c>
      <c r="CJ201" s="21">
        <v>0</v>
      </c>
      <c r="CK201" s="21">
        <v>0</v>
      </c>
      <c r="CL201" s="21">
        <v>0</v>
      </c>
      <c r="CM201" s="21">
        <v>0</v>
      </c>
      <c r="CN201" s="21">
        <v>0</v>
      </c>
      <c r="CO201" s="21">
        <v>0</v>
      </c>
      <c r="CP201" s="21">
        <v>0</v>
      </c>
      <c r="CQ201" s="21">
        <v>0</v>
      </c>
      <c r="CR201" s="21">
        <v>0</v>
      </c>
      <c r="CS201" s="21">
        <v>0</v>
      </c>
      <c r="CT201" s="21">
        <v>0</v>
      </c>
      <c r="CU201" s="21">
        <v>0</v>
      </c>
      <c r="CV201" s="21">
        <v>0</v>
      </c>
      <c r="CW201" s="21">
        <v>0</v>
      </c>
      <c r="CX201" s="21">
        <v>0</v>
      </c>
      <c r="CY201" s="21">
        <v>0</v>
      </c>
      <c r="CZ201" s="21">
        <v>10</v>
      </c>
      <c r="DA201" s="21">
        <v>10</v>
      </c>
      <c r="DB201" s="21">
        <v>0</v>
      </c>
      <c r="DC201" s="21">
        <v>0</v>
      </c>
      <c r="DD201" s="21">
        <v>0</v>
      </c>
      <c r="DE201" s="21">
        <v>0</v>
      </c>
      <c r="DF201" s="21">
        <v>0</v>
      </c>
      <c r="DG201" s="21">
        <v>0</v>
      </c>
      <c r="DH201" s="21">
        <v>0</v>
      </c>
      <c r="DI201" s="21">
        <v>0</v>
      </c>
      <c r="DJ201" s="21">
        <v>0</v>
      </c>
      <c r="DK201" s="21">
        <v>0</v>
      </c>
      <c r="DL201" s="21">
        <v>0</v>
      </c>
      <c r="DM201" s="21">
        <v>0</v>
      </c>
      <c r="DN201" s="21">
        <v>0</v>
      </c>
      <c r="DO201" s="21">
        <v>0</v>
      </c>
      <c r="DP201" s="21">
        <v>0</v>
      </c>
      <c r="DQ201" s="21">
        <v>0</v>
      </c>
      <c r="DR201" s="21">
        <v>0</v>
      </c>
      <c r="DS201" s="21">
        <v>0</v>
      </c>
      <c r="DT201" s="21">
        <v>0</v>
      </c>
      <c r="DU201" s="21">
        <v>0</v>
      </c>
      <c r="DV201" s="21">
        <v>0</v>
      </c>
      <c r="DW201" s="21">
        <v>0</v>
      </c>
      <c r="DX201" s="21">
        <v>0</v>
      </c>
      <c r="DY201" s="21">
        <v>0</v>
      </c>
      <c r="DZ201" s="21">
        <v>0</v>
      </c>
      <c r="EA201" s="21">
        <v>0</v>
      </c>
      <c r="EB201" s="21">
        <v>0</v>
      </c>
      <c r="EC201" s="21">
        <v>0</v>
      </c>
      <c r="ED201" s="21">
        <v>0</v>
      </c>
      <c r="EE201" s="21">
        <v>0</v>
      </c>
      <c r="EF201" s="21">
        <v>0</v>
      </c>
    </row>
    <row r="202" spans="1:136" ht="14.5" x14ac:dyDescent="0.35">
      <c r="A202" s="20" t="s">
        <v>12</v>
      </c>
      <c r="B202" s="20" t="s">
        <v>17</v>
      </c>
      <c r="C202" s="20" t="s">
        <v>17</v>
      </c>
      <c r="D202" s="20" t="s">
        <v>333</v>
      </c>
      <c r="E202" s="20" t="s">
        <v>14</v>
      </c>
      <c r="F202" s="20" t="s">
        <v>89</v>
      </c>
      <c r="G202" s="21">
        <v>0</v>
      </c>
      <c r="H202" s="21">
        <v>20</v>
      </c>
      <c r="I202" s="21">
        <v>0</v>
      </c>
      <c r="J202" s="21">
        <v>20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0</v>
      </c>
      <c r="Z202" s="21">
        <v>0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21">
        <v>0</v>
      </c>
      <c r="AO202" s="21">
        <v>0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>
        <v>0</v>
      </c>
      <c r="AV202" s="21">
        <v>0</v>
      </c>
      <c r="AW202" s="21">
        <v>0</v>
      </c>
      <c r="AX202" s="21">
        <v>0</v>
      </c>
      <c r="AY202" s="21">
        <v>0</v>
      </c>
      <c r="AZ202" s="21">
        <v>0</v>
      </c>
      <c r="BA202" s="21">
        <v>0</v>
      </c>
      <c r="BB202" s="21">
        <v>0</v>
      </c>
      <c r="BC202" s="21">
        <v>0</v>
      </c>
      <c r="BD202" s="21">
        <v>0</v>
      </c>
      <c r="BE202" s="21">
        <v>0</v>
      </c>
      <c r="BF202" s="21">
        <v>0</v>
      </c>
      <c r="BG202" s="21">
        <v>0</v>
      </c>
      <c r="BH202" s="21">
        <v>0</v>
      </c>
      <c r="BI202" s="21">
        <v>0</v>
      </c>
      <c r="BJ202" s="21">
        <v>0</v>
      </c>
      <c r="BK202" s="21">
        <v>0</v>
      </c>
      <c r="BL202" s="21">
        <v>0</v>
      </c>
      <c r="BM202" s="21">
        <v>0</v>
      </c>
      <c r="BN202" s="21">
        <v>0</v>
      </c>
      <c r="BO202" s="21">
        <v>0</v>
      </c>
      <c r="BP202" s="21">
        <v>0</v>
      </c>
      <c r="BQ202" s="21">
        <v>0</v>
      </c>
      <c r="BR202" s="21">
        <v>0</v>
      </c>
      <c r="BS202" s="21">
        <v>0</v>
      </c>
      <c r="BT202" s="21">
        <v>0</v>
      </c>
      <c r="BU202" s="21">
        <v>0</v>
      </c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1">
        <v>0</v>
      </c>
      <c r="CH202" s="21">
        <v>0</v>
      </c>
      <c r="CI202" s="21">
        <v>0</v>
      </c>
      <c r="CJ202" s="21">
        <v>0</v>
      </c>
      <c r="CK202" s="21">
        <v>0</v>
      </c>
      <c r="CL202" s="21">
        <v>0</v>
      </c>
      <c r="CM202" s="21">
        <v>0</v>
      </c>
      <c r="CN202" s="21">
        <v>0</v>
      </c>
      <c r="CO202" s="21">
        <v>0</v>
      </c>
      <c r="CP202" s="21">
        <v>0</v>
      </c>
      <c r="CQ202" s="21">
        <v>0</v>
      </c>
      <c r="CR202" s="21">
        <v>0</v>
      </c>
      <c r="CS202" s="21">
        <v>0</v>
      </c>
      <c r="CT202" s="21">
        <v>0</v>
      </c>
      <c r="CU202" s="21">
        <v>0</v>
      </c>
      <c r="CV202" s="21">
        <v>0</v>
      </c>
      <c r="CW202" s="21">
        <v>0</v>
      </c>
      <c r="CX202" s="21">
        <v>0</v>
      </c>
      <c r="CY202" s="21">
        <v>0</v>
      </c>
      <c r="CZ202" s="21">
        <v>0</v>
      </c>
      <c r="DA202" s="21">
        <v>0</v>
      </c>
      <c r="DB202" s="21">
        <v>0</v>
      </c>
      <c r="DC202" s="21">
        <v>0</v>
      </c>
      <c r="DD202" s="21">
        <v>0</v>
      </c>
      <c r="DE202" s="21">
        <v>0</v>
      </c>
      <c r="DF202" s="21">
        <v>0</v>
      </c>
      <c r="DG202" s="21">
        <v>0</v>
      </c>
      <c r="DH202" s="21">
        <v>0</v>
      </c>
      <c r="DI202" s="21">
        <v>0</v>
      </c>
      <c r="DJ202" s="21">
        <v>0</v>
      </c>
      <c r="DK202" s="21">
        <v>0</v>
      </c>
      <c r="DL202" s="21">
        <v>0</v>
      </c>
      <c r="DM202" s="21">
        <v>0</v>
      </c>
      <c r="DN202" s="21">
        <v>0</v>
      </c>
      <c r="DO202" s="21">
        <v>0</v>
      </c>
      <c r="DP202" s="21">
        <v>0</v>
      </c>
      <c r="DQ202" s="21">
        <v>0</v>
      </c>
      <c r="DR202" s="21">
        <v>0</v>
      </c>
      <c r="DS202" s="21">
        <v>0</v>
      </c>
      <c r="DT202" s="21">
        <v>0</v>
      </c>
      <c r="DU202" s="21">
        <v>0</v>
      </c>
      <c r="DV202" s="21">
        <v>0</v>
      </c>
      <c r="DW202" s="21">
        <v>0</v>
      </c>
      <c r="DX202" s="21">
        <v>0</v>
      </c>
      <c r="DY202" s="21">
        <v>0</v>
      </c>
      <c r="DZ202" s="21">
        <v>0</v>
      </c>
      <c r="EA202" s="21">
        <v>0</v>
      </c>
      <c r="EB202" s="21">
        <v>0</v>
      </c>
      <c r="EC202" s="21">
        <v>0</v>
      </c>
      <c r="ED202" s="21">
        <v>0</v>
      </c>
      <c r="EE202" s="21">
        <v>0</v>
      </c>
      <c r="EF202" s="21">
        <v>0</v>
      </c>
    </row>
    <row r="203" spans="1:136" ht="14.5" x14ac:dyDescent="0.35">
      <c r="A203" s="20" t="s">
        <v>12</v>
      </c>
      <c r="B203" s="20" t="s">
        <v>17</v>
      </c>
      <c r="C203" s="20" t="s">
        <v>17</v>
      </c>
      <c r="D203" s="20" t="s">
        <v>332</v>
      </c>
      <c r="E203" s="20" t="s">
        <v>14</v>
      </c>
      <c r="F203" s="20" t="s">
        <v>40</v>
      </c>
      <c r="G203" s="21">
        <v>0</v>
      </c>
      <c r="H203" s="21">
        <v>0</v>
      </c>
      <c r="I203" s="21">
        <v>28</v>
      </c>
      <c r="J203" s="21">
        <v>-28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0</v>
      </c>
      <c r="Z203" s="21">
        <v>0</v>
      </c>
      <c r="AA203" s="21">
        <v>0</v>
      </c>
      <c r="AB203" s="21">
        <v>0</v>
      </c>
      <c r="AC203" s="21">
        <v>0</v>
      </c>
      <c r="AD203" s="21">
        <v>0</v>
      </c>
      <c r="AE203" s="21">
        <v>0</v>
      </c>
      <c r="AF203" s="21">
        <v>0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0</v>
      </c>
      <c r="AT203" s="21">
        <v>0</v>
      </c>
      <c r="AU203" s="21">
        <v>0</v>
      </c>
      <c r="AV203" s="21">
        <v>0</v>
      </c>
      <c r="AW203" s="21">
        <v>0</v>
      </c>
      <c r="AX203" s="21">
        <v>0</v>
      </c>
      <c r="AY203" s="21">
        <v>0</v>
      </c>
      <c r="AZ203" s="21">
        <v>0</v>
      </c>
      <c r="BA203" s="21">
        <v>0</v>
      </c>
      <c r="BB203" s="21">
        <v>0</v>
      </c>
      <c r="BC203" s="21">
        <v>0</v>
      </c>
      <c r="BD203" s="21">
        <v>0</v>
      </c>
      <c r="BE203" s="21">
        <v>0</v>
      </c>
      <c r="BF203" s="21">
        <v>0</v>
      </c>
      <c r="BG203" s="21">
        <v>0</v>
      </c>
      <c r="BH203" s="21">
        <v>0</v>
      </c>
      <c r="BI203" s="21">
        <v>0</v>
      </c>
      <c r="BJ203" s="21">
        <v>0</v>
      </c>
      <c r="BK203" s="21">
        <v>0</v>
      </c>
      <c r="BL203" s="21">
        <v>0</v>
      </c>
      <c r="BM203" s="21">
        <v>0</v>
      </c>
      <c r="BN203" s="21">
        <v>0</v>
      </c>
      <c r="BO203" s="21">
        <v>0</v>
      </c>
      <c r="BP203" s="21">
        <v>0</v>
      </c>
      <c r="BQ203" s="21">
        <v>0</v>
      </c>
      <c r="BR203" s="21">
        <v>0</v>
      </c>
      <c r="BS203" s="21">
        <v>0</v>
      </c>
      <c r="BT203" s="21">
        <v>0</v>
      </c>
      <c r="BU203" s="21">
        <v>0</v>
      </c>
      <c r="BV203" s="21">
        <v>0</v>
      </c>
      <c r="BW203" s="21">
        <v>0</v>
      </c>
      <c r="BX203" s="21">
        <v>0</v>
      </c>
      <c r="BY203" s="21">
        <v>0</v>
      </c>
      <c r="BZ203" s="21">
        <v>0</v>
      </c>
      <c r="CA203" s="21">
        <v>0</v>
      </c>
      <c r="CB203" s="21">
        <v>0</v>
      </c>
      <c r="CC203" s="21">
        <v>0</v>
      </c>
      <c r="CD203" s="21">
        <v>0</v>
      </c>
      <c r="CE203" s="21">
        <v>0</v>
      </c>
      <c r="CF203" s="21">
        <v>0</v>
      </c>
      <c r="CG203" s="21">
        <v>0</v>
      </c>
      <c r="CH203" s="21">
        <v>0</v>
      </c>
      <c r="CI203" s="21">
        <v>0</v>
      </c>
      <c r="CJ203" s="21">
        <v>0</v>
      </c>
      <c r="CK203" s="21">
        <v>0</v>
      </c>
      <c r="CL203" s="21">
        <v>0</v>
      </c>
      <c r="CM203" s="21">
        <v>0</v>
      </c>
      <c r="CN203" s="21">
        <v>0</v>
      </c>
      <c r="CO203" s="21">
        <v>0</v>
      </c>
      <c r="CP203" s="21">
        <v>0</v>
      </c>
      <c r="CQ203" s="21">
        <v>0</v>
      </c>
      <c r="CR203" s="21">
        <v>0</v>
      </c>
      <c r="CS203" s="21">
        <v>0</v>
      </c>
      <c r="CT203" s="21">
        <v>0</v>
      </c>
      <c r="CU203" s="21">
        <v>0</v>
      </c>
      <c r="CV203" s="21">
        <v>0</v>
      </c>
      <c r="CW203" s="21">
        <v>0</v>
      </c>
      <c r="CX203" s="21">
        <v>0</v>
      </c>
      <c r="CY203" s="21">
        <v>0</v>
      </c>
      <c r="CZ203" s="21">
        <v>0</v>
      </c>
      <c r="DA203" s="21">
        <v>0</v>
      </c>
      <c r="DB203" s="21">
        <v>0</v>
      </c>
      <c r="DC203" s="21">
        <v>0</v>
      </c>
      <c r="DD203" s="21">
        <v>0</v>
      </c>
      <c r="DE203" s="21">
        <v>0</v>
      </c>
      <c r="DF203" s="21">
        <v>0</v>
      </c>
      <c r="DG203" s="21">
        <v>0</v>
      </c>
      <c r="DH203" s="21">
        <v>0</v>
      </c>
      <c r="DI203" s="21">
        <v>0</v>
      </c>
      <c r="DJ203" s="21">
        <v>0</v>
      </c>
      <c r="DK203" s="21">
        <v>0</v>
      </c>
      <c r="DL203" s="21">
        <v>0</v>
      </c>
      <c r="DM203" s="21">
        <v>0</v>
      </c>
      <c r="DN203" s="21">
        <v>0</v>
      </c>
      <c r="DO203" s="21">
        <v>0</v>
      </c>
      <c r="DP203" s="21">
        <v>8</v>
      </c>
      <c r="DQ203" s="21">
        <v>10</v>
      </c>
      <c r="DR203" s="21">
        <v>10</v>
      </c>
      <c r="DS203" s="21">
        <v>0</v>
      </c>
      <c r="DT203" s="21">
        <v>0</v>
      </c>
      <c r="DU203" s="21">
        <v>0</v>
      </c>
      <c r="DV203" s="21">
        <v>0</v>
      </c>
      <c r="DW203" s="21">
        <v>0</v>
      </c>
      <c r="DX203" s="21">
        <v>0</v>
      </c>
      <c r="DY203" s="21">
        <v>0</v>
      </c>
      <c r="DZ203" s="21">
        <v>0</v>
      </c>
      <c r="EA203" s="21">
        <v>0</v>
      </c>
      <c r="EB203" s="21">
        <v>0</v>
      </c>
      <c r="EC203" s="21">
        <v>0</v>
      </c>
      <c r="ED203" s="21">
        <v>0</v>
      </c>
      <c r="EE203" s="21">
        <v>0</v>
      </c>
      <c r="EF203" s="21">
        <v>0</v>
      </c>
    </row>
    <row r="204" spans="1:136" ht="14.5" x14ac:dyDescent="0.35">
      <c r="A204" s="20" t="s">
        <v>12</v>
      </c>
      <c r="B204" s="20" t="s">
        <v>17</v>
      </c>
      <c r="C204" s="20" t="s">
        <v>17</v>
      </c>
      <c r="D204" s="20" t="s">
        <v>333</v>
      </c>
      <c r="E204" s="20" t="s">
        <v>14</v>
      </c>
      <c r="F204" s="20" t="s">
        <v>40</v>
      </c>
      <c r="G204" s="21">
        <v>0</v>
      </c>
      <c r="H204" s="21">
        <v>28</v>
      </c>
      <c r="I204" s="21">
        <v>0</v>
      </c>
      <c r="J204" s="21">
        <v>28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  <c r="AC204" s="21">
        <v>0</v>
      </c>
      <c r="AD204" s="21">
        <v>0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0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0</v>
      </c>
      <c r="BA204" s="21">
        <v>0</v>
      </c>
      <c r="BB204" s="21">
        <v>0</v>
      </c>
      <c r="BC204" s="21">
        <v>0</v>
      </c>
      <c r="BD204" s="21">
        <v>0</v>
      </c>
      <c r="BE204" s="21">
        <v>0</v>
      </c>
      <c r="BF204" s="21">
        <v>0</v>
      </c>
      <c r="BG204" s="21">
        <v>0</v>
      </c>
      <c r="BH204" s="21">
        <v>0</v>
      </c>
      <c r="BI204" s="21">
        <v>0</v>
      </c>
      <c r="BJ204" s="21">
        <v>0</v>
      </c>
      <c r="BK204" s="21">
        <v>0</v>
      </c>
      <c r="BL204" s="21">
        <v>0</v>
      </c>
      <c r="BM204" s="21">
        <v>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1">
        <v>0</v>
      </c>
      <c r="CH204" s="21">
        <v>0</v>
      </c>
      <c r="CI204" s="21">
        <v>0</v>
      </c>
      <c r="CJ204" s="21">
        <v>0</v>
      </c>
      <c r="CK204" s="21">
        <v>0</v>
      </c>
      <c r="CL204" s="21">
        <v>0</v>
      </c>
      <c r="CM204" s="21">
        <v>0</v>
      </c>
      <c r="CN204" s="21">
        <v>0</v>
      </c>
      <c r="CO204" s="21">
        <v>0</v>
      </c>
      <c r="CP204" s="21">
        <v>0</v>
      </c>
      <c r="CQ204" s="21">
        <v>0</v>
      </c>
      <c r="CR204" s="21">
        <v>0</v>
      </c>
      <c r="CS204" s="21">
        <v>0</v>
      </c>
      <c r="CT204" s="21">
        <v>0</v>
      </c>
      <c r="CU204" s="21">
        <v>0</v>
      </c>
      <c r="CV204" s="21">
        <v>0</v>
      </c>
      <c r="CW204" s="21">
        <v>0</v>
      </c>
      <c r="CX204" s="21">
        <v>0</v>
      </c>
      <c r="CY204" s="21">
        <v>0</v>
      </c>
      <c r="CZ204" s="21">
        <v>0</v>
      </c>
      <c r="DA204" s="21">
        <v>0</v>
      </c>
      <c r="DB204" s="21">
        <v>0</v>
      </c>
      <c r="DC204" s="21">
        <v>0</v>
      </c>
      <c r="DD204" s="21">
        <v>0</v>
      </c>
      <c r="DE204" s="21">
        <v>0</v>
      </c>
      <c r="DF204" s="21">
        <v>0</v>
      </c>
      <c r="DG204" s="21">
        <v>0</v>
      </c>
      <c r="DH204" s="21">
        <v>0</v>
      </c>
      <c r="DI204" s="21">
        <v>0</v>
      </c>
      <c r="DJ204" s="21">
        <v>0</v>
      </c>
      <c r="DK204" s="21">
        <v>0</v>
      </c>
      <c r="DL204" s="21">
        <v>0</v>
      </c>
      <c r="DM204" s="21">
        <v>0</v>
      </c>
      <c r="DN204" s="21">
        <v>0</v>
      </c>
      <c r="DO204" s="21">
        <v>0</v>
      </c>
      <c r="DP204" s="21">
        <v>0</v>
      </c>
      <c r="DQ204" s="21">
        <v>0</v>
      </c>
      <c r="DR204" s="21">
        <v>0</v>
      </c>
      <c r="DS204" s="21">
        <v>0</v>
      </c>
      <c r="DT204" s="21">
        <v>0</v>
      </c>
      <c r="DU204" s="21">
        <v>0</v>
      </c>
      <c r="DV204" s="21">
        <v>0</v>
      </c>
      <c r="DW204" s="21">
        <v>0</v>
      </c>
      <c r="DX204" s="21">
        <v>0</v>
      </c>
      <c r="DY204" s="21">
        <v>0</v>
      </c>
      <c r="DZ204" s="21">
        <v>0</v>
      </c>
      <c r="EA204" s="21">
        <v>0</v>
      </c>
      <c r="EB204" s="21">
        <v>0</v>
      </c>
      <c r="EC204" s="21">
        <v>0</v>
      </c>
      <c r="ED204" s="21">
        <v>0</v>
      </c>
      <c r="EE204" s="21">
        <v>0</v>
      </c>
      <c r="EF204" s="21">
        <v>0</v>
      </c>
    </row>
    <row r="205" spans="1:136" ht="14.5" x14ac:dyDescent="0.35">
      <c r="A205" s="20" t="s">
        <v>12</v>
      </c>
      <c r="B205" s="20" t="s">
        <v>17</v>
      </c>
      <c r="C205" s="20" t="s">
        <v>17</v>
      </c>
      <c r="D205" s="20" t="s">
        <v>332</v>
      </c>
      <c r="E205" s="20" t="s">
        <v>14</v>
      </c>
      <c r="F205" s="20" t="s">
        <v>46</v>
      </c>
      <c r="G205" s="21">
        <v>0</v>
      </c>
      <c r="H205" s="21">
        <v>0</v>
      </c>
      <c r="I205" s="21">
        <v>466</v>
      </c>
      <c r="J205" s="21">
        <v>-466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1">
        <v>0</v>
      </c>
      <c r="AB205" s="21">
        <v>0</v>
      </c>
      <c r="AC205" s="21">
        <v>0</v>
      </c>
      <c r="AD205" s="21">
        <v>0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2</v>
      </c>
      <c r="AK205" s="21">
        <v>11</v>
      </c>
      <c r="AL205" s="21">
        <v>20</v>
      </c>
      <c r="AM205" s="21">
        <v>23.5</v>
      </c>
      <c r="AN205" s="21">
        <v>3</v>
      </c>
      <c r="AO205" s="21">
        <v>5</v>
      </c>
      <c r="AP205" s="21">
        <v>12</v>
      </c>
      <c r="AQ205" s="21">
        <v>7</v>
      </c>
      <c r="AR205" s="21">
        <v>13</v>
      </c>
      <c r="AS205" s="21">
        <v>8.5</v>
      </c>
      <c r="AT205" s="21">
        <v>0</v>
      </c>
      <c r="AU205" s="21">
        <v>0</v>
      </c>
      <c r="AV205" s="21">
        <v>0</v>
      </c>
      <c r="AW205" s="21">
        <v>0</v>
      </c>
      <c r="AX205" s="21">
        <v>0</v>
      </c>
      <c r="AY205" s="21">
        <v>0</v>
      </c>
      <c r="AZ205" s="21">
        <v>0</v>
      </c>
      <c r="BA205" s="21">
        <v>0</v>
      </c>
      <c r="BB205" s="21">
        <v>0</v>
      </c>
      <c r="BC205" s="21">
        <v>0</v>
      </c>
      <c r="BD205" s="21">
        <v>0</v>
      </c>
      <c r="BE205" s="21">
        <v>0</v>
      </c>
      <c r="BF205" s="21">
        <v>0</v>
      </c>
      <c r="BG205" s="21">
        <v>0</v>
      </c>
      <c r="BH205" s="21">
        <v>0</v>
      </c>
      <c r="BI205" s="21">
        <v>0</v>
      </c>
      <c r="BJ205" s="21">
        <v>0</v>
      </c>
      <c r="BK205" s="21">
        <v>0</v>
      </c>
      <c r="BL205" s="21">
        <v>0</v>
      </c>
      <c r="BM205" s="21">
        <v>0</v>
      </c>
      <c r="BN205" s="21">
        <v>0</v>
      </c>
      <c r="BO205" s="21">
        <v>0</v>
      </c>
      <c r="BP205" s="21">
        <v>0</v>
      </c>
      <c r="BQ205" s="21">
        <v>0</v>
      </c>
      <c r="BR205" s="21">
        <v>0</v>
      </c>
      <c r="BS205" s="21">
        <v>0</v>
      </c>
      <c r="BT205" s="21">
        <v>0</v>
      </c>
      <c r="BU205" s="21">
        <v>0</v>
      </c>
      <c r="BV205" s="21">
        <v>0</v>
      </c>
      <c r="BW205" s="21">
        <v>0</v>
      </c>
      <c r="BX205" s="21">
        <v>0</v>
      </c>
      <c r="BY205" s="21">
        <v>0</v>
      </c>
      <c r="BZ205" s="21">
        <v>0</v>
      </c>
      <c r="CA205" s="21">
        <v>0</v>
      </c>
      <c r="CB205" s="21">
        <v>0</v>
      </c>
      <c r="CC205" s="21">
        <v>0</v>
      </c>
      <c r="CD205" s="21">
        <v>0</v>
      </c>
      <c r="CE205" s="21">
        <v>0</v>
      </c>
      <c r="CF205" s="21">
        <v>0</v>
      </c>
      <c r="CG205" s="21">
        <v>0</v>
      </c>
      <c r="CH205" s="21">
        <v>0</v>
      </c>
      <c r="CI205" s="21">
        <v>0</v>
      </c>
      <c r="CJ205" s="21">
        <v>0</v>
      </c>
      <c r="CK205" s="21">
        <v>0</v>
      </c>
      <c r="CL205" s="21">
        <v>0</v>
      </c>
      <c r="CM205" s="21">
        <v>0</v>
      </c>
      <c r="CN205" s="21">
        <v>0</v>
      </c>
      <c r="CO205" s="21">
        <v>0</v>
      </c>
      <c r="CP205" s="21">
        <v>0</v>
      </c>
      <c r="CQ205" s="21">
        <v>0</v>
      </c>
      <c r="CR205" s="21">
        <v>0</v>
      </c>
      <c r="CS205" s="21">
        <v>8.5</v>
      </c>
      <c r="CT205" s="21">
        <v>3</v>
      </c>
      <c r="CU205" s="21">
        <v>5</v>
      </c>
      <c r="CV205" s="21">
        <v>3</v>
      </c>
      <c r="CW205" s="21">
        <v>3</v>
      </c>
      <c r="CX205" s="21">
        <v>3</v>
      </c>
      <c r="CY205" s="21">
        <v>3</v>
      </c>
      <c r="CZ205" s="21">
        <v>3</v>
      </c>
      <c r="DA205" s="21">
        <v>3</v>
      </c>
      <c r="DB205" s="21">
        <v>12</v>
      </c>
      <c r="DC205" s="21">
        <v>12</v>
      </c>
      <c r="DD205" s="21">
        <v>7</v>
      </c>
      <c r="DE205" s="21">
        <v>8</v>
      </c>
      <c r="DF205" s="21">
        <v>3</v>
      </c>
      <c r="DG205" s="21">
        <v>15</v>
      </c>
      <c r="DH205" s="21">
        <v>15</v>
      </c>
      <c r="DI205" s="21">
        <v>0</v>
      </c>
      <c r="DJ205" s="21">
        <v>0</v>
      </c>
      <c r="DK205" s="21">
        <v>3</v>
      </c>
      <c r="DL205" s="21">
        <v>31.5</v>
      </c>
      <c r="DM205" s="21">
        <v>22</v>
      </c>
      <c r="DN205" s="21">
        <v>45</v>
      </c>
      <c r="DO205" s="21">
        <v>40</v>
      </c>
      <c r="DP205" s="21">
        <v>37.5</v>
      </c>
      <c r="DQ205" s="21">
        <v>57</v>
      </c>
      <c r="DR205" s="21">
        <v>18</v>
      </c>
      <c r="DS205" s="21">
        <v>3</v>
      </c>
      <c r="DT205" s="21">
        <v>3</v>
      </c>
      <c r="DU205" s="21">
        <v>3</v>
      </c>
      <c r="DV205" s="21">
        <v>0</v>
      </c>
      <c r="DW205" s="21">
        <v>0</v>
      </c>
      <c r="DX205" s="21">
        <v>0</v>
      </c>
      <c r="DY205" s="21">
        <v>0</v>
      </c>
      <c r="DZ205" s="21">
        <v>0</v>
      </c>
      <c r="EA205" s="21">
        <v>0</v>
      </c>
      <c r="EB205" s="21">
        <v>0</v>
      </c>
      <c r="EC205" s="21">
        <v>0</v>
      </c>
      <c r="ED205" s="21">
        <v>0</v>
      </c>
      <c r="EE205" s="21">
        <v>0</v>
      </c>
      <c r="EF205" s="21">
        <v>0</v>
      </c>
    </row>
    <row r="206" spans="1:136" ht="14.5" x14ac:dyDescent="0.35">
      <c r="A206" s="20" t="s">
        <v>12</v>
      </c>
      <c r="B206" s="20" t="s">
        <v>17</v>
      </c>
      <c r="C206" s="20" t="s">
        <v>17</v>
      </c>
      <c r="D206" s="20" t="s">
        <v>333</v>
      </c>
      <c r="E206" s="20" t="s">
        <v>14</v>
      </c>
      <c r="F206" s="20" t="s">
        <v>46</v>
      </c>
      <c r="G206" s="21">
        <v>223</v>
      </c>
      <c r="H206" s="21">
        <v>590</v>
      </c>
      <c r="I206" s="21">
        <v>171</v>
      </c>
      <c r="J206" s="21">
        <v>419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0</v>
      </c>
      <c r="Z206" s="21">
        <v>0</v>
      </c>
      <c r="AA206" s="21">
        <v>0</v>
      </c>
      <c r="AB206" s="21">
        <v>1</v>
      </c>
      <c r="AC206" s="21">
        <v>16.5</v>
      </c>
      <c r="AD206" s="21">
        <v>24.5</v>
      </c>
      <c r="AE206" s="21">
        <v>16</v>
      </c>
      <c r="AF206" s="21">
        <v>19</v>
      </c>
      <c r="AG206" s="21">
        <v>18</v>
      </c>
      <c r="AH206" s="21">
        <v>32</v>
      </c>
      <c r="AI206" s="21">
        <v>32</v>
      </c>
      <c r="AJ206" s="21">
        <v>12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0</v>
      </c>
      <c r="AU206" s="21">
        <v>0</v>
      </c>
      <c r="AV206" s="21">
        <v>0</v>
      </c>
      <c r="AW206" s="21">
        <v>0</v>
      </c>
      <c r="AX206" s="21">
        <v>0</v>
      </c>
      <c r="AY206" s="21">
        <v>0</v>
      </c>
      <c r="AZ206" s="21">
        <v>0</v>
      </c>
      <c r="BA206" s="21">
        <v>0</v>
      </c>
      <c r="BB206" s="21">
        <v>0</v>
      </c>
      <c r="BC206" s="21">
        <v>0</v>
      </c>
      <c r="BD206" s="21">
        <v>0</v>
      </c>
      <c r="BE206" s="21">
        <v>0</v>
      </c>
      <c r="BF206" s="21">
        <v>0</v>
      </c>
      <c r="BG206" s="21">
        <v>0</v>
      </c>
      <c r="BH206" s="21">
        <v>0</v>
      </c>
      <c r="BI206" s="21">
        <v>0</v>
      </c>
      <c r="BJ206" s="21">
        <v>0</v>
      </c>
      <c r="BK206" s="21">
        <v>0</v>
      </c>
      <c r="BL206" s="21">
        <v>0</v>
      </c>
      <c r="BM206" s="21">
        <v>0</v>
      </c>
      <c r="BN206" s="21">
        <v>0</v>
      </c>
      <c r="BO206" s="21">
        <v>0</v>
      </c>
      <c r="BP206" s="21">
        <v>0</v>
      </c>
      <c r="BQ206" s="21">
        <v>0</v>
      </c>
      <c r="BR206" s="21">
        <v>0</v>
      </c>
      <c r="BS206" s="21">
        <v>0</v>
      </c>
      <c r="BT206" s="21">
        <v>0</v>
      </c>
      <c r="BU206" s="21">
        <v>0</v>
      </c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1">
        <v>0</v>
      </c>
      <c r="CH206" s="21">
        <v>0</v>
      </c>
      <c r="CI206" s="21">
        <v>0</v>
      </c>
      <c r="CJ206" s="21">
        <v>0</v>
      </c>
      <c r="CK206" s="21">
        <v>0</v>
      </c>
      <c r="CL206" s="21">
        <v>0</v>
      </c>
      <c r="CM206" s="21">
        <v>0</v>
      </c>
      <c r="CN206" s="21">
        <v>0</v>
      </c>
      <c r="CO206" s="21">
        <v>0</v>
      </c>
      <c r="CP206" s="21">
        <v>0</v>
      </c>
      <c r="CQ206" s="21">
        <v>0</v>
      </c>
      <c r="CR206" s="21">
        <v>0</v>
      </c>
      <c r="CS206" s="21">
        <v>0</v>
      </c>
      <c r="CT206" s="21">
        <v>0</v>
      </c>
      <c r="CU206" s="21">
        <v>0</v>
      </c>
      <c r="CV206" s="21">
        <v>0</v>
      </c>
      <c r="CW206" s="21">
        <v>0</v>
      </c>
      <c r="CX206" s="21">
        <v>0</v>
      </c>
      <c r="CY206" s="21">
        <v>0</v>
      </c>
      <c r="CZ206" s="21">
        <v>0</v>
      </c>
      <c r="DA206" s="21">
        <v>0</v>
      </c>
      <c r="DB206" s="21">
        <v>0</v>
      </c>
      <c r="DC206" s="21">
        <v>0</v>
      </c>
      <c r="DD206" s="21">
        <v>0</v>
      </c>
      <c r="DE206" s="21">
        <v>0</v>
      </c>
      <c r="DF206" s="21">
        <v>0</v>
      </c>
      <c r="DG206" s="21">
        <v>0</v>
      </c>
      <c r="DH206" s="21">
        <v>0</v>
      </c>
      <c r="DI206" s="21">
        <v>0</v>
      </c>
      <c r="DJ206" s="21">
        <v>0</v>
      </c>
      <c r="DK206" s="21">
        <v>0</v>
      </c>
      <c r="DL206" s="21">
        <v>0</v>
      </c>
      <c r="DM206" s="21">
        <v>0</v>
      </c>
      <c r="DN206" s="21">
        <v>0</v>
      </c>
      <c r="DO206" s="21">
        <v>0</v>
      </c>
      <c r="DP206" s="21">
        <v>0</v>
      </c>
      <c r="DQ206" s="21">
        <v>0</v>
      </c>
      <c r="DR206" s="21">
        <v>0</v>
      </c>
      <c r="DS206" s="21">
        <v>0</v>
      </c>
      <c r="DT206" s="21">
        <v>0</v>
      </c>
      <c r="DU206" s="21">
        <v>0</v>
      </c>
      <c r="DV206" s="21">
        <v>0</v>
      </c>
      <c r="DW206" s="21">
        <v>0</v>
      </c>
      <c r="DX206" s="21">
        <v>0</v>
      </c>
      <c r="DY206" s="21">
        <v>0</v>
      </c>
      <c r="DZ206" s="21">
        <v>0</v>
      </c>
      <c r="EA206" s="21">
        <v>0</v>
      </c>
      <c r="EB206" s="21">
        <v>0</v>
      </c>
      <c r="EC206" s="21">
        <v>0</v>
      </c>
      <c r="ED206" s="21">
        <v>0</v>
      </c>
      <c r="EE206" s="21">
        <v>0</v>
      </c>
      <c r="EF206" s="21">
        <v>0</v>
      </c>
    </row>
    <row r="207" spans="1:136" ht="14.5" x14ac:dyDescent="0.35">
      <c r="A207" s="20" t="s">
        <v>12</v>
      </c>
      <c r="B207" s="20" t="s">
        <v>17</v>
      </c>
      <c r="C207" s="20" t="s">
        <v>17</v>
      </c>
      <c r="D207" s="20" t="s">
        <v>333</v>
      </c>
      <c r="E207" s="20" t="s">
        <v>14</v>
      </c>
      <c r="F207" s="20" t="s">
        <v>90</v>
      </c>
      <c r="G207" s="21">
        <v>0</v>
      </c>
      <c r="H207" s="21">
        <v>0</v>
      </c>
      <c r="I207" s="21">
        <v>98</v>
      </c>
      <c r="J207" s="21">
        <v>-98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8</v>
      </c>
      <c r="X207" s="21">
        <v>0</v>
      </c>
      <c r="Y207" s="21">
        <v>5</v>
      </c>
      <c r="Z207" s="21">
        <v>46</v>
      </c>
      <c r="AA207" s="21">
        <v>39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1">
        <v>0</v>
      </c>
      <c r="BD207" s="21">
        <v>0</v>
      </c>
      <c r="BE207" s="21">
        <v>0</v>
      </c>
      <c r="BF207" s="21">
        <v>0</v>
      </c>
      <c r="BG207" s="21">
        <v>0</v>
      </c>
      <c r="BH207" s="21">
        <v>0</v>
      </c>
      <c r="BI207" s="21">
        <v>0</v>
      </c>
      <c r="BJ207" s="21">
        <v>0</v>
      </c>
      <c r="BK207" s="21">
        <v>0</v>
      </c>
      <c r="BL207" s="21">
        <v>0</v>
      </c>
      <c r="BM207" s="21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0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>
        <v>0</v>
      </c>
      <c r="BZ207" s="21">
        <v>0</v>
      </c>
      <c r="CA207" s="21">
        <v>0</v>
      </c>
      <c r="CB207" s="21">
        <v>0</v>
      </c>
      <c r="CC207" s="21">
        <v>0</v>
      </c>
      <c r="CD207" s="21">
        <v>0</v>
      </c>
      <c r="CE207" s="21">
        <v>0</v>
      </c>
      <c r="CF207" s="21">
        <v>0</v>
      </c>
      <c r="CG207" s="21">
        <v>0</v>
      </c>
      <c r="CH207" s="21">
        <v>0</v>
      </c>
      <c r="CI207" s="21">
        <v>0</v>
      </c>
      <c r="CJ207" s="21">
        <v>0</v>
      </c>
      <c r="CK207" s="21">
        <v>0</v>
      </c>
      <c r="CL207" s="21">
        <v>0</v>
      </c>
      <c r="CM207" s="21">
        <v>0</v>
      </c>
      <c r="CN207" s="21">
        <v>0</v>
      </c>
      <c r="CO207" s="21">
        <v>0</v>
      </c>
      <c r="CP207" s="21">
        <v>0</v>
      </c>
      <c r="CQ207" s="21">
        <v>0</v>
      </c>
      <c r="CR207" s="21">
        <v>0</v>
      </c>
      <c r="CS207" s="21">
        <v>0</v>
      </c>
      <c r="CT207" s="21">
        <v>0</v>
      </c>
      <c r="CU207" s="21">
        <v>0</v>
      </c>
      <c r="CV207" s="21">
        <v>0</v>
      </c>
      <c r="CW207" s="21">
        <v>0</v>
      </c>
      <c r="CX207" s="21">
        <v>0</v>
      </c>
      <c r="CY207" s="21">
        <v>0</v>
      </c>
      <c r="CZ207" s="21">
        <v>0</v>
      </c>
      <c r="DA207" s="21">
        <v>0</v>
      </c>
      <c r="DB207" s="21">
        <v>0</v>
      </c>
      <c r="DC207" s="21">
        <v>0</v>
      </c>
      <c r="DD207" s="21">
        <v>0</v>
      </c>
      <c r="DE207" s="21">
        <v>0</v>
      </c>
      <c r="DF207" s="21">
        <v>0</v>
      </c>
      <c r="DG207" s="21">
        <v>0</v>
      </c>
      <c r="DH207" s="21">
        <v>0</v>
      </c>
      <c r="DI207" s="21">
        <v>0</v>
      </c>
      <c r="DJ207" s="21">
        <v>0</v>
      </c>
      <c r="DK207" s="21">
        <v>0</v>
      </c>
      <c r="DL207" s="21">
        <v>0</v>
      </c>
      <c r="DM207" s="21">
        <v>0</v>
      </c>
      <c r="DN207" s="21">
        <v>0</v>
      </c>
      <c r="DO207" s="21">
        <v>0</v>
      </c>
      <c r="DP207" s="21">
        <v>0</v>
      </c>
      <c r="DQ207" s="21">
        <v>0</v>
      </c>
      <c r="DR207" s="21">
        <v>0</v>
      </c>
      <c r="DS207" s="21">
        <v>0</v>
      </c>
      <c r="DT207" s="21">
        <v>0</v>
      </c>
      <c r="DU207" s="21">
        <v>0</v>
      </c>
      <c r="DV207" s="21">
        <v>0</v>
      </c>
      <c r="DW207" s="21">
        <v>0</v>
      </c>
      <c r="DX207" s="21">
        <v>0</v>
      </c>
      <c r="DY207" s="21">
        <v>0</v>
      </c>
      <c r="DZ207" s="21">
        <v>0</v>
      </c>
      <c r="EA207" s="21">
        <v>0</v>
      </c>
      <c r="EB207" s="21">
        <v>0</v>
      </c>
      <c r="EC207" s="21">
        <v>0</v>
      </c>
      <c r="ED207" s="21">
        <v>0</v>
      </c>
      <c r="EE207" s="21">
        <v>0</v>
      </c>
      <c r="EF207" s="21">
        <v>0</v>
      </c>
    </row>
    <row r="208" spans="1:136" ht="14.5" x14ac:dyDescent="0.35">
      <c r="A208" s="20" t="s">
        <v>12</v>
      </c>
      <c r="B208" s="20" t="s">
        <v>17</v>
      </c>
      <c r="C208" s="20" t="s">
        <v>17</v>
      </c>
      <c r="D208" s="20" t="s">
        <v>332</v>
      </c>
      <c r="E208" s="20" t="s">
        <v>14</v>
      </c>
      <c r="F208" s="20" t="s">
        <v>91</v>
      </c>
      <c r="G208" s="21">
        <v>0</v>
      </c>
      <c r="H208" s="21">
        <v>0</v>
      </c>
      <c r="I208" s="21">
        <v>86</v>
      </c>
      <c r="J208" s="21">
        <v>-86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3</v>
      </c>
      <c r="AM208" s="21">
        <v>46</v>
      </c>
      <c r="AN208" s="21">
        <v>29</v>
      </c>
      <c r="AO208" s="21">
        <v>8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1">
        <v>0</v>
      </c>
      <c r="AZ208" s="21">
        <v>0</v>
      </c>
      <c r="BA208" s="21">
        <v>0</v>
      </c>
      <c r="BB208" s="21">
        <v>0</v>
      </c>
      <c r="BC208" s="21">
        <v>0</v>
      </c>
      <c r="BD208" s="21">
        <v>0</v>
      </c>
      <c r="BE208" s="21">
        <v>0</v>
      </c>
      <c r="BF208" s="21">
        <v>0</v>
      </c>
      <c r="BG208" s="21">
        <v>0</v>
      </c>
      <c r="BH208" s="21">
        <v>0</v>
      </c>
      <c r="BI208" s="21">
        <v>0</v>
      </c>
      <c r="BJ208" s="21">
        <v>0</v>
      </c>
      <c r="BK208" s="21">
        <v>0</v>
      </c>
      <c r="BL208" s="21">
        <v>0</v>
      </c>
      <c r="BM208" s="21">
        <v>0</v>
      </c>
      <c r="BN208" s="21">
        <v>0</v>
      </c>
      <c r="BO208" s="21">
        <v>0</v>
      </c>
      <c r="BP208" s="21">
        <v>0</v>
      </c>
      <c r="BQ208" s="21">
        <v>0</v>
      </c>
      <c r="BR208" s="21">
        <v>0</v>
      </c>
      <c r="BS208" s="21">
        <v>0</v>
      </c>
      <c r="BT208" s="21">
        <v>0</v>
      </c>
      <c r="BU208" s="21">
        <v>0</v>
      </c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1">
        <v>0</v>
      </c>
      <c r="CH208" s="21">
        <v>0</v>
      </c>
      <c r="CI208" s="21">
        <v>0</v>
      </c>
      <c r="CJ208" s="21">
        <v>0</v>
      </c>
      <c r="CK208" s="21">
        <v>0</v>
      </c>
      <c r="CL208" s="21">
        <v>0</v>
      </c>
      <c r="CM208" s="21">
        <v>0</v>
      </c>
      <c r="CN208" s="21">
        <v>0</v>
      </c>
      <c r="CO208" s="21">
        <v>0</v>
      </c>
      <c r="CP208" s="21">
        <v>0</v>
      </c>
      <c r="CQ208" s="21">
        <v>0</v>
      </c>
      <c r="CR208" s="21">
        <v>0</v>
      </c>
      <c r="CS208" s="21">
        <v>0</v>
      </c>
      <c r="CT208" s="21">
        <v>0</v>
      </c>
      <c r="CU208" s="21">
        <v>0</v>
      </c>
      <c r="CV208" s="21">
        <v>0</v>
      </c>
      <c r="CW208" s="21">
        <v>0</v>
      </c>
      <c r="CX208" s="21">
        <v>0</v>
      </c>
      <c r="CY208" s="21">
        <v>0</v>
      </c>
      <c r="CZ208" s="21">
        <v>0</v>
      </c>
      <c r="DA208" s="21">
        <v>0</v>
      </c>
      <c r="DB208" s="21">
        <v>0</v>
      </c>
      <c r="DC208" s="21">
        <v>0</v>
      </c>
      <c r="DD208" s="21">
        <v>0</v>
      </c>
      <c r="DE208" s="21">
        <v>0</v>
      </c>
      <c r="DF208" s="21">
        <v>0</v>
      </c>
      <c r="DG208" s="21">
        <v>0</v>
      </c>
      <c r="DH208" s="21">
        <v>0</v>
      </c>
      <c r="DI208" s="21">
        <v>0</v>
      </c>
      <c r="DJ208" s="21">
        <v>0</v>
      </c>
      <c r="DK208" s="21">
        <v>0</v>
      </c>
      <c r="DL208" s="21">
        <v>0</v>
      </c>
      <c r="DM208" s="21">
        <v>0</v>
      </c>
      <c r="DN208" s="21">
        <v>0</v>
      </c>
      <c r="DO208" s="21">
        <v>0</v>
      </c>
      <c r="DP208" s="21">
        <v>0</v>
      </c>
      <c r="DQ208" s="21">
        <v>0</v>
      </c>
      <c r="DR208" s="21">
        <v>0</v>
      </c>
      <c r="DS208" s="21">
        <v>0</v>
      </c>
      <c r="DT208" s="21">
        <v>0</v>
      </c>
      <c r="DU208" s="21">
        <v>0</v>
      </c>
      <c r="DV208" s="21">
        <v>0</v>
      </c>
      <c r="DW208" s="21">
        <v>0</v>
      </c>
      <c r="DX208" s="21">
        <v>0</v>
      </c>
      <c r="DY208" s="21">
        <v>0</v>
      </c>
      <c r="DZ208" s="21">
        <v>0</v>
      </c>
      <c r="EA208" s="21">
        <v>0</v>
      </c>
      <c r="EB208" s="21">
        <v>0</v>
      </c>
      <c r="EC208" s="21">
        <v>0</v>
      </c>
      <c r="ED208" s="21">
        <v>0</v>
      </c>
      <c r="EE208" s="21">
        <v>0</v>
      </c>
      <c r="EF208" s="21">
        <v>0</v>
      </c>
    </row>
    <row r="209" spans="1:136" ht="14.5" x14ac:dyDescent="0.35">
      <c r="A209" s="20" t="s">
        <v>12</v>
      </c>
      <c r="B209" s="20" t="s">
        <v>17</v>
      </c>
      <c r="C209" s="20" t="s">
        <v>17</v>
      </c>
      <c r="D209" s="20" t="s">
        <v>333</v>
      </c>
      <c r="E209" s="20" t="s">
        <v>14</v>
      </c>
      <c r="F209" s="20" t="s">
        <v>91</v>
      </c>
      <c r="G209" s="21">
        <v>60</v>
      </c>
      <c r="H209" s="21">
        <v>60</v>
      </c>
      <c r="I209" s="21">
        <v>0</v>
      </c>
      <c r="J209" s="21">
        <v>60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1">
        <v>0</v>
      </c>
      <c r="BD209" s="21">
        <v>0</v>
      </c>
      <c r="BE209" s="21">
        <v>0</v>
      </c>
      <c r="BF209" s="21">
        <v>0</v>
      </c>
      <c r="BG209" s="21">
        <v>0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>
        <v>0</v>
      </c>
      <c r="BZ209" s="21">
        <v>0</v>
      </c>
      <c r="CA209" s="21">
        <v>0</v>
      </c>
      <c r="CB209" s="21">
        <v>0</v>
      </c>
      <c r="CC209" s="21">
        <v>0</v>
      </c>
      <c r="CD209" s="21">
        <v>0</v>
      </c>
      <c r="CE209" s="21">
        <v>0</v>
      </c>
      <c r="CF209" s="21">
        <v>0</v>
      </c>
      <c r="CG209" s="21">
        <v>0</v>
      </c>
      <c r="CH209" s="21">
        <v>0</v>
      </c>
      <c r="CI209" s="21">
        <v>0</v>
      </c>
      <c r="CJ209" s="21">
        <v>0</v>
      </c>
      <c r="CK209" s="21">
        <v>0</v>
      </c>
      <c r="CL209" s="21">
        <v>0</v>
      </c>
      <c r="CM209" s="21">
        <v>0</v>
      </c>
      <c r="CN209" s="21">
        <v>0</v>
      </c>
      <c r="CO209" s="21">
        <v>0</v>
      </c>
      <c r="CP209" s="21">
        <v>0</v>
      </c>
      <c r="CQ209" s="21">
        <v>0</v>
      </c>
      <c r="CR209" s="21">
        <v>0</v>
      </c>
      <c r="CS209" s="21">
        <v>0</v>
      </c>
      <c r="CT209" s="21">
        <v>0</v>
      </c>
      <c r="CU209" s="21">
        <v>0</v>
      </c>
      <c r="CV209" s="21">
        <v>0</v>
      </c>
      <c r="CW209" s="21">
        <v>0</v>
      </c>
      <c r="CX209" s="21">
        <v>0</v>
      </c>
      <c r="CY209" s="21">
        <v>0</v>
      </c>
      <c r="CZ209" s="21">
        <v>0</v>
      </c>
      <c r="DA209" s="21">
        <v>0</v>
      </c>
      <c r="DB209" s="21">
        <v>0</v>
      </c>
      <c r="DC209" s="21">
        <v>0</v>
      </c>
      <c r="DD209" s="21">
        <v>0</v>
      </c>
      <c r="DE209" s="21">
        <v>0</v>
      </c>
      <c r="DF209" s="21">
        <v>0</v>
      </c>
      <c r="DG209" s="21">
        <v>0</v>
      </c>
      <c r="DH209" s="21">
        <v>0</v>
      </c>
      <c r="DI209" s="21">
        <v>0</v>
      </c>
      <c r="DJ209" s="21">
        <v>0</v>
      </c>
      <c r="DK209" s="21">
        <v>0</v>
      </c>
      <c r="DL209" s="21">
        <v>0</v>
      </c>
      <c r="DM209" s="21">
        <v>0</v>
      </c>
      <c r="DN209" s="21">
        <v>0</v>
      </c>
      <c r="DO209" s="21">
        <v>0</v>
      </c>
      <c r="DP209" s="21">
        <v>0</v>
      </c>
      <c r="DQ209" s="21">
        <v>0</v>
      </c>
      <c r="DR209" s="21">
        <v>0</v>
      </c>
      <c r="DS209" s="21">
        <v>0</v>
      </c>
      <c r="DT209" s="21">
        <v>0</v>
      </c>
      <c r="DU209" s="21">
        <v>0</v>
      </c>
      <c r="DV209" s="21">
        <v>0</v>
      </c>
      <c r="DW209" s="21">
        <v>0</v>
      </c>
      <c r="DX209" s="21">
        <v>0</v>
      </c>
      <c r="DY209" s="21">
        <v>0</v>
      </c>
      <c r="DZ209" s="21">
        <v>0</v>
      </c>
      <c r="EA209" s="21">
        <v>0</v>
      </c>
      <c r="EB209" s="21">
        <v>0</v>
      </c>
      <c r="EC209" s="21">
        <v>0</v>
      </c>
      <c r="ED209" s="21">
        <v>0</v>
      </c>
      <c r="EE209" s="21">
        <v>0</v>
      </c>
      <c r="EF209" s="21">
        <v>0</v>
      </c>
    </row>
    <row r="210" spans="1:136" ht="14.5" x14ac:dyDescent="0.35">
      <c r="A210" s="20" t="s">
        <v>12</v>
      </c>
      <c r="B210" s="20" t="s">
        <v>17</v>
      </c>
      <c r="C210" s="20" t="s">
        <v>17</v>
      </c>
      <c r="D210" s="20" t="s">
        <v>332</v>
      </c>
      <c r="E210" s="20" t="s">
        <v>14</v>
      </c>
      <c r="F210" s="20" t="s">
        <v>92</v>
      </c>
      <c r="G210" s="21">
        <v>0</v>
      </c>
      <c r="H210" s="21">
        <v>0</v>
      </c>
      <c r="I210" s="21">
        <v>80</v>
      </c>
      <c r="J210" s="21">
        <v>-80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1">
        <v>0</v>
      </c>
      <c r="CH210" s="21">
        <v>0</v>
      </c>
      <c r="CI210" s="21">
        <v>0</v>
      </c>
      <c r="CJ210" s="21">
        <v>0</v>
      </c>
      <c r="CK210" s="21">
        <v>0</v>
      </c>
      <c r="CL210" s="21">
        <v>0</v>
      </c>
      <c r="CM210" s="21">
        <v>0</v>
      </c>
      <c r="CN210" s="21">
        <v>0</v>
      </c>
      <c r="CO210" s="21">
        <v>0</v>
      </c>
      <c r="CP210" s="21">
        <v>0</v>
      </c>
      <c r="CQ210" s="21">
        <v>0</v>
      </c>
      <c r="CR210" s="21">
        <v>0</v>
      </c>
      <c r="CS210" s="21">
        <v>0</v>
      </c>
      <c r="CT210" s="21">
        <v>0</v>
      </c>
      <c r="CU210" s="21">
        <v>0</v>
      </c>
      <c r="CV210" s="21">
        <v>0</v>
      </c>
      <c r="CW210" s="21">
        <v>0</v>
      </c>
      <c r="CX210" s="21">
        <v>10</v>
      </c>
      <c r="CY210" s="21">
        <v>10</v>
      </c>
      <c r="CZ210" s="21">
        <v>30</v>
      </c>
      <c r="DA210" s="21">
        <v>30</v>
      </c>
      <c r="DB210" s="21">
        <v>0</v>
      </c>
      <c r="DC210" s="21">
        <v>0</v>
      </c>
      <c r="DD210" s="21">
        <v>0</v>
      </c>
      <c r="DE210" s="21">
        <v>0</v>
      </c>
      <c r="DF210" s="21">
        <v>0</v>
      </c>
      <c r="DG210" s="21">
        <v>0</v>
      </c>
      <c r="DH210" s="21">
        <v>0</v>
      </c>
      <c r="DI210" s="21">
        <v>0</v>
      </c>
      <c r="DJ210" s="21">
        <v>0</v>
      </c>
      <c r="DK210" s="21">
        <v>0</v>
      </c>
      <c r="DL210" s="21">
        <v>0</v>
      </c>
      <c r="DM210" s="21">
        <v>0</v>
      </c>
      <c r="DN210" s="21">
        <v>0</v>
      </c>
      <c r="DO210" s="21">
        <v>0</v>
      </c>
      <c r="DP210" s="21">
        <v>0</v>
      </c>
      <c r="DQ210" s="21">
        <v>0</v>
      </c>
      <c r="DR210" s="21">
        <v>0</v>
      </c>
      <c r="DS210" s="21">
        <v>0</v>
      </c>
      <c r="DT210" s="21">
        <v>0</v>
      </c>
      <c r="DU210" s="21">
        <v>0</v>
      </c>
      <c r="DV210" s="21">
        <v>0</v>
      </c>
      <c r="DW210" s="21">
        <v>0</v>
      </c>
      <c r="DX210" s="21">
        <v>0</v>
      </c>
      <c r="DY210" s="21">
        <v>0</v>
      </c>
      <c r="DZ210" s="21">
        <v>0</v>
      </c>
      <c r="EA210" s="21">
        <v>0</v>
      </c>
      <c r="EB210" s="21">
        <v>0</v>
      </c>
      <c r="EC210" s="21">
        <v>0</v>
      </c>
      <c r="ED210" s="21">
        <v>0</v>
      </c>
      <c r="EE210" s="21">
        <v>0</v>
      </c>
      <c r="EF210" s="21">
        <v>0</v>
      </c>
    </row>
    <row r="211" spans="1:136" ht="14.5" x14ac:dyDescent="0.35">
      <c r="A211" s="20" t="s">
        <v>12</v>
      </c>
      <c r="B211" s="20" t="s">
        <v>17</v>
      </c>
      <c r="C211" s="20" t="s">
        <v>17</v>
      </c>
      <c r="D211" s="20" t="s">
        <v>333</v>
      </c>
      <c r="E211" s="20" t="s">
        <v>14</v>
      </c>
      <c r="F211" s="20" t="s">
        <v>92</v>
      </c>
      <c r="G211" s="21">
        <v>0</v>
      </c>
      <c r="H211" s="21">
        <v>80</v>
      </c>
      <c r="I211" s="21">
        <v>0</v>
      </c>
      <c r="J211" s="21">
        <v>80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>
        <v>0</v>
      </c>
      <c r="BZ211" s="21">
        <v>0</v>
      </c>
      <c r="CA211" s="21">
        <v>0</v>
      </c>
      <c r="CB211" s="21">
        <v>0</v>
      </c>
      <c r="CC211" s="21">
        <v>0</v>
      </c>
      <c r="CD211" s="21">
        <v>0</v>
      </c>
      <c r="CE211" s="21">
        <v>0</v>
      </c>
      <c r="CF211" s="21">
        <v>0</v>
      </c>
      <c r="CG211" s="21">
        <v>0</v>
      </c>
      <c r="CH211" s="21">
        <v>0</v>
      </c>
      <c r="CI211" s="21">
        <v>0</v>
      </c>
      <c r="CJ211" s="21">
        <v>0</v>
      </c>
      <c r="CK211" s="21">
        <v>0</v>
      </c>
      <c r="CL211" s="21">
        <v>0</v>
      </c>
      <c r="CM211" s="21">
        <v>0</v>
      </c>
      <c r="CN211" s="21">
        <v>0</v>
      </c>
      <c r="CO211" s="21">
        <v>0</v>
      </c>
      <c r="CP211" s="21">
        <v>0</v>
      </c>
      <c r="CQ211" s="21">
        <v>0</v>
      </c>
      <c r="CR211" s="21">
        <v>0</v>
      </c>
      <c r="CS211" s="21">
        <v>0</v>
      </c>
      <c r="CT211" s="21">
        <v>0</v>
      </c>
      <c r="CU211" s="21">
        <v>0</v>
      </c>
      <c r="CV211" s="21">
        <v>0</v>
      </c>
      <c r="CW211" s="21">
        <v>0</v>
      </c>
      <c r="CX211" s="21">
        <v>0</v>
      </c>
      <c r="CY211" s="21">
        <v>0</v>
      </c>
      <c r="CZ211" s="21">
        <v>0</v>
      </c>
      <c r="DA211" s="21">
        <v>0</v>
      </c>
      <c r="DB211" s="21">
        <v>0</v>
      </c>
      <c r="DC211" s="21">
        <v>0</v>
      </c>
      <c r="DD211" s="21">
        <v>0</v>
      </c>
      <c r="DE211" s="21">
        <v>0</v>
      </c>
      <c r="DF211" s="21">
        <v>0</v>
      </c>
      <c r="DG211" s="21">
        <v>0</v>
      </c>
      <c r="DH211" s="21">
        <v>0</v>
      </c>
      <c r="DI211" s="21">
        <v>0</v>
      </c>
      <c r="DJ211" s="21">
        <v>0</v>
      </c>
      <c r="DK211" s="21">
        <v>0</v>
      </c>
      <c r="DL211" s="21">
        <v>0</v>
      </c>
      <c r="DM211" s="21">
        <v>0</v>
      </c>
      <c r="DN211" s="21">
        <v>0</v>
      </c>
      <c r="DO211" s="21">
        <v>0</v>
      </c>
      <c r="DP211" s="21">
        <v>0</v>
      </c>
      <c r="DQ211" s="21">
        <v>0</v>
      </c>
      <c r="DR211" s="21">
        <v>0</v>
      </c>
      <c r="DS211" s="21">
        <v>0</v>
      </c>
      <c r="DT211" s="21">
        <v>0</v>
      </c>
      <c r="DU211" s="21">
        <v>0</v>
      </c>
      <c r="DV211" s="21">
        <v>0</v>
      </c>
      <c r="DW211" s="21">
        <v>0</v>
      </c>
      <c r="DX211" s="21">
        <v>0</v>
      </c>
      <c r="DY211" s="21">
        <v>0</v>
      </c>
      <c r="DZ211" s="21">
        <v>0</v>
      </c>
      <c r="EA211" s="21">
        <v>0</v>
      </c>
      <c r="EB211" s="21">
        <v>0</v>
      </c>
      <c r="EC211" s="21">
        <v>0</v>
      </c>
      <c r="ED211" s="21">
        <v>0</v>
      </c>
      <c r="EE211" s="21">
        <v>0</v>
      </c>
      <c r="EF211" s="21">
        <v>0</v>
      </c>
    </row>
    <row r="212" spans="1:136" ht="14.5" x14ac:dyDescent="0.35">
      <c r="A212" s="20" t="s">
        <v>12</v>
      </c>
      <c r="B212" s="20" t="s">
        <v>17</v>
      </c>
      <c r="C212" s="20" t="s">
        <v>17</v>
      </c>
      <c r="D212" s="20" t="s">
        <v>332</v>
      </c>
      <c r="E212" s="20" t="s">
        <v>14</v>
      </c>
      <c r="F212" s="20" t="s">
        <v>148</v>
      </c>
      <c r="G212" s="21">
        <v>0</v>
      </c>
      <c r="H212" s="21">
        <v>0</v>
      </c>
      <c r="I212" s="21">
        <v>114</v>
      </c>
      <c r="J212" s="21">
        <v>-114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>
        <v>0</v>
      </c>
      <c r="AY212" s="21">
        <v>0</v>
      </c>
      <c r="AZ212" s="21">
        <v>0</v>
      </c>
      <c r="BA212" s="21">
        <v>0</v>
      </c>
      <c r="BB212" s="21">
        <v>0</v>
      </c>
      <c r="BC212" s="21">
        <v>0</v>
      </c>
      <c r="BD212" s="21">
        <v>0</v>
      </c>
      <c r="BE212" s="21">
        <v>0</v>
      </c>
      <c r="BF212" s="21">
        <v>0</v>
      </c>
      <c r="BG212" s="21">
        <v>0</v>
      </c>
      <c r="BH212" s="21">
        <v>0</v>
      </c>
      <c r="BI212" s="21">
        <v>0</v>
      </c>
      <c r="BJ212" s="21">
        <v>0</v>
      </c>
      <c r="BK212" s="21">
        <v>0</v>
      </c>
      <c r="BL212" s="21">
        <v>0</v>
      </c>
      <c r="BM212" s="21">
        <v>0</v>
      </c>
      <c r="BN212" s="21">
        <v>0</v>
      </c>
      <c r="BO212" s="21">
        <v>0</v>
      </c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21">
        <v>0</v>
      </c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1">
        <v>0</v>
      </c>
      <c r="CH212" s="21">
        <v>0</v>
      </c>
      <c r="CI212" s="21">
        <v>0</v>
      </c>
      <c r="CJ212" s="21">
        <v>0</v>
      </c>
      <c r="CK212" s="21">
        <v>0</v>
      </c>
      <c r="CL212" s="21">
        <v>0</v>
      </c>
      <c r="CM212" s="21">
        <v>0</v>
      </c>
      <c r="CN212" s="21">
        <v>0</v>
      </c>
      <c r="CO212" s="21">
        <v>0</v>
      </c>
      <c r="CP212" s="21">
        <v>0</v>
      </c>
      <c r="CQ212" s="21">
        <v>0</v>
      </c>
      <c r="CR212" s="21">
        <v>0</v>
      </c>
      <c r="CS212" s="21">
        <v>0</v>
      </c>
      <c r="CT212" s="21">
        <v>0</v>
      </c>
      <c r="CU212" s="21">
        <v>0</v>
      </c>
      <c r="CV212" s="21">
        <v>0</v>
      </c>
      <c r="CW212" s="21">
        <v>0</v>
      </c>
      <c r="CX212" s="21">
        <v>0</v>
      </c>
      <c r="CY212" s="21">
        <v>0</v>
      </c>
      <c r="CZ212" s="21">
        <v>0</v>
      </c>
      <c r="DA212" s="21">
        <v>0</v>
      </c>
      <c r="DB212" s="21">
        <v>0</v>
      </c>
      <c r="DC212" s="21">
        <v>0</v>
      </c>
      <c r="DD212" s="21">
        <v>0</v>
      </c>
      <c r="DE212" s="21">
        <v>0</v>
      </c>
      <c r="DF212" s="21">
        <v>0</v>
      </c>
      <c r="DG212" s="21">
        <v>4</v>
      </c>
      <c r="DH212" s="21">
        <v>0</v>
      </c>
      <c r="DI212" s="21">
        <v>0</v>
      </c>
      <c r="DJ212" s="21">
        <v>0</v>
      </c>
      <c r="DK212" s="21">
        <v>0</v>
      </c>
      <c r="DL212" s="21">
        <v>0</v>
      </c>
      <c r="DM212" s="21">
        <v>10</v>
      </c>
      <c r="DN212" s="21">
        <v>20</v>
      </c>
      <c r="DO212" s="21">
        <v>50</v>
      </c>
      <c r="DP212" s="21">
        <v>30</v>
      </c>
      <c r="DQ212" s="21">
        <v>0</v>
      </c>
      <c r="DR212" s="21">
        <v>0</v>
      </c>
      <c r="DS212" s="21">
        <v>0</v>
      </c>
      <c r="DT212" s="21">
        <v>0</v>
      </c>
      <c r="DU212" s="21">
        <v>0</v>
      </c>
      <c r="DV212" s="21">
        <v>0</v>
      </c>
      <c r="DW212" s="21">
        <v>0</v>
      </c>
      <c r="DX212" s="21">
        <v>0</v>
      </c>
      <c r="DY212" s="21">
        <v>0</v>
      </c>
      <c r="DZ212" s="21">
        <v>0</v>
      </c>
      <c r="EA212" s="21">
        <v>0</v>
      </c>
      <c r="EB212" s="21">
        <v>0</v>
      </c>
      <c r="EC212" s="21">
        <v>0</v>
      </c>
      <c r="ED212" s="21">
        <v>0</v>
      </c>
      <c r="EE212" s="21">
        <v>0</v>
      </c>
      <c r="EF212" s="21">
        <v>0</v>
      </c>
    </row>
    <row r="213" spans="1:136" ht="14.5" x14ac:dyDescent="0.35">
      <c r="A213" s="20" t="s">
        <v>12</v>
      </c>
      <c r="B213" s="20" t="s">
        <v>17</v>
      </c>
      <c r="C213" s="20" t="s">
        <v>17</v>
      </c>
      <c r="D213" s="20" t="s">
        <v>333</v>
      </c>
      <c r="E213" s="20" t="s">
        <v>14</v>
      </c>
      <c r="F213" s="20" t="s">
        <v>148</v>
      </c>
      <c r="G213" s="21">
        <v>0</v>
      </c>
      <c r="H213" s="21">
        <v>114</v>
      </c>
      <c r="I213" s="21">
        <v>0</v>
      </c>
      <c r="J213" s="21">
        <v>114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  <c r="AC213" s="21">
        <v>0</v>
      </c>
      <c r="AD213" s="21">
        <v>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>
        <v>0</v>
      </c>
      <c r="BZ213" s="21">
        <v>0</v>
      </c>
      <c r="CA213" s="21">
        <v>0</v>
      </c>
      <c r="CB213" s="21">
        <v>0</v>
      </c>
      <c r="CC213" s="21">
        <v>0</v>
      </c>
      <c r="CD213" s="21">
        <v>0</v>
      </c>
      <c r="CE213" s="21">
        <v>0</v>
      </c>
      <c r="CF213" s="21">
        <v>0</v>
      </c>
      <c r="CG213" s="21">
        <v>0</v>
      </c>
      <c r="CH213" s="21">
        <v>0</v>
      </c>
      <c r="CI213" s="21">
        <v>0</v>
      </c>
      <c r="CJ213" s="21">
        <v>0</v>
      </c>
      <c r="CK213" s="21">
        <v>0</v>
      </c>
      <c r="CL213" s="21">
        <v>0</v>
      </c>
      <c r="CM213" s="21">
        <v>0</v>
      </c>
      <c r="CN213" s="21">
        <v>0</v>
      </c>
      <c r="CO213" s="21">
        <v>0</v>
      </c>
      <c r="CP213" s="21">
        <v>0</v>
      </c>
      <c r="CQ213" s="21">
        <v>0</v>
      </c>
      <c r="CR213" s="21">
        <v>0</v>
      </c>
      <c r="CS213" s="21">
        <v>0</v>
      </c>
      <c r="CT213" s="21">
        <v>0</v>
      </c>
      <c r="CU213" s="21">
        <v>0</v>
      </c>
      <c r="CV213" s="21">
        <v>0</v>
      </c>
      <c r="CW213" s="21">
        <v>0</v>
      </c>
      <c r="CX213" s="21">
        <v>0</v>
      </c>
      <c r="CY213" s="21">
        <v>0</v>
      </c>
      <c r="CZ213" s="21">
        <v>0</v>
      </c>
      <c r="DA213" s="21">
        <v>0</v>
      </c>
      <c r="DB213" s="21">
        <v>0</v>
      </c>
      <c r="DC213" s="21">
        <v>0</v>
      </c>
      <c r="DD213" s="21">
        <v>0</v>
      </c>
      <c r="DE213" s="21">
        <v>0</v>
      </c>
      <c r="DF213" s="21">
        <v>0</v>
      </c>
      <c r="DG213" s="21">
        <v>0</v>
      </c>
      <c r="DH213" s="21">
        <v>0</v>
      </c>
      <c r="DI213" s="21">
        <v>0</v>
      </c>
      <c r="DJ213" s="21">
        <v>0</v>
      </c>
      <c r="DK213" s="21">
        <v>0</v>
      </c>
      <c r="DL213" s="21">
        <v>0</v>
      </c>
      <c r="DM213" s="21">
        <v>0</v>
      </c>
      <c r="DN213" s="21">
        <v>0</v>
      </c>
      <c r="DO213" s="21">
        <v>0</v>
      </c>
      <c r="DP213" s="21">
        <v>0</v>
      </c>
      <c r="DQ213" s="21">
        <v>0</v>
      </c>
      <c r="DR213" s="21">
        <v>0</v>
      </c>
      <c r="DS213" s="21">
        <v>0</v>
      </c>
      <c r="DT213" s="21">
        <v>0</v>
      </c>
      <c r="DU213" s="21">
        <v>0</v>
      </c>
      <c r="DV213" s="21">
        <v>0</v>
      </c>
      <c r="DW213" s="21">
        <v>0</v>
      </c>
      <c r="DX213" s="21">
        <v>0</v>
      </c>
      <c r="DY213" s="21">
        <v>0</v>
      </c>
      <c r="DZ213" s="21">
        <v>0</v>
      </c>
      <c r="EA213" s="21">
        <v>0</v>
      </c>
      <c r="EB213" s="21">
        <v>0</v>
      </c>
      <c r="EC213" s="21">
        <v>0</v>
      </c>
      <c r="ED213" s="21">
        <v>0</v>
      </c>
      <c r="EE213" s="21">
        <v>0</v>
      </c>
      <c r="EF213" s="21">
        <v>0</v>
      </c>
    </row>
    <row r="214" spans="1:136" ht="14.5" x14ac:dyDescent="0.35">
      <c r="A214" s="20" t="s">
        <v>12</v>
      </c>
      <c r="B214" s="20" t="s">
        <v>159</v>
      </c>
      <c r="C214" s="20" t="s">
        <v>159</v>
      </c>
      <c r="D214" s="20" t="s">
        <v>333</v>
      </c>
      <c r="E214" s="20" t="s">
        <v>14</v>
      </c>
      <c r="F214" s="20" t="s">
        <v>78</v>
      </c>
      <c r="G214" s="21">
        <v>9.9</v>
      </c>
      <c r="H214" s="21">
        <v>42.6</v>
      </c>
      <c r="I214" s="21">
        <v>0</v>
      </c>
      <c r="J214" s="21">
        <v>42.6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1">
        <v>0</v>
      </c>
      <c r="CH214" s="21">
        <v>0</v>
      </c>
      <c r="CI214" s="21">
        <v>0</v>
      </c>
      <c r="CJ214" s="21">
        <v>0</v>
      </c>
      <c r="CK214" s="21">
        <v>0</v>
      </c>
      <c r="CL214" s="21">
        <v>0</v>
      </c>
      <c r="CM214" s="21">
        <v>0</v>
      </c>
      <c r="CN214" s="21">
        <v>0</v>
      </c>
      <c r="CO214" s="21">
        <v>0</v>
      </c>
      <c r="CP214" s="21">
        <v>0</v>
      </c>
      <c r="CQ214" s="21">
        <v>0</v>
      </c>
      <c r="CR214" s="21">
        <v>0</v>
      </c>
      <c r="CS214" s="21">
        <v>0</v>
      </c>
      <c r="CT214" s="21">
        <v>0</v>
      </c>
      <c r="CU214" s="21">
        <v>0</v>
      </c>
      <c r="CV214" s="21">
        <v>0</v>
      </c>
      <c r="CW214" s="21">
        <v>0</v>
      </c>
      <c r="CX214" s="21">
        <v>0</v>
      </c>
      <c r="CY214" s="21">
        <v>0</v>
      </c>
      <c r="CZ214" s="21">
        <v>0</v>
      </c>
      <c r="DA214" s="21">
        <v>0</v>
      </c>
      <c r="DB214" s="21">
        <v>0</v>
      </c>
      <c r="DC214" s="21">
        <v>0</v>
      </c>
      <c r="DD214" s="21">
        <v>0</v>
      </c>
      <c r="DE214" s="21">
        <v>0</v>
      </c>
      <c r="DF214" s="21">
        <v>0</v>
      </c>
      <c r="DG214" s="21">
        <v>0</v>
      </c>
      <c r="DH214" s="21">
        <v>0</v>
      </c>
      <c r="DI214" s="21">
        <v>0</v>
      </c>
      <c r="DJ214" s="21">
        <v>0</v>
      </c>
      <c r="DK214" s="21">
        <v>0</v>
      </c>
      <c r="DL214" s="21">
        <v>0</v>
      </c>
      <c r="DM214" s="21">
        <v>0</v>
      </c>
      <c r="DN214" s="21">
        <v>0</v>
      </c>
      <c r="DO214" s="21">
        <v>0</v>
      </c>
      <c r="DP214" s="21">
        <v>0</v>
      </c>
      <c r="DQ214" s="21">
        <v>0</v>
      </c>
      <c r="DR214" s="21">
        <v>0</v>
      </c>
      <c r="DS214" s="21">
        <v>0</v>
      </c>
      <c r="DT214" s="21">
        <v>0</v>
      </c>
      <c r="DU214" s="21">
        <v>0</v>
      </c>
      <c r="DV214" s="21">
        <v>0</v>
      </c>
      <c r="DW214" s="21">
        <v>0</v>
      </c>
      <c r="DX214" s="21">
        <v>0</v>
      </c>
      <c r="DY214" s="21">
        <v>0</v>
      </c>
      <c r="DZ214" s="21">
        <v>0</v>
      </c>
      <c r="EA214" s="21">
        <v>0</v>
      </c>
      <c r="EB214" s="21">
        <v>0</v>
      </c>
      <c r="EC214" s="21">
        <v>0</v>
      </c>
      <c r="ED214" s="21">
        <v>0</v>
      </c>
      <c r="EE214" s="21">
        <v>0</v>
      </c>
      <c r="EF214" s="21">
        <v>0</v>
      </c>
    </row>
    <row r="215" spans="1:136" ht="14.5" x14ac:dyDescent="0.35">
      <c r="A215" s="20" t="s">
        <v>12</v>
      </c>
      <c r="B215" s="20" t="s">
        <v>159</v>
      </c>
      <c r="C215" s="20" t="s">
        <v>159</v>
      </c>
      <c r="D215" s="20" t="s">
        <v>339</v>
      </c>
      <c r="E215" s="20" t="s">
        <v>14</v>
      </c>
      <c r="F215" s="20" t="s">
        <v>78</v>
      </c>
      <c r="G215" s="21">
        <v>0</v>
      </c>
      <c r="H215" s="21">
        <v>0</v>
      </c>
      <c r="I215" s="21">
        <v>32.799999999999997</v>
      </c>
      <c r="J215" s="21">
        <v>-32.799999999999997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>
        <v>0</v>
      </c>
      <c r="BZ215" s="21">
        <v>0</v>
      </c>
      <c r="CA215" s="21">
        <v>0</v>
      </c>
      <c r="CB215" s="21">
        <v>0</v>
      </c>
      <c r="CC215" s="21">
        <v>0</v>
      </c>
      <c r="CD215" s="21">
        <v>0</v>
      </c>
      <c r="CE215" s="21">
        <v>0</v>
      </c>
      <c r="CF215" s="21">
        <v>0</v>
      </c>
      <c r="CG215" s="21">
        <v>0</v>
      </c>
      <c r="CH215" s="21">
        <v>0</v>
      </c>
      <c r="CI215" s="21">
        <v>0</v>
      </c>
      <c r="CJ215" s="21">
        <v>0</v>
      </c>
      <c r="CK215" s="21">
        <v>0</v>
      </c>
      <c r="CL215" s="21">
        <v>0</v>
      </c>
      <c r="CM215" s="21">
        <v>0</v>
      </c>
      <c r="CN215" s="21">
        <v>0</v>
      </c>
      <c r="CO215" s="21">
        <v>0</v>
      </c>
      <c r="CP215" s="21">
        <v>0</v>
      </c>
      <c r="CQ215" s="21">
        <v>0</v>
      </c>
      <c r="CR215" s="21">
        <v>0</v>
      </c>
      <c r="CS215" s="21">
        <v>0.88461500000000004</v>
      </c>
      <c r="CT215" s="21">
        <v>0.88461500000000004</v>
      </c>
      <c r="CU215" s="21">
        <v>0.88461500000000004</v>
      </c>
      <c r="CV215" s="21">
        <v>0.88461500000000004</v>
      </c>
      <c r="CW215" s="21">
        <v>0.88461500000000004</v>
      </c>
      <c r="CX215" s="21">
        <v>0.88461500000000004</v>
      </c>
      <c r="CY215" s="21">
        <v>0.88461500000000004</v>
      </c>
      <c r="CZ215" s="21">
        <v>0.88461500000000004</v>
      </c>
      <c r="DA215" s="21">
        <v>0.88461500000000004</v>
      </c>
      <c r="DB215" s="21">
        <v>0.88461500000000004</v>
      </c>
      <c r="DC215" s="21">
        <v>0.88461500000000004</v>
      </c>
      <c r="DD215" s="21">
        <v>0.88461500000000004</v>
      </c>
      <c r="DE215" s="21">
        <v>0.88461500000000004</v>
      </c>
      <c r="DF215" s="21">
        <v>0.88461500000000004</v>
      </c>
      <c r="DG215" s="21">
        <v>0.88461500000000004</v>
      </c>
      <c r="DH215" s="21">
        <v>0.88461500000000004</v>
      </c>
      <c r="DI215" s="21">
        <v>0.88461500000000004</v>
      </c>
      <c r="DJ215" s="21">
        <v>0.88461500000000004</v>
      </c>
      <c r="DK215" s="21">
        <v>2</v>
      </c>
      <c r="DL215" s="21">
        <v>2</v>
      </c>
      <c r="DM215" s="21">
        <v>2</v>
      </c>
      <c r="DN215" s="21">
        <v>2.5</v>
      </c>
      <c r="DO215" s="21">
        <v>2.4</v>
      </c>
      <c r="DP215" s="21">
        <v>2</v>
      </c>
      <c r="DQ215" s="21">
        <v>2</v>
      </c>
      <c r="DR215" s="21">
        <v>2</v>
      </c>
      <c r="DS215" s="21">
        <v>0</v>
      </c>
      <c r="DT215" s="21">
        <v>0</v>
      </c>
      <c r="DU215" s="21">
        <v>0</v>
      </c>
      <c r="DV215" s="21">
        <v>0</v>
      </c>
      <c r="DW215" s="21">
        <v>0</v>
      </c>
      <c r="DX215" s="21">
        <v>0</v>
      </c>
      <c r="DY215" s="21">
        <v>0</v>
      </c>
      <c r="DZ215" s="21">
        <v>0</v>
      </c>
      <c r="EA215" s="21">
        <v>0</v>
      </c>
      <c r="EB215" s="21">
        <v>0</v>
      </c>
      <c r="EC215" s="21">
        <v>0</v>
      </c>
      <c r="ED215" s="21">
        <v>0</v>
      </c>
      <c r="EE215" s="21">
        <v>0</v>
      </c>
      <c r="EF215" s="21">
        <v>0</v>
      </c>
    </row>
    <row r="216" spans="1:136" ht="14.5" x14ac:dyDescent="0.35">
      <c r="A216" s="20" t="s">
        <v>12</v>
      </c>
      <c r="B216" s="20" t="s">
        <v>159</v>
      </c>
      <c r="C216" s="20" t="s">
        <v>159</v>
      </c>
      <c r="D216" s="20" t="s">
        <v>333</v>
      </c>
      <c r="E216" s="20" t="s">
        <v>14</v>
      </c>
      <c r="F216" s="20" t="s">
        <v>87</v>
      </c>
      <c r="G216" s="21">
        <v>3</v>
      </c>
      <c r="H216" s="21">
        <v>3</v>
      </c>
      <c r="I216" s="21">
        <v>3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0</v>
      </c>
      <c r="Z216" s="21">
        <v>0</v>
      </c>
      <c r="AA216" s="21">
        <v>0</v>
      </c>
      <c r="AB216" s="21">
        <v>3</v>
      </c>
      <c r="AC216" s="21">
        <v>0</v>
      </c>
      <c r="AD216" s="21">
        <v>0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0</v>
      </c>
      <c r="AT216" s="21">
        <v>0</v>
      </c>
      <c r="AU216" s="21">
        <v>0</v>
      </c>
      <c r="AV216" s="21">
        <v>0</v>
      </c>
      <c r="AW216" s="21">
        <v>0</v>
      </c>
      <c r="AX216" s="21">
        <v>0</v>
      </c>
      <c r="AY216" s="21">
        <v>0</v>
      </c>
      <c r="AZ216" s="21">
        <v>0</v>
      </c>
      <c r="BA216" s="21">
        <v>0</v>
      </c>
      <c r="BB216" s="21">
        <v>0</v>
      </c>
      <c r="BC216" s="21">
        <v>0</v>
      </c>
      <c r="BD216" s="21">
        <v>0</v>
      </c>
      <c r="BE216" s="21">
        <v>0</v>
      </c>
      <c r="BF216" s="21">
        <v>0</v>
      </c>
      <c r="BG216" s="21">
        <v>0</v>
      </c>
      <c r="BH216" s="21">
        <v>0</v>
      </c>
      <c r="BI216" s="21">
        <v>0</v>
      </c>
      <c r="BJ216" s="21">
        <v>0</v>
      </c>
      <c r="BK216" s="21">
        <v>0</v>
      </c>
      <c r="BL216" s="21">
        <v>0</v>
      </c>
      <c r="BM216" s="21">
        <v>0</v>
      </c>
      <c r="BN216" s="21">
        <v>0</v>
      </c>
      <c r="BO216" s="21">
        <v>0</v>
      </c>
      <c r="BP216" s="21">
        <v>0</v>
      </c>
      <c r="BQ216" s="21">
        <v>0</v>
      </c>
      <c r="BR216" s="21">
        <v>0</v>
      </c>
      <c r="BS216" s="21">
        <v>0</v>
      </c>
      <c r="BT216" s="21">
        <v>0</v>
      </c>
      <c r="BU216" s="21">
        <v>0</v>
      </c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1">
        <v>0</v>
      </c>
      <c r="CH216" s="21">
        <v>0</v>
      </c>
      <c r="CI216" s="21">
        <v>0</v>
      </c>
      <c r="CJ216" s="21">
        <v>0</v>
      </c>
      <c r="CK216" s="21">
        <v>0</v>
      </c>
      <c r="CL216" s="21">
        <v>0</v>
      </c>
      <c r="CM216" s="21">
        <v>0</v>
      </c>
      <c r="CN216" s="21">
        <v>0</v>
      </c>
      <c r="CO216" s="21">
        <v>0</v>
      </c>
      <c r="CP216" s="21">
        <v>0</v>
      </c>
      <c r="CQ216" s="21">
        <v>0</v>
      </c>
      <c r="CR216" s="21">
        <v>0</v>
      </c>
      <c r="CS216" s="21">
        <v>0</v>
      </c>
      <c r="CT216" s="21">
        <v>0</v>
      </c>
      <c r="CU216" s="21">
        <v>0</v>
      </c>
      <c r="CV216" s="21">
        <v>0</v>
      </c>
      <c r="CW216" s="21">
        <v>0</v>
      </c>
      <c r="CX216" s="21">
        <v>0</v>
      </c>
      <c r="CY216" s="21">
        <v>0</v>
      </c>
      <c r="CZ216" s="21">
        <v>0</v>
      </c>
      <c r="DA216" s="21">
        <v>0</v>
      </c>
      <c r="DB216" s="21">
        <v>0</v>
      </c>
      <c r="DC216" s="21">
        <v>0</v>
      </c>
      <c r="DD216" s="21">
        <v>0</v>
      </c>
      <c r="DE216" s="21">
        <v>0</v>
      </c>
      <c r="DF216" s="21">
        <v>0</v>
      </c>
      <c r="DG216" s="21">
        <v>0</v>
      </c>
      <c r="DH216" s="21">
        <v>0</v>
      </c>
      <c r="DI216" s="21">
        <v>0</v>
      </c>
      <c r="DJ216" s="21">
        <v>0</v>
      </c>
      <c r="DK216" s="21">
        <v>0</v>
      </c>
      <c r="DL216" s="21">
        <v>0</v>
      </c>
      <c r="DM216" s="21">
        <v>0</v>
      </c>
      <c r="DN216" s="21">
        <v>0</v>
      </c>
      <c r="DO216" s="21">
        <v>0</v>
      </c>
      <c r="DP216" s="21">
        <v>0</v>
      </c>
      <c r="DQ216" s="21">
        <v>0</v>
      </c>
      <c r="DR216" s="21">
        <v>0</v>
      </c>
      <c r="DS216" s="21">
        <v>0</v>
      </c>
      <c r="DT216" s="21">
        <v>0</v>
      </c>
      <c r="DU216" s="21">
        <v>0</v>
      </c>
      <c r="DV216" s="21">
        <v>0</v>
      </c>
      <c r="DW216" s="21">
        <v>0</v>
      </c>
      <c r="DX216" s="21">
        <v>0</v>
      </c>
      <c r="DY216" s="21">
        <v>0</v>
      </c>
      <c r="DZ216" s="21">
        <v>0</v>
      </c>
      <c r="EA216" s="21">
        <v>0</v>
      </c>
      <c r="EB216" s="21">
        <v>0</v>
      </c>
      <c r="EC216" s="21">
        <v>0</v>
      </c>
      <c r="ED216" s="21">
        <v>0</v>
      </c>
      <c r="EE216" s="21">
        <v>0</v>
      </c>
      <c r="EF216" s="21">
        <v>0</v>
      </c>
    </row>
    <row r="217" spans="1:136" ht="14.5" x14ac:dyDescent="0.35">
      <c r="A217" s="20" t="s">
        <v>12</v>
      </c>
      <c r="B217" s="20" t="s">
        <v>159</v>
      </c>
      <c r="C217" s="20" t="s">
        <v>159</v>
      </c>
      <c r="D217" s="20" t="s">
        <v>333</v>
      </c>
      <c r="E217" s="20" t="s">
        <v>14</v>
      </c>
      <c r="F217" s="20" t="s">
        <v>87</v>
      </c>
      <c r="G217" s="21">
        <v>0</v>
      </c>
      <c r="H217" s="21">
        <v>0</v>
      </c>
      <c r="I217" s="21">
        <v>5</v>
      </c>
      <c r="J217" s="21">
        <v>-5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4</v>
      </c>
      <c r="AA217" s="21">
        <v>1</v>
      </c>
      <c r="AB217" s="21">
        <v>0</v>
      </c>
      <c r="AC217" s="21">
        <v>0</v>
      </c>
      <c r="AD217" s="21">
        <v>0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1">
        <v>0</v>
      </c>
      <c r="AZ217" s="21">
        <v>0</v>
      </c>
      <c r="BA217" s="21">
        <v>0</v>
      </c>
      <c r="BB217" s="21">
        <v>0</v>
      </c>
      <c r="BC217" s="21">
        <v>0</v>
      </c>
      <c r="BD217" s="21">
        <v>0</v>
      </c>
      <c r="BE217" s="21">
        <v>0</v>
      </c>
      <c r="BF217" s="21">
        <v>0</v>
      </c>
      <c r="BG217" s="21">
        <v>0</v>
      </c>
      <c r="BH217" s="21">
        <v>0</v>
      </c>
      <c r="BI217" s="21">
        <v>0</v>
      </c>
      <c r="BJ217" s="21">
        <v>0</v>
      </c>
      <c r="BK217" s="21">
        <v>0</v>
      </c>
      <c r="BL217" s="21">
        <v>0</v>
      </c>
      <c r="BM217" s="21">
        <v>0</v>
      </c>
      <c r="BN217" s="21">
        <v>0</v>
      </c>
      <c r="BO217" s="21">
        <v>0</v>
      </c>
      <c r="BP217" s="21">
        <v>0</v>
      </c>
      <c r="BQ217" s="21">
        <v>0</v>
      </c>
      <c r="BR217" s="21">
        <v>0</v>
      </c>
      <c r="BS217" s="21">
        <v>0</v>
      </c>
      <c r="BT217" s="21">
        <v>0</v>
      </c>
      <c r="BU217" s="21">
        <v>0</v>
      </c>
      <c r="BV217" s="21">
        <v>0</v>
      </c>
      <c r="BW217" s="21">
        <v>0</v>
      </c>
      <c r="BX217" s="21">
        <v>0</v>
      </c>
      <c r="BY217" s="21">
        <v>0</v>
      </c>
      <c r="BZ217" s="21">
        <v>0</v>
      </c>
      <c r="CA217" s="21">
        <v>0</v>
      </c>
      <c r="CB217" s="21">
        <v>0</v>
      </c>
      <c r="CC217" s="21">
        <v>0</v>
      </c>
      <c r="CD217" s="21">
        <v>0</v>
      </c>
      <c r="CE217" s="21">
        <v>0</v>
      </c>
      <c r="CF217" s="21">
        <v>0</v>
      </c>
      <c r="CG217" s="21">
        <v>0</v>
      </c>
      <c r="CH217" s="21">
        <v>0</v>
      </c>
      <c r="CI217" s="21">
        <v>0</v>
      </c>
      <c r="CJ217" s="21">
        <v>0</v>
      </c>
      <c r="CK217" s="21">
        <v>0</v>
      </c>
      <c r="CL217" s="21">
        <v>0</v>
      </c>
      <c r="CM217" s="21">
        <v>0</v>
      </c>
      <c r="CN217" s="21">
        <v>0</v>
      </c>
      <c r="CO217" s="21">
        <v>0</v>
      </c>
      <c r="CP217" s="21">
        <v>0</v>
      </c>
      <c r="CQ217" s="21">
        <v>0</v>
      </c>
      <c r="CR217" s="21">
        <v>0</v>
      </c>
      <c r="CS217" s="21">
        <v>0</v>
      </c>
      <c r="CT217" s="21">
        <v>0</v>
      </c>
      <c r="CU217" s="21">
        <v>0</v>
      </c>
      <c r="CV217" s="21">
        <v>0</v>
      </c>
      <c r="CW217" s="21">
        <v>0</v>
      </c>
      <c r="CX217" s="21">
        <v>0</v>
      </c>
      <c r="CY217" s="21">
        <v>0</v>
      </c>
      <c r="CZ217" s="21">
        <v>0</v>
      </c>
      <c r="DA217" s="21">
        <v>0</v>
      </c>
      <c r="DB217" s="21">
        <v>0</v>
      </c>
      <c r="DC217" s="21">
        <v>0</v>
      </c>
      <c r="DD217" s="21">
        <v>0</v>
      </c>
      <c r="DE217" s="21">
        <v>0</v>
      </c>
      <c r="DF217" s="21">
        <v>0</v>
      </c>
      <c r="DG217" s="21">
        <v>0</v>
      </c>
      <c r="DH217" s="21">
        <v>0</v>
      </c>
      <c r="DI217" s="21">
        <v>0</v>
      </c>
      <c r="DJ217" s="21">
        <v>0</v>
      </c>
      <c r="DK217" s="21">
        <v>0</v>
      </c>
      <c r="DL217" s="21">
        <v>0</v>
      </c>
      <c r="DM217" s="21">
        <v>0</v>
      </c>
      <c r="DN217" s="21">
        <v>0</v>
      </c>
      <c r="DO217" s="21">
        <v>0</v>
      </c>
      <c r="DP217" s="21">
        <v>0</v>
      </c>
      <c r="DQ217" s="21">
        <v>0</v>
      </c>
      <c r="DR217" s="21">
        <v>0</v>
      </c>
      <c r="DS217" s="21">
        <v>0</v>
      </c>
      <c r="DT217" s="21">
        <v>0</v>
      </c>
      <c r="DU217" s="21">
        <v>0</v>
      </c>
      <c r="DV217" s="21">
        <v>0</v>
      </c>
      <c r="DW217" s="21">
        <v>0</v>
      </c>
      <c r="DX217" s="21">
        <v>0</v>
      </c>
      <c r="DY217" s="21">
        <v>0</v>
      </c>
      <c r="DZ217" s="21">
        <v>0</v>
      </c>
      <c r="EA217" s="21">
        <v>0</v>
      </c>
      <c r="EB217" s="21">
        <v>0</v>
      </c>
      <c r="EC217" s="21">
        <v>0</v>
      </c>
      <c r="ED217" s="21">
        <v>0</v>
      </c>
      <c r="EE217" s="21">
        <v>0</v>
      </c>
      <c r="EF217" s="21">
        <v>0</v>
      </c>
    </row>
    <row r="218" spans="1:136" ht="14.5" x14ac:dyDescent="0.35">
      <c r="A218" s="20" t="s">
        <v>12</v>
      </c>
      <c r="B218" s="20" t="s">
        <v>159</v>
      </c>
      <c r="C218" s="20" t="s">
        <v>159</v>
      </c>
      <c r="D218" s="20" t="s">
        <v>339</v>
      </c>
      <c r="E218" s="20" t="s">
        <v>14</v>
      </c>
      <c r="F218" s="20" t="s">
        <v>87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0</v>
      </c>
      <c r="Z218" s="21">
        <v>0</v>
      </c>
      <c r="AA218" s="21">
        <v>0</v>
      </c>
      <c r="AB218" s="21">
        <v>0</v>
      </c>
      <c r="AC218" s="21">
        <v>0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1">
        <v>0</v>
      </c>
      <c r="BL218" s="21">
        <v>0</v>
      </c>
      <c r="BM218" s="21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0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21">
        <v>0</v>
      </c>
      <c r="CI218" s="21">
        <v>0</v>
      </c>
      <c r="CJ218" s="21">
        <v>0</v>
      </c>
      <c r="CK218" s="21">
        <v>0</v>
      </c>
      <c r="CL218" s="21">
        <v>0</v>
      </c>
      <c r="CM218" s="21">
        <v>0</v>
      </c>
      <c r="CN218" s="21">
        <v>0</v>
      </c>
      <c r="CO218" s="21">
        <v>0</v>
      </c>
      <c r="CP218" s="21">
        <v>0</v>
      </c>
      <c r="CQ218" s="21">
        <v>0</v>
      </c>
      <c r="CR218" s="21">
        <v>0</v>
      </c>
      <c r="CS218" s="21">
        <v>0</v>
      </c>
      <c r="CT218" s="21">
        <v>0</v>
      </c>
      <c r="CU218" s="21">
        <v>0</v>
      </c>
      <c r="CV218" s="21">
        <v>0</v>
      </c>
      <c r="CW218" s="21">
        <v>0</v>
      </c>
      <c r="CX218" s="21">
        <v>0</v>
      </c>
      <c r="CY218" s="21">
        <v>0</v>
      </c>
      <c r="CZ218" s="21">
        <v>0</v>
      </c>
      <c r="DA218" s="21">
        <v>0</v>
      </c>
      <c r="DB218" s="21">
        <v>0</v>
      </c>
      <c r="DC218" s="21">
        <v>0</v>
      </c>
      <c r="DD218" s="21">
        <v>0</v>
      </c>
      <c r="DE218" s="21">
        <v>0</v>
      </c>
      <c r="DF218" s="21">
        <v>0</v>
      </c>
      <c r="DG218" s="21">
        <v>0</v>
      </c>
      <c r="DH218" s="21">
        <v>0</v>
      </c>
      <c r="DI218" s="21">
        <v>0</v>
      </c>
      <c r="DJ218" s="21">
        <v>0</v>
      </c>
      <c r="DK218" s="21">
        <v>0</v>
      </c>
      <c r="DL218" s="21">
        <v>0</v>
      </c>
      <c r="DM218" s="21">
        <v>0</v>
      </c>
      <c r="DN218" s="21">
        <v>0</v>
      </c>
      <c r="DO218" s="21">
        <v>0</v>
      </c>
      <c r="DP218" s="21">
        <v>0</v>
      </c>
      <c r="DQ218" s="21">
        <v>0</v>
      </c>
      <c r="DR218" s="21">
        <v>0</v>
      </c>
      <c r="DS218" s="21">
        <v>0</v>
      </c>
      <c r="DT218" s="21">
        <v>0</v>
      </c>
      <c r="DU218" s="21">
        <v>0</v>
      </c>
      <c r="DV218" s="21">
        <v>0</v>
      </c>
      <c r="DW218" s="21">
        <v>0</v>
      </c>
      <c r="DX218" s="21">
        <v>0</v>
      </c>
      <c r="DY218" s="21">
        <v>0</v>
      </c>
      <c r="DZ218" s="21">
        <v>0</v>
      </c>
      <c r="EA218" s="21">
        <v>0</v>
      </c>
      <c r="EB218" s="21">
        <v>0</v>
      </c>
      <c r="EC218" s="21">
        <v>0</v>
      </c>
      <c r="ED218" s="21">
        <v>0</v>
      </c>
      <c r="EE218" s="21">
        <v>0</v>
      </c>
      <c r="EF218" s="21">
        <v>0</v>
      </c>
    </row>
    <row r="219" spans="1:136" ht="14.5" x14ac:dyDescent="0.35">
      <c r="A219" s="20" t="s">
        <v>12</v>
      </c>
      <c r="B219" s="20" t="s">
        <v>159</v>
      </c>
      <c r="C219" s="20" t="s">
        <v>159</v>
      </c>
      <c r="D219" s="20" t="s">
        <v>333</v>
      </c>
      <c r="E219" s="20" t="s">
        <v>14</v>
      </c>
      <c r="F219" s="20" t="s">
        <v>88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0</v>
      </c>
      <c r="Z219" s="21">
        <v>0</v>
      </c>
      <c r="AA219" s="21">
        <v>0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0</v>
      </c>
      <c r="AY219" s="21">
        <v>0</v>
      </c>
      <c r="AZ219" s="21">
        <v>0</v>
      </c>
      <c r="BA219" s="21">
        <v>0</v>
      </c>
      <c r="BB219" s="21">
        <v>0</v>
      </c>
      <c r="BC219" s="21">
        <v>0</v>
      </c>
      <c r="BD219" s="21">
        <v>0</v>
      </c>
      <c r="BE219" s="21">
        <v>0</v>
      </c>
      <c r="BF219" s="21">
        <v>0</v>
      </c>
      <c r="BG219" s="21">
        <v>0</v>
      </c>
      <c r="BH219" s="21">
        <v>0</v>
      </c>
      <c r="BI219" s="21">
        <v>0</v>
      </c>
      <c r="BJ219" s="21">
        <v>0</v>
      </c>
      <c r="BK219" s="21">
        <v>0</v>
      </c>
      <c r="BL219" s="21">
        <v>0</v>
      </c>
      <c r="BM219" s="21">
        <v>0</v>
      </c>
      <c r="BN219" s="21">
        <v>0</v>
      </c>
      <c r="BO219" s="21">
        <v>0</v>
      </c>
      <c r="BP219" s="21">
        <v>0</v>
      </c>
      <c r="BQ219" s="21">
        <v>0</v>
      </c>
      <c r="BR219" s="21">
        <v>0</v>
      </c>
      <c r="BS219" s="21">
        <v>0</v>
      </c>
      <c r="BT219" s="21">
        <v>0</v>
      </c>
      <c r="BU219" s="21">
        <v>0</v>
      </c>
      <c r="BV219" s="21">
        <v>0</v>
      </c>
      <c r="BW219" s="21">
        <v>0</v>
      </c>
      <c r="BX219" s="21">
        <v>0</v>
      </c>
      <c r="BY219" s="21">
        <v>0</v>
      </c>
      <c r="BZ219" s="21">
        <v>0</v>
      </c>
      <c r="CA219" s="21">
        <v>0</v>
      </c>
      <c r="CB219" s="21">
        <v>0</v>
      </c>
      <c r="CC219" s="21">
        <v>0</v>
      </c>
      <c r="CD219" s="21">
        <v>0</v>
      </c>
      <c r="CE219" s="21">
        <v>0</v>
      </c>
      <c r="CF219" s="21">
        <v>0</v>
      </c>
      <c r="CG219" s="21">
        <v>0</v>
      </c>
      <c r="CH219" s="21">
        <v>0</v>
      </c>
      <c r="CI219" s="21">
        <v>0</v>
      </c>
      <c r="CJ219" s="21">
        <v>0</v>
      </c>
      <c r="CK219" s="21">
        <v>0</v>
      </c>
      <c r="CL219" s="21">
        <v>0</v>
      </c>
      <c r="CM219" s="21">
        <v>0</v>
      </c>
      <c r="CN219" s="21">
        <v>0</v>
      </c>
      <c r="CO219" s="21">
        <v>0</v>
      </c>
      <c r="CP219" s="21">
        <v>0</v>
      </c>
      <c r="CQ219" s="21">
        <v>0</v>
      </c>
      <c r="CR219" s="21">
        <v>0</v>
      </c>
      <c r="CS219" s="21">
        <v>0</v>
      </c>
      <c r="CT219" s="21">
        <v>0</v>
      </c>
      <c r="CU219" s="21">
        <v>0</v>
      </c>
      <c r="CV219" s="21">
        <v>0</v>
      </c>
      <c r="CW219" s="21">
        <v>0</v>
      </c>
      <c r="CX219" s="21">
        <v>0</v>
      </c>
      <c r="CY219" s="21">
        <v>0</v>
      </c>
      <c r="CZ219" s="21">
        <v>0</v>
      </c>
      <c r="DA219" s="21">
        <v>0</v>
      </c>
      <c r="DB219" s="21">
        <v>0</v>
      </c>
      <c r="DC219" s="21">
        <v>0</v>
      </c>
      <c r="DD219" s="21">
        <v>0</v>
      </c>
      <c r="DE219" s="21">
        <v>0</v>
      </c>
      <c r="DF219" s="21">
        <v>0</v>
      </c>
      <c r="DG219" s="21">
        <v>0</v>
      </c>
      <c r="DH219" s="21">
        <v>0</v>
      </c>
      <c r="DI219" s="21">
        <v>0</v>
      </c>
      <c r="DJ219" s="21">
        <v>0</v>
      </c>
      <c r="DK219" s="21">
        <v>0</v>
      </c>
      <c r="DL219" s="21">
        <v>0</v>
      </c>
      <c r="DM219" s="21">
        <v>0</v>
      </c>
      <c r="DN219" s="21">
        <v>0</v>
      </c>
      <c r="DO219" s="21">
        <v>0</v>
      </c>
      <c r="DP219" s="21">
        <v>0</v>
      </c>
      <c r="DQ219" s="21">
        <v>0</v>
      </c>
      <c r="DR219" s="21">
        <v>0</v>
      </c>
      <c r="DS219" s="21">
        <v>0</v>
      </c>
      <c r="DT219" s="21">
        <v>0</v>
      </c>
      <c r="DU219" s="21">
        <v>0</v>
      </c>
      <c r="DV219" s="21">
        <v>0</v>
      </c>
      <c r="DW219" s="21">
        <v>0</v>
      </c>
      <c r="DX219" s="21">
        <v>0</v>
      </c>
      <c r="DY219" s="21">
        <v>0</v>
      </c>
      <c r="DZ219" s="21">
        <v>0</v>
      </c>
      <c r="EA219" s="21">
        <v>0</v>
      </c>
      <c r="EB219" s="21">
        <v>0</v>
      </c>
      <c r="EC219" s="21">
        <v>0</v>
      </c>
      <c r="ED219" s="21">
        <v>0</v>
      </c>
      <c r="EE219" s="21">
        <v>0</v>
      </c>
      <c r="EF219" s="21">
        <v>0</v>
      </c>
    </row>
    <row r="220" spans="1:136" ht="14.5" x14ac:dyDescent="0.35">
      <c r="A220" s="20" t="s">
        <v>12</v>
      </c>
      <c r="B220" s="20" t="s">
        <v>159</v>
      </c>
      <c r="C220" s="20" t="s">
        <v>159</v>
      </c>
      <c r="D220" s="20" t="s">
        <v>339</v>
      </c>
      <c r="E220" s="20" t="s">
        <v>14</v>
      </c>
      <c r="F220" s="20" t="s">
        <v>88</v>
      </c>
      <c r="G220" s="21">
        <v>0</v>
      </c>
      <c r="H220" s="21">
        <v>0</v>
      </c>
      <c r="I220" s="21">
        <v>12</v>
      </c>
      <c r="J220" s="21">
        <v>-12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8</v>
      </c>
      <c r="AN220" s="21">
        <v>4</v>
      </c>
      <c r="AO220" s="21">
        <v>0</v>
      </c>
      <c r="AP220" s="21">
        <v>0</v>
      </c>
      <c r="AQ220" s="21">
        <v>0</v>
      </c>
      <c r="AR220" s="21">
        <v>0</v>
      </c>
      <c r="AS220" s="21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1">
        <v>0</v>
      </c>
      <c r="AZ220" s="21">
        <v>0</v>
      </c>
      <c r="BA220" s="21">
        <v>0</v>
      </c>
      <c r="BB220" s="21">
        <v>0</v>
      </c>
      <c r="BC220" s="21">
        <v>0</v>
      </c>
      <c r="BD220" s="21">
        <v>0</v>
      </c>
      <c r="BE220" s="21">
        <v>0</v>
      </c>
      <c r="BF220" s="21">
        <v>0</v>
      </c>
      <c r="BG220" s="21">
        <v>0</v>
      </c>
      <c r="BH220" s="21">
        <v>0</v>
      </c>
      <c r="BI220" s="21">
        <v>0</v>
      </c>
      <c r="BJ220" s="21">
        <v>0</v>
      </c>
      <c r="BK220" s="21">
        <v>0</v>
      </c>
      <c r="BL220" s="21">
        <v>0</v>
      </c>
      <c r="BM220" s="21">
        <v>0</v>
      </c>
      <c r="BN220" s="21">
        <v>0</v>
      </c>
      <c r="BO220" s="21">
        <v>0</v>
      </c>
      <c r="BP220" s="21">
        <v>0</v>
      </c>
      <c r="BQ220" s="21">
        <v>0</v>
      </c>
      <c r="BR220" s="21">
        <v>0</v>
      </c>
      <c r="BS220" s="21">
        <v>0</v>
      </c>
      <c r="BT220" s="21">
        <v>0</v>
      </c>
      <c r="BU220" s="21">
        <v>0</v>
      </c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1">
        <v>0</v>
      </c>
      <c r="CH220" s="21">
        <v>0</v>
      </c>
      <c r="CI220" s="21">
        <v>0</v>
      </c>
      <c r="CJ220" s="21">
        <v>0</v>
      </c>
      <c r="CK220" s="21">
        <v>0</v>
      </c>
      <c r="CL220" s="21">
        <v>0</v>
      </c>
      <c r="CM220" s="21">
        <v>0</v>
      </c>
      <c r="CN220" s="21">
        <v>0</v>
      </c>
      <c r="CO220" s="21">
        <v>0</v>
      </c>
      <c r="CP220" s="21">
        <v>0</v>
      </c>
      <c r="CQ220" s="21">
        <v>0</v>
      </c>
      <c r="CR220" s="21">
        <v>0</v>
      </c>
      <c r="CS220" s="21">
        <v>0</v>
      </c>
      <c r="CT220" s="21">
        <v>0</v>
      </c>
      <c r="CU220" s="21">
        <v>0</v>
      </c>
      <c r="CV220" s="21">
        <v>0</v>
      </c>
      <c r="CW220" s="21">
        <v>0</v>
      </c>
      <c r="CX220" s="21">
        <v>0</v>
      </c>
      <c r="CY220" s="21">
        <v>0</v>
      </c>
      <c r="CZ220" s="21">
        <v>0</v>
      </c>
      <c r="DA220" s="21">
        <v>0</v>
      </c>
      <c r="DB220" s="21">
        <v>0</v>
      </c>
      <c r="DC220" s="21">
        <v>0</v>
      </c>
      <c r="DD220" s="21">
        <v>0</v>
      </c>
      <c r="DE220" s="21">
        <v>0</v>
      </c>
      <c r="DF220" s="21">
        <v>0</v>
      </c>
      <c r="DG220" s="21">
        <v>0</v>
      </c>
      <c r="DH220" s="21">
        <v>0</v>
      </c>
      <c r="DI220" s="21">
        <v>0</v>
      </c>
      <c r="DJ220" s="21">
        <v>0</v>
      </c>
      <c r="DK220" s="21">
        <v>0</v>
      </c>
      <c r="DL220" s="21">
        <v>0</v>
      </c>
      <c r="DM220" s="21">
        <v>0</v>
      </c>
      <c r="DN220" s="21">
        <v>0</v>
      </c>
      <c r="DO220" s="21">
        <v>0</v>
      </c>
      <c r="DP220" s="21">
        <v>0</v>
      </c>
      <c r="DQ220" s="21">
        <v>0</v>
      </c>
      <c r="DR220" s="21">
        <v>0</v>
      </c>
      <c r="DS220" s="21">
        <v>0</v>
      </c>
      <c r="DT220" s="21">
        <v>0</v>
      </c>
      <c r="DU220" s="21">
        <v>0</v>
      </c>
      <c r="DV220" s="21">
        <v>0</v>
      </c>
      <c r="DW220" s="21">
        <v>0</v>
      </c>
      <c r="DX220" s="21">
        <v>0</v>
      </c>
      <c r="DY220" s="21">
        <v>0</v>
      </c>
      <c r="DZ220" s="21">
        <v>0</v>
      </c>
      <c r="EA220" s="21">
        <v>0</v>
      </c>
      <c r="EB220" s="21">
        <v>0</v>
      </c>
      <c r="EC220" s="21">
        <v>0</v>
      </c>
      <c r="ED220" s="21">
        <v>0</v>
      </c>
      <c r="EE220" s="21">
        <v>0</v>
      </c>
      <c r="EF220" s="21">
        <v>0</v>
      </c>
    </row>
    <row r="221" spans="1:136" ht="14.5" x14ac:dyDescent="0.35">
      <c r="A221" s="20" t="s">
        <v>12</v>
      </c>
      <c r="B221" s="20" t="s">
        <v>159</v>
      </c>
      <c r="C221" s="20" t="s">
        <v>159</v>
      </c>
      <c r="D221" s="20" t="s">
        <v>333</v>
      </c>
      <c r="E221" s="20" t="s">
        <v>14</v>
      </c>
      <c r="F221" s="20" t="s">
        <v>46</v>
      </c>
      <c r="G221" s="21">
        <v>60</v>
      </c>
      <c r="H221" s="21">
        <v>170</v>
      </c>
      <c r="I221" s="21">
        <v>26.5</v>
      </c>
      <c r="J221" s="21">
        <v>143.5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1">
        <v>0</v>
      </c>
      <c r="AC221" s="21">
        <v>16</v>
      </c>
      <c r="AD221" s="21">
        <v>3</v>
      </c>
      <c r="AE221" s="21">
        <v>5</v>
      </c>
      <c r="AF221" s="21">
        <v>1</v>
      </c>
      <c r="AG221" s="21">
        <v>1.5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0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1">
        <v>0</v>
      </c>
      <c r="AZ221" s="21">
        <v>0</v>
      </c>
      <c r="BA221" s="21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1">
        <v>0</v>
      </c>
      <c r="BH221" s="21">
        <v>0</v>
      </c>
      <c r="BI221" s="21">
        <v>0</v>
      </c>
      <c r="BJ221" s="21">
        <v>0</v>
      </c>
      <c r="BK221" s="21">
        <v>0</v>
      </c>
      <c r="BL221" s="21">
        <v>0</v>
      </c>
      <c r="BM221" s="21">
        <v>0</v>
      </c>
      <c r="BN221" s="21">
        <v>0</v>
      </c>
      <c r="BO221" s="21">
        <v>0</v>
      </c>
      <c r="BP221" s="21">
        <v>0</v>
      </c>
      <c r="BQ221" s="21">
        <v>0</v>
      </c>
      <c r="BR221" s="21">
        <v>0</v>
      </c>
      <c r="BS221" s="21">
        <v>0</v>
      </c>
      <c r="BT221" s="21">
        <v>0</v>
      </c>
      <c r="BU221" s="21">
        <v>0</v>
      </c>
      <c r="BV221" s="21">
        <v>0</v>
      </c>
      <c r="BW221" s="21">
        <v>0</v>
      </c>
      <c r="BX221" s="21">
        <v>0</v>
      </c>
      <c r="BY221" s="21">
        <v>0</v>
      </c>
      <c r="BZ221" s="21">
        <v>0</v>
      </c>
      <c r="CA221" s="21">
        <v>0</v>
      </c>
      <c r="CB221" s="21">
        <v>0</v>
      </c>
      <c r="CC221" s="21">
        <v>0</v>
      </c>
      <c r="CD221" s="21">
        <v>0</v>
      </c>
      <c r="CE221" s="21">
        <v>0</v>
      </c>
      <c r="CF221" s="21">
        <v>0</v>
      </c>
      <c r="CG221" s="21">
        <v>0</v>
      </c>
      <c r="CH221" s="21">
        <v>0</v>
      </c>
      <c r="CI221" s="21">
        <v>0</v>
      </c>
      <c r="CJ221" s="21">
        <v>0</v>
      </c>
      <c r="CK221" s="21">
        <v>0</v>
      </c>
      <c r="CL221" s="21">
        <v>0</v>
      </c>
      <c r="CM221" s="21">
        <v>0</v>
      </c>
      <c r="CN221" s="21">
        <v>0</v>
      </c>
      <c r="CO221" s="21">
        <v>0</v>
      </c>
      <c r="CP221" s="21">
        <v>0</v>
      </c>
      <c r="CQ221" s="21">
        <v>0</v>
      </c>
      <c r="CR221" s="21">
        <v>0</v>
      </c>
      <c r="CS221" s="21">
        <v>0</v>
      </c>
      <c r="CT221" s="21">
        <v>0</v>
      </c>
      <c r="CU221" s="21">
        <v>0</v>
      </c>
      <c r="CV221" s="21">
        <v>0</v>
      </c>
      <c r="CW221" s="21">
        <v>0</v>
      </c>
      <c r="CX221" s="21">
        <v>0</v>
      </c>
      <c r="CY221" s="21">
        <v>0</v>
      </c>
      <c r="CZ221" s="21">
        <v>0</v>
      </c>
      <c r="DA221" s="21">
        <v>0</v>
      </c>
      <c r="DB221" s="21">
        <v>0</v>
      </c>
      <c r="DC221" s="21">
        <v>0</v>
      </c>
      <c r="DD221" s="21">
        <v>0</v>
      </c>
      <c r="DE221" s="21">
        <v>0</v>
      </c>
      <c r="DF221" s="21">
        <v>0</v>
      </c>
      <c r="DG221" s="21">
        <v>0</v>
      </c>
      <c r="DH221" s="21">
        <v>0</v>
      </c>
      <c r="DI221" s="21">
        <v>0</v>
      </c>
      <c r="DJ221" s="21">
        <v>0</v>
      </c>
      <c r="DK221" s="21">
        <v>0</v>
      </c>
      <c r="DL221" s="21">
        <v>0</v>
      </c>
      <c r="DM221" s="21">
        <v>0</v>
      </c>
      <c r="DN221" s="21">
        <v>0</v>
      </c>
      <c r="DO221" s="21">
        <v>0</v>
      </c>
      <c r="DP221" s="21">
        <v>0</v>
      </c>
      <c r="DQ221" s="21">
        <v>0</v>
      </c>
      <c r="DR221" s="21">
        <v>0</v>
      </c>
      <c r="DS221" s="21">
        <v>0</v>
      </c>
      <c r="DT221" s="21">
        <v>0</v>
      </c>
      <c r="DU221" s="21">
        <v>0</v>
      </c>
      <c r="DV221" s="21">
        <v>0</v>
      </c>
      <c r="DW221" s="21">
        <v>0</v>
      </c>
      <c r="DX221" s="21">
        <v>0</v>
      </c>
      <c r="DY221" s="21">
        <v>0</v>
      </c>
      <c r="DZ221" s="21">
        <v>0</v>
      </c>
      <c r="EA221" s="21">
        <v>0</v>
      </c>
      <c r="EB221" s="21">
        <v>0</v>
      </c>
      <c r="EC221" s="21">
        <v>0</v>
      </c>
      <c r="ED221" s="21">
        <v>0</v>
      </c>
      <c r="EE221" s="21">
        <v>0</v>
      </c>
      <c r="EF221" s="21">
        <v>0</v>
      </c>
    </row>
    <row r="222" spans="1:136" ht="14.5" x14ac:dyDescent="0.35">
      <c r="A222" s="20" t="s">
        <v>12</v>
      </c>
      <c r="B222" s="20" t="s">
        <v>159</v>
      </c>
      <c r="C222" s="20" t="s">
        <v>159</v>
      </c>
      <c r="D222" s="20" t="s">
        <v>339</v>
      </c>
      <c r="E222" s="20" t="s">
        <v>14</v>
      </c>
      <c r="F222" s="20" t="s">
        <v>46</v>
      </c>
      <c r="G222" s="21">
        <v>0</v>
      </c>
      <c r="H222" s="21">
        <v>0</v>
      </c>
      <c r="I222" s="21">
        <v>144</v>
      </c>
      <c r="J222" s="21">
        <v>-144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0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2</v>
      </c>
      <c r="AK222" s="21">
        <v>4</v>
      </c>
      <c r="AL222" s="21">
        <v>6</v>
      </c>
      <c r="AM222" s="21">
        <v>3</v>
      </c>
      <c r="AN222" s="21">
        <v>0</v>
      </c>
      <c r="AO222" s="21">
        <v>0</v>
      </c>
      <c r="AP222" s="21">
        <v>6</v>
      </c>
      <c r="AQ222" s="21">
        <v>4</v>
      </c>
      <c r="AR222" s="21">
        <v>9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1">
        <v>0</v>
      </c>
      <c r="BH222" s="21">
        <v>0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1">
        <v>0</v>
      </c>
      <c r="CH222" s="21">
        <v>0</v>
      </c>
      <c r="CI222" s="21">
        <v>0</v>
      </c>
      <c r="CJ222" s="21">
        <v>0</v>
      </c>
      <c r="CK222" s="21">
        <v>0</v>
      </c>
      <c r="CL222" s="21">
        <v>0</v>
      </c>
      <c r="CM222" s="21">
        <v>0</v>
      </c>
      <c r="CN222" s="21">
        <v>0</v>
      </c>
      <c r="CO222" s="21">
        <v>0</v>
      </c>
      <c r="CP222" s="21">
        <v>0</v>
      </c>
      <c r="CQ222" s="21">
        <v>0</v>
      </c>
      <c r="CR222" s="21">
        <v>0</v>
      </c>
      <c r="CS222" s="21">
        <v>0.5</v>
      </c>
      <c r="CT222" s="21">
        <v>0.5</v>
      </c>
      <c r="CU222" s="21">
        <v>0.5</v>
      </c>
      <c r="CV222" s="21">
        <v>0.5</v>
      </c>
      <c r="CW222" s="21">
        <v>0.5</v>
      </c>
      <c r="CX222" s="21">
        <v>0.5</v>
      </c>
      <c r="CY222" s="21">
        <v>0.5</v>
      </c>
      <c r="CZ222" s="21">
        <v>0.5</v>
      </c>
      <c r="DA222" s="21">
        <v>0.5</v>
      </c>
      <c r="DB222" s="21">
        <v>0.5</v>
      </c>
      <c r="DC222" s="21">
        <v>0.5</v>
      </c>
      <c r="DD222" s="21">
        <v>0.5</v>
      </c>
      <c r="DE222" s="21">
        <v>0.5</v>
      </c>
      <c r="DF222" s="21">
        <v>0.5</v>
      </c>
      <c r="DG222" s="21">
        <v>0.5</v>
      </c>
      <c r="DH222" s="21">
        <v>0.5</v>
      </c>
      <c r="DI222" s="21">
        <v>0</v>
      </c>
      <c r="DJ222" s="21">
        <v>0</v>
      </c>
      <c r="DK222" s="21">
        <v>1.5</v>
      </c>
      <c r="DL222" s="21">
        <v>10.5</v>
      </c>
      <c r="DM222" s="21">
        <v>27</v>
      </c>
      <c r="DN222" s="21">
        <v>20</v>
      </c>
      <c r="DO222" s="21">
        <v>27</v>
      </c>
      <c r="DP222" s="21">
        <v>16</v>
      </c>
      <c r="DQ222" s="21">
        <v>0</v>
      </c>
      <c r="DR222" s="21">
        <v>0</v>
      </c>
      <c r="DS222" s="21">
        <v>0</v>
      </c>
      <c r="DT222" s="21">
        <v>0</v>
      </c>
      <c r="DU222" s="21">
        <v>0</v>
      </c>
      <c r="DV222" s="21">
        <v>0</v>
      </c>
      <c r="DW222" s="21">
        <v>0</v>
      </c>
      <c r="DX222" s="21">
        <v>0</v>
      </c>
      <c r="DY222" s="21">
        <v>0</v>
      </c>
      <c r="DZ222" s="21">
        <v>0</v>
      </c>
      <c r="EA222" s="21">
        <v>0</v>
      </c>
      <c r="EB222" s="21">
        <v>0</v>
      </c>
      <c r="EC222" s="21">
        <v>0</v>
      </c>
      <c r="ED222" s="21">
        <v>0</v>
      </c>
      <c r="EE222" s="21">
        <v>0</v>
      </c>
      <c r="EF222" s="21">
        <v>0</v>
      </c>
    </row>
    <row r="223" spans="1:136" ht="14.5" x14ac:dyDescent="0.35">
      <c r="A223" s="20" t="s">
        <v>12</v>
      </c>
      <c r="B223" s="20" t="s">
        <v>159</v>
      </c>
      <c r="C223" s="20" t="s">
        <v>159</v>
      </c>
      <c r="D223" s="20" t="s">
        <v>333</v>
      </c>
      <c r="E223" s="20" t="s">
        <v>14</v>
      </c>
      <c r="F223" s="20" t="s">
        <v>90</v>
      </c>
      <c r="G223" s="21">
        <v>8</v>
      </c>
      <c r="H223" s="21">
        <v>8</v>
      </c>
      <c r="I223" s="21">
        <v>8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21">
        <v>8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1">
        <v>0</v>
      </c>
      <c r="AZ223" s="21">
        <v>0</v>
      </c>
      <c r="BA223" s="21">
        <v>0</v>
      </c>
      <c r="BB223" s="21">
        <v>0</v>
      </c>
      <c r="BC223" s="21">
        <v>0</v>
      </c>
      <c r="BD223" s="21">
        <v>0</v>
      </c>
      <c r="BE223" s="21">
        <v>0</v>
      </c>
      <c r="BF223" s="21">
        <v>0</v>
      </c>
      <c r="BG223" s="21">
        <v>0</v>
      </c>
      <c r="BH223" s="21">
        <v>0</v>
      </c>
      <c r="BI223" s="21">
        <v>0</v>
      </c>
      <c r="BJ223" s="21">
        <v>0</v>
      </c>
      <c r="BK223" s="21">
        <v>0</v>
      </c>
      <c r="BL223" s="21">
        <v>0</v>
      </c>
      <c r="BM223" s="21">
        <v>0</v>
      </c>
      <c r="BN223" s="21">
        <v>0</v>
      </c>
      <c r="BO223" s="21">
        <v>0</v>
      </c>
      <c r="BP223" s="21">
        <v>0</v>
      </c>
      <c r="BQ223" s="21">
        <v>0</v>
      </c>
      <c r="BR223" s="21">
        <v>0</v>
      </c>
      <c r="BS223" s="21">
        <v>0</v>
      </c>
      <c r="BT223" s="21">
        <v>0</v>
      </c>
      <c r="BU223" s="21">
        <v>0</v>
      </c>
      <c r="BV223" s="21">
        <v>0</v>
      </c>
      <c r="BW223" s="21">
        <v>0</v>
      </c>
      <c r="BX223" s="21">
        <v>0</v>
      </c>
      <c r="BY223" s="21">
        <v>0</v>
      </c>
      <c r="BZ223" s="21">
        <v>0</v>
      </c>
      <c r="CA223" s="21">
        <v>0</v>
      </c>
      <c r="CB223" s="21">
        <v>0</v>
      </c>
      <c r="CC223" s="21">
        <v>0</v>
      </c>
      <c r="CD223" s="21">
        <v>0</v>
      </c>
      <c r="CE223" s="21">
        <v>0</v>
      </c>
      <c r="CF223" s="21">
        <v>0</v>
      </c>
      <c r="CG223" s="21">
        <v>0</v>
      </c>
      <c r="CH223" s="21">
        <v>0</v>
      </c>
      <c r="CI223" s="21">
        <v>0</v>
      </c>
      <c r="CJ223" s="21">
        <v>0</v>
      </c>
      <c r="CK223" s="21">
        <v>0</v>
      </c>
      <c r="CL223" s="21">
        <v>0</v>
      </c>
      <c r="CM223" s="21">
        <v>0</v>
      </c>
      <c r="CN223" s="21">
        <v>0</v>
      </c>
      <c r="CO223" s="21">
        <v>0</v>
      </c>
      <c r="CP223" s="21">
        <v>0</v>
      </c>
      <c r="CQ223" s="21">
        <v>0</v>
      </c>
      <c r="CR223" s="21">
        <v>0</v>
      </c>
      <c r="CS223" s="21">
        <v>0</v>
      </c>
      <c r="CT223" s="21">
        <v>0</v>
      </c>
      <c r="CU223" s="21">
        <v>0</v>
      </c>
      <c r="CV223" s="21">
        <v>0</v>
      </c>
      <c r="CW223" s="21">
        <v>0</v>
      </c>
      <c r="CX223" s="21">
        <v>0</v>
      </c>
      <c r="CY223" s="21">
        <v>0</v>
      </c>
      <c r="CZ223" s="21">
        <v>0</v>
      </c>
      <c r="DA223" s="21">
        <v>0</v>
      </c>
      <c r="DB223" s="21">
        <v>0</v>
      </c>
      <c r="DC223" s="21">
        <v>0</v>
      </c>
      <c r="DD223" s="21">
        <v>0</v>
      </c>
      <c r="DE223" s="21">
        <v>0</v>
      </c>
      <c r="DF223" s="21">
        <v>0</v>
      </c>
      <c r="DG223" s="21">
        <v>0</v>
      </c>
      <c r="DH223" s="21">
        <v>0</v>
      </c>
      <c r="DI223" s="21">
        <v>0</v>
      </c>
      <c r="DJ223" s="21">
        <v>0</v>
      </c>
      <c r="DK223" s="21">
        <v>0</v>
      </c>
      <c r="DL223" s="21">
        <v>0</v>
      </c>
      <c r="DM223" s="21">
        <v>0</v>
      </c>
      <c r="DN223" s="21">
        <v>0</v>
      </c>
      <c r="DO223" s="21">
        <v>0</v>
      </c>
      <c r="DP223" s="21">
        <v>0</v>
      </c>
      <c r="DQ223" s="21">
        <v>0</v>
      </c>
      <c r="DR223" s="21">
        <v>0</v>
      </c>
      <c r="DS223" s="21">
        <v>0</v>
      </c>
      <c r="DT223" s="21">
        <v>0</v>
      </c>
      <c r="DU223" s="21">
        <v>0</v>
      </c>
      <c r="DV223" s="21">
        <v>0</v>
      </c>
      <c r="DW223" s="21">
        <v>0</v>
      </c>
      <c r="DX223" s="21">
        <v>0</v>
      </c>
      <c r="DY223" s="21">
        <v>0</v>
      </c>
      <c r="DZ223" s="21">
        <v>0</v>
      </c>
      <c r="EA223" s="21">
        <v>0</v>
      </c>
      <c r="EB223" s="21">
        <v>0</v>
      </c>
      <c r="EC223" s="21">
        <v>0</v>
      </c>
      <c r="ED223" s="21">
        <v>0</v>
      </c>
      <c r="EE223" s="21">
        <v>0</v>
      </c>
      <c r="EF223" s="21">
        <v>0</v>
      </c>
    </row>
    <row r="224" spans="1:136" ht="14.5" x14ac:dyDescent="0.35">
      <c r="A224" s="20" t="s">
        <v>12</v>
      </c>
      <c r="B224" s="20" t="s">
        <v>159</v>
      </c>
      <c r="C224" s="20" t="s">
        <v>159</v>
      </c>
      <c r="D224" s="20" t="s">
        <v>333</v>
      </c>
      <c r="E224" s="20" t="s">
        <v>14</v>
      </c>
      <c r="F224" s="20" t="s">
        <v>90</v>
      </c>
      <c r="G224" s="21">
        <v>0</v>
      </c>
      <c r="H224" s="21">
        <v>0</v>
      </c>
      <c r="I224" s="21">
        <v>52</v>
      </c>
      <c r="J224" s="21">
        <v>-52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2</v>
      </c>
      <c r="X224" s="21">
        <v>2</v>
      </c>
      <c r="Y224" s="21">
        <v>2</v>
      </c>
      <c r="Z224" s="21">
        <v>23</v>
      </c>
      <c r="AA224" s="21">
        <v>23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U224" s="21">
        <v>0</v>
      </c>
      <c r="AV224" s="21">
        <v>0</v>
      </c>
      <c r="AW224" s="21">
        <v>0</v>
      </c>
      <c r="AX224" s="21">
        <v>0</v>
      </c>
      <c r="AY224" s="21">
        <v>0</v>
      </c>
      <c r="AZ224" s="21">
        <v>0</v>
      </c>
      <c r="BA224" s="21">
        <v>0</v>
      </c>
      <c r="BB224" s="21">
        <v>0</v>
      </c>
      <c r="BC224" s="21">
        <v>0</v>
      </c>
      <c r="BD224" s="21">
        <v>0</v>
      </c>
      <c r="BE224" s="21">
        <v>0</v>
      </c>
      <c r="BF224" s="21">
        <v>0</v>
      </c>
      <c r="BG224" s="21">
        <v>0</v>
      </c>
      <c r="BH224" s="21">
        <v>0</v>
      </c>
      <c r="BI224" s="21">
        <v>0</v>
      </c>
      <c r="BJ224" s="21">
        <v>0</v>
      </c>
      <c r="BK224" s="21">
        <v>0</v>
      </c>
      <c r="BL224" s="21">
        <v>0</v>
      </c>
      <c r="BM224" s="21">
        <v>0</v>
      </c>
      <c r="BN224" s="21">
        <v>0</v>
      </c>
      <c r="BO224" s="21">
        <v>0</v>
      </c>
      <c r="BP224" s="21">
        <v>0</v>
      </c>
      <c r="BQ224" s="21">
        <v>0</v>
      </c>
      <c r="BR224" s="21">
        <v>0</v>
      </c>
      <c r="BS224" s="21">
        <v>0</v>
      </c>
      <c r="BT224" s="21">
        <v>0</v>
      </c>
      <c r="BU224" s="21">
        <v>0</v>
      </c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1">
        <v>0</v>
      </c>
      <c r="CH224" s="21">
        <v>0</v>
      </c>
      <c r="CI224" s="21">
        <v>0</v>
      </c>
      <c r="CJ224" s="21">
        <v>0</v>
      </c>
      <c r="CK224" s="21">
        <v>0</v>
      </c>
      <c r="CL224" s="21">
        <v>0</v>
      </c>
      <c r="CM224" s="21">
        <v>0</v>
      </c>
      <c r="CN224" s="21">
        <v>0</v>
      </c>
      <c r="CO224" s="21">
        <v>0</v>
      </c>
      <c r="CP224" s="21">
        <v>0</v>
      </c>
      <c r="CQ224" s="21">
        <v>0</v>
      </c>
      <c r="CR224" s="21">
        <v>0</v>
      </c>
      <c r="CS224" s="21">
        <v>0</v>
      </c>
      <c r="CT224" s="21">
        <v>0</v>
      </c>
      <c r="CU224" s="21">
        <v>0</v>
      </c>
      <c r="CV224" s="21">
        <v>0</v>
      </c>
      <c r="CW224" s="21">
        <v>0</v>
      </c>
      <c r="CX224" s="21">
        <v>0</v>
      </c>
      <c r="CY224" s="21">
        <v>0</v>
      </c>
      <c r="CZ224" s="21">
        <v>0</v>
      </c>
      <c r="DA224" s="21">
        <v>0</v>
      </c>
      <c r="DB224" s="21">
        <v>0</v>
      </c>
      <c r="DC224" s="21">
        <v>0</v>
      </c>
      <c r="DD224" s="21">
        <v>0</v>
      </c>
      <c r="DE224" s="21">
        <v>0</v>
      </c>
      <c r="DF224" s="21">
        <v>0</v>
      </c>
      <c r="DG224" s="21">
        <v>0</v>
      </c>
      <c r="DH224" s="21">
        <v>0</v>
      </c>
      <c r="DI224" s="21">
        <v>0</v>
      </c>
      <c r="DJ224" s="21">
        <v>0</v>
      </c>
      <c r="DK224" s="21">
        <v>0</v>
      </c>
      <c r="DL224" s="21">
        <v>0</v>
      </c>
      <c r="DM224" s="21">
        <v>0</v>
      </c>
      <c r="DN224" s="21">
        <v>0</v>
      </c>
      <c r="DO224" s="21">
        <v>0</v>
      </c>
      <c r="DP224" s="21">
        <v>0</v>
      </c>
      <c r="DQ224" s="21">
        <v>0</v>
      </c>
      <c r="DR224" s="21">
        <v>0</v>
      </c>
      <c r="DS224" s="21">
        <v>0</v>
      </c>
      <c r="DT224" s="21">
        <v>0</v>
      </c>
      <c r="DU224" s="21">
        <v>0</v>
      </c>
      <c r="DV224" s="21">
        <v>0</v>
      </c>
      <c r="DW224" s="21">
        <v>0</v>
      </c>
      <c r="DX224" s="21">
        <v>0</v>
      </c>
      <c r="DY224" s="21">
        <v>0</v>
      </c>
      <c r="DZ224" s="21">
        <v>0</v>
      </c>
      <c r="EA224" s="21">
        <v>0</v>
      </c>
      <c r="EB224" s="21">
        <v>0</v>
      </c>
      <c r="EC224" s="21">
        <v>0</v>
      </c>
      <c r="ED224" s="21">
        <v>0</v>
      </c>
      <c r="EE224" s="21">
        <v>0</v>
      </c>
      <c r="EF224" s="21">
        <v>0</v>
      </c>
    </row>
    <row r="225" spans="1:136" ht="14.5" x14ac:dyDescent="0.35">
      <c r="A225" s="20" t="s">
        <v>12</v>
      </c>
      <c r="B225" s="20" t="s">
        <v>159</v>
      </c>
      <c r="C225" s="20" t="s">
        <v>159</v>
      </c>
      <c r="D225" s="20" t="s">
        <v>339</v>
      </c>
      <c r="E225" s="20" t="s">
        <v>14</v>
      </c>
      <c r="F225" s="20" t="s">
        <v>90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0</v>
      </c>
      <c r="AT225" s="21">
        <v>0</v>
      </c>
      <c r="AU225" s="21">
        <v>0</v>
      </c>
      <c r="AV225" s="21">
        <v>0</v>
      </c>
      <c r="AW225" s="21">
        <v>0</v>
      </c>
      <c r="AX225" s="21">
        <v>0</v>
      </c>
      <c r="AY225" s="21">
        <v>0</v>
      </c>
      <c r="AZ225" s="21">
        <v>0</v>
      </c>
      <c r="BA225" s="21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1">
        <v>0</v>
      </c>
      <c r="BH225" s="21">
        <v>0</v>
      </c>
      <c r="BI225" s="21">
        <v>0</v>
      </c>
      <c r="BJ225" s="21">
        <v>0</v>
      </c>
      <c r="BK225" s="21">
        <v>0</v>
      </c>
      <c r="BL225" s="21">
        <v>0</v>
      </c>
      <c r="BM225" s="21">
        <v>0</v>
      </c>
      <c r="BN225" s="21">
        <v>0</v>
      </c>
      <c r="BO225" s="21">
        <v>0</v>
      </c>
      <c r="BP225" s="21">
        <v>0</v>
      </c>
      <c r="BQ225" s="21">
        <v>0</v>
      </c>
      <c r="BR225" s="21">
        <v>0</v>
      </c>
      <c r="BS225" s="21">
        <v>0</v>
      </c>
      <c r="BT225" s="21">
        <v>0</v>
      </c>
      <c r="BU225" s="21">
        <v>0</v>
      </c>
      <c r="BV225" s="21">
        <v>0</v>
      </c>
      <c r="BW225" s="21">
        <v>0</v>
      </c>
      <c r="BX225" s="21">
        <v>0</v>
      </c>
      <c r="BY225" s="21">
        <v>0</v>
      </c>
      <c r="BZ225" s="21">
        <v>0</v>
      </c>
      <c r="CA225" s="21">
        <v>0</v>
      </c>
      <c r="CB225" s="21">
        <v>0</v>
      </c>
      <c r="CC225" s="21">
        <v>0</v>
      </c>
      <c r="CD225" s="21">
        <v>0</v>
      </c>
      <c r="CE225" s="21">
        <v>0</v>
      </c>
      <c r="CF225" s="21">
        <v>0</v>
      </c>
      <c r="CG225" s="21">
        <v>0</v>
      </c>
      <c r="CH225" s="21">
        <v>0</v>
      </c>
      <c r="CI225" s="21">
        <v>0</v>
      </c>
      <c r="CJ225" s="21">
        <v>0</v>
      </c>
      <c r="CK225" s="21">
        <v>0</v>
      </c>
      <c r="CL225" s="21">
        <v>0</v>
      </c>
      <c r="CM225" s="21">
        <v>0</v>
      </c>
      <c r="CN225" s="21">
        <v>0</v>
      </c>
      <c r="CO225" s="21">
        <v>0</v>
      </c>
      <c r="CP225" s="21">
        <v>0</v>
      </c>
      <c r="CQ225" s="21">
        <v>0</v>
      </c>
      <c r="CR225" s="21">
        <v>0</v>
      </c>
      <c r="CS225" s="21">
        <v>0</v>
      </c>
      <c r="CT225" s="21">
        <v>0</v>
      </c>
      <c r="CU225" s="21">
        <v>0</v>
      </c>
      <c r="CV225" s="21">
        <v>0</v>
      </c>
      <c r="CW225" s="21">
        <v>0</v>
      </c>
      <c r="CX225" s="21">
        <v>0</v>
      </c>
      <c r="CY225" s="21">
        <v>0</v>
      </c>
      <c r="CZ225" s="21">
        <v>0</v>
      </c>
      <c r="DA225" s="21">
        <v>0</v>
      </c>
      <c r="DB225" s="21">
        <v>0</v>
      </c>
      <c r="DC225" s="21">
        <v>0</v>
      </c>
      <c r="DD225" s="21">
        <v>0</v>
      </c>
      <c r="DE225" s="21">
        <v>0</v>
      </c>
      <c r="DF225" s="21">
        <v>0</v>
      </c>
      <c r="DG225" s="21">
        <v>0</v>
      </c>
      <c r="DH225" s="21">
        <v>0</v>
      </c>
      <c r="DI225" s="21">
        <v>0</v>
      </c>
      <c r="DJ225" s="21">
        <v>0</v>
      </c>
      <c r="DK225" s="21">
        <v>0</v>
      </c>
      <c r="DL225" s="21">
        <v>0</v>
      </c>
      <c r="DM225" s="21">
        <v>0</v>
      </c>
      <c r="DN225" s="21">
        <v>0</v>
      </c>
      <c r="DO225" s="21">
        <v>0</v>
      </c>
      <c r="DP225" s="21">
        <v>0</v>
      </c>
      <c r="DQ225" s="21">
        <v>0</v>
      </c>
      <c r="DR225" s="21">
        <v>0</v>
      </c>
      <c r="DS225" s="21">
        <v>0</v>
      </c>
      <c r="DT225" s="21">
        <v>0</v>
      </c>
      <c r="DU225" s="21">
        <v>0</v>
      </c>
      <c r="DV225" s="21">
        <v>0</v>
      </c>
      <c r="DW225" s="21">
        <v>0</v>
      </c>
      <c r="DX225" s="21">
        <v>0</v>
      </c>
      <c r="DY225" s="21">
        <v>0</v>
      </c>
      <c r="DZ225" s="21">
        <v>0</v>
      </c>
      <c r="EA225" s="21">
        <v>0</v>
      </c>
      <c r="EB225" s="21">
        <v>0</v>
      </c>
      <c r="EC225" s="21">
        <v>0</v>
      </c>
      <c r="ED225" s="21">
        <v>0</v>
      </c>
      <c r="EE225" s="21">
        <v>0</v>
      </c>
      <c r="EF225" s="21">
        <v>0</v>
      </c>
    </row>
    <row r="226" spans="1:136" ht="14.5" x14ac:dyDescent="0.35">
      <c r="A226" s="20" t="s">
        <v>12</v>
      </c>
      <c r="B226" s="20" t="s">
        <v>159</v>
      </c>
      <c r="C226" s="20" t="s">
        <v>159</v>
      </c>
      <c r="D226" s="20" t="s">
        <v>333</v>
      </c>
      <c r="E226" s="20" t="s">
        <v>14</v>
      </c>
      <c r="F226" s="20" t="s">
        <v>91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1">
        <v>0</v>
      </c>
      <c r="BD226" s="21">
        <v>0</v>
      </c>
      <c r="BE226" s="21">
        <v>0</v>
      </c>
      <c r="BF226" s="21">
        <v>0</v>
      </c>
      <c r="BG226" s="21">
        <v>0</v>
      </c>
      <c r="BH226" s="21">
        <v>0</v>
      </c>
      <c r="BI226" s="21">
        <v>0</v>
      </c>
      <c r="BJ226" s="21">
        <v>0</v>
      </c>
      <c r="BK226" s="21">
        <v>0</v>
      </c>
      <c r="BL226" s="21">
        <v>0</v>
      </c>
      <c r="BM226" s="21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>
        <v>0</v>
      </c>
      <c r="CI226" s="21">
        <v>0</v>
      </c>
      <c r="CJ226" s="21">
        <v>0</v>
      </c>
      <c r="CK226" s="21">
        <v>0</v>
      </c>
      <c r="CL226" s="21">
        <v>0</v>
      </c>
      <c r="CM226" s="21">
        <v>0</v>
      </c>
      <c r="CN226" s="21">
        <v>0</v>
      </c>
      <c r="CO226" s="21">
        <v>0</v>
      </c>
      <c r="CP226" s="21">
        <v>0</v>
      </c>
      <c r="CQ226" s="21">
        <v>0</v>
      </c>
      <c r="CR226" s="21">
        <v>0</v>
      </c>
      <c r="CS226" s="21">
        <v>0</v>
      </c>
      <c r="CT226" s="21">
        <v>0</v>
      </c>
      <c r="CU226" s="21">
        <v>0</v>
      </c>
      <c r="CV226" s="21">
        <v>0</v>
      </c>
      <c r="CW226" s="21">
        <v>0</v>
      </c>
      <c r="CX226" s="21">
        <v>0</v>
      </c>
      <c r="CY226" s="21">
        <v>0</v>
      </c>
      <c r="CZ226" s="21">
        <v>0</v>
      </c>
      <c r="DA226" s="21">
        <v>0</v>
      </c>
      <c r="DB226" s="21">
        <v>0</v>
      </c>
      <c r="DC226" s="21">
        <v>0</v>
      </c>
      <c r="DD226" s="21">
        <v>0</v>
      </c>
      <c r="DE226" s="21">
        <v>0</v>
      </c>
      <c r="DF226" s="21">
        <v>0</v>
      </c>
      <c r="DG226" s="21">
        <v>0</v>
      </c>
      <c r="DH226" s="21">
        <v>0</v>
      </c>
      <c r="DI226" s="21">
        <v>0</v>
      </c>
      <c r="DJ226" s="21">
        <v>0</v>
      </c>
      <c r="DK226" s="21">
        <v>0</v>
      </c>
      <c r="DL226" s="21">
        <v>0</v>
      </c>
      <c r="DM226" s="21">
        <v>0</v>
      </c>
      <c r="DN226" s="21">
        <v>0</v>
      </c>
      <c r="DO226" s="21">
        <v>0</v>
      </c>
      <c r="DP226" s="21">
        <v>0</v>
      </c>
      <c r="DQ226" s="21">
        <v>0</v>
      </c>
      <c r="DR226" s="21">
        <v>0</v>
      </c>
      <c r="DS226" s="21">
        <v>0</v>
      </c>
      <c r="DT226" s="21">
        <v>0</v>
      </c>
      <c r="DU226" s="21">
        <v>0</v>
      </c>
      <c r="DV226" s="21">
        <v>0</v>
      </c>
      <c r="DW226" s="21">
        <v>0</v>
      </c>
      <c r="DX226" s="21">
        <v>0</v>
      </c>
      <c r="DY226" s="21">
        <v>0</v>
      </c>
      <c r="DZ226" s="21">
        <v>0</v>
      </c>
      <c r="EA226" s="21">
        <v>0</v>
      </c>
      <c r="EB226" s="21">
        <v>0</v>
      </c>
      <c r="EC226" s="21">
        <v>0</v>
      </c>
      <c r="ED226" s="21">
        <v>0</v>
      </c>
      <c r="EE226" s="21">
        <v>0</v>
      </c>
      <c r="EF226" s="21">
        <v>0</v>
      </c>
    </row>
    <row r="227" spans="1:136" ht="14.5" x14ac:dyDescent="0.35">
      <c r="A227" s="20" t="s">
        <v>12</v>
      </c>
      <c r="B227" s="20" t="s">
        <v>159</v>
      </c>
      <c r="C227" s="20" t="s">
        <v>159</v>
      </c>
      <c r="D227" s="20" t="s">
        <v>339</v>
      </c>
      <c r="E227" s="20" t="s">
        <v>14</v>
      </c>
      <c r="F227" s="20" t="s">
        <v>91</v>
      </c>
      <c r="G227" s="21">
        <v>0</v>
      </c>
      <c r="H227" s="21">
        <v>0</v>
      </c>
      <c r="I227" s="21">
        <v>21.5</v>
      </c>
      <c r="J227" s="21">
        <v>-21.5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19.5</v>
      </c>
      <c r="AN227" s="21">
        <v>2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1">
        <v>0</v>
      </c>
      <c r="BD227" s="21">
        <v>0</v>
      </c>
      <c r="BE227" s="21">
        <v>0</v>
      </c>
      <c r="BF227" s="21">
        <v>0</v>
      </c>
      <c r="BG227" s="21">
        <v>0</v>
      </c>
      <c r="BH227" s="21">
        <v>0</v>
      </c>
      <c r="BI227" s="21">
        <v>0</v>
      </c>
      <c r="BJ227" s="21">
        <v>0</v>
      </c>
      <c r="BK227" s="21">
        <v>0</v>
      </c>
      <c r="BL227" s="21">
        <v>0</v>
      </c>
      <c r="BM227" s="21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>
        <v>0</v>
      </c>
      <c r="CI227" s="21">
        <v>0</v>
      </c>
      <c r="CJ227" s="21">
        <v>0</v>
      </c>
      <c r="CK227" s="21">
        <v>0</v>
      </c>
      <c r="CL227" s="21">
        <v>0</v>
      </c>
      <c r="CM227" s="21">
        <v>0</v>
      </c>
      <c r="CN227" s="21">
        <v>0</v>
      </c>
      <c r="CO227" s="21">
        <v>0</v>
      </c>
      <c r="CP227" s="21">
        <v>0</v>
      </c>
      <c r="CQ227" s="21">
        <v>0</v>
      </c>
      <c r="CR227" s="21">
        <v>0</v>
      </c>
      <c r="CS227" s="21">
        <v>0</v>
      </c>
      <c r="CT227" s="21">
        <v>0</v>
      </c>
      <c r="CU227" s="21">
        <v>0</v>
      </c>
      <c r="CV227" s="21">
        <v>0</v>
      </c>
      <c r="CW227" s="21">
        <v>0</v>
      </c>
      <c r="CX227" s="21">
        <v>0</v>
      </c>
      <c r="CY227" s="21">
        <v>0</v>
      </c>
      <c r="CZ227" s="21">
        <v>0</v>
      </c>
      <c r="DA227" s="21">
        <v>0</v>
      </c>
      <c r="DB227" s="21">
        <v>0</v>
      </c>
      <c r="DC227" s="21">
        <v>0</v>
      </c>
      <c r="DD227" s="21">
        <v>0</v>
      </c>
      <c r="DE227" s="21">
        <v>0</v>
      </c>
      <c r="DF227" s="21">
        <v>0</v>
      </c>
      <c r="DG227" s="21">
        <v>0</v>
      </c>
      <c r="DH227" s="21">
        <v>0</v>
      </c>
      <c r="DI227" s="21">
        <v>0</v>
      </c>
      <c r="DJ227" s="21">
        <v>0</v>
      </c>
      <c r="DK227" s="21">
        <v>0</v>
      </c>
      <c r="DL227" s="21">
        <v>0</v>
      </c>
      <c r="DM227" s="21">
        <v>0</v>
      </c>
      <c r="DN227" s="21">
        <v>0</v>
      </c>
      <c r="DO227" s="21">
        <v>0</v>
      </c>
      <c r="DP227" s="21">
        <v>0</v>
      </c>
      <c r="DQ227" s="21">
        <v>0</v>
      </c>
      <c r="DR227" s="21">
        <v>0</v>
      </c>
      <c r="DS227" s="21">
        <v>0</v>
      </c>
      <c r="DT227" s="21">
        <v>0</v>
      </c>
      <c r="DU227" s="21">
        <v>0</v>
      </c>
      <c r="DV227" s="21">
        <v>0</v>
      </c>
      <c r="DW227" s="21">
        <v>0</v>
      </c>
      <c r="DX227" s="21">
        <v>0</v>
      </c>
      <c r="DY227" s="21">
        <v>0</v>
      </c>
      <c r="DZ227" s="21">
        <v>0</v>
      </c>
      <c r="EA227" s="21">
        <v>0</v>
      </c>
      <c r="EB227" s="21">
        <v>0</v>
      </c>
      <c r="EC227" s="21">
        <v>0</v>
      </c>
      <c r="ED227" s="21">
        <v>0</v>
      </c>
      <c r="EE227" s="21">
        <v>0</v>
      </c>
      <c r="EF227" s="21">
        <v>0</v>
      </c>
    </row>
    <row r="228" spans="1:136" ht="14.5" x14ac:dyDescent="0.35">
      <c r="A228" s="20" t="s">
        <v>12</v>
      </c>
      <c r="B228" s="20" t="s">
        <v>84</v>
      </c>
      <c r="C228" s="20" t="s">
        <v>84</v>
      </c>
      <c r="D228" s="20" t="s">
        <v>338</v>
      </c>
      <c r="E228" s="20" t="s">
        <v>16</v>
      </c>
      <c r="F228" s="20" t="s">
        <v>77</v>
      </c>
      <c r="G228" s="21">
        <v>0</v>
      </c>
      <c r="H228" s="21">
        <v>0</v>
      </c>
      <c r="I228" s="21">
        <v>60.9</v>
      </c>
      <c r="J228" s="21">
        <v>-60.9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1.5</v>
      </c>
      <c r="AK228" s="21">
        <v>2</v>
      </c>
      <c r="AL228" s="21">
        <v>1</v>
      </c>
      <c r="AM228" s="21">
        <v>0</v>
      </c>
      <c r="AN228" s="21">
        <v>1</v>
      </c>
      <c r="AO228" s="21">
        <v>1</v>
      </c>
      <c r="AP228" s="21">
        <v>0.5</v>
      </c>
      <c r="AQ228" s="21">
        <v>0</v>
      </c>
      <c r="AR228" s="21">
        <v>2</v>
      </c>
      <c r="AS228" s="21">
        <v>1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1">
        <v>0</v>
      </c>
      <c r="BH228" s="21">
        <v>0</v>
      </c>
      <c r="BI228" s="21">
        <v>0</v>
      </c>
      <c r="BJ228" s="21">
        <v>0</v>
      </c>
      <c r="BK228" s="21">
        <v>0</v>
      </c>
      <c r="BL228" s="21">
        <v>0</v>
      </c>
      <c r="BM228" s="21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>
        <v>0</v>
      </c>
      <c r="CI228" s="21">
        <v>0</v>
      </c>
      <c r="CJ228" s="21">
        <v>0</v>
      </c>
      <c r="CK228" s="21">
        <v>0</v>
      </c>
      <c r="CL228" s="21">
        <v>0</v>
      </c>
      <c r="CM228" s="21">
        <v>0</v>
      </c>
      <c r="CN228" s="21">
        <v>0</v>
      </c>
      <c r="CO228" s="21">
        <v>0</v>
      </c>
      <c r="CP228" s="21">
        <v>0</v>
      </c>
      <c r="CQ228" s="21">
        <v>0</v>
      </c>
      <c r="CR228" s="21">
        <v>0</v>
      </c>
      <c r="CS228" s="21">
        <v>1.4035089999999999</v>
      </c>
      <c r="CT228" s="21">
        <v>1.4035089999999999</v>
      </c>
      <c r="CU228" s="21">
        <v>1.4035089999999999</v>
      </c>
      <c r="CV228" s="21">
        <v>1.4035089999999999</v>
      </c>
      <c r="CW228" s="21">
        <v>1.4035089999999999</v>
      </c>
      <c r="CX228" s="21">
        <v>1.4035089999999999</v>
      </c>
      <c r="CY228" s="21">
        <v>1.4035089999999999</v>
      </c>
      <c r="CZ228" s="21">
        <v>1.4035089999999999</v>
      </c>
      <c r="DA228" s="21">
        <v>1.4035089999999999</v>
      </c>
      <c r="DB228" s="21">
        <v>1.4035089999999999</v>
      </c>
      <c r="DC228" s="21">
        <v>1.4035089999999999</v>
      </c>
      <c r="DD228" s="21">
        <v>1.4035089999999999</v>
      </c>
      <c r="DE228" s="21">
        <v>1.4035089999999999</v>
      </c>
      <c r="DF228" s="21">
        <v>1.4035089999999999</v>
      </c>
      <c r="DG228" s="21">
        <v>1.4035089999999999</v>
      </c>
      <c r="DH228" s="21">
        <v>1.4035089999999999</v>
      </c>
      <c r="DI228" s="21">
        <v>1.4035089999999999</v>
      </c>
      <c r="DJ228" s="21">
        <v>1.4035089999999999</v>
      </c>
      <c r="DK228" s="21">
        <v>1.4035089999999999</v>
      </c>
      <c r="DL228" s="21">
        <v>1.4035089999999999</v>
      </c>
      <c r="DM228" s="21">
        <v>1.4035089999999999</v>
      </c>
      <c r="DN228" s="21">
        <v>1.4035089999999999</v>
      </c>
      <c r="DO228" s="21">
        <v>1.4035089999999999</v>
      </c>
      <c r="DP228" s="21">
        <v>1.4035089999999999</v>
      </c>
      <c r="DQ228" s="21">
        <v>1.4035089999999999</v>
      </c>
      <c r="DR228" s="21">
        <v>1.4035089999999999</v>
      </c>
      <c r="DS228" s="21">
        <v>1.4035089999999999</v>
      </c>
      <c r="DT228" s="21">
        <v>1.4035089999999999</v>
      </c>
      <c r="DU228" s="21">
        <v>1.4035089999999999</v>
      </c>
      <c r="DV228" s="21">
        <v>1.4035089999999999</v>
      </c>
      <c r="DW228" s="21">
        <v>1.4035089999999999</v>
      </c>
      <c r="DX228" s="21">
        <v>1.4035089999999999</v>
      </c>
      <c r="DY228" s="21">
        <v>1.4035089999999999</v>
      </c>
      <c r="DZ228" s="21">
        <v>1.4035089999999999</v>
      </c>
      <c r="EA228" s="21">
        <v>1.4035089999999999</v>
      </c>
      <c r="EB228" s="21">
        <v>1.4035089999999999</v>
      </c>
      <c r="EC228" s="21">
        <v>1.4035089999999999</v>
      </c>
      <c r="ED228" s="21">
        <v>0</v>
      </c>
      <c r="EE228" s="21">
        <v>0</v>
      </c>
      <c r="EF228" s="21">
        <v>0</v>
      </c>
    </row>
    <row r="229" spans="1:136" ht="14.5" x14ac:dyDescent="0.35">
      <c r="A229" s="20" t="s">
        <v>12</v>
      </c>
      <c r="B229" s="20" t="s">
        <v>84</v>
      </c>
      <c r="C229" s="20" t="s">
        <v>84</v>
      </c>
      <c r="D229" s="20" t="s">
        <v>337</v>
      </c>
      <c r="E229" s="20" t="s">
        <v>16</v>
      </c>
      <c r="F229" s="20" t="s">
        <v>77</v>
      </c>
      <c r="G229" s="21">
        <v>19.399999999999999</v>
      </c>
      <c r="H229" s="21">
        <v>71.400000000000006</v>
      </c>
      <c r="I229" s="21">
        <v>6</v>
      </c>
      <c r="J229" s="21">
        <v>65.400000000000006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1</v>
      </c>
      <c r="AC229" s="21">
        <v>1.5</v>
      </c>
      <c r="AD229" s="21">
        <v>1</v>
      </c>
      <c r="AE229" s="21">
        <v>0</v>
      </c>
      <c r="AF229" s="21">
        <v>0.5</v>
      </c>
      <c r="AG229" s="21">
        <v>0</v>
      </c>
      <c r="AH229" s="21">
        <v>1</v>
      </c>
      <c r="AI229" s="21">
        <v>1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1">
        <v>0</v>
      </c>
      <c r="BL229" s="21">
        <v>0</v>
      </c>
      <c r="BM229" s="21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21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21">
        <v>0</v>
      </c>
      <c r="CI229" s="21">
        <v>0</v>
      </c>
      <c r="CJ229" s="21">
        <v>0</v>
      </c>
      <c r="CK229" s="21">
        <v>0</v>
      </c>
      <c r="CL229" s="21">
        <v>0</v>
      </c>
      <c r="CM229" s="21">
        <v>0</v>
      </c>
      <c r="CN229" s="21">
        <v>0</v>
      </c>
      <c r="CO229" s="21">
        <v>0</v>
      </c>
      <c r="CP229" s="21">
        <v>0</v>
      </c>
      <c r="CQ229" s="21">
        <v>0</v>
      </c>
      <c r="CR229" s="21">
        <v>0</v>
      </c>
      <c r="CS229" s="21">
        <v>0</v>
      </c>
      <c r="CT229" s="21">
        <v>0</v>
      </c>
      <c r="CU229" s="21">
        <v>0</v>
      </c>
      <c r="CV229" s="21">
        <v>0</v>
      </c>
      <c r="CW229" s="21">
        <v>0</v>
      </c>
      <c r="CX229" s="21">
        <v>0</v>
      </c>
      <c r="CY229" s="21">
        <v>0</v>
      </c>
      <c r="CZ229" s="21">
        <v>0</v>
      </c>
      <c r="DA229" s="21">
        <v>0</v>
      </c>
      <c r="DB229" s="21">
        <v>0</v>
      </c>
      <c r="DC229" s="21">
        <v>0</v>
      </c>
      <c r="DD229" s="21">
        <v>0</v>
      </c>
      <c r="DE229" s="21">
        <v>0</v>
      </c>
      <c r="DF229" s="21">
        <v>0</v>
      </c>
      <c r="DG229" s="21">
        <v>0</v>
      </c>
      <c r="DH229" s="21">
        <v>0</v>
      </c>
      <c r="DI229" s="21">
        <v>0</v>
      </c>
      <c r="DJ229" s="21">
        <v>0</v>
      </c>
      <c r="DK229" s="21">
        <v>0</v>
      </c>
      <c r="DL229" s="21">
        <v>0</v>
      </c>
      <c r="DM229" s="21">
        <v>0</v>
      </c>
      <c r="DN229" s="21">
        <v>0</v>
      </c>
      <c r="DO229" s="21">
        <v>0</v>
      </c>
      <c r="DP229" s="21">
        <v>0</v>
      </c>
      <c r="DQ229" s="21">
        <v>0</v>
      </c>
      <c r="DR229" s="21">
        <v>0</v>
      </c>
      <c r="DS229" s="21">
        <v>0</v>
      </c>
      <c r="DT229" s="21">
        <v>0</v>
      </c>
      <c r="DU229" s="21">
        <v>0</v>
      </c>
      <c r="DV229" s="21">
        <v>0</v>
      </c>
      <c r="DW229" s="21">
        <v>0</v>
      </c>
      <c r="DX229" s="21">
        <v>0</v>
      </c>
      <c r="DY229" s="21">
        <v>0</v>
      </c>
      <c r="DZ229" s="21">
        <v>0</v>
      </c>
      <c r="EA229" s="21">
        <v>0</v>
      </c>
      <c r="EB229" s="21">
        <v>0</v>
      </c>
      <c r="EC229" s="21">
        <v>0</v>
      </c>
      <c r="ED229" s="21">
        <v>0</v>
      </c>
      <c r="EE229" s="21">
        <v>0</v>
      </c>
      <c r="EF229" s="21">
        <v>0</v>
      </c>
    </row>
    <row r="230" spans="1:136" ht="14.5" x14ac:dyDescent="0.35">
      <c r="A230" s="20" t="s">
        <v>12</v>
      </c>
      <c r="B230" s="20" t="s">
        <v>84</v>
      </c>
      <c r="C230" s="20" t="s">
        <v>84</v>
      </c>
      <c r="D230" s="20" t="s">
        <v>337</v>
      </c>
      <c r="E230" s="20" t="s">
        <v>16</v>
      </c>
      <c r="F230" s="20" t="s">
        <v>77</v>
      </c>
      <c r="G230" s="21">
        <v>0</v>
      </c>
      <c r="H230" s="21">
        <v>0</v>
      </c>
      <c r="I230" s="21">
        <v>7.5</v>
      </c>
      <c r="J230" s="21">
        <v>-7.5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2</v>
      </c>
      <c r="X230" s="21">
        <v>2</v>
      </c>
      <c r="Y230" s="21">
        <v>3</v>
      </c>
      <c r="Z230" s="21">
        <v>0.5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1">
        <v>0</v>
      </c>
      <c r="BD230" s="21">
        <v>0</v>
      </c>
      <c r="BE230" s="21">
        <v>0</v>
      </c>
      <c r="BF230" s="21">
        <v>0</v>
      </c>
      <c r="BG230" s="21">
        <v>0</v>
      </c>
      <c r="BH230" s="21">
        <v>0</v>
      </c>
      <c r="BI230" s="21">
        <v>0</v>
      </c>
      <c r="BJ230" s="21">
        <v>0</v>
      </c>
      <c r="BK230" s="21">
        <v>0</v>
      </c>
      <c r="BL230" s="21">
        <v>0</v>
      </c>
      <c r="BM230" s="21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21">
        <v>0</v>
      </c>
      <c r="CI230" s="21">
        <v>0</v>
      </c>
      <c r="CJ230" s="21">
        <v>0</v>
      </c>
      <c r="CK230" s="21">
        <v>0</v>
      </c>
      <c r="CL230" s="21">
        <v>0</v>
      </c>
      <c r="CM230" s="21">
        <v>0</v>
      </c>
      <c r="CN230" s="21">
        <v>0</v>
      </c>
      <c r="CO230" s="21">
        <v>0</v>
      </c>
      <c r="CP230" s="21">
        <v>0</v>
      </c>
      <c r="CQ230" s="21">
        <v>0</v>
      </c>
      <c r="CR230" s="21">
        <v>0</v>
      </c>
      <c r="CS230" s="21">
        <v>0</v>
      </c>
      <c r="CT230" s="21">
        <v>0</v>
      </c>
      <c r="CU230" s="21">
        <v>0</v>
      </c>
      <c r="CV230" s="21">
        <v>0</v>
      </c>
      <c r="CW230" s="21">
        <v>0</v>
      </c>
      <c r="CX230" s="21">
        <v>0</v>
      </c>
      <c r="CY230" s="21">
        <v>0</v>
      </c>
      <c r="CZ230" s="21">
        <v>0</v>
      </c>
      <c r="DA230" s="21">
        <v>0</v>
      </c>
      <c r="DB230" s="21">
        <v>0</v>
      </c>
      <c r="DC230" s="21">
        <v>0</v>
      </c>
      <c r="DD230" s="21">
        <v>0</v>
      </c>
      <c r="DE230" s="21">
        <v>0</v>
      </c>
      <c r="DF230" s="21">
        <v>0</v>
      </c>
      <c r="DG230" s="21">
        <v>0</v>
      </c>
      <c r="DH230" s="21">
        <v>0</v>
      </c>
      <c r="DI230" s="21">
        <v>0</v>
      </c>
      <c r="DJ230" s="21">
        <v>0</v>
      </c>
      <c r="DK230" s="21">
        <v>0</v>
      </c>
      <c r="DL230" s="21">
        <v>0</v>
      </c>
      <c r="DM230" s="21">
        <v>0</v>
      </c>
      <c r="DN230" s="21">
        <v>0</v>
      </c>
      <c r="DO230" s="21">
        <v>0</v>
      </c>
      <c r="DP230" s="21">
        <v>0</v>
      </c>
      <c r="DQ230" s="21">
        <v>0</v>
      </c>
      <c r="DR230" s="21">
        <v>0</v>
      </c>
      <c r="DS230" s="21">
        <v>0</v>
      </c>
      <c r="DT230" s="21">
        <v>0</v>
      </c>
      <c r="DU230" s="21">
        <v>0</v>
      </c>
      <c r="DV230" s="21">
        <v>0</v>
      </c>
      <c r="DW230" s="21">
        <v>0</v>
      </c>
      <c r="DX230" s="21">
        <v>0</v>
      </c>
      <c r="DY230" s="21">
        <v>0</v>
      </c>
      <c r="DZ230" s="21">
        <v>0</v>
      </c>
      <c r="EA230" s="21">
        <v>0</v>
      </c>
      <c r="EB230" s="21">
        <v>0</v>
      </c>
      <c r="EC230" s="21">
        <v>0</v>
      </c>
      <c r="ED230" s="21">
        <v>0</v>
      </c>
      <c r="EE230" s="21">
        <v>0</v>
      </c>
      <c r="EF230" s="21">
        <v>0</v>
      </c>
    </row>
    <row r="231" spans="1:136" ht="14.5" x14ac:dyDescent="0.35">
      <c r="A231" s="20" t="s">
        <v>12</v>
      </c>
      <c r="B231" s="20" t="s">
        <v>84</v>
      </c>
      <c r="C231" s="20" t="s">
        <v>84</v>
      </c>
      <c r="D231" s="20" t="s">
        <v>338</v>
      </c>
      <c r="E231" s="20" t="s">
        <v>16</v>
      </c>
      <c r="F231" s="20" t="s">
        <v>86</v>
      </c>
      <c r="G231" s="21">
        <v>0</v>
      </c>
      <c r="H231" s="21">
        <v>0</v>
      </c>
      <c r="I231" s="21">
        <v>5</v>
      </c>
      <c r="J231" s="21">
        <v>-5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1">
        <v>0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>
        <v>0</v>
      </c>
      <c r="CI231" s="21">
        <v>0</v>
      </c>
      <c r="CJ231" s="21">
        <v>0</v>
      </c>
      <c r="CK231" s="21">
        <v>0</v>
      </c>
      <c r="CL231" s="21">
        <v>0</v>
      </c>
      <c r="CM231" s="21">
        <v>0</v>
      </c>
      <c r="CN231" s="21">
        <v>0</v>
      </c>
      <c r="CO231" s="21">
        <v>0</v>
      </c>
      <c r="CP231" s="21">
        <v>0</v>
      </c>
      <c r="CQ231" s="21">
        <v>0</v>
      </c>
      <c r="CR231" s="21">
        <v>0</v>
      </c>
      <c r="CS231" s="21">
        <v>0</v>
      </c>
      <c r="CT231" s="21">
        <v>0</v>
      </c>
      <c r="CU231" s="21">
        <v>0</v>
      </c>
      <c r="CV231" s="21">
        <v>0</v>
      </c>
      <c r="CW231" s="21">
        <v>0</v>
      </c>
      <c r="CX231" s="21">
        <v>0</v>
      </c>
      <c r="CY231" s="21">
        <v>0</v>
      </c>
      <c r="CZ231" s="21">
        <v>0</v>
      </c>
      <c r="DA231" s="21">
        <v>0</v>
      </c>
      <c r="DB231" s="21">
        <v>0</v>
      </c>
      <c r="DC231" s="21">
        <v>0</v>
      </c>
      <c r="DD231" s="21">
        <v>0</v>
      </c>
      <c r="DE231" s="21">
        <v>0</v>
      </c>
      <c r="DF231" s="21">
        <v>0</v>
      </c>
      <c r="DG231" s="21">
        <v>0</v>
      </c>
      <c r="DH231" s="21">
        <v>0</v>
      </c>
      <c r="DI231" s="21">
        <v>0</v>
      </c>
      <c r="DJ231" s="21">
        <v>0</v>
      </c>
      <c r="DK231" s="21">
        <v>0</v>
      </c>
      <c r="DL231" s="21">
        <v>0</v>
      </c>
      <c r="DM231" s="21">
        <v>0</v>
      </c>
      <c r="DN231" s="21">
        <v>0</v>
      </c>
      <c r="DO231" s="21">
        <v>0</v>
      </c>
      <c r="DP231" s="21">
        <v>0</v>
      </c>
      <c r="DQ231" s="21">
        <v>0</v>
      </c>
      <c r="DR231" s="21">
        <v>0</v>
      </c>
      <c r="DS231" s="21">
        <v>0</v>
      </c>
      <c r="DT231" s="21">
        <v>0</v>
      </c>
      <c r="DU231" s="21">
        <v>5</v>
      </c>
      <c r="DV231" s="21">
        <v>0</v>
      </c>
      <c r="DW231" s="21">
        <v>0</v>
      </c>
      <c r="DX231" s="21">
        <v>0</v>
      </c>
      <c r="DY231" s="21">
        <v>0</v>
      </c>
      <c r="DZ231" s="21">
        <v>0</v>
      </c>
      <c r="EA231" s="21">
        <v>0</v>
      </c>
      <c r="EB231" s="21">
        <v>0</v>
      </c>
      <c r="EC231" s="21">
        <v>0</v>
      </c>
      <c r="ED231" s="21">
        <v>0</v>
      </c>
      <c r="EE231" s="21">
        <v>0</v>
      </c>
      <c r="EF231" s="21">
        <v>0</v>
      </c>
    </row>
    <row r="232" spans="1:136" ht="14.5" x14ac:dyDescent="0.35">
      <c r="A232" s="20" t="s">
        <v>12</v>
      </c>
      <c r="B232" s="20" t="s">
        <v>84</v>
      </c>
      <c r="C232" s="20" t="s">
        <v>84</v>
      </c>
      <c r="D232" s="20" t="s">
        <v>337</v>
      </c>
      <c r="E232" s="20" t="s">
        <v>16</v>
      </c>
      <c r="F232" s="20" t="s">
        <v>86</v>
      </c>
      <c r="G232" s="21">
        <v>0</v>
      </c>
      <c r="H232" s="21">
        <v>5</v>
      </c>
      <c r="I232" s="21">
        <v>0</v>
      </c>
      <c r="J232" s="21">
        <v>5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1">
        <v>0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1">
        <v>0</v>
      </c>
      <c r="BD232" s="21">
        <v>0</v>
      </c>
      <c r="BE232" s="21">
        <v>0</v>
      </c>
      <c r="BF232" s="21">
        <v>0</v>
      </c>
      <c r="BG232" s="21">
        <v>0</v>
      </c>
      <c r="BH232" s="21">
        <v>0</v>
      </c>
      <c r="BI232" s="21">
        <v>0</v>
      </c>
      <c r="BJ232" s="21">
        <v>0</v>
      </c>
      <c r="BK232" s="21">
        <v>0</v>
      </c>
      <c r="BL232" s="21">
        <v>0</v>
      </c>
      <c r="BM232" s="21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21">
        <v>0</v>
      </c>
      <c r="CI232" s="21">
        <v>0</v>
      </c>
      <c r="CJ232" s="21">
        <v>0</v>
      </c>
      <c r="CK232" s="21">
        <v>0</v>
      </c>
      <c r="CL232" s="21">
        <v>0</v>
      </c>
      <c r="CM232" s="21">
        <v>0</v>
      </c>
      <c r="CN232" s="21">
        <v>0</v>
      </c>
      <c r="CO232" s="21">
        <v>0</v>
      </c>
      <c r="CP232" s="21">
        <v>0</v>
      </c>
      <c r="CQ232" s="21">
        <v>0</v>
      </c>
      <c r="CR232" s="21">
        <v>0</v>
      </c>
      <c r="CS232" s="21">
        <v>0</v>
      </c>
      <c r="CT232" s="21">
        <v>0</v>
      </c>
      <c r="CU232" s="21">
        <v>0</v>
      </c>
      <c r="CV232" s="21">
        <v>0</v>
      </c>
      <c r="CW232" s="21">
        <v>0</v>
      </c>
      <c r="CX232" s="21">
        <v>0</v>
      </c>
      <c r="CY232" s="21">
        <v>0</v>
      </c>
      <c r="CZ232" s="21">
        <v>0</v>
      </c>
      <c r="DA232" s="21">
        <v>0</v>
      </c>
      <c r="DB232" s="21">
        <v>0</v>
      </c>
      <c r="DC232" s="21">
        <v>0</v>
      </c>
      <c r="DD232" s="21">
        <v>0</v>
      </c>
      <c r="DE232" s="21">
        <v>0</v>
      </c>
      <c r="DF232" s="21">
        <v>0</v>
      </c>
      <c r="DG232" s="21">
        <v>0</v>
      </c>
      <c r="DH232" s="21">
        <v>0</v>
      </c>
      <c r="DI232" s="21">
        <v>0</v>
      </c>
      <c r="DJ232" s="21">
        <v>0</v>
      </c>
      <c r="DK232" s="21">
        <v>0</v>
      </c>
      <c r="DL232" s="21">
        <v>0</v>
      </c>
      <c r="DM232" s="21">
        <v>0</v>
      </c>
      <c r="DN232" s="21">
        <v>0</v>
      </c>
      <c r="DO232" s="21">
        <v>0</v>
      </c>
      <c r="DP232" s="21">
        <v>0</v>
      </c>
      <c r="DQ232" s="21">
        <v>0</v>
      </c>
      <c r="DR232" s="21">
        <v>0</v>
      </c>
      <c r="DS232" s="21">
        <v>0</v>
      </c>
      <c r="DT232" s="21">
        <v>0</v>
      </c>
      <c r="DU232" s="21">
        <v>0</v>
      </c>
      <c r="DV232" s="21">
        <v>0</v>
      </c>
      <c r="DW232" s="21">
        <v>0</v>
      </c>
      <c r="DX232" s="21">
        <v>0</v>
      </c>
      <c r="DY232" s="21">
        <v>0</v>
      </c>
      <c r="DZ232" s="21">
        <v>0</v>
      </c>
      <c r="EA232" s="21">
        <v>0</v>
      </c>
      <c r="EB232" s="21">
        <v>0</v>
      </c>
      <c r="EC232" s="21">
        <v>0</v>
      </c>
      <c r="ED232" s="21">
        <v>0</v>
      </c>
      <c r="EE232" s="21">
        <v>0</v>
      </c>
      <c r="EF232" s="21">
        <v>0</v>
      </c>
    </row>
    <row r="233" spans="1:136" ht="14.5" x14ac:dyDescent="0.35">
      <c r="A233" s="20" t="s">
        <v>12</v>
      </c>
      <c r="B233" s="20" t="s">
        <v>84</v>
      </c>
      <c r="C233" s="20" t="s">
        <v>84</v>
      </c>
      <c r="D233" s="20" t="s">
        <v>338</v>
      </c>
      <c r="E233" s="20" t="s">
        <v>16</v>
      </c>
      <c r="F233" s="20" t="s">
        <v>78</v>
      </c>
      <c r="G233" s="21">
        <v>0</v>
      </c>
      <c r="H233" s="21">
        <v>0</v>
      </c>
      <c r="I233" s="21">
        <v>19.5</v>
      </c>
      <c r="J233" s="21">
        <v>-19.5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21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1">
        <v>0</v>
      </c>
      <c r="BD233" s="21">
        <v>0</v>
      </c>
      <c r="BE233" s="21">
        <v>0</v>
      </c>
      <c r="BF233" s="21">
        <v>0</v>
      </c>
      <c r="BG233" s="21">
        <v>0</v>
      </c>
      <c r="BH233" s="21">
        <v>0</v>
      </c>
      <c r="BI233" s="21">
        <v>0</v>
      </c>
      <c r="BJ233" s="21">
        <v>0</v>
      </c>
      <c r="BK233" s="21">
        <v>0</v>
      </c>
      <c r="BL233" s="21">
        <v>0</v>
      </c>
      <c r="BM233" s="21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21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21">
        <v>0</v>
      </c>
      <c r="CI233" s="21">
        <v>0</v>
      </c>
      <c r="CJ233" s="21">
        <v>0</v>
      </c>
      <c r="CK233" s="21">
        <v>0</v>
      </c>
      <c r="CL233" s="21">
        <v>0</v>
      </c>
      <c r="CM233" s="21">
        <v>0</v>
      </c>
      <c r="CN233" s="21">
        <v>0</v>
      </c>
      <c r="CO233" s="21">
        <v>0</v>
      </c>
      <c r="CP233" s="21">
        <v>0</v>
      </c>
      <c r="CQ233" s="21">
        <v>0</v>
      </c>
      <c r="CR233" s="21">
        <v>0</v>
      </c>
      <c r="CS233" s="21">
        <v>0.52631600000000001</v>
      </c>
      <c r="CT233" s="21">
        <v>0.52631600000000001</v>
      </c>
      <c r="CU233" s="21">
        <v>0.52631600000000001</v>
      </c>
      <c r="CV233" s="21">
        <v>0.52631600000000001</v>
      </c>
      <c r="CW233" s="21">
        <v>0.52631600000000001</v>
      </c>
      <c r="CX233" s="21">
        <v>0.52631600000000001</v>
      </c>
      <c r="CY233" s="21">
        <v>0.52631600000000001</v>
      </c>
      <c r="CZ233" s="21">
        <v>0.52631600000000001</v>
      </c>
      <c r="DA233" s="21">
        <v>0.52631600000000001</v>
      </c>
      <c r="DB233" s="21">
        <v>0.52631600000000001</v>
      </c>
      <c r="DC233" s="21">
        <v>0.52631600000000001</v>
      </c>
      <c r="DD233" s="21">
        <v>0.52631600000000001</v>
      </c>
      <c r="DE233" s="21">
        <v>0.52631600000000001</v>
      </c>
      <c r="DF233" s="21">
        <v>0.52631600000000001</v>
      </c>
      <c r="DG233" s="21">
        <v>0.52631600000000001</v>
      </c>
      <c r="DH233" s="21">
        <v>0.52631600000000001</v>
      </c>
      <c r="DI233" s="21">
        <v>0.52631600000000001</v>
      </c>
      <c r="DJ233" s="21">
        <v>0.52631600000000001</v>
      </c>
      <c r="DK233" s="21">
        <v>1</v>
      </c>
      <c r="DL233" s="21">
        <v>1</v>
      </c>
      <c r="DM233" s="21">
        <v>1</v>
      </c>
      <c r="DN233" s="21">
        <v>1</v>
      </c>
      <c r="DO233" s="21">
        <v>1.5</v>
      </c>
      <c r="DP233" s="21">
        <v>1.5</v>
      </c>
      <c r="DQ233" s="21">
        <v>1.5</v>
      </c>
      <c r="DR233" s="21">
        <v>1.5</v>
      </c>
      <c r="DS233" s="21">
        <v>0</v>
      </c>
      <c r="DT233" s="21">
        <v>0</v>
      </c>
      <c r="DU233" s="21">
        <v>0</v>
      </c>
      <c r="DV233" s="21">
        <v>0</v>
      </c>
      <c r="DW233" s="21">
        <v>0</v>
      </c>
      <c r="DX233" s="21">
        <v>0</v>
      </c>
      <c r="DY233" s="21">
        <v>0</v>
      </c>
      <c r="DZ233" s="21">
        <v>0</v>
      </c>
      <c r="EA233" s="21">
        <v>0</v>
      </c>
      <c r="EB233" s="21">
        <v>0</v>
      </c>
      <c r="EC233" s="21">
        <v>0</v>
      </c>
      <c r="ED233" s="21">
        <v>0</v>
      </c>
      <c r="EE233" s="21">
        <v>0</v>
      </c>
      <c r="EF233" s="21">
        <v>0</v>
      </c>
    </row>
    <row r="234" spans="1:136" ht="14.5" x14ac:dyDescent="0.35">
      <c r="A234" s="20" t="s">
        <v>12</v>
      </c>
      <c r="B234" s="20" t="s">
        <v>84</v>
      </c>
      <c r="C234" s="20" t="s">
        <v>84</v>
      </c>
      <c r="D234" s="20" t="s">
        <v>337</v>
      </c>
      <c r="E234" s="20" t="s">
        <v>16</v>
      </c>
      <c r="F234" s="20" t="s">
        <v>78</v>
      </c>
      <c r="G234" s="21">
        <v>5.5</v>
      </c>
      <c r="H234" s="21">
        <v>25.3</v>
      </c>
      <c r="I234" s="21">
        <v>0</v>
      </c>
      <c r="J234" s="21">
        <v>25.3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1">
        <v>0</v>
      </c>
      <c r="BL234" s="21">
        <v>0</v>
      </c>
      <c r="BM234" s="21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21">
        <v>0</v>
      </c>
      <c r="CI234" s="21">
        <v>0</v>
      </c>
      <c r="CJ234" s="21">
        <v>0</v>
      </c>
      <c r="CK234" s="21">
        <v>0</v>
      </c>
      <c r="CL234" s="21">
        <v>0</v>
      </c>
      <c r="CM234" s="21">
        <v>0</v>
      </c>
      <c r="CN234" s="21">
        <v>0</v>
      </c>
      <c r="CO234" s="21">
        <v>0</v>
      </c>
      <c r="CP234" s="21">
        <v>0</v>
      </c>
      <c r="CQ234" s="21">
        <v>0</v>
      </c>
      <c r="CR234" s="21">
        <v>0</v>
      </c>
      <c r="CS234" s="21">
        <v>0</v>
      </c>
      <c r="CT234" s="21">
        <v>0</v>
      </c>
      <c r="CU234" s="21">
        <v>0</v>
      </c>
      <c r="CV234" s="21">
        <v>0</v>
      </c>
      <c r="CW234" s="21">
        <v>0</v>
      </c>
      <c r="CX234" s="21">
        <v>0</v>
      </c>
      <c r="CY234" s="21">
        <v>0</v>
      </c>
      <c r="CZ234" s="21">
        <v>0</v>
      </c>
      <c r="DA234" s="21">
        <v>0</v>
      </c>
      <c r="DB234" s="21">
        <v>0</v>
      </c>
      <c r="DC234" s="21">
        <v>0</v>
      </c>
      <c r="DD234" s="21">
        <v>0</v>
      </c>
      <c r="DE234" s="21">
        <v>0</v>
      </c>
      <c r="DF234" s="21">
        <v>0</v>
      </c>
      <c r="DG234" s="21">
        <v>0</v>
      </c>
      <c r="DH234" s="21">
        <v>0</v>
      </c>
      <c r="DI234" s="21">
        <v>0</v>
      </c>
      <c r="DJ234" s="21">
        <v>0</v>
      </c>
      <c r="DK234" s="21">
        <v>0</v>
      </c>
      <c r="DL234" s="21">
        <v>0</v>
      </c>
      <c r="DM234" s="21">
        <v>0</v>
      </c>
      <c r="DN234" s="21">
        <v>0</v>
      </c>
      <c r="DO234" s="21">
        <v>0</v>
      </c>
      <c r="DP234" s="21">
        <v>0</v>
      </c>
      <c r="DQ234" s="21">
        <v>0</v>
      </c>
      <c r="DR234" s="21">
        <v>0</v>
      </c>
      <c r="DS234" s="21">
        <v>0</v>
      </c>
      <c r="DT234" s="21">
        <v>0</v>
      </c>
      <c r="DU234" s="21">
        <v>0</v>
      </c>
      <c r="DV234" s="21">
        <v>0</v>
      </c>
      <c r="DW234" s="21">
        <v>0</v>
      </c>
      <c r="DX234" s="21">
        <v>0</v>
      </c>
      <c r="DY234" s="21">
        <v>0</v>
      </c>
      <c r="DZ234" s="21">
        <v>0</v>
      </c>
      <c r="EA234" s="21">
        <v>0</v>
      </c>
      <c r="EB234" s="21">
        <v>0</v>
      </c>
      <c r="EC234" s="21">
        <v>0</v>
      </c>
      <c r="ED234" s="21">
        <v>0</v>
      </c>
      <c r="EE234" s="21">
        <v>0</v>
      </c>
      <c r="EF234" s="21">
        <v>0</v>
      </c>
    </row>
    <row r="235" spans="1:136" ht="14.5" x14ac:dyDescent="0.35">
      <c r="A235" s="20" t="s">
        <v>12</v>
      </c>
      <c r="B235" s="20" t="s">
        <v>84</v>
      </c>
      <c r="C235" s="20" t="s">
        <v>84</v>
      </c>
      <c r="D235" s="20" t="s">
        <v>338</v>
      </c>
      <c r="E235" s="20" t="s">
        <v>16</v>
      </c>
      <c r="F235" s="20" t="s">
        <v>87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1">
        <v>0</v>
      </c>
      <c r="BL235" s="21">
        <v>0</v>
      </c>
      <c r="BM235" s="21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21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21">
        <v>0</v>
      </c>
      <c r="CI235" s="21">
        <v>0</v>
      </c>
      <c r="CJ235" s="21">
        <v>0</v>
      </c>
      <c r="CK235" s="21">
        <v>0</v>
      </c>
      <c r="CL235" s="21">
        <v>0</v>
      </c>
      <c r="CM235" s="21">
        <v>0</v>
      </c>
      <c r="CN235" s="21">
        <v>0</v>
      </c>
      <c r="CO235" s="21">
        <v>0</v>
      </c>
      <c r="CP235" s="21">
        <v>0</v>
      </c>
      <c r="CQ235" s="21">
        <v>0</v>
      </c>
      <c r="CR235" s="21">
        <v>0</v>
      </c>
      <c r="CS235" s="21">
        <v>0</v>
      </c>
      <c r="CT235" s="21">
        <v>0</v>
      </c>
      <c r="CU235" s="21">
        <v>0</v>
      </c>
      <c r="CV235" s="21">
        <v>0</v>
      </c>
      <c r="CW235" s="21">
        <v>0</v>
      </c>
      <c r="CX235" s="21">
        <v>0</v>
      </c>
      <c r="CY235" s="21">
        <v>0</v>
      </c>
      <c r="CZ235" s="21">
        <v>0</v>
      </c>
      <c r="DA235" s="21">
        <v>0</v>
      </c>
      <c r="DB235" s="21">
        <v>0</v>
      </c>
      <c r="DC235" s="21">
        <v>0</v>
      </c>
      <c r="DD235" s="21">
        <v>0</v>
      </c>
      <c r="DE235" s="21">
        <v>0</v>
      </c>
      <c r="DF235" s="21">
        <v>0</v>
      </c>
      <c r="DG235" s="21">
        <v>0</v>
      </c>
      <c r="DH235" s="21">
        <v>0</v>
      </c>
      <c r="DI235" s="21">
        <v>0</v>
      </c>
      <c r="DJ235" s="21">
        <v>0</v>
      </c>
      <c r="DK235" s="21">
        <v>0</v>
      </c>
      <c r="DL235" s="21">
        <v>0</v>
      </c>
      <c r="DM235" s="21">
        <v>0</v>
      </c>
      <c r="DN235" s="21">
        <v>0</v>
      </c>
      <c r="DO235" s="21">
        <v>0</v>
      </c>
      <c r="DP235" s="21">
        <v>0</v>
      </c>
      <c r="DQ235" s="21">
        <v>0</v>
      </c>
      <c r="DR235" s="21">
        <v>0</v>
      </c>
      <c r="DS235" s="21">
        <v>0</v>
      </c>
      <c r="DT235" s="21">
        <v>0</v>
      </c>
      <c r="DU235" s="21">
        <v>0</v>
      </c>
      <c r="DV235" s="21">
        <v>0</v>
      </c>
      <c r="DW235" s="21">
        <v>0</v>
      </c>
      <c r="DX235" s="21">
        <v>0</v>
      </c>
      <c r="DY235" s="21">
        <v>0</v>
      </c>
      <c r="DZ235" s="21">
        <v>0</v>
      </c>
      <c r="EA235" s="21">
        <v>0</v>
      </c>
      <c r="EB235" s="21">
        <v>0</v>
      </c>
      <c r="EC235" s="21">
        <v>0</v>
      </c>
      <c r="ED235" s="21">
        <v>0</v>
      </c>
      <c r="EE235" s="21">
        <v>0</v>
      </c>
      <c r="EF235" s="21">
        <v>0</v>
      </c>
    </row>
    <row r="236" spans="1:136" ht="14.5" x14ac:dyDescent="0.35">
      <c r="A236" s="20" t="s">
        <v>12</v>
      </c>
      <c r="B236" s="20" t="s">
        <v>84</v>
      </c>
      <c r="C236" s="20" t="s">
        <v>84</v>
      </c>
      <c r="D236" s="20" t="s">
        <v>337</v>
      </c>
      <c r="E236" s="20" t="s">
        <v>16</v>
      </c>
      <c r="F236" s="20" t="s">
        <v>87</v>
      </c>
      <c r="G236" s="21">
        <v>11</v>
      </c>
      <c r="H236" s="21">
        <v>11</v>
      </c>
      <c r="I236" s="21">
        <v>11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1">
        <v>0</v>
      </c>
      <c r="AA236" s="21">
        <v>0</v>
      </c>
      <c r="AB236" s="21">
        <v>11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1">
        <v>0</v>
      </c>
      <c r="BD236" s="21">
        <v>0</v>
      </c>
      <c r="BE236" s="21">
        <v>0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1">
        <v>0</v>
      </c>
      <c r="BL236" s="21">
        <v>0</v>
      </c>
      <c r="BM236" s="21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21">
        <v>0</v>
      </c>
      <c r="CI236" s="21">
        <v>0</v>
      </c>
      <c r="CJ236" s="21">
        <v>0</v>
      </c>
      <c r="CK236" s="21">
        <v>0</v>
      </c>
      <c r="CL236" s="21">
        <v>0</v>
      </c>
      <c r="CM236" s="21">
        <v>0</v>
      </c>
      <c r="CN236" s="21">
        <v>0</v>
      </c>
      <c r="CO236" s="21">
        <v>0</v>
      </c>
      <c r="CP236" s="21">
        <v>0</v>
      </c>
      <c r="CQ236" s="21">
        <v>0</v>
      </c>
      <c r="CR236" s="21">
        <v>0</v>
      </c>
      <c r="CS236" s="21">
        <v>0</v>
      </c>
      <c r="CT236" s="21">
        <v>0</v>
      </c>
      <c r="CU236" s="21">
        <v>0</v>
      </c>
      <c r="CV236" s="21">
        <v>0</v>
      </c>
      <c r="CW236" s="21">
        <v>0</v>
      </c>
      <c r="CX236" s="21">
        <v>0</v>
      </c>
      <c r="CY236" s="21">
        <v>0</v>
      </c>
      <c r="CZ236" s="21">
        <v>0</v>
      </c>
      <c r="DA236" s="21">
        <v>0</v>
      </c>
      <c r="DB236" s="21">
        <v>0</v>
      </c>
      <c r="DC236" s="21">
        <v>0</v>
      </c>
      <c r="DD236" s="21">
        <v>0</v>
      </c>
      <c r="DE236" s="21">
        <v>0</v>
      </c>
      <c r="DF236" s="21">
        <v>0</v>
      </c>
      <c r="DG236" s="21">
        <v>0</v>
      </c>
      <c r="DH236" s="21">
        <v>0</v>
      </c>
      <c r="DI236" s="21">
        <v>0</v>
      </c>
      <c r="DJ236" s="21">
        <v>0</v>
      </c>
      <c r="DK236" s="21">
        <v>0</v>
      </c>
      <c r="DL236" s="21">
        <v>0</v>
      </c>
      <c r="DM236" s="21">
        <v>0</v>
      </c>
      <c r="DN236" s="21">
        <v>0</v>
      </c>
      <c r="DO236" s="21">
        <v>0</v>
      </c>
      <c r="DP236" s="21">
        <v>0</v>
      </c>
      <c r="DQ236" s="21">
        <v>0</v>
      </c>
      <c r="DR236" s="21">
        <v>0</v>
      </c>
      <c r="DS236" s="21">
        <v>0</v>
      </c>
      <c r="DT236" s="21">
        <v>0</v>
      </c>
      <c r="DU236" s="21">
        <v>0</v>
      </c>
      <c r="DV236" s="21">
        <v>0</v>
      </c>
      <c r="DW236" s="21">
        <v>0</v>
      </c>
      <c r="DX236" s="21">
        <v>0</v>
      </c>
      <c r="DY236" s="21">
        <v>0</v>
      </c>
      <c r="DZ236" s="21">
        <v>0</v>
      </c>
      <c r="EA236" s="21">
        <v>0</v>
      </c>
      <c r="EB236" s="21">
        <v>0</v>
      </c>
      <c r="EC236" s="21">
        <v>0</v>
      </c>
      <c r="ED236" s="21">
        <v>0</v>
      </c>
      <c r="EE236" s="21">
        <v>0</v>
      </c>
      <c r="EF236" s="21">
        <v>0</v>
      </c>
    </row>
    <row r="237" spans="1:136" ht="14.5" x14ac:dyDescent="0.35">
      <c r="A237" s="20" t="s">
        <v>12</v>
      </c>
      <c r="B237" s="20" t="s">
        <v>84</v>
      </c>
      <c r="C237" s="20" t="s">
        <v>84</v>
      </c>
      <c r="D237" s="20" t="s">
        <v>337</v>
      </c>
      <c r="E237" s="20" t="s">
        <v>16</v>
      </c>
      <c r="F237" s="20" t="s">
        <v>87</v>
      </c>
      <c r="G237" s="21">
        <v>0</v>
      </c>
      <c r="H237" s="21">
        <v>0</v>
      </c>
      <c r="I237" s="21">
        <v>13</v>
      </c>
      <c r="J237" s="21">
        <v>-13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1">
        <v>10</v>
      </c>
      <c r="AA237" s="21">
        <v>3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1">
        <v>0</v>
      </c>
      <c r="BD237" s="21">
        <v>0</v>
      </c>
      <c r="BE237" s="21">
        <v>0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1">
        <v>0</v>
      </c>
      <c r="BL237" s="21">
        <v>0</v>
      </c>
      <c r="BM237" s="21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21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21">
        <v>0</v>
      </c>
      <c r="CB237" s="21">
        <v>0</v>
      </c>
      <c r="CC237" s="21">
        <v>0</v>
      </c>
      <c r="CD237" s="21">
        <v>0</v>
      </c>
      <c r="CE237" s="21">
        <v>0</v>
      </c>
      <c r="CF237" s="21">
        <v>0</v>
      </c>
      <c r="CG237" s="21">
        <v>0</v>
      </c>
      <c r="CH237" s="21">
        <v>0</v>
      </c>
      <c r="CI237" s="21">
        <v>0</v>
      </c>
      <c r="CJ237" s="21">
        <v>0</v>
      </c>
      <c r="CK237" s="21">
        <v>0</v>
      </c>
      <c r="CL237" s="21">
        <v>0</v>
      </c>
      <c r="CM237" s="21">
        <v>0</v>
      </c>
      <c r="CN237" s="21">
        <v>0</v>
      </c>
      <c r="CO237" s="21">
        <v>0</v>
      </c>
      <c r="CP237" s="21">
        <v>0</v>
      </c>
      <c r="CQ237" s="21">
        <v>0</v>
      </c>
      <c r="CR237" s="21">
        <v>0</v>
      </c>
      <c r="CS237" s="21">
        <v>0</v>
      </c>
      <c r="CT237" s="21">
        <v>0</v>
      </c>
      <c r="CU237" s="21">
        <v>0</v>
      </c>
      <c r="CV237" s="21">
        <v>0</v>
      </c>
      <c r="CW237" s="21">
        <v>0</v>
      </c>
      <c r="CX237" s="21">
        <v>0</v>
      </c>
      <c r="CY237" s="21">
        <v>0</v>
      </c>
      <c r="CZ237" s="21">
        <v>0</v>
      </c>
      <c r="DA237" s="21">
        <v>0</v>
      </c>
      <c r="DB237" s="21">
        <v>0</v>
      </c>
      <c r="DC237" s="21">
        <v>0</v>
      </c>
      <c r="DD237" s="21">
        <v>0</v>
      </c>
      <c r="DE237" s="21">
        <v>0</v>
      </c>
      <c r="DF237" s="21">
        <v>0</v>
      </c>
      <c r="DG237" s="21">
        <v>0</v>
      </c>
      <c r="DH237" s="21">
        <v>0</v>
      </c>
      <c r="DI237" s="21">
        <v>0</v>
      </c>
      <c r="DJ237" s="21">
        <v>0</v>
      </c>
      <c r="DK237" s="21">
        <v>0</v>
      </c>
      <c r="DL237" s="21">
        <v>0</v>
      </c>
      <c r="DM237" s="21">
        <v>0</v>
      </c>
      <c r="DN237" s="21">
        <v>0</v>
      </c>
      <c r="DO237" s="21">
        <v>0</v>
      </c>
      <c r="DP237" s="21">
        <v>0</v>
      </c>
      <c r="DQ237" s="21">
        <v>0</v>
      </c>
      <c r="DR237" s="21">
        <v>0</v>
      </c>
      <c r="DS237" s="21">
        <v>0</v>
      </c>
      <c r="DT237" s="21">
        <v>0</v>
      </c>
      <c r="DU237" s="21">
        <v>0</v>
      </c>
      <c r="DV237" s="21">
        <v>0</v>
      </c>
      <c r="DW237" s="21">
        <v>0</v>
      </c>
      <c r="DX237" s="21">
        <v>0</v>
      </c>
      <c r="DY237" s="21">
        <v>0</v>
      </c>
      <c r="DZ237" s="21">
        <v>0</v>
      </c>
      <c r="EA237" s="21">
        <v>0</v>
      </c>
      <c r="EB237" s="21">
        <v>0</v>
      </c>
      <c r="EC237" s="21">
        <v>0</v>
      </c>
      <c r="ED237" s="21">
        <v>0</v>
      </c>
      <c r="EE237" s="21">
        <v>0</v>
      </c>
      <c r="EF237" s="21">
        <v>0</v>
      </c>
    </row>
    <row r="238" spans="1:136" ht="14.5" x14ac:dyDescent="0.35">
      <c r="A238" s="20" t="s">
        <v>12</v>
      </c>
      <c r="B238" s="20" t="s">
        <v>84</v>
      </c>
      <c r="C238" s="20" t="s">
        <v>84</v>
      </c>
      <c r="D238" s="20" t="s">
        <v>338</v>
      </c>
      <c r="E238" s="20" t="s">
        <v>16</v>
      </c>
      <c r="F238" s="20" t="s">
        <v>88</v>
      </c>
      <c r="G238" s="21">
        <v>0</v>
      </c>
      <c r="H238" s="21">
        <v>0</v>
      </c>
      <c r="I238" s="21">
        <v>25</v>
      </c>
      <c r="J238" s="21">
        <v>-25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10</v>
      </c>
      <c r="AN238" s="21">
        <v>5.5</v>
      </c>
      <c r="AO238" s="21">
        <v>9.5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1">
        <v>0</v>
      </c>
      <c r="BL238" s="21">
        <v>0</v>
      </c>
      <c r="BM238" s="21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1">
        <v>0</v>
      </c>
      <c r="CH238" s="21">
        <v>0</v>
      </c>
      <c r="CI238" s="21">
        <v>0</v>
      </c>
      <c r="CJ238" s="21">
        <v>0</v>
      </c>
      <c r="CK238" s="21">
        <v>0</v>
      </c>
      <c r="CL238" s="21">
        <v>0</v>
      </c>
      <c r="CM238" s="21">
        <v>0</v>
      </c>
      <c r="CN238" s="21">
        <v>0</v>
      </c>
      <c r="CO238" s="21">
        <v>0</v>
      </c>
      <c r="CP238" s="21">
        <v>0</v>
      </c>
      <c r="CQ238" s="21">
        <v>0</v>
      </c>
      <c r="CR238" s="21">
        <v>0</v>
      </c>
      <c r="CS238" s="21">
        <v>0</v>
      </c>
      <c r="CT238" s="21">
        <v>0</v>
      </c>
      <c r="CU238" s="21">
        <v>0</v>
      </c>
      <c r="CV238" s="21">
        <v>0</v>
      </c>
      <c r="CW238" s="21">
        <v>0</v>
      </c>
      <c r="CX238" s="21">
        <v>0</v>
      </c>
      <c r="CY238" s="21">
        <v>0</v>
      </c>
      <c r="CZ238" s="21">
        <v>0</v>
      </c>
      <c r="DA238" s="21">
        <v>0</v>
      </c>
      <c r="DB238" s="21">
        <v>0</v>
      </c>
      <c r="DC238" s="21">
        <v>0</v>
      </c>
      <c r="DD238" s="21">
        <v>0</v>
      </c>
      <c r="DE238" s="21">
        <v>0</v>
      </c>
      <c r="DF238" s="21">
        <v>0</v>
      </c>
      <c r="DG238" s="21">
        <v>0</v>
      </c>
      <c r="DH238" s="21">
        <v>0</v>
      </c>
      <c r="DI238" s="21">
        <v>0</v>
      </c>
      <c r="DJ238" s="21">
        <v>0</v>
      </c>
      <c r="DK238" s="21">
        <v>0</v>
      </c>
      <c r="DL238" s="21">
        <v>0</v>
      </c>
      <c r="DM238" s="21">
        <v>0</v>
      </c>
      <c r="DN238" s="21">
        <v>0</v>
      </c>
      <c r="DO238" s="21">
        <v>0</v>
      </c>
      <c r="DP238" s="21">
        <v>0</v>
      </c>
      <c r="DQ238" s="21">
        <v>0</v>
      </c>
      <c r="DR238" s="21">
        <v>0</v>
      </c>
      <c r="DS238" s="21">
        <v>0</v>
      </c>
      <c r="DT238" s="21">
        <v>0</v>
      </c>
      <c r="DU238" s="21">
        <v>0</v>
      </c>
      <c r="DV238" s="21">
        <v>0</v>
      </c>
      <c r="DW238" s="21">
        <v>0</v>
      </c>
      <c r="DX238" s="21">
        <v>0</v>
      </c>
      <c r="DY238" s="21">
        <v>0</v>
      </c>
      <c r="DZ238" s="21">
        <v>0</v>
      </c>
      <c r="EA238" s="21">
        <v>0</v>
      </c>
      <c r="EB238" s="21">
        <v>0</v>
      </c>
      <c r="EC238" s="21">
        <v>0</v>
      </c>
      <c r="ED238" s="21">
        <v>0</v>
      </c>
      <c r="EE238" s="21">
        <v>0</v>
      </c>
      <c r="EF238" s="21">
        <v>0</v>
      </c>
    </row>
    <row r="239" spans="1:136" ht="14.5" x14ac:dyDescent="0.35">
      <c r="A239" s="20" t="s">
        <v>12</v>
      </c>
      <c r="B239" s="20" t="s">
        <v>84</v>
      </c>
      <c r="C239" s="20" t="s">
        <v>84</v>
      </c>
      <c r="D239" s="20" t="s">
        <v>337</v>
      </c>
      <c r="E239" s="20" t="s">
        <v>16</v>
      </c>
      <c r="F239" s="20" t="s">
        <v>88</v>
      </c>
      <c r="G239" s="21">
        <v>10</v>
      </c>
      <c r="H239" s="21">
        <v>10</v>
      </c>
      <c r="I239" s="21">
        <v>0</v>
      </c>
      <c r="J239" s="21">
        <v>10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1">
        <v>0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1">
        <v>0</v>
      </c>
      <c r="BD239" s="21">
        <v>0</v>
      </c>
      <c r="BE239" s="21">
        <v>0</v>
      </c>
      <c r="BF239" s="21">
        <v>0</v>
      </c>
      <c r="BG239" s="21">
        <v>0</v>
      </c>
      <c r="BH239" s="21">
        <v>0</v>
      </c>
      <c r="BI239" s="21">
        <v>0</v>
      </c>
      <c r="BJ239" s="21">
        <v>0</v>
      </c>
      <c r="BK239" s="21">
        <v>0</v>
      </c>
      <c r="BL239" s="21">
        <v>0</v>
      </c>
      <c r="BM239" s="21">
        <v>0</v>
      </c>
      <c r="BN239" s="21">
        <v>0</v>
      </c>
      <c r="BO239" s="21">
        <v>0</v>
      </c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21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21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>
        <v>0</v>
      </c>
      <c r="CI239" s="21">
        <v>0</v>
      </c>
      <c r="CJ239" s="21">
        <v>0</v>
      </c>
      <c r="CK239" s="21">
        <v>0</v>
      </c>
      <c r="CL239" s="21">
        <v>0</v>
      </c>
      <c r="CM239" s="21">
        <v>0</v>
      </c>
      <c r="CN239" s="21">
        <v>0</v>
      </c>
      <c r="CO239" s="21">
        <v>0</v>
      </c>
      <c r="CP239" s="21">
        <v>0</v>
      </c>
      <c r="CQ239" s="21">
        <v>0</v>
      </c>
      <c r="CR239" s="21">
        <v>0</v>
      </c>
      <c r="CS239" s="21">
        <v>0</v>
      </c>
      <c r="CT239" s="21">
        <v>0</v>
      </c>
      <c r="CU239" s="21">
        <v>0</v>
      </c>
      <c r="CV239" s="21">
        <v>0</v>
      </c>
      <c r="CW239" s="21">
        <v>0</v>
      </c>
      <c r="CX239" s="21">
        <v>0</v>
      </c>
      <c r="CY239" s="21">
        <v>0</v>
      </c>
      <c r="CZ239" s="21">
        <v>0</v>
      </c>
      <c r="DA239" s="21">
        <v>0</v>
      </c>
      <c r="DB239" s="21">
        <v>0</v>
      </c>
      <c r="DC239" s="21">
        <v>0</v>
      </c>
      <c r="DD239" s="21">
        <v>0</v>
      </c>
      <c r="DE239" s="21">
        <v>0</v>
      </c>
      <c r="DF239" s="21">
        <v>0</v>
      </c>
      <c r="DG239" s="21">
        <v>0</v>
      </c>
      <c r="DH239" s="21">
        <v>0</v>
      </c>
      <c r="DI239" s="21">
        <v>0</v>
      </c>
      <c r="DJ239" s="21">
        <v>0</v>
      </c>
      <c r="DK239" s="21">
        <v>0</v>
      </c>
      <c r="DL239" s="21">
        <v>0</v>
      </c>
      <c r="DM239" s="21">
        <v>0</v>
      </c>
      <c r="DN239" s="21">
        <v>0</v>
      </c>
      <c r="DO239" s="21">
        <v>0</v>
      </c>
      <c r="DP239" s="21">
        <v>0</v>
      </c>
      <c r="DQ239" s="21">
        <v>0</v>
      </c>
      <c r="DR239" s="21">
        <v>0</v>
      </c>
      <c r="DS239" s="21">
        <v>0</v>
      </c>
      <c r="DT239" s="21">
        <v>0</v>
      </c>
      <c r="DU239" s="21">
        <v>0</v>
      </c>
      <c r="DV239" s="21">
        <v>0</v>
      </c>
      <c r="DW239" s="21">
        <v>0</v>
      </c>
      <c r="DX239" s="21">
        <v>0</v>
      </c>
      <c r="DY239" s="21">
        <v>0</v>
      </c>
      <c r="DZ239" s="21">
        <v>0</v>
      </c>
      <c r="EA239" s="21">
        <v>0</v>
      </c>
      <c r="EB239" s="21">
        <v>0</v>
      </c>
      <c r="EC239" s="21">
        <v>0</v>
      </c>
      <c r="ED239" s="21">
        <v>0</v>
      </c>
      <c r="EE239" s="21">
        <v>0</v>
      </c>
      <c r="EF239" s="21">
        <v>0</v>
      </c>
    </row>
    <row r="240" spans="1:136" ht="14.5" x14ac:dyDescent="0.35">
      <c r="A240" s="20" t="s">
        <v>12</v>
      </c>
      <c r="B240" s="20" t="s">
        <v>84</v>
      </c>
      <c r="C240" s="20" t="s">
        <v>84</v>
      </c>
      <c r="D240" s="20" t="s">
        <v>338</v>
      </c>
      <c r="E240" s="20" t="s">
        <v>16</v>
      </c>
      <c r="F240" s="20" t="s">
        <v>89</v>
      </c>
      <c r="G240" s="21">
        <v>0</v>
      </c>
      <c r="H240" s="21">
        <v>0</v>
      </c>
      <c r="I240" s="21">
        <v>10</v>
      </c>
      <c r="J240" s="21">
        <v>-10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0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1">
        <v>0</v>
      </c>
      <c r="CH240" s="21">
        <v>0</v>
      </c>
      <c r="CI240" s="21">
        <v>0</v>
      </c>
      <c r="CJ240" s="21">
        <v>0</v>
      </c>
      <c r="CK240" s="21">
        <v>0</v>
      </c>
      <c r="CL240" s="21">
        <v>0</v>
      </c>
      <c r="CM240" s="21">
        <v>0</v>
      </c>
      <c r="CN240" s="21">
        <v>0</v>
      </c>
      <c r="CO240" s="21">
        <v>0</v>
      </c>
      <c r="CP240" s="21">
        <v>0</v>
      </c>
      <c r="CQ240" s="21">
        <v>0</v>
      </c>
      <c r="CR240" s="21">
        <v>0</v>
      </c>
      <c r="CS240" s="21">
        <v>0</v>
      </c>
      <c r="CT240" s="21">
        <v>0</v>
      </c>
      <c r="CU240" s="21">
        <v>0</v>
      </c>
      <c r="CV240" s="21">
        <v>0</v>
      </c>
      <c r="CW240" s="21">
        <v>0</v>
      </c>
      <c r="CX240" s="21">
        <v>0</v>
      </c>
      <c r="CY240" s="21">
        <v>0</v>
      </c>
      <c r="CZ240" s="21">
        <v>5</v>
      </c>
      <c r="DA240" s="21">
        <v>5</v>
      </c>
      <c r="DB240" s="21">
        <v>0</v>
      </c>
      <c r="DC240" s="21">
        <v>0</v>
      </c>
      <c r="DD240" s="21">
        <v>0</v>
      </c>
      <c r="DE240" s="21">
        <v>0</v>
      </c>
      <c r="DF240" s="21">
        <v>0</v>
      </c>
      <c r="DG240" s="21">
        <v>0</v>
      </c>
      <c r="DH240" s="21">
        <v>0</v>
      </c>
      <c r="DI240" s="21">
        <v>0</v>
      </c>
      <c r="DJ240" s="21">
        <v>0</v>
      </c>
      <c r="DK240" s="21">
        <v>0</v>
      </c>
      <c r="DL240" s="21">
        <v>0</v>
      </c>
      <c r="DM240" s="21">
        <v>0</v>
      </c>
      <c r="DN240" s="21">
        <v>0</v>
      </c>
      <c r="DO240" s="21">
        <v>0</v>
      </c>
      <c r="DP240" s="21">
        <v>0</v>
      </c>
      <c r="DQ240" s="21">
        <v>0</v>
      </c>
      <c r="DR240" s="21">
        <v>0</v>
      </c>
      <c r="DS240" s="21">
        <v>0</v>
      </c>
      <c r="DT240" s="21">
        <v>0</v>
      </c>
      <c r="DU240" s="21">
        <v>0</v>
      </c>
      <c r="DV240" s="21">
        <v>0</v>
      </c>
      <c r="DW240" s="21">
        <v>0</v>
      </c>
      <c r="DX240" s="21">
        <v>0</v>
      </c>
      <c r="DY240" s="21">
        <v>0</v>
      </c>
      <c r="DZ240" s="21">
        <v>0</v>
      </c>
      <c r="EA240" s="21">
        <v>0</v>
      </c>
      <c r="EB240" s="21">
        <v>0</v>
      </c>
      <c r="EC240" s="21">
        <v>0</v>
      </c>
      <c r="ED240" s="21">
        <v>0</v>
      </c>
      <c r="EE240" s="21">
        <v>0</v>
      </c>
      <c r="EF240" s="21">
        <v>0</v>
      </c>
    </row>
    <row r="241" spans="1:136" ht="14.5" x14ac:dyDescent="0.35">
      <c r="A241" s="20" t="s">
        <v>12</v>
      </c>
      <c r="B241" s="20" t="s">
        <v>84</v>
      </c>
      <c r="C241" s="20" t="s">
        <v>84</v>
      </c>
      <c r="D241" s="20" t="s">
        <v>337</v>
      </c>
      <c r="E241" s="20" t="s">
        <v>16</v>
      </c>
      <c r="F241" s="20" t="s">
        <v>89</v>
      </c>
      <c r="G241" s="21">
        <v>0</v>
      </c>
      <c r="H241" s="21">
        <v>10</v>
      </c>
      <c r="I241" s="21">
        <v>0</v>
      </c>
      <c r="J241" s="21">
        <v>10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1">
        <v>0</v>
      </c>
      <c r="BD241" s="21">
        <v>0</v>
      </c>
      <c r="BE241" s="21">
        <v>0</v>
      </c>
      <c r="BF241" s="21">
        <v>0</v>
      </c>
      <c r="BG241" s="21">
        <v>0</v>
      </c>
      <c r="BH241" s="21">
        <v>0</v>
      </c>
      <c r="BI241" s="21">
        <v>0</v>
      </c>
      <c r="BJ241" s="21">
        <v>0</v>
      </c>
      <c r="BK241" s="21">
        <v>0</v>
      </c>
      <c r="BL241" s="21">
        <v>0</v>
      </c>
      <c r="BM241" s="21">
        <v>0</v>
      </c>
      <c r="BN241" s="21">
        <v>0</v>
      </c>
      <c r="BO241" s="21">
        <v>0</v>
      </c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21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21">
        <v>0</v>
      </c>
      <c r="CB241" s="21">
        <v>0</v>
      </c>
      <c r="CC241" s="21">
        <v>0</v>
      </c>
      <c r="CD241" s="21">
        <v>0</v>
      </c>
      <c r="CE241" s="21">
        <v>0</v>
      </c>
      <c r="CF241" s="21">
        <v>0</v>
      </c>
      <c r="CG241" s="21">
        <v>0</v>
      </c>
      <c r="CH241" s="21">
        <v>0</v>
      </c>
      <c r="CI241" s="21">
        <v>0</v>
      </c>
      <c r="CJ241" s="21">
        <v>0</v>
      </c>
      <c r="CK241" s="21">
        <v>0</v>
      </c>
      <c r="CL241" s="21">
        <v>0</v>
      </c>
      <c r="CM241" s="21">
        <v>0</v>
      </c>
      <c r="CN241" s="21">
        <v>0</v>
      </c>
      <c r="CO241" s="21">
        <v>0</v>
      </c>
      <c r="CP241" s="21">
        <v>0</v>
      </c>
      <c r="CQ241" s="21">
        <v>0</v>
      </c>
      <c r="CR241" s="21">
        <v>0</v>
      </c>
      <c r="CS241" s="21">
        <v>0</v>
      </c>
      <c r="CT241" s="21">
        <v>0</v>
      </c>
      <c r="CU241" s="21">
        <v>0</v>
      </c>
      <c r="CV241" s="21">
        <v>0</v>
      </c>
      <c r="CW241" s="21">
        <v>0</v>
      </c>
      <c r="CX241" s="21">
        <v>0</v>
      </c>
      <c r="CY241" s="21">
        <v>0</v>
      </c>
      <c r="CZ241" s="21">
        <v>0</v>
      </c>
      <c r="DA241" s="21">
        <v>0</v>
      </c>
      <c r="DB241" s="21">
        <v>0</v>
      </c>
      <c r="DC241" s="21">
        <v>0</v>
      </c>
      <c r="DD241" s="21">
        <v>0</v>
      </c>
      <c r="DE241" s="21">
        <v>0</v>
      </c>
      <c r="DF241" s="21">
        <v>0</v>
      </c>
      <c r="DG241" s="21">
        <v>0</v>
      </c>
      <c r="DH241" s="21">
        <v>0</v>
      </c>
      <c r="DI241" s="21">
        <v>0</v>
      </c>
      <c r="DJ241" s="21">
        <v>0</v>
      </c>
      <c r="DK241" s="21">
        <v>0</v>
      </c>
      <c r="DL241" s="21">
        <v>0</v>
      </c>
      <c r="DM241" s="21">
        <v>0</v>
      </c>
      <c r="DN241" s="21">
        <v>0</v>
      </c>
      <c r="DO241" s="21">
        <v>0</v>
      </c>
      <c r="DP241" s="21">
        <v>0</v>
      </c>
      <c r="DQ241" s="21">
        <v>0</v>
      </c>
      <c r="DR241" s="21">
        <v>0</v>
      </c>
      <c r="DS241" s="21">
        <v>0</v>
      </c>
      <c r="DT241" s="21">
        <v>0</v>
      </c>
      <c r="DU241" s="21">
        <v>0</v>
      </c>
      <c r="DV241" s="21">
        <v>0</v>
      </c>
      <c r="DW241" s="21">
        <v>0</v>
      </c>
      <c r="DX241" s="21">
        <v>0</v>
      </c>
      <c r="DY241" s="21">
        <v>0</v>
      </c>
      <c r="DZ241" s="21">
        <v>0</v>
      </c>
      <c r="EA241" s="21">
        <v>0</v>
      </c>
      <c r="EB241" s="21">
        <v>0</v>
      </c>
      <c r="EC241" s="21">
        <v>0</v>
      </c>
      <c r="ED241" s="21">
        <v>0</v>
      </c>
      <c r="EE241" s="21">
        <v>0</v>
      </c>
      <c r="EF241" s="21">
        <v>0</v>
      </c>
    </row>
    <row r="242" spans="1:136" ht="14.5" x14ac:dyDescent="0.35">
      <c r="A242" s="20" t="s">
        <v>12</v>
      </c>
      <c r="B242" s="20" t="s">
        <v>84</v>
      </c>
      <c r="C242" s="20" t="s">
        <v>84</v>
      </c>
      <c r="D242" s="20" t="s">
        <v>338</v>
      </c>
      <c r="E242" s="20" t="s">
        <v>16</v>
      </c>
      <c r="F242" s="20" t="s">
        <v>40</v>
      </c>
      <c r="G242" s="21">
        <v>0</v>
      </c>
      <c r="H242" s="21">
        <v>0</v>
      </c>
      <c r="I242" s="21">
        <v>20.5</v>
      </c>
      <c r="J242" s="21">
        <v>-20.5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1">
        <v>0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4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1.5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1">
        <v>0</v>
      </c>
      <c r="BD242" s="21">
        <v>0</v>
      </c>
      <c r="BE242" s="21">
        <v>0</v>
      </c>
      <c r="BF242" s="21">
        <v>0</v>
      </c>
      <c r="BG242" s="21">
        <v>0</v>
      </c>
      <c r="BH242" s="21">
        <v>0</v>
      </c>
      <c r="BI242" s="21">
        <v>0</v>
      </c>
      <c r="BJ242" s="21">
        <v>0</v>
      </c>
      <c r="BK242" s="21">
        <v>0</v>
      </c>
      <c r="BL242" s="21">
        <v>0</v>
      </c>
      <c r="BM242" s="21">
        <v>0</v>
      </c>
      <c r="BN242" s="21">
        <v>0</v>
      </c>
      <c r="BO242" s="21">
        <v>0</v>
      </c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21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1">
        <v>0</v>
      </c>
      <c r="CH242" s="21">
        <v>0</v>
      </c>
      <c r="CI242" s="21">
        <v>0</v>
      </c>
      <c r="CJ242" s="21">
        <v>0</v>
      </c>
      <c r="CK242" s="21">
        <v>0</v>
      </c>
      <c r="CL242" s="21">
        <v>0</v>
      </c>
      <c r="CM242" s="21">
        <v>0</v>
      </c>
      <c r="CN242" s="21">
        <v>0</v>
      </c>
      <c r="CO242" s="21">
        <v>0</v>
      </c>
      <c r="CP242" s="21">
        <v>0</v>
      </c>
      <c r="CQ242" s="21">
        <v>0</v>
      </c>
      <c r="CR242" s="21">
        <v>0</v>
      </c>
      <c r="CS242" s="21">
        <v>0</v>
      </c>
      <c r="CT242" s="21">
        <v>0</v>
      </c>
      <c r="CU242" s="21">
        <v>0</v>
      </c>
      <c r="CV242" s="21">
        <v>0</v>
      </c>
      <c r="CW242" s="21">
        <v>0</v>
      </c>
      <c r="CX242" s="21">
        <v>0</v>
      </c>
      <c r="CY242" s="21">
        <v>0</v>
      </c>
      <c r="CZ242" s="21">
        <v>0</v>
      </c>
      <c r="DA242" s="21">
        <v>0</v>
      </c>
      <c r="DB242" s="21">
        <v>0</v>
      </c>
      <c r="DC242" s="21">
        <v>0</v>
      </c>
      <c r="DD242" s="21">
        <v>0</v>
      </c>
      <c r="DE242" s="21">
        <v>0</v>
      </c>
      <c r="DF242" s="21">
        <v>0</v>
      </c>
      <c r="DG242" s="21">
        <v>0</v>
      </c>
      <c r="DH242" s="21">
        <v>0</v>
      </c>
      <c r="DI242" s="21">
        <v>0</v>
      </c>
      <c r="DJ242" s="21">
        <v>0</v>
      </c>
      <c r="DK242" s="21">
        <v>0</v>
      </c>
      <c r="DL242" s="21">
        <v>0</v>
      </c>
      <c r="DM242" s="21">
        <v>0</v>
      </c>
      <c r="DN242" s="21">
        <v>0</v>
      </c>
      <c r="DO242" s="21">
        <v>0</v>
      </c>
      <c r="DP242" s="21">
        <v>5</v>
      </c>
      <c r="DQ242" s="21">
        <v>5</v>
      </c>
      <c r="DR242" s="21">
        <v>5</v>
      </c>
      <c r="DS242" s="21">
        <v>0</v>
      </c>
      <c r="DT242" s="21">
        <v>0</v>
      </c>
      <c r="DU242" s="21">
        <v>0</v>
      </c>
      <c r="DV242" s="21">
        <v>0</v>
      </c>
      <c r="DW242" s="21">
        <v>0</v>
      </c>
      <c r="DX242" s="21">
        <v>0</v>
      </c>
      <c r="DY242" s="21">
        <v>0</v>
      </c>
      <c r="DZ242" s="21">
        <v>0</v>
      </c>
      <c r="EA242" s="21">
        <v>0</v>
      </c>
      <c r="EB242" s="21">
        <v>0</v>
      </c>
      <c r="EC242" s="21">
        <v>0</v>
      </c>
      <c r="ED242" s="21">
        <v>0</v>
      </c>
      <c r="EE242" s="21">
        <v>0</v>
      </c>
      <c r="EF242" s="21">
        <v>0</v>
      </c>
    </row>
    <row r="243" spans="1:136" ht="14.5" x14ac:dyDescent="0.35">
      <c r="A243" s="20" t="s">
        <v>12</v>
      </c>
      <c r="B243" s="20" t="s">
        <v>84</v>
      </c>
      <c r="C243" s="20" t="s">
        <v>84</v>
      </c>
      <c r="D243" s="20" t="s">
        <v>337</v>
      </c>
      <c r="E243" s="20" t="s">
        <v>16</v>
      </c>
      <c r="F243" s="20" t="s">
        <v>40</v>
      </c>
      <c r="G243" s="21">
        <v>0</v>
      </c>
      <c r="H243" s="21">
        <v>15</v>
      </c>
      <c r="I243" s="21">
        <v>0</v>
      </c>
      <c r="J243" s="21">
        <v>15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1">
        <v>0</v>
      </c>
      <c r="AA243" s="21">
        <v>0</v>
      </c>
      <c r="AB243" s="21">
        <v>0</v>
      </c>
      <c r="AC243" s="21">
        <v>0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1">
        <v>0</v>
      </c>
      <c r="BD243" s="21">
        <v>0</v>
      </c>
      <c r="BE243" s="21">
        <v>0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1">
        <v>0</v>
      </c>
      <c r="BL243" s="21">
        <v>0</v>
      </c>
      <c r="BM243" s="21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21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21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>
        <v>0</v>
      </c>
      <c r="CI243" s="21">
        <v>0</v>
      </c>
      <c r="CJ243" s="21">
        <v>0</v>
      </c>
      <c r="CK243" s="21">
        <v>0</v>
      </c>
      <c r="CL243" s="21">
        <v>0</v>
      </c>
      <c r="CM243" s="21">
        <v>0</v>
      </c>
      <c r="CN243" s="21">
        <v>0</v>
      </c>
      <c r="CO243" s="21">
        <v>0</v>
      </c>
      <c r="CP243" s="21">
        <v>0</v>
      </c>
      <c r="CQ243" s="21">
        <v>0</v>
      </c>
      <c r="CR243" s="21">
        <v>0</v>
      </c>
      <c r="CS243" s="21">
        <v>0</v>
      </c>
      <c r="CT243" s="21">
        <v>0</v>
      </c>
      <c r="CU243" s="21">
        <v>0</v>
      </c>
      <c r="CV243" s="21">
        <v>0</v>
      </c>
      <c r="CW243" s="21">
        <v>0</v>
      </c>
      <c r="CX243" s="21">
        <v>0</v>
      </c>
      <c r="CY243" s="21">
        <v>0</v>
      </c>
      <c r="CZ243" s="21">
        <v>0</v>
      </c>
      <c r="DA243" s="21">
        <v>0</v>
      </c>
      <c r="DB243" s="21">
        <v>0</v>
      </c>
      <c r="DC243" s="21">
        <v>0</v>
      </c>
      <c r="DD243" s="21">
        <v>0</v>
      </c>
      <c r="DE243" s="21">
        <v>0</v>
      </c>
      <c r="DF243" s="21">
        <v>0</v>
      </c>
      <c r="DG243" s="21">
        <v>0</v>
      </c>
      <c r="DH243" s="21">
        <v>0</v>
      </c>
      <c r="DI243" s="21">
        <v>0</v>
      </c>
      <c r="DJ243" s="21">
        <v>0</v>
      </c>
      <c r="DK243" s="21">
        <v>0</v>
      </c>
      <c r="DL243" s="21">
        <v>0</v>
      </c>
      <c r="DM243" s="21">
        <v>0</v>
      </c>
      <c r="DN243" s="21">
        <v>0</v>
      </c>
      <c r="DO243" s="21">
        <v>0</v>
      </c>
      <c r="DP243" s="21">
        <v>0</v>
      </c>
      <c r="DQ243" s="21">
        <v>0</v>
      </c>
      <c r="DR243" s="21">
        <v>0</v>
      </c>
      <c r="DS243" s="21">
        <v>0</v>
      </c>
      <c r="DT243" s="21">
        <v>0</v>
      </c>
      <c r="DU243" s="21">
        <v>0</v>
      </c>
      <c r="DV243" s="21">
        <v>0</v>
      </c>
      <c r="DW243" s="21">
        <v>0</v>
      </c>
      <c r="DX243" s="21">
        <v>0</v>
      </c>
      <c r="DY243" s="21">
        <v>0</v>
      </c>
      <c r="DZ243" s="21">
        <v>0</v>
      </c>
      <c r="EA243" s="21">
        <v>0</v>
      </c>
      <c r="EB243" s="21">
        <v>0</v>
      </c>
      <c r="EC243" s="21">
        <v>0</v>
      </c>
      <c r="ED243" s="21">
        <v>0</v>
      </c>
      <c r="EE243" s="21">
        <v>0</v>
      </c>
      <c r="EF243" s="21">
        <v>0</v>
      </c>
    </row>
    <row r="244" spans="1:136" ht="14.5" x14ac:dyDescent="0.35">
      <c r="A244" s="20" t="s">
        <v>12</v>
      </c>
      <c r="B244" s="20" t="s">
        <v>84</v>
      </c>
      <c r="C244" s="20" t="s">
        <v>84</v>
      </c>
      <c r="D244" s="20" t="s">
        <v>338</v>
      </c>
      <c r="E244" s="20" t="s">
        <v>16</v>
      </c>
      <c r="F244" s="20" t="s">
        <v>81</v>
      </c>
      <c r="G244" s="21">
        <v>0</v>
      </c>
      <c r="H244" s="21">
        <v>0</v>
      </c>
      <c r="I244" s="21">
        <v>238</v>
      </c>
      <c r="J244" s="21">
        <v>-238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8</v>
      </c>
      <c r="AK244" s="21">
        <v>6</v>
      </c>
      <c r="AL244" s="21">
        <v>6</v>
      </c>
      <c r="AM244" s="21">
        <v>3.5</v>
      </c>
      <c r="AN244" s="21">
        <v>3</v>
      </c>
      <c r="AO244" s="21">
        <v>3.5</v>
      </c>
      <c r="AP244" s="21">
        <v>20.5</v>
      </c>
      <c r="AQ244" s="21">
        <v>21</v>
      </c>
      <c r="AR244" s="21">
        <v>4.5</v>
      </c>
      <c r="AS244" s="21">
        <v>4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1">
        <v>0</v>
      </c>
      <c r="BD244" s="21">
        <v>0</v>
      </c>
      <c r="BE244" s="21">
        <v>0</v>
      </c>
      <c r="BF244" s="21">
        <v>0</v>
      </c>
      <c r="BG244" s="21">
        <v>0</v>
      </c>
      <c r="BH244" s="21">
        <v>0</v>
      </c>
      <c r="BI244" s="21">
        <v>0</v>
      </c>
      <c r="BJ244" s="21">
        <v>0</v>
      </c>
      <c r="BK244" s="21">
        <v>0</v>
      </c>
      <c r="BL244" s="21">
        <v>0</v>
      </c>
      <c r="BM244" s="21">
        <v>0</v>
      </c>
      <c r="BN244" s="21">
        <v>0</v>
      </c>
      <c r="BO244" s="21">
        <v>0</v>
      </c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21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>
        <v>0</v>
      </c>
      <c r="CI244" s="21">
        <v>0</v>
      </c>
      <c r="CJ244" s="21">
        <v>0</v>
      </c>
      <c r="CK244" s="21">
        <v>0</v>
      </c>
      <c r="CL244" s="21">
        <v>0</v>
      </c>
      <c r="CM244" s="21">
        <v>0</v>
      </c>
      <c r="CN244" s="21">
        <v>0</v>
      </c>
      <c r="CO244" s="21">
        <v>0</v>
      </c>
      <c r="CP244" s="21">
        <v>0</v>
      </c>
      <c r="CQ244" s="21">
        <v>0</v>
      </c>
      <c r="CR244" s="21">
        <v>0</v>
      </c>
      <c r="CS244" s="21">
        <v>7</v>
      </c>
      <c r="CT244" s="21">
        <v>14</v>
      </c>
      <c r="CU244" s="21">
        <v>14</v>
      </c>
      <c r="CV244" s="21">
        <v>3</v>
      </c>
      <c r="CW244" s="21">
        <v>3</v>
      </c>
      <c r="CX244" s="21">
        <v>3</v>
      </c>
      <c r="CY244" s="21">
        <v>3</v>
      </c>
      <c r="CZ244" s="21">
        <v>3</v>
      </c>
      <c r="DA244" s="21">
        <v>3</v>
      </c>
      <c r="DB244" s="21">
        <v>3</v>
      </c>
      <c r="DC244" s="21">
        <v>3</v>
      </c>
      <c r="DD244" s="21">
        <v>3</v>
      </c>
      <c r="DE244" s="21">
        <v>13</v>
      </c>
      <c r="DF244" s="21">
        <v>19</v>
      </c>
      <c r="DG244" s="21">
        <v>3</v>
      </c>
      <c r="DH244" s="21">
        <v>3</v>
      </c>
      <c r="DI244" s="21">
        <v>3</v>
      </c>
      <c r="DJ244" s="21">
        <v>0</v>
      </c>
      <c r="DK244" s="21">
        <v>4.5</v>
      </c>
      <c r="DL244" s="21">
        <v>6.5</v>
      </c>
      <c r="DM244" s="21">
        <v>3.5</v>
      </c>
      <c r="DN244" s="21">
        <v>3.5</v>
      </c>
      <c r="DO244" s="21">
        <v>7</v>
      </c>
      <c r="DP244" s="21">
        <v>12</v>
      </c>
      <c r="DQ244" s="21">
        <v>11</v>
      </c>
      <c r="DR244" s="21">
        <v>11</v>
      </c>
      <c r="DS244" s="21">
        <v>0</v>
      </c>
      <c r="DT244" s="21">
        <v>0</v>
      </c>
      <c r="DU244" s="21">
        <v>0</v>
      </c>
      <c r="DV244" s="21">
        <v>0</v>
      </c>
      <c r="DW244" s="21">
        <v>0</v>
      </c>
      <c r="DX244" s="21">
        <v>0</v>
      </c>
      <c r="DY244" s="21">
        <v>0</v>
      </c>
      <c r="DZ244" s="21">
        <v>0</v>
      </c>
      <c r="EA244" s="21">
        <v>0</v>
      </c>
      <c r="EB244" s="21">
        <v>0</v>
      </c>
      <c r="EC244" s="21">
        <v>0</v>
      </c>
      <c r="ED244" s="21">
        <v>0</v>
      </c>
      <c r="EE244" s="21">
        <v>0</v>
      </c>
      <c r="EF244" s="21">
        <v>0</v>
      </c>
    </row>
    <row r="245" spans="1:136" ht="14.5" x14ac:dyDescent="0.35">
      <c r="A245" s="20" t="s">
        <v>12</v>
      </c>
      <c r="B245" s="20" t="s">
        <v>84</v>
      </c>
      <c r="C245" s="20" t="s">
        <v>84</v>
      </c>
      <c r="D245" s="20" t="s">
        <v>337</v>
      </c>
      <c r="E245" s="20" t="s">
        <v>16</v>
      </c>
      <c r="F245" s="20" t="s">
        <v>81</v>
      </c>
      <c r="G245" s="21">
        <v>112</v>
      </c>
      <c r="H245" s="21">
        <v>458</v>
      </c>
      <c r="I245" s="21">
        <v>19.5</v>
      </c>
      <c r="J245" s="21">
        <v>438.5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0.5</v>
      </c>
      <c r="AD245" s="21">
        <v>0.5</v>
      </c>
      <c r="AE245" s="21">
        <v>0.5</v>
      </c>
      <c r="AF245" s="21">
        <v>9</v>
      </c>
      <c r="AG245" s="21">
        <v>1.5</v>
      </c>
      <c r="AH245" s="21">
        <v>2.5</v>
      </c>
      <c r="AI245" s="21">
        <v>5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0</v>
      </c>
      <c r="BG245" s="21">
        <v>0</v>
      </c>
      <c r="BH245" s="21">
        <v>0</v>
      </c>
      <c r="BI245" s="21">
        <v>0</v>
      </c>
      <c r="BJ245" s="21">
        <v>0</v>
      </c>
      <c r="BK245" s="21">
        <v>0</v>
      </c>
      <c r="BL245" s="21">
        <v>0</v>
      </c>
      <c r="BM245" s="21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21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21">
        <v>0</v>
      </c>
      <c r="CI245" s="21">
        <v>0</v>
      </c>
      <c r="CJ245" s="21">
        <v>0</v>
      </c>
      <c r="CK245" s="21">
        <v>0</v>
      </c>
      <c r="CL245" s="21">
        <v>0</v>
      </c>
      <c r="CM245" s="21">
        <v>0</v>
      </c>
      <c r="CN245" s="21">
        <v>0</v>
      </c>
      <c r="CO245" s="21">
        <v>0</v>
      </c>
      <c r="CP245" s="21">
        <v>0</v>
      </c>
      <c r="CQ245" s="21">
        <v>0</v>
      </c>
      <c r="CR245" s="21">
        <v>0</v>
      </c>
      <c r="CS245" s="21">
        <v>0</v>
      </c>
      <c r="CT245" s="21">
        <v>0</v>
      </c>
      <c r="CU245" s="21">
        <v>0</v>
      </c>
      <c r="CV245" s="21">
        <v>0</v>
      </c>
      <c r="CW245" s="21">
        <v>0</v>
      </c>
      <c r="CX245" s="21">
        <v>0</v>
      </c>
      <c r="CY245" s="21">
        <v>0</v>
      </c>
      <c r="CZ245" s="21">
        <v>0</v>
      </c>
      <c r="DA245" s="21">
        <v>0</v>
      </c>
      <c r="DB245" s="21">
        <v>0</v>
      </c>
      <c r="DC245" s="21">
        <v>0</v>
      </c>
      <c r="DD245" s="21">
        <v>0</v>
      </c>
      <c r="DE245" s="21">
        <v>0</v>
      </c>
      <c r="DF245" s="21">
        <v>0</v>
      </c>
      <c r="DG245" s="21">
        <v>0</v>
      </c>
      <c r="DH245" s="21">
        <v>0</v>
      </c>
      <c r="DI245" s="21">
        <v>0</v>
      </c>
      <c r="DJ245" s="21">
        <v>0</v>
      </c>
      <c r="DK245" s="21">
        <v>0</v>
      </c>
      <c r="DL245" s="21">
        <v>0</v>
      </c>
      <c r="DM245" s="21">
        <v>0</v>
      </c>
      <c r="DN245" s="21">
        <v>0</v>
      </c>
      <c r="DO245" s="21">
        <v>0</v>
      </c>
      <c r="DP245" s="21">
        <v>0</v>
      </c>
      <c r="DQ245" s="21">
        <v>0</v>
      </c>
      <c r="DR245" s="21">
        <v>0</v>
      </c>
      <c r="DS245" s="21">
        <v>0</v>
      </c>
      <c r="DT245" s="21">
        <v>0</v>
      </c>
      <c r="DU245" s="21">
        <v>0</v>
      </c>
      <c r="DV245" s="21">
        <v>0</v>
      </c>
      <c r="DW245" s="21">
        <v>0</v>
      </c>
      <c r="DX245" s="21">
        <v>0</v>
      </c>
      <c r="DY245" s="21">
        <v>0</v>
      </c>
      <c r="DZ245" s="21">
        <v>0</v>
      </c>
      <c r="EA245" s="21">
        <v>0</v>
      </c>
      <c r="EB245" s="21">
        <v>0</v>
      </c>
      <c r="EC245" s="21">
        <v>0</v>
      </c>
      <c r="ED245" s="21">
        <v>0</v>
      </c>
      <c r="EE245" s="21">
        <v>0</v>
      </c>
      <c r="EF245" s="21">
        <v>0</v>
      </c>
    </row>
    <row r="246" spans="1:136" ht="14.5" x14ac:dyDescent="0.35">
      <c r="A246" s="20" t="s">
        <v>12</v>
      </c>
      <c r="B246" s="20" t="s">
        <v>84</v>
      </c>
      <c r="C246" s="20" t="s">
        <v>84</v>
      </c>
      <c r="D246" s="20" t="s">
        <v>338</v>
      </c>
      <c r="E246" s="20" t="s">
        <v>16</v>
      </c>
      <c r="F246" s="20" t="s">
        <v>46</v>
      </c>
      <c r="G246" s="21">
        <v>0</v>
      </c>
      <c r="H246" s="21">
        <v>0</v>
      </c>
      <c r="I246" s="21">
        <v>266.5</v>
      </c>
      <c r="J246" s="21">
        <v>-266.5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2</v>
      </c>
      <c r="AK246" s="21">
        <v>8.5</v>
      </c>
      <c r="AL246" s="21">
        <v>12.5</v>
      </c>
      <c r="AM246" s="21">
        <v>3.5</v>
      </c>
      <c r="AN246" s="21">
        <v>3</v>
      </c>
      <c r="AO246" s="21">
        <v>2.5</v>
      </c>
      <c r="AP246" s="21">
        <v>7</v>
      </c>
      <c r="AQ246" s="21">
        <v>7</v>
      </c>
      <c r="AR246" s="21">
        <v>10.5</v>
      </c>
      <c r="AS246" s="21">
        <v>3.5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1">
        <v>0</v>
      </c>
      <c r="BD246" s="21">
        <v>0</v>
      </c>
      <c r="BE246" s="21">
        <v>0</v>
      </c>
      <c r="BF246" s="21">
        <v>0</v>
      </c>
      <c r="BG246" s="21">
        <v>0</v>
      </c>
      <c r="BH246" s="21">
        <v>0</v>
      </c>
      <c r="BI246" s="21">
        <v>0</v>
      </c>
      <c r="BJ246" s="21">
        <v>0</v>
      </c>
      <c r="BK246" s="21">
        <v>0</v>
      </c>
      <c r="BL246" s="21">
        <v>0</v>
      </c>
      <c r="BM246" s="21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0</v>
      </c>
      <c r="BT246" s="21">
        <v>0</v>
      </c>
      <c r="BU246" s="21">
        <v>0</v>
      </c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1">
        <v>0</v>
      </c>
      <c r="CH246" s="21">
        <v>0</v>
      </c>
      <c r="CI246" s="21">
        <v>0</v>
      </c>
      <c r="CJ246" s="21">
        <v>0</v>
      </c>
      <c r="CK246" s="21">
        <v>0</v>
      </c>
      <c r="CL246" s="21">
        <v>0</v>
      </c>
      <c r="CM246" s="21">
        <v>0</v>
      </c>
      <c r="CN246" s="21">
        <v>0</v>
      </c>
      <c r="CO246" s="21">
        <v>0</v>
      </c>
      <c r="CP246" s="21">
        <v>0</v>
      </c>
      <c r="CQ246" s="21">
        <v>0</v>
      </c>
      <c r="CR246" s="21">
        <v>0</v>
      </c>
      <c r="CS246" s="21">
        <v>4</v>
      </c>
      <c r="CT246" s="21">
        <v>4</v>
      </c>
      <c r="CU246" s="21">
        <v>5</v>
      </c>
      <c r="CV246" s="21">
        <v>4</v>
      </c>
      <c r="CW246" s="21">
        <v>4</v>
      </c>
      <c r="CX246" s="21">
        <v>4</v>
      </c>
      <c r="CY246" s="21">
        <v>4</v>
      </c>
      <c r="CZ246" s="21">
        <v>4</v>
      </c>
      <c r="DA246" s="21">
        <v>4</v>
      </c>
      <c r="DB246" s="21">
        <v>4</v>
      </c>
      <c r="DC246" s="21">
        <v>4</v>
      </c>
      <c r="DD246" s="21">
        <v>8</v>
      </c>
      <c r="DE246" s="21">
        <v>4</v>
      </c>
      <c r="DF246" s="21">
        <v>4</v>
      </c>
      <c r="DG246" s="21">
        <v>10</v>
      </c>
      <c r="DH246" s="21">
        <v>4</v>
      </c>
      <c r="DI246" s="21">
        <v>0</v>
      </c>
      <c r="DJ246" s="21">
        <v>0</v>
      </c>
      <c r="DK246" s="21">
        <v>4</v>
      </c>
      <c r="DL246" s="21">
        <v>11</v>
      </c>
      <c r="DM246" s="21">
        <v>21</v>
      </c>
      <c r="DN246" s="21">
        <v>20</v>
      </c>
      <c r="DO246" s="21">
        <v>21</v>
      </c>
      <c r="DP246" s="21">
        <v>22</v>
      </c>
      <c r="DQ246" s="21">
        <v>15</v>
      </c>
      <c r="DR246" s="21">
        <v>9</v>
      </c>
      <c r="DS246" s="21">
        <v>4</v>
      </c>
      <c r="DT246" s="21">
        <v>4</v>
      </c>
      <c r="DU246" s="21">
        <v>4</v>
      </c>
      <c r="DV246" s="21">
        <v>0</v>
      </c>
      <c r="DW246" s="21">
        <v>0</v>
      </c>
      <c r="DX246" s="21">
        <v>0</v>
      </c>
      <c r="DY246" s="21">
        <v>0</v>
      </c>
      <c r="DZ246" s="21">
        <v>0</v>
      </c>
      <c r="EA246" s="21">
        <v>0</v>
      </c>
      <c r="EB246" s="21">
        <v>0</v>
      </c>
      <c r="EC246" s="21">
        <v>0</v>
      </c>
      <c r="ED246" s="21">
        <v>0</v>
      </c>
      <c r="EE246" s="21">
        <v>0</v>
      </c>
      <c r="EF246" s="21">
        <v>0</v>
      </c>
    </row>
    <row r="247" spans="1:136" ht="14.5" x14ac:dyDescent="0.35">
      <c r="A247" s="20" t="s">
        <v>12</v>
      </c>
      <c r="B247" s="20" t="s">
        <v>84</v>
      </c>
      <c r="C247" s="20" t="s">
        <v>84</v>
      </c>
      <c r="D247" s="20" t="s">
        <v>337</v>
      </c>
      <c r="E247" s="20" t="s">
        <v>16</v>
      </c>
      <c r="F247" s="20" t="s">
        <v>46</v>
      </c>
      <c r="G247" s="21">
        <v>94.5</v>
      </c>
      <c r="H247" s="21">
        <v>304.5</v>
      </c>
      <c r="I247" s="21">
        <v>46</v>
      </c>
      <c r="J247" s="21">
        <v>258.5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2.5</v>
      </c>
      <c r="AC247" s="21">
        <v>6</v>
      </c>
      <c r="AD247" s="21">
        <v>1</v>
      </c>
      <c r="AE247" s="21">
        <v>14</v>
      </c>
      <c r="AF247" s="21">
        <v>9</v>
      </c>
      <c r="AG247" s="21">
        <v>6</v>
      </c>
      <c r="AH247" s="21">
        <v>4.5</v>
      </c>
      <c r="AI247" s="21">
        <v>3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1">
        <v>0</v>
      </c>
      <c r="BD247" s="21">
        <v>0</v>
      </c>
      <c r="BE247" s="21">
        <v>0</v>
      </c>
      <c r="BF247" s="21">
        <v>0</v>
      </c>
      <c r="BG247" s="21">
        <v>0</v>
      </c>
      <c r="BH247" s="21">
        <v>0</v>
      </c>
      <c r="BI247" s="21">
        <v>0</v>
      </c>
      <c r="BJ247" s="21">
        <v>0</v>
      </c>
      <c r="BK247" s="21">
        <v>0</v>
      </c>
      <c r="BL247" s="21">
        <v>0</v>
      </c>
      <c r="BM247" s="21">
        <v>0</v>
      </c>
      <c r="BN247" s="21">
        <v>0</v>
      </c>
      <c r="BO247" s="21">
        <v>0</v>
      </c>
      <c r="BP247" s="21">
        <v>0</v>
      </c>
      <c r="BQ247" s="21">
        <v>0</v>
      </c>
      <c r="BR247" s="21">
        <v>0</v>
      </c>
      <c r="BS247" s="21">
        <v>0</v>
      </c>
      <c r="BT247" s="21">
        <v>0</v>
      </c>
      <c r="BU247" s="21">
        <v>0</v>
      </c>
      <c r="BV247" s="21">
        <v>0</v>
      </c>
      <c r="BW247" s="21">
        <v>0</v>
      </c>
      <c r="BX247" s="21">
        <v>0</v>
      </c>
      <c r="BY247" s="21">
        <v>0</v>
      </c>
      <c r="BZ247" s="21">
        <v>0</v>
      </c>
      <c r="CA247" s="21">
        <v>0</v>
      </c>
      <c r="CB247" s="21">
        <v>0</v>
      </c>
      <c r="CC247" s="21">
        <v>0</v>
      </c>
      <c r="CD247" s="21">
        <v>0</v>
      </c>
      <c r="CE247" s="21">
        <v>0</v>
      </c>
      <c r="CF247" s="21">
        <v>0</v>
      </c>
      <c r="CG247" s="21">
        <v>0</v>
      </c>
      <c r="CH247" s="21">
        <v>0</v>
      </c>
      <c r="CI247" s="21">
        <v>0</v>
      </c>
      <c r="CJ247" s="21">
        <v>0</v>
      </c>
      <c r="CK247" s="21">
        <v>0</v>
      </c>
      <c r="CL247" s="21">
        <v>0</v>
      </c>
      <c r="CM247" s="21">
        <v>0</v>
      </c>
      <c r="CN247" s="21">
        <v>0</v>
      </c>
      <c r="CO247" s="21">
        <v>0</v>
      </c>
      <c r="CP247" s="21">
        <v>0</v>
      </c>
      <c r="CQ247" s="21">
        <v>0</v>
      </c>
      <c r="CR247" s="21">
        <v>0</v>
      </c>
      <c r="CS247" s="21">
        <v>0</v>
      </c>
      <c r="CT247" s="21">
        <v>0</v>
      </c>
      <c r="CU247" s="21">
        <v>0</v>
      </c>
      <c r="CV247" s="21">
        <v>0</v>
      </c>
      <c r="CW247" s="21">
        <v>0</v>
      </c>
      <c r="CX247" s="21">
        <v>0</v>
      </c>
      <c r="CY247" s="21">
        <v>0</v>
      </c>
      <c r="CZ247" s="21">
        <v>0</v>
      </c>
      <c r="DA247" s="21">
        <v>0</v>
      </c>
      <c r="DB247" s="21">
        <v>0</v>
      </c>
      <c r="DC247" s="21">
        <v>0</v>
      </c>
      <c r="DD247" s="21">
        <v>0</v>
      </c>
      <c r="DE247" s="21">
        <v>0</v>
      </c>
      <c r="DF247" s="21">
        <v>0</v>
      </c>
      <c r="DG247" s="21">
        <v>0</v>
      </c>
      <c r="DH247" s="21">
        <v>0</v>
      </c>
      <c r="DI247" s="21">
        <v>0</v>
      </c>
      <c r="DJ247" s="21">
        <v>0</v>
      </c>
      <c r="DK247" s="21">
        <v>0</v>
      </c>
      <c r="DL247" s="21">
        <v>0</v>
      </c>
      <c r="DM247" s="21">
        <v>0</v>
      </c>
      <c r="DN247" s="21">
        <v>0</v>
      </c>
      <c r="DO247" s="21">
        <v>0</v>
      </c>
      <c r="DP247" s="21">
        <v>0</v>
      </c>
      <c r="DQ247" s="21">
        <v>0</v>
      </c>
      <c r="DR247" s="21">
        <v>0</v>
      </c>
      <c r="DS247" s="21">
        <v>0</v>
      </c>
      <c r="DT247" s="21">
        <v>0</v>
      </c>
      <c r="DU247" s="21">
        <v>0</v>
      </c>
      <c r="DV247" s="21">
        <v>0</v>
      </c>
      <c r="DW247" s="21">
        <v>0</v>
      </c>
      <c r="DX247" s="21">
        <v>0</v>
      </c>
      <c r="DY247" s="21">
        <v>0</v>
      </c>
      <c r="DZ247" s="21">
        <v>0</v>
      </c>
      <c r="EA247" s="21">
        <v>0</v>
      </c>
      <c r="EB247" s="21">
        <v>0</v>
      </c>
      <c r="EC247" s="21">
        <v>0</v>
      </c>
      <c r="ED247" s="21">
        <v>0</v>
      </c>
      <c r="EE247" s="21">
        <v>0</v>
      </c>
      <c r="EF247" s="21">
        <v>0</v>
      </c>
    </row>
    <row r="248" spans="1:136" ht="14.5" x14ac:dyDescent="0.35">
      <c r="A248" s="20" t="s">
        <v>12</v>
      </c>
      <c r="B248" s="20" t="s">
        <v>84</v>
      </c>
      <c r="C248" s="20" t="s">
        <v>84</v>
      </c>
      <c r="D248" s="20" t="s">
        <v>337</v>
      </c>
      <c r="E248" s="20" t="s">
        <v>16</v>
      </c>
      <c r="F248" s="20" t="s">
        <v>46</v>
      </c>
      <c r="G248" s="21">
        <v>0</v>
      </c>
      <c r="H248" s="21">
        <v>0</v>
      </c>
      <c r="I248" s="21">
        <v>12</v>
      </c>
      <c r="J248" s="21">
        <v>-12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2</v>
      </c>
      <c r="X248" s="21">
        <v>10</v>
      </c>
      <c r="Y248" s="21">
        <v>0</v>
      </c>
      <c r="Z248" s="21">
        <v>0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1">
        <v>0</v>
      </c>
      <c r="BD248" s="21">
        <v>0</v>
      </c>
      <c r="BE248" s="21">
        <v>0</v>
      </c>
      <c r="BF248" s="21">
        <v>0</v>
      </c>
      <c r="BG248" s="21">
        <v>0</v>
      </c>
      <c r="BH248" s="21">
        <v>0</v>
      </c>
      <c r="BI248" s="21">
        <v>0</v>
      </c>
      <c r="BJ248" s="21">
        <v>0</v>
      </c>
      <c r="BK248" s="21">
        <v>0</v>
      </c>
      <c r="BL248" s="21">
        <v>0</v>
      </c>
      <c r="BM248" s="21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0</v>
      </c>
      <c r="BT248" s="21">
        <v>0</v>
      </c>
      <c r="BU248" s="21">
        <v>0</v>
      </c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1">
        <v>0</v>
      </c>
      <c r="CH248" s="21">
        <v>0</v>
      </c>
      <c r="CI248" s="21">
        <v>0</v>
      </c>
      <c r="CJ248" s="21">
        <v>0</v>
      </c>
      <c r="CK248" s="21">
        <v>0</v>
      </c>
      <c r="CL248" s="21">
        <v>0</v>
      </c>
      <c r="CM248" s="21">
        <v>0</v>
      </c>
      <c r="CN248" s="21">
        <v>0</v>
      </c>
      <c r="CO248" s="21">
        <v>0</v>
      </c>
      <c r="CP248" s="21">
        <v>0</v>
      </c>
      <c r="CQ248" s="21">
        <v>0</v>
      </c>
      <c r="CR248" s="21">
        <v>0</v>
      </c>
      <c r="CS248" s="21">
        <v>0</v>
      </c>
      <c r="CT248" s="21">
        <v>0</v>
      </c>
      <c r="CU248" s="21">
        <v>0</v>
      </c>
      <c r="CV248" s="21">
        <v>0</v>
      </c>
      <c r="CW248" s="21">
        <v>0</v>
      </c>
      <c r="CX248" s="21">
        <v>0</v>
      </c>
      <c r="CY248" s="21">
        <v>0</v>
      </c>
      <c r="CZ248" s="21">
        <v>0</v>
      </c>
      <c r="DA248" s="21">
        <v>0</v>
      </c>
      <c r="DB248" s="21">
        <v>0</v>
      </c>
      <c r="DC248" s="21">
        <v>0</v>
      </c>
      <c r="DD248" s="21">
        <v>0</v>
      </c>
      <c r="DE248" s="21">
        <v>0</v>
      </c>
      <c r="DF248" s="21">
        <v>0</v>
      </c>
      <c r="DG248" s="21">
        <v>0</v>
      </c>
      <c r="DH248" s="21">
        <v>0</v>
      </c>
      <c r="DI248" s="21">
        <v>0</v>
      </c>
      <c r="DJ248" s="21">
        <v>0</v>
      </c>
      <c r="DK248" s="21">
        <v>0</v>
      </c>
      <c r="DL248" s="21">
        <v>0</v>
      </c>
      <c r="DM248" s="21">
        <v>0</v>
      </c>
      <c r="DN248" s="21">
        <v>0</v>
      </c>
      <c r="DO248" s="21">
        <v>0</v>
      </c>
      <c r="DP248" s="21">
        <v>0</v>
      </c>
      <c r="DQ248" s="21">
        <v>0</v>
      </c>
      <c r="DR248" s="21">
        <v>0</v>
      </c>
      <c r="DS248" s="21">
        <v>0</v>
      </c>
      <c r="DT248" s="21">
        <v>0</v>
      </c>
      <c r="DU248" s="21">
        <v>0</v>
      </c>
      <c r="DV248" s="21">
        <v>0</v>
      </c>
      <c r="DW248" s="21">
        <v>0</v>
      </c>
      <c r="DX248" s="21">
        <v>0</v>
      </c>
      <c r="DY248" s="21">
        <v>0</v>
      </c>
      <c r="DZ248" s="21">
        <v>0</v>
      </c>
      <c r="EA248" s="21">
        <v>0</v>
      </c>
      <c r="EB248" s="21">
        <v>0</v>
      </c>
      <c r="EC248" s="21">
        <v>0</v>
      </c>
      <c r="ED248" s="21">
        <v>0</v>
      </c>
      <c r="EE248" s="21">
        <v>0</v>
      </c>
      <c r="EF248" s="21">
        <v>0</v>
      </c>
    </row>
    <row r="249" spans="1:136" ht="14.5" x14ac:dyDescent="0.35">
      <c r="A249" s="20" t="s">
        <v>12</v>
      </c>
      <c r="B249" s="20" t="s">
        <v>84</v>
      </c>
      <c r="C249" s="20" t="s">
        <v>84</v>
      </c>
      <c r="D249" s="20" t="s">
        <v>338</v>
      </c>
      <c r="E249" s="20" t="s">
        <v>16</v>
      </c>
      <c r="F249" s="20" t="s">
        <v>90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1">
        <v>0</v>
      </c>
      <c r="BD249" s="21">
        <v>0</v>
      </c>
      <c r="BE249" s="21">
        <v>0</v>
      </c>
      <c r="BF249" s="21">
        <v>0</v>
      </c>
      <c r="BG249" s="21">
        <v>0</v>
      </c>
      <c r="BH249" s="21">
        <v>0</v>
      </c>
      <c r="BI249" s="21">
        <v>0</v>
      </c>
      <c r="BJ249" s="21">
        <v>0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0</v>
      </c>
      <c r="BW249" s="21">
        <v>0</v>
      </c>
      <c r="BX249" s="21">
        <v>0</v>
      </c>
      <c r="BY249" s="21">
        <v>0</v>
      </c>
      <c r="BZ249" s="21">
        <v>0</v>
      </c>
      <c r="CA249" s="21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21">
        <v>0</v>
      </c>
      <c r="CH249" s="21">
        <v>0</v>
      </c>
      <c r="CI249" s="21">
        <v>0</v>
      </c>
      <c r="CJ249" s="21">
        <v>0</v>
      </c>
      <c r="CK249" s="21">
        <v>0</v>
      </c>
      <c r="CL249" s="21">
        <v>0</v>
      </c>
      <c r="CM249" s="21">
        <v>0</v>
      </c>
      <c r="CN249" s="21">
        <v>0</v>
      </c>
      <c r="CO249" s="21">
        <v>0</v>
      </c>
      <c r="CP249" s="21">
        <v>0</v>
      </c>
      <c r="CQ249" s="21">
        <v>0</v>
      </c>
      <c r="CR249" s="21">
        <v>0</v>
      </c>
      <c r="CS249" s="21">
        <v>0</v>
      </c>
      <c r="CT249" s="21">
        <v>0</v>
      </c>
      <c r="CU249" s="21">
        <v>0</v>
      </c>
      <c r="CV249" s="21">
        <v>0</v>
      </c>
      <c r="CW249" s="21">
        <v>0</v>
      </c>
      <c r="CX249" s="21">
        <v>0</v>
      </c>
      <c r="CY249" s="21">
        <v>0</v>
      </c>
      <c r="CZ249" s="21">
        <v>0</v>
      </c>
      <c r="DA249" s="21">
        <v>0</v>
      </c>
      <c r="DB249" s="21">
        <v>0</v>
      </c>
      <c r="DC249" s="21">
        <v>0</v>
      </c>
      <c r="DD249" s="21">
        <v>0</v>
      </c>
      <c r="DE249" s="21">
        <v>0</v>
      </c>
      <c r="DF249" s="21">
        <v>0</v>
      </c>
      <c r="DG249" s="21">
        <v>0</v>
      </c>
      <c r="DH249" s="21">
        <v>0</v>
      </c>
      <c r="DI249" s="21">
        <v>0</v>
      </c>
      <c r="DJ249" s="21">
        <v>0</v>
      </c>
      <c r="DK249" s="21">
        <v>0</v>
      </c>
      <c r="DL249" s="21">
        <v>0</v>
      </c>
      <c r="DM249" s="21">
        <v>0</v>
      </c>
      <c r="DN249" s="21">
        <v>0</v>
      </c>
      <c r="DO249" s="21">
        <v>0</v>
      </c>
      <c r="DP249" s="21">
        <v>0</v>
      </c>
      <c r="DQ249" s="21">
        <v>0</v>
      </c>
      <c r="DR249" s="21">
        <v>0</v>
      </c>
      <c r="DS249" s="21">
        <v>0</v>
      </c>
      <c r="DT249" s="21">
        <v>0</v>
      </c>
      <c r="DU249" s="21">
        <v>0</v>
      </c>
      <c r="DV249" s="21">
        <v>0</v>
      </c>
      <c r="DW249" s="21">
        <v>0</v>
      </c>
      <c r="DX249" s="21">
        <v>0</v>
      </c>
      <c r="DY249" s="21">
        <v>0</v>
      </c>
      <c r="DZ249" s="21">
        <v>0</v>
      </c>
      <c r="EA249" s="21">
        <v>0</v>
      </c>
      <c r="EB249" s="21">
        <v>0</v>
      </c>
      <c r="EC249" s="21">
        <v>0</v>
      </c>
      <c r="ED249" s="21">
        <v>0</v>
      </c>
      <c r="EE249" s="21">
        <v>0</v>
      </c>
      <c r="EF249" s="21">
        <v>0</v>
      </c>
    </row>
    <row r="250" spans="1:136" ht="14.5" x14ac:dyDescent="0.35">
      <c r="A250" s="20" t="s">
        <v>12</v>
      </c>
      <c r="B250" s="20" t="s">
        <v>84</v>
      </c>
      <c r="C250" s="20" t="s">
        <v>84</v>
      </c>
      <c r="D250" s="20" t="s">
        <v>337</v>
      </c>
      <c r="E250" s="20" t="s">
        <v>16</v>
      </c>
      <c r="F250" s="20" t="s">
        <v>90</v>
      </c>
      <c r="G250" s="21">
        <v>4.5</v>
      </c>
      <c r="H250" s="21">
        <v>4.5</v>
      </c>
      <c r="I250" s="21">
        <v>4.5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21">
        <v>0</v>
      </c>
      <c r="AB250" s="21">
        <v>4.5</v>
      </c>
      <c r="AC250" s="21">
        <v>0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0</v>
      </c>
      <c r="BB250" s="21">
        <v>0</v>
      </c>
      <c r="BC250" s="21">
        <v>0</v>
      </c>
      <c r="BD250" s="21">
        <v>0</v>
      </c>
      <c r="BE250" s="21">
        <v>0</v>
      </c>
      <c r="BF250" s="21">
        <v>0</v>
      </c>
      <c r="BG250" s="21">
        <v>0</v>
      </c>
      <c r="BH250" s="21">
        <v>0</v>
      </c>
      <c r="BI250" s="21">
        <v>0</v>
      </c>
      <c r="BJ250" s="21">
        <v>0</v>
      </c>
      <c r="BK250" s="21">
        <v>0</v>
      </c>
      <c r="BL250" s="21">
        <v>0</v>
      </c>
      <c r="BM250" s="21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  <c r="BT250" s="21">
        <v>0</v>
      </c>
      <c r="BU250" s="21">
        <v>0</v>
      </c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1">
        <v>0</v>
      </c>
      <c r="CH250" s="21">
        <v>0</v>
      </c>
      <c r="CI250" s="21">
        <v>0</v>
      </c>
      <c r="CJ250" s="21">
        <v>0</v>
      </c>
      <c r="CK250" s="21">
        <v>0</v>
      </c>
      <c r="CL250" s="21">
        <v>0</v>
      </c>
      <c r="CM250" s="21">
        <v>0</v>
      </c>
      <c r="CN250" s="21">
        <v>0</v>
      </c>
      <c r="CO250" s="21">
        <v>0</v>
      </c>
      <c r="CP250" s="21">
        <v>0</v>
      </c>
      <c r="CQ250" s="21">
        <v>0</v>
      </c>
      <c r="CR250" s="21">
        <v>0</v>
      </c>
      <c r="CS250" s="21">
        <v>0</v>
      </c>
      <c r="CT250" s="21">
        <v>0</v>
      </c>
      <c r="CU250" s="21">
        <v>0</v>
      </c>
      <c r="CV250" s="21">
        <v>0</v>
      </c>
      <c r="CW250" s="21">
        <v>0</v>
      </c>
      <c r="CX250" s="21">
        <v>0</v>
      </c>
      <c r="CY250" s="21">
        <v>0</v>
      </c>
      <c r="CZ250" s="21">
        <v>0</v>
      </c>
      <c r="DA250" s="21">
        <v>0</v>
      </c>
      <c r="DB250" s="21">
        <v>0</v>
      </c>
      <c r="DC250" s="21">
        <v>0</v>
      </c>
      <c r="DD250" s="21">
        <v>0</v>
      </c>
      <c r="DE250" s="21">
        <v>0</v>
      </c>
      <c r="DF250" s="21">
        <v>0</v>
      </c>
      <c r="DG250" s="21">
        <v>0</v>
      </c>
      <c r="DH250" s="21">
        <v>0</v>
      </c>
      <c r="DI250" s="21">
        <v>0</v>
      </c>
      <c r="DJ250" s="21">
        <v>0</v>
      </c>
      <c r="DK250" s="21">
        <v>0</v>
      </c>
      <c r="DL250" s="21">
        <v>0</v>
      </c>
      <c r="DM250" s="21">
        <v>0</v>
      </c>
      <c r="DN250" s="21">
        <v>0</v>
      </c>
      <c r="DO250" s="21">
        <v>0</v>
      </c>
      <c r="DP250" s="21">
        <v>0</v>
      </c>
      <c r="DQ250" s="21">
        <v>0</v>
      </c>
      <c r="DR250" s="21">
        <v>0</v>
      </c>
      <c r="DS250" s="21">
        <v>0</v>
      </c>
      <c r="DT250" s="21">
        <v>0</v>
      </c>
      <c r="DU250" s="21">
        <v>0</v>
      </c>
      <c r="DV250" s="21">
        <v>0</v>
      </c>
      <c r="DW250" s="21">
        <v>0</v>
      </c>
      <c r="DX250" s="21">
        <v>0</v>
      </c>
      <c r="DY250" s="21">
        <v>0</v>
      </c>
      <c r="DZ250" s="21">
        <v>0</v>
      </c>
      <c r="EA250" s="21">
        <v>0</v>
      </c>
      <c r="EB250" s="21">
        <v>0</v>
      </c>
      <c r="EC250" s="21">
        <v>0</v>
      </c>
      <c r="ED250" s="21">
        <v>0</v>
      </c>
      <c r="EE250" s="21">
        <v>0</v>
      </c>
      <c r="EF250" s="21">
        <v>0</v>
      </c>
    </row>
    <row r="251" spans="1:136" ht="14.5" x14ac:dyDescent="0.35">
      <c r="A251" s="20" t="s">
        <v>12</v>
      </c>
      <c r="B251" s="20" t="s">
        <v>84</v>
      </c>
      <c r="C251" s="20" t="s">
        <v>84</v>
      </c>
      <c r="D251" s="20" t="s">
        <v>337</v>
      </c>
      <c r="E251" s="20" t="s">
        <v>16</v>
      </c>
      <c r="F251" s="20" t="s">
        <v>90</v>
      </c>
      <c r="G251" s="21">
        <v>0</v>
      </c>
      <c r="H251" s="21">
        <v>0</v>
      </c>
      <c r="I251" s="21">
        <v>63</v>
      </c>
      <c r="J251" s="21">
        <v>-63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4.5</v>
      </c>
      <c r="Z251" s="21">
        <v>29.5</v>
      </c>
      <c r="AA251" s="21">
        <v>29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0</v>
      </c>
      <c r="AZ251" s="21">
        <v>0</v>
      </c>
      <c r="BA251" s="21">
        <v>0</v>
      </c>
      <c r="BB251" s="21">
        <v>0</v>
      </c>
      <c r="BC251" s="21">
        <v>0</v>
      </c>
      <c r="BD251" s="21">
        <v>0</v>
      </c>
      <c r="BE251" s="21">
        <v>0</v>
      </c>
      <c r="BF251" s="21">
        <v>0</v>
      </c>
      <c r="BG251" s="21">
        <v>0</v>
      </c>
      <c r="BH251" s="21">
        <v>0</v>
      </c>
      <c r="BI251" s="21">
        <v>0</v>
      </c>
      <c r="BJ251" s="21">
        <v>0</v>
      </c>
      <c r="BK251" s="21">
        <v>0</v>
      </c>
      <c r="BL251" s="21">
        <v>0</v>
      </c>
      <c r="BM251" s="21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  <c r="BT251" s="21">
        <v>0</v>
      </c>
      <c r="BU251" s="21">
        <v>0</v>
      </c>
      <c r="BV251" s="21">
        <v>0</v>
      </c>
      <c r="BW251" s="21">
        <v>0</v>
      </c>
      <c r="BX251" s="21">
        <v>0</v>
      </c>
      <c r="BY251" s="21">
        <v>0</v>
      </c>
      <c r="BZ251" s="21">
        <v>0</v>
      </c>
      <c r="CA251" s="21">
        <v>0</v>
      </c>
      <c r="CB251" s="21">
        <v>0</v>
      </c>
      <c r="CC251" s="21">
        <v>0</v>
      </c>
      <c r="CD251" s="21">
        <v>0</v>
      </c>
      <c r="CE251" s="21">
        <v>0</v>
      </c>
      <c r="CF251" s="21">
        <v>0</v>
      </c>
      <c r="CG251" s="21">
        <v>0</v>
      </c>
      <c r="CH251" s="21">
        <v>0</v>
      </c>
      <c r="CI251" s="21">
        <v>0</v>
      </c>
      <c r="CJ251" s="21">
        <v>0</v>
      </c>
      <c r="CK251" s="21">
        <v>0</v>
      </c>
      <c r="CL251" s="21">
        <v>0</v>
      </c>
      <c r="CM251" s="21">
        <v>0</v>
      </c>
      <c r="CN251" s="21">
        <v>0</v>
      </c>
      <c r="CO251" s="21">
        <v>0</v>
      </c>
      <c r="CP251" s="21">
        <v>0</v>
      </c>
      <c r="CQ251" s="21">
        <v>0</v>
      </c>
      <c r="CR251" s="21">
        <v>0</v>
      </c>
      <c r="CS251" s="21">
        <v>0</v>
      </c>
      <c r="CT251" s="21">
        <v>0</v>
      </c>
      <c r="CU251" s="21">
        <v>0</v>
      </c>
      <c r="CV251" s="21">
        <v>0</v>
      </c>
      <c r="CW251" s="21">
        <v>0</v>
      </c>
      <c r="CX251" s="21">
        <v>0</v>
      </c>
      <c r="CY251" s="21">
        <v>0</v>
      </c>
      <c r="CZ251" s="21">
        <v>0</v>
      </c>
      <c r="DA251" s="21">
        <v>0</v>
      </c>
      <c r="DB251" s="21">
        <v>0</v>
      </c>
      <c r="DC251" s="21">
        <v>0</v>
      </c>
      <c r="DD251" s="21">
        <v>0</v>
      </c>
      <c r="DE251" s="21">
        <v>0</v>
      </c>
      <c r="DF251" s="21">
        <v>0</v>
      </c>
      <c r="DG251" s="21">
        <v>0</v>
      </c>
      <c r="DH251" s="21">
        <v>0</v>
      </c>
      <c r="DI251" s="21">
        <v>0</v>
      </c>
      <c r="DJ251" s="21">
        <v>0</v>
      </c>
      <c r="DK251" s="21">
        <v>0</v>
      </c>
      <c r="DL251" s="21">
        <v>0</v>
      </c>
      <c r="DM251" s="21">
        <v>0</v>
      </c>
      <c r="DN251" s="21">
        <v>0</v>
      </c>
      <c r="DO251" s="21">
        <v>0</v>
      </c>
      <c r="DP251" s="21">
        <v>0</v>
      </c>
      <c r="DQ251" s="21">
        <v>0</v>
      </c>
      <c r="DR251" s="21">
        <v>0</v>
      </c>
      <c r="DS251" s="21">
        <v>0</v>
      </c>
      <c r="DT251" s="21">
        <v>0</v>
      </c>
      <c r="DU251" s="21">
        <v>0</v>
      </c>
      <c r="DV251" s="21">
        <v>0</v>
      </c>
      <c r="DW251" s="21">
        <v>0</v>
      </c>
      <c r="DX251" s="21">
        <v>0</v>
      </c>
      <c r="DY251" s="21">
        <v>0</v>
      </c>
      <c r="DZ251" s="21">
        <v>0</v>
      </c>
      <c r="EA251" s="21">
        <v>0</v>
      </c>
      <c r="EB251" s="21">
        <v>0</v>
      </c>
      <c r="EC251" s="21">
        <v>0</v>
      </c>
      <c r="ED251" s="21">
        <v>0</v>
      </c>
      <c r="EE251" s="21">
        <v>0</v>
      </c>
      <c r="EF251" s="21">
        <v>0</v>
      </c>
    </row>
    <row r="252" spans="1:136" ht="14.5" x14ac:dyDescent="0.35">
      <c r="A252" s="20" t="s">
        <v>12</v>
      </c>
      <c r="B252" s="20" t="s">
        <v>84</v>
      </c>
      <c r="C252" s="20" t="s">
        <v>84</v>
      </c>
      <c r="D252" s="20" t="s">
        <v>338</v>
      </c>
      <c r="E252" s="20" t="s">
        <v>16</v>
      </c>
      <c r="F252" s="20" t="s">
        <v>43</v>
      </c>
      <c r="G252" s="21">
        <v>0</v>
      </c>
      <c r="H252" s="21">
        <v>0</v>
      </c>
      <c r="I252" s="21">
        <v>42</v>
      </c>
      <c r="J252" s="21">
        <v>-42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3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1">
        <v>0</v>
      </c>
      <c r="BD252" s="21">
        <v>0</v>
      </c>
      <c r="BE252" s="21">
        <v>0</v>
      </c>
      <c r="BF252" s="21">
        <v>0</v>
      </c>
      <c r="BG252" s="21">
        <v>0</v>
      </c>
      <c r="BH252" s="21">
        <v>0</v>
      </c>
      <c r="BI252" s="21">
        <v>0</v>
      </c>
      <c r="BJ252" s="21">
        <v>0</v>
      </c>
      <c r="BK252" s="21">
        <v>0</v>
      </c>
      <c r="BL252" s="21">
        <v>0</v>
      </c>
      <c r="BM252" s="21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0</v>
      </c>
      <c r="BT252" s="21">
        <v>0</v>
      </c>
      <c r="BU252" s="21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1">
        <v>0</v>
      </c>
      <c r="CH252" s="21">
        <v>0</v>
      </c>
      <c r="CI252" s="21">
        <v>0</v>
      </c>
      <c r="CJ252" s="21">
        <v>0</v>
      </c>
      <c r="CK252" s="21">
        <v>0</v>
      </c>
      <c r="CL252" s="21">
        <v>0</v>
      </c>
      <c r="CM252" s="21">
        <v>0</v>
      </c>
      <c r="CN252" s="21">
        <v>0</v>
      </c>
      <c r="CO252" s="21">
        <v>0</v>
      </c>
      <c r="CP252" s="21">
        <v>0</v>
      </c>
      <c r="CQ252" s="21">
        <v>0</v>
      </c>
      <c r="CR252" s="21">
        <v>0</v>
      </c>
      <c r="CS252" s="21">
        <v>1</v>
      </c>
      <c r="CT252" s="21">
        <v>1</v>
      </c>
      <c r="CU252" s="21">
        <v>1</v>
      </c>
      <c r="CV252" s="21">
        <v>1</v>
      </c>
      <c r="CW252" s="21">
        <v>1</v>
      </c>
      <c r="CX252" s="21">
        <v>1</v>
      </c>
      <c r="CY252" s="21">
        <v>1</v>
      </c>
      <c r="CZ252" s="21">
        <v>0</v>
      </c>
      <c r="DA252" s="21">
        <v>0</v>
      </c>
      <c r="DB252" s="21">
        <v>1</v>
      </c>
      <c r="DC252" s="21">
        <v>1</v>
      </c>
      <c r="DD252" s="21">
        <v>1</v>
      </c>
      <c r="DE252" s="21">
        <v>1</v>
      </c>
      <c r="DF252" s="21">
        <v>1</v>
      </c>
      <c r="DG252" s="21">
        <v>1</v>
      </c>
      <c r="DH252" s="21">
        <v>1</v>
      </c>
      <c r="DI252" s="21">
        <v>0</v>
      </c>
      <c r="DJ252" s="21">
        <v>0</v>
      </c>
      <c r="DK252" s="21">
        <v>0</v>
      </c>
      <c r="DL252" s="21">
        <v>1</v>
      </c>
      <c r="DM252" s="21">
        <v>5</v>
      </c>
      <c r="DN252" s="21">
        <v>5</v>
      </c>
      <c r="DO252" s="21">
        <v>6</v>
      </c>
      <c r="DP252" s="21">
        <v>6</v>
      </c>
      <c r="DQ252" s="21">
        <v>1</v>
      </c>
      <c r="DR252" s="21">
        <v>1</v>
      </c>
      <c r="DS252" s="21">
        <v>0</v>
      </c>
      <c r="DT252" s="21">
        <v>0</v>
      </c>
      <c r="DU252" s="21">
        <v>0</v>
      </c>
      <c r="DV252" s="21">
        <v>0</v>
      </c>
      <c r="DW252" s="21">
        <v>0</v>
      </c>
      <c r="DX252" s="21">
        <v>0</v>
      </c>
      <c r="DY252" s="21">
        <v>0</v>
      </c>
      <c r="DZ252" s="21">
        <v>0</v>
      </c>
      <c r="EA252" s="21">
        <v>0</v>
      </c>
      <c r="EB252" s="21">
        <v>0</v>
      </c>
      <c r="EC252" s="21">
        <v>0</v>
      </c>
      <c r="ED252" s="21">
        <v>0</v>
      </c>
      <c r="EE252" s="21">
        <v>0</v>
      </c>
      <c r="EF252" s="21">
        <v>0</v>
      </c>
    </row>
    <row r="253" spans="1:136" ht="14.5" x14ac:dyDescent="0.35">
      <c r="A253" s="20" t="s">
        <v>12</v>
      </c>
      <c r="B253" s="20" t="s">
        <v>84</v>
      </c>
      <c r="C253" s="20" t="s">
        <v>84</v>
      </c>
      <c r="D253" s="20" t="s">
        <v>337</v>
      </c>
      <c r="E253" s="20" t="s">
        <v>16</v>
      </c>
      <c r="F253" s="20" t="s">
        <v>43</v>
      </c>
      <c r="G253" s="21">
        <v>4</v>
      </c>
      <c r="H253" s="21">
        <v>49</v>
      </c>
      <c r="I253" s="21">
        <v>0</v>
      </c>
      <c r="J253" s="21">
        <v>49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  <c r="BL253" s="21">
        <v>0</v>
      </c>
      <c r="BM253" s="21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21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21">
        <v>0</v>
      </c>
      <c r="CI253" s="21">
        <v>0</v>
      </c>
      <c r="CJ253" s="21">
        <v>0</v>
      </c>
      <c r="CK253" s="21">
        <v>0</v>
      </c>
      <c r="CL253" s="21">
        <v>0</v>
      </c>
      <c r="CM253" s="21">
        <v>0</v>
      </c>
      <c r="CN253" s="21">
        <v>0</v>
      </c>
      <c r="CO253" s="21">
        <v>0</v>
      </c>
      <c r="CP253" s="21">
        <v>0</v>
      </c>
      <c r="CQ253" s="21">
        <v>0</v>
      </c>
      <c r="CR253" s="21">
        <v>0</v>
      </c>
      <c r="CS253" s="21">
        <v>0</v>
      </c>
      <c r="CT253" s="21">
        <v>0</v>
      </c>
      <c r="CU253" s="21">
        <v>0</v>
      </c>
      <c r="CV253" s="21">
        <v>0</v>
      </c>
      <c r="CW253" s="21">
        <v>0</v>
      </c>
      <c r="CX253" s="21">
        <v>0</v>
      </c>
      <c r="CY253" s="21">
        <v>0</v>
      </c>
      <c r="CZ253" s="21">
        <v>0</v>
      </c>
      <c r="DA253" s="21">
        <v>0</v>
      </c>
      <c r="DB253" s="21">
        <v>0</v>
      </c>
      <c r="DC253" s="21">
        <v>0</v>
      </c>
      <c r="DD253" s="21">
        <v>0</v>
      </c>
      <c r="DE253" s="21">
        <v>0</v>
      </c>
      <c r="DF253" s="21">
        <v>0</v>
      </c>
      <c r="DG253" s="21">
        <v>0</v>
      </c>
      <c r="DH253" s="21">
        <v>0</v>
      </c>
      <c r="DI253" s="21">
        <v>0</v>
      </c>
      <c r="DJ253" s="21">
        <v>0</v>
      </c>
      <c r="DK253" s="21">
        <v>0</v>
      </c>
      <c r="DL253" s="21">
        <v>0</v>
      </c>
      <c r="DM253" s="21">
        <v>0</v>
      </c>
      <c r="DN253" s="21">
        <v>0</v>
      </c>
      <c r="DO253" s="21">
        <v>0</v>
      </c>
      <c r="DP253" s="21">
        <v>0</v>
      </c>
      <c r="DQ253" s="21">
        <v>0</v>
      </c>
      <c r="DR253" s="21">
        <v>0</v>
      </c>
      <c r="DS253" s="21">
        <v>0</v>
      </c>
      <c r="DT253" s="21">
        <v>0</v>
      </c>
      <c r="DU253" s="21">
        <v>0</v>
      </c>
      <c r="DV253" s="21">
        <v>0</v>
      </c>
      <c r="DW253" s="21">
        <v>0</v>
      </c>
      <c r="DX253" s="21">
        <v>0</v>
      </c>
      <c r="DY253" s="21">
        <v>0</v>
      </c>
      <c r="DZ253" s="21">
        <v>0</v>
      </c>
      <c r="EA253" s="21">
        <v>0</v>
      </c>
      <c r="EB253" s="21">
        <v>0</v>
      </c>
      <c r="EC253" s="21">
        <v>0</v>
      </c>
      <c r="ED253" s="21">
        <v>0</v>
      </c>
      <c r="EE253" s="21">
        <v>0</v>
      </c>
      <c r="EF253" s="21">
        <v>0</v>
      </c>
    </row>
    <row r="254" spans="1:136" ht="14.5" x14ac:dyDescent="0.35">
      <c r="A254" s="20" t="s">
        <v>12</v>
      </c>
      <c r="B254" s="20" t="s">
        <v>84</v>
      </c>
      <c r="C254" s="20" t="s">
        <v>84</v>
      </c>
      <c r="D254" s="20" t="s">
        <v>338</v>
      </c>
      <c r="E254" s="20" t="s">
        <v>16</v>
      </c>
      <c r="F254" s="20" t="s">
        <v>91</v>
      </c>
      <c r="G254" s="21">
        <v>0</v>
      </c>
      <c r="H254" s="21">
        <v>0</v>
      </c>
      <c r="I254" s="21">
        <v>59</v>
      </c>
      <c r="J254" s="21">
        <v>-59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1">
        <v>0</v>
      </c>
      <c r="AA254" s="21">
        <v>0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4</v>
      </c>
      <c r="AM254" s="21">
        <v>21.5</v>
      </c>
      <c r="AN254" s="21">
        <v>25.5</v>
      </c>
      <c r="AO254" s="21">
        <v>8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1">
        <v>0</v>
      </c>
      <c r="BL254" s="21">
        <v>0</v>
      </c>
      <c r="BM254" s="21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  <c r="BT254" s="21">
        <v>0</v>
      </c>
      <c r="BU254" s="21">
        <v>0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1">
        <v>0</v>
      </c>
      <c r="CH254" s="21">
        <v>0</v>
      </c>
      <c r="CI254" s="21">
        <v>0</v>
      </c>
      <c r="CJ254" s="21">
        <v>0</v>
      </c>
      <c r="CK254" s="21">
        <v>0</v>
      </c>
      <c r="CL254" s="21">
        <v>0</v>
      </c>
      <c r="CM254" s="21">
        <v>0</v>
      </c>
      <c r="CN254" s="21">
        <v>0</v>
      </c>
      <c r="CO254" s="21">
        <v>0</v>
      </c>
      <c r="CP254" s="21">
        <v>0</v>
      </c>
      <c r="CQ254" s="21">
        <v>0</v>
      </c>
      <c r="CR254" s="21">
        <v>0</v>
      </c>
      <c r="CS254" s="21">
        <v>0</v>
      </c>
      <c r="CT254" s="21">
        <v>0</v>
      </c>
      <c r="CU254" s="21">
        <v>0</v>
      </c>
      <c r="CV254" s="21">
        <v>0</v>
      </c>
      <c r="CW254" s="21">
        <v>0</v>
      </c>
      <c r="CX254" s="21">
        <v>0</v>
      </c>
      <c r="CY254" s="21">
        <v>0</v>
      </c>
      <c r="CZ254" s="21">
        <v>0</v>
      </c>
      <c r="DA254" s="21">
        <v>0</v>
      </c>
      <c r="DB254" s="21">
        <v>0</v>
      </c>
      <c r="DC254" s="21">
        <v>0</v>
      </c>
      <c r="DD254" s="21">
        <v>0</v>
      </c>
      <c r="DE254" s="21">
        <v>0</v>
      </c>
      <c r="DF254" s="21">
        <v>0</v>
      </c>
      <c r="DG254" s="21">
        <v>0</v>
      </c>
      <c r="DH254" s="21">
        <v>0</v>
      </c>
      <c r="DI254" s="21">
        <v>0</v>
      </c>
      <c r="DJ254" s="21">
        <v>0</v>
      </c>
      <c r="DK254" s="21">
        <v>0</v>
      </c>
      <c r="DL254" s="21">
        <v>0</v>
      </c>
      <c r="DM254" s="21">
        <v>0</v>
      </c>
      <c r="DN254" s="21">
        <v>0</v>
      </c>
      <c r="DO254" s="21">
        <v>0</v>
      </c>
      <c r="DP254" s="21">
        <v>0</v>
      </c>
      <c r="DQ254" s="21">
        <v>0</v>
      </c>
      <c r="DR254" s="21">
        <v>0</v>
      </c>
      <c r="DS254" s="21">
        <v>0</v>
      </c>
      <c r="DT254" s="21">
        <v>0</v>
      </c>
      <c r="DU254" s="21">
        <v>0</v>
      </c>
      <c r="DV254" s="21">
        <v>0</v>
      </c>
      <c r="DW254" s="21">
        <v>0</v>
      </c>
      <c r="DX254" s="21">
        <v>0</v>
      </c>
      <c r="DY254" s="21">
        <v>0</v>
      </c>
      <c r="DZ254" s="21">
        <v>0</v>
      </c>
      <c r="EA254" s="21">
        <v>0</v>
      </c>
      <c r="EB254" s="21">
        <v>0</v>
      </c>
      <c r="EC254" s="21">
        <v>0</v>
      </c>
      <c r="ED254" s="21">
        <v>0</v>
      </c>
      <c r="EE254" s="21">
        <v>0</v>
      </c>
      <c r="EF254" s="21">
        <v>0</v>
      </c>
    </row>
    <row r="255" spans="1:136" ht="14.5" x14ac:dyDescent="0.35">
      <c r="A255" s="20" t="s">
        <v>12</v>
      </c>
      <c r="B255" s="20" t="s">
        <v>84</v>
      </c>
      <c r="C255" s="20" t="s">
        <v>84</v>
      </c>
      <c r="D255" s="20" t="s">
        <v>337</v>
      </c>
      <c r="E255" s="20" t="s">
        <v>16</v>
      </c>
      <c r="F255" s="20" t="s">
        <v>91</v>
      </c>
      <c r="G255" s="21">
        <v>60</v>
      </c>
      <c r="H255" s="21">
        <v>60</v>
      </c>
      <c r="I255" s="21">
        <v>0</v>
      </c>
      <c r="J255" s="21">
        <v>60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1">
        <v>0</v>
      </c>
      <c r="BD255" s="21">
        <v>0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1">
        <v>0</v>
      </c>
      <c r="BL255" s="21">
        <v>0</v>
      </c>
      <c r="BM255" s="21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  <c r="BT255" s="21">
        <v>0</v>
      </c>
      <c r="BU255" s="21">
        <v>0</v>
      </c>
      <c r="BV255" s="21">
        <v>0</v>
      </c>
      <c r="BW255" s="21">
        <v>0</v>
      </c>
      <c r="BX255" s="21">
        <v>0</v>
      </c>
      <c r="BY255" s="21">
        <v>0</v>
      </c>
      <c r="BZ255" s="21">
        <v>0</v>
      </c>
      <c r="CA255" s="21">
        <v>0</v>
      </c>
      <c r="CB255" s="21">
        <v>0</v>
      </c>
      <c r="CC255" s="21">
        <v>0</v>
      </c>
      <c r="CD255" s="21">
        <v>0</v>
      </c>
      <c r="CE255" s="21">
        <v>0</v>
      </c>
      <c r="CF255" s="21">
        <v>0</v>
      </c>
      <c r="CG255" s="21">
        <v>0</v>
      </c>
      <c r="CH255" s="21">
        <v>0</v>
      </c>
      <c r="CI255" s="21">
        <v>0</v>
      </c>
      <c r="CJ255" s="21">
        <v>0</v>
      </c>
      <c r="CK255" s="21">
        <v>0</v>
      </c>
      <c r="CL255" s="21">
        <v>0</v>
      </c>
      <c r="CM255" s="21">
        <v>0</v>
      </c>
      <c r="CN255" s="21">
        <v>0</v>
      </c>
      <c r="CO255" s="21">
        <v>0</v>
      </c>
      <c r="CP255" s="21">
        <v>0</v>
      </c>
      <c r="CQ255" s="21">
        <v>0</v>
      </c>
      <c r="CR255" s="21">
        <v>0</v>
      </c>
      <c r="CS255" s="21">
        <v>0</v>
      </c>
      <c r="CT255" s="21">
        <v>0</v>
      </c>
      <c r="CU255" s="21">
        <v>0</v>
      </c>
      <c r="CV255" s="21">
        <v>0</v>
      </c>
      <c r="CW255" s="21">
        <v>0</v>
      </c>
      <c r="CX255" s="21">
        <v>0</v>
      </c>
      <c r="CY255" s="21">
        <v>0</v>
      </c>
      <c r="CZ255" s="21">
        <v>0</v>
      </c>
      <c r="DA255" s="21">
        <v>0</v>
      </c>
      <c r="DB255" s="21">
        <v>0</v>
      </c>
      <c r="DC255" s="21">
        <v>0</v>
      </c>
      <c r="DD255" s="21">
        <v>0</v>
      </c>
      <c r="DE255" s="21">
        <v>0</v>
      </c>
      <c r="DF255" s="21">
        <v>0</v>
      </c>
      <c r="DG255" s="21">
        <v>0</v>
      </c>
      <c r="DH255" s="21">
        <v>0</v>
      </c>
      <c r="DI255" s="21">
        <v>0</v>
      </c>
      <c r="DJ255" s="21">
        <v>0</v>
      </c>
      <c r="DK255" s="21">
        <v>0</v>
      </c>
      <c r="DL255" s="21">
        <v>0</v>
      </c>
      <c r="DM255" s="21">
        <v>0</v>
      </c>
      <c r="DN255" s="21">
        <v>0</v>
      </c>
      <c r="DO255" s="21">
        <v>0</v>
      </c>
      <c r="DP255" s="21">
        <v>0</v>
      </c>
      <c r="DQ255" s="21">
        <v>0</v>
      </c>
      <c r="DR255" s="21">
        <v>0</v>
      </c>
      <c r="DS255" s="21">
        <v>0</v>
      </c>
      <c r="DT255" s="21">
        <v>0</v>
      </c>
      <c r="DU255" s="21">
        <v>0</v>
      </c>
      <c r="DV255" s="21">
        <v>0</v>
      </c>
      <c r="DW255" s="21">
        <v>0</v>
      </c>
      <c r="DX255" s="21">
        <v>0</v>
      </c>
      <c r="DY255" s="21">
        <v>0</v>
      </c>
      <c r="DZ255" s="21">
        <v>0</v>
      </c>
      <c r="EA255" s="21">
        <v>0</v>
      </c>
      <c r="EB255" s="21">
        <v>0</v>
      </c>
      <c r="EC255" s="21">
        <v>0</v>
      </c>
      <c r="ED255" s="21">
        <v>0</v>
      </c>
      <c r="EE255" s="21">
        <v>0</v>
      </c>
      <c r="EF255" s="21">
        <v>0</v>
      </c>
    </row>
    <row r="256" spans="1:136" ht="14.5" x14ac:dyDescent="0.35">
      <c r="A256" s="20" t="s">
        <v>12</v>
      </c>
      <c r="B256" s="20" t="s">
        <v>84</v>
      </c>
      <c r="C256" s="20" t="s">
        <v>84</v>
      </c>
      <c r="D256" s="20" t="s">
        <v>338</v>
      </c>
      <c r="E256" s="20" t="s">
        <v>16</v>
      </c>
      <c r="F256" s="20" t="s">
        <v>92</v>
      </c>
      <c r="G256" s="21">
        <v>0</v>
      </c>
      <c r="H256" s="21">
        <v>0</v>
      </c>
      <c r="I256" s="21">
        <v>40</v>
      </c>
      <c r="J256" s="21">
        <v>-40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1">
        <v>0</v>
      </c>
      <c r="BD256" s="21">
        <v>0</v>
      </c>
      <c r="BE256" s="21">
        <v>0</v>
      </c>
      <c r="BF256" s="21">
        <v>0</v>
      </c>
      <c r="BG256" s="21">
        <v>0</v>
      </c>
      <c r="BH256" s="21">
        <v>0</v>
      </c>
      <c r="BI256" s="21">
        <v>0</v>
      </c>
      <c r="BJ256" s="21">
        <v>0</v>
      </c>
      <c r="BK256" s="21">
        <v>0</v>
      </c>
      <c r="BL256" s="21">
        <v>0</v>
      </c>
      <c r="BM256" s="21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0</v>
      </c>
      <c r="BT256" s="21">
        <v>0</v>
      </c>
      <c r="BU256" s="21">
        <v>0</v>
      </c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>
        <v>0</v>
      </c>
      <c r="CI256" s="21">
        <v>0</v>
      </c>
      <c r="CJ256" s="21">
        <v>0</v>
      </c>
      <c r="CK256" s="21">
        <v>0</v>
      </c>
      <c r="CL256" s="21">
        <v>0</v>
      </c>
      <c r="CM256" s="21">
        <v>0</v>
      </c>
      <c r="CN256" s="21">
        <v>0</v>
      </c>
      <c r="CO256" s="21">
        <v>0</v>
      </c>
      <c r="CP256" s="21">
        <v>0</v>
      </c>
      <c r="CQ256" s="21">
        <v>0</v>
      </c>
      <c r="CR256" s="21">
        <v>0</v>
      </c>
      <c r="CS256" s="21">
        <v>0</v>
      </c>
      <c r="CT256" s="21">
        <v>0</v>
      </c>
      <c r="CU256" s="21">
        <v>0</v>
      </c>
      <c r="CV256" s="21">
        <v>0</v>
      </c>
      <c r="CW256" s="21">
        <v>0</v>
      </c>
      <c r="CX256" s="21">
        <v>0</v>
      </c>
      <c r="CY256" s="21">
        <v>0</v>
      </c>
      <c r="CZ256" s="21">
        <v>20</v>
      </c>
      <c r="DA256" s="21">
        <v>20</v>
      </c>
      <c r="DB256" s="21">
        <v>0</v>
      </c>
      <c r="DC256" s="21">
        <v>0</v>
      </c>
      <c r="DD256" s="21">
        <v>0</v>
      </c>
      <c r="DE256" s="21">
        <v>0</v>
      </c>
      <c r="DF256" s="21">
        <v>0</v>
      </c>
      <c r="DG256" s="21">
        <v>0</v>
      </c>
      <c r="DH256" s="21">
        <v>0</v>
      </c>
      <c r="DI256" s="21">
        <v>0</v>
      </c>
      <c r="DJ256" s="21">
        <v>0</v>
      </c>
      <c r="DK256" s="21">
        <v>0</v>
      </c>
      <c r="DL256" s="21">
        <v>0</v>
      </c>
      <c r="DM256" s="21">
        <v>0</v>
      </c>
      <c r="DN256" s="21">
        <v>0</v>
      </c>
      <c r="DO256" s="21">
        <v>0</v>
      </c>
      <c r="DP256" s="21">
        <v>0</v>
      </c>
      <c r="DQ256" s="21">
        <v>0</v>
      </c>
      <c r="DR256" s="21">
        <v>0</v>
      </c>
      <c r="DS256" s="21">
        <v>0</v>
      </c>
      <c r="DT256" s="21">
        <v>0</v>
      </c>
      <c r="DU256" s="21">
        <v>0</v>
      </c>
      <c r="DV256" s="21">
        <v>0</v>
      </c>
      <c r="DW256" s="21">
        <v>0</v>
      </c>
      <c r="DX256" s="21">
        <v>0</v>
      </c>
      <c r="DY256" s="21">
        <v>0</v>
      </c>
      <c r="DZ256" s="21">
        <v>0</v>
      </c>
      <c r="EA256" s="21">
        <v>0</v>
      </c>
      <c r="EB256" s="21">
        <v>0</v>
      </c>
      <c r="EC256" s="21">
        <v>0</v>
      </c>
      <c r="ED256" s="21">
        <v>0</v>
      </c>
      <c r="EE256" s="21">
        <v>0</v>
      </c>
      <c r="EF256" s="21">
        <v>0</v>
      </c>
    </row>
    <row r="257" spans="1:136" ht="14.5" x14ac:dyDescent="0.35">
      <c r="A257" s="20" t="s">
        <v>12</v>
      </c>
      <c r="B257" s="20" t="s">
        <v>84</v>
      </c>
      <c r="C257" s="20" t="s">
        <v>84</v>
      </c>
      <c r="D257" s="20" t="s">
        <v>337</v>
      </c>
      <c r="E257" s="20" t="s">
        <v>16</v>
      </c>
      <c r="F257" s="20" t="s">
        <v>92</v>
      </c>
      <c r="G257" s="21">
        <v>0</v>
      </c>
      <c r="H257" s="21">
        <v>40</v>
      </c>
      <c r="I257" s="21">
        <v>0</v>
      </c>
      <c r="J257" s="21">
        <v>40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1">
        <v>0</v>
      </c>
      <c r="BD257" s="21">
        <v>0</v>
      </c>
      <c r="BE257" s="21">
        <v>0</v>
      </c>
      <c r="BF257" s="21">
        <v>0</v>
      </c>
      <c r="BG257" s="21">
        <v>0</v>
      </c>
      <c r="BH257" s="21">
        <v>0</v>
      </c>
      <c r="BI257" s="21">
        <v>0</v>
      </c>
      <c r="BJ257" s="21">
        <v>0</v>
      </c>
      <c r="BK257" s="21">
        <v>0</v>
      </c>
      <c r="BL257" s="21">
        <v>0</v>
      </c>
      <c r="BM257" s="21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  <c r="BT257" s="21">
        <v>0</v>
      </c>
      <c r="BU257" s="21">
        <v>0</v>
      </c>
      <c r="BV257" s="21">
        <v>0</v>
      </c>
      <c r="BW257" s="21">
        <v>0</v>
      </c>
      <c r="BX257" s="21">
        <v>0</v>
      </c>
      <c r="BY257" s="21">
        <v>0</v>
      </c>
      <c r="BZ257" s="21">
        <v>0</v>
      </c>
      <c r="CA257" s="21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>
        <v>0</v>
      </c>
      <c r="CI257" s="21">
        <v>0</v>
      </c>
      <c r="CJ257" s="21">
        <v>0</v>
      </c>
      <c r="CK257" s="21">
        <v>0</v>
      </c>
      <c r="CL257" s="21">
        <v>0</v>
      </c>
      <c r="CM257" s="21">
        <v>0</v>
      </c>
      <c r="CN257" s="21">
        <v>0</v>
      </c>
      <c r="CO257" s="21">
        <v>0</v>
      </c>
      <c r="CP257" s="21">
        <v>0</v>
      </c>
      <c r="CQ257" s="21">
        <v>0</v>
      </c>
      <c r="CR257" s="21">
        <v>0</v>
      </c>
      <c r="CS257" s="21">
        <v>0</v>
      </c>
      <c r="CT257" s="21">
        <v>0</v>
      </c>
      <c r="CU257" s="21">
        <v>0</v>
      </c>
      <c r="CV257" s="21">
        <v>0</v>
      </c>
      <c r="CW257" s="21">
        <v>0</v>
      </c>
      <c r="CX257" s="21">
        <v>0</v>
      </c>
      <c r="CY257" s="21">
        <v>0</v>
      </c>
      <c r="CZ257" s="21">
        <v>0</v>
      </c>
      <c r="DA257" s="21">
        <v>0</v>
      </c>
      <c r="DB257" s="21">
        <v>0</v>
      </c>
      <c r="DC257" s="21">
        <v>0</v>
      </c>
      <c r="DD257" s="21">
        <v>0</v>
      </c>
      <c r="DE257" s="21">
        <v>0</v>
      </c>
      <c r="DF257" s="21">
        <v>0</v>
      </c>
      <c r="DG257" s="21">
        <v>0</v>
      </c>
      <c r="DH257" s="21">
        <v>0</v>
      </c>
      <c r="DI257" s="21">
        <v>0</v>
      </c>
      <c r="DJ257" s="21">
        <v>0</v>
      </c>
      <c r="DK257" s="21">
        <v>0</v>
      </c>
      <c r="DL257" s="21">
        <v>0</v>
      </c>
      <c r="DM257" s="21">
        <v>0</v>
      </c>
      <c r="DN257" s="21">
        <v>0</v>
      </c>
      <c r="DO257" s="21">
        <v>0</v>
      </c>
      <c r="DP257" s="21">
        <v>0</v>
      </c>
      <c r="DQ257" s="21">
        <v>0</v>
      </c>
      <c r="DR257" s="21">
        <v>0</v>
      </c>
      <c r="DS257" s="21">
        <v>0</v>
      </c>
      <c r="DT257" s="21">
        <v>0</v>
      </c>
      <c r="DU257" s="21">
        <v>0</v>
      </c>
      <c r="DV257" s="21">
        <v>0</v>
      </c>
      <c r="DW257" s="21">
        <v>0</v>
      </c>
      <c r="DX257" s="21">
        <v>0</v>
      </c>
      <c r="DY257" s="21">
        <v>0</v>
      </c>
      <c r="DZ257" s="21">
        <v>0</v>
      </c>
      <c r="EA257" s="21">
        <v>0</v>
      </c>
      <c r="EB257" s="21">
        <v>0</v>
      </c>
      <c r="EC257" s="21">
        <v>0</v>
      </c>
      <c r="ED257" s="21">
        <v>0</v>
      </c>
      <c r="EE257" s="21">
        <v>0</v>
      </c>
      <c r="EF257" s="21">
        <v>0</v>
      </c>
    </row>
    <row r="258" spans="1:136" ht="14.5" x14ac:dyDescent="0.35">
      <c r="A258" s="20" t="s">
        <v>12</v>
      </c>
      <c r="B258" s="20" t="s">
        <v>131</v>
      </c>
      <c r="C258" s="20" t="s">
        <v>131</v>
      </c>
      <c r="D258" s="20" t="s">
        <v>333</v>
      </c>
      <c r="E258" s="20" t="s">
        <v>14</v>
      </c>
      <c r="F258" s="20" t="s">
        <v>103</v>
      </c>
      <c r="G258" s="21">
        <v>0</v>
      </c>
      <c r="H258" s="21">
        <v>0</v>
      </c>
      <c r="I258" s="21">
        <v>1.5</v>
      </c>
      <c r="J258" s="21">
        <v>-1.5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1.5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>
        <v>0</v>
      </c>
      <c r="CI258" s="21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21">
        <v>0</v>
      </c>
      <c r="CQ258" s="21">
        <v>0</v>
      </c>
      <c r="CR258" s="21">
        <v>0</v>
      </c>
      <c r="CS258" s="21">
        <v>0</v>
      </c>
      <c r="CT258" s="21">
        <v>0</v>
      </c>
      <c r="CU258" s="21">
        <v>0</v>
      </c>
      <c r="CV258" s="21">
        <v>0</v>
      </c>
      <c r="CW258" s="21">
        <v>0</v>
      </c>
      <c r="CX258" s="21">
        <v>0</v>
      </c>
      <c r="CY258" s="21">
        <v>0</v>
      </c>
      <c r="CZ258" s="21">
        <v>0</v>
      </c>
      <c r="DA258" s="21">
        <v>0</v>
      </c>
      <c r="DB258" s="21">
        <v>0</v>
      </c>
      <c r="DC258" s="21">
        <v>0</v>
      </c>
      <c r="DD258" s="21">
        <v>0</v>
      </c>
      <c r="DE258" s="21">
        <v>0</v>
      </c>
      <c r="DF258" s="21">
        <v>0</v>
      </c>
      <c r="DG258" s="21">
        <v>0</v>
      </c>
      <c r="DH258" s="21">
        <v>0</v>
      </c>
      <c r="DI258" s="21">
        <v>0</v>
      </c>
      <c r="DJ258" s="21">
        <v>0</v>
      </c>
      <c r="DK258" s="21">
        <v>0</v>
      </c>
      <c r="DL258" s="21">
        <v>0</v>
      </c>
      <c r="DM258" s="21">
        <v>0</v>
      </c>
      <c r="DN258" s="21">
        <v>0</v>
      </c>
      <c r="DO258" s="21">
        <v>0</v>
      </c>
      <c r="DP258" s="21">
        <v>0</v>
      </c>
      <c r="DQ258" s="21">
        <v>0</v>
      </c>
      <c r="DR258" s="21">
        <v>0</v>
      </c>
      <c r="DS258" s="21">
        <v>0</v>
      </c>
      <c r="DT258" s="21">
        <v>0</v>
      </c>
      <c r="DU258" s="21">
        <v>0</v>
      </c>
      <c r="DV258" s="21">
        <v>0</v>
      </c>
      <c r="DW258" s="21">
        <v>0</v>
      </c>
      <c r="DX258" s="21">
        <v>0</v>
      </c>
      <c r="DY258" s="21">
        <v>0</v>
      </c>
      <c r="DZ258" s="21">
        <v>0</v>
      </c>
      <c r="EA258" s="21">
        <v>0</v>
      </c>
      <c r="EB258" s="21">
        <v>0</v>
      </c>
      <c r="EC258" s="21">
        <v>0</v>
      </c>
      <c r="ED258" s="21">
        <v>0</v>
      </c>
      <c r="EE258" s="21">
        <v>0</v>
      </c>
      <c r="EF258" s="21">
        <v>0</v>
      </c>
    </row>
    <row r="259" spans="1:136" ht="14.5" x14ac:dyDescent="0.35">
      <c r="A259" s="20" t="s">
        <v>12</v>
      </c>
      <c r="B259" s="20" t="s">
        <v>131</v>
      </c>
      <c r="C259" s="20" t="s">
        <v>131</v>
      </c>
      <c r="D259" s="20" t="s">
        <v>333</v>
      </c>
      <c r="E259" s="20" t="s">
        <v>14</v>
      </c>
      <c r="F259" s="20" t="s">
        <v>90</v>
      </c>
      <c r="G259" s="21">
        <v>0</v>
      </c>
      <c r="H259" s="21">
        <v>0</v>
      </c>
      <c r="I259" s="21">
        <v>2</v>
      </c>
      <c r="J259" s="21">
        <v>-2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2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21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21">
        <v>0</v>
      </c>
      <c r="CQ259" s="21">
        <v>0</v>
      </c>
      <c r="CR259" s="21">
        <v>0</v>
      </c>
      <c r="CS259" s="21">
        <v>0</v>
      </c>
      <c r="CT259" s="21">
        <v>0</v>
      </c>
      <c r="CU259" s="21">
        <v>0</v>
      </c>
      <c r="CV259" s="21">
        <v>0</v>
      </c>
      <c r="CW259" s="21">
        <v>0</v>
      </c>
      <c r="CX259" s="21">
        <v>0</v>
      </c>
      <c r="CY259" s="21">
        <v>0</v>
      </c>
      <c r="CZ259" s="21">
        <v>0</v>
      </c>
      <c r="DA259" s="21">
        <v>0</v>
      </c>
      <c r="DB259" s="21">
        <v>0</v>
      </c>
      <c r="DC259" s="21">
        <v>0</v>
      </c>
      <c r="DD259" s="21">
        <v>0</v>
      </c>
      <c r="DE259" s="21">
        <v>0</v>
      </c>
      <c r="DF259" s="21">
        <v>0</v>
      </c>
      <c r="DG259" s="21">
        <v>0</v>
      </c>
      <c r="DH259" s="21">
        <v>0</v>
      </c>
      <c r="DI259" s="21">
        <v>0</v>
      </c>
      <c r="DJ259" s="21">
        <v>0</v>
      </c>
      <c r="DK259" s="21">
        <v>0</v>
      </c>
      <c r="DL259" s="21">
        <v>0</v>
      </c>
      <c r="DM259" s="21">
        <v>0</v>
      </c>
      <c r="DN259" s="21">
        <v>0</v>
      </c>
      <c r="DO259" s="21">
        <v>0</v>
      </c>
      <c r="DP259" s="21">
        <v>0</v>
      </c>
      <c r="DQ259" s="21">
        <v>0</v>
      </c>
      <c r="DR259" s="21">
        <v>0</v>
      </c>
      <c r="DS259" s="21">
        <v>0</v>
      </c>
      <c r="DT259" s="21">
        <v>0</v>
      </c>
      <c r="DU259" s="21">
        <v>0</v>
      </c>
      <c r="DV259" s="21">
        <v>0</v>
      </c>
      <c r="DW259" s="21">
        <v>0</v>
      </c>
      <c r="DX259" s="21">
        <v>0</v>
      </c>
      <c r="DY259" s="21">
        <v>0</v>
      </c>
      <c r="DZ259" s="21">
        <v>0</v>
      </c>
      <c r="EA259" s="21">
        <v>0</v>
      </c>
      <c r="EB259" s="21">
        <v>0</v>
      </c>
      <c r="EC259" s="21">
        <v>0</v>
      </c>
      <c r="ED259" s="21">
        <v>0</v>
      </c>
      <c r="EE259" s="21">
        <v>0</v>
      </c>
      <c r="EF259" s="21">
        <v>0</v>
      </c>
    </row>
    <row r="260" spans="1:136" ht="14.5" x14ac:dyDescent="0.35">
      <c r="A260" s="20" t="s">
        <v>12</v>
      </c>
      <c r="B260" s="20" t="s">
        <v>131</v>
      </c>
      <c r="C260" s="20" t="s">
        <v>131</v>
      </c>
      <c r="D260" s="20" t="s">
        <v>333</v>
      </c>
      <c r="E260" s="20" t="s">
        <v>14</v>
      </c>
      <c r="F260" s="20" t="s">
        <v>125</v>
      </c>
      <c r="G260" s="21">
        <v>0</v>
      </c>
      <c r="H260" s="21">
        <v>0</v>
      </c>
      <c r="I260" s="21">
        <v>1.5</v>
      </c>
      <c r="J260" s="21">
        <v>-1.5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1</v>
      </c>
      <c r="Z260" s="21">
        <v>0</v>
      </c>
      <c r="AA260" s="21">
        <v>0.5</v>
      </c>
      <c r="AB260" s="21">
        <v>0</v>
      </c>
      <c r="AC260" s="21">
        <v>0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0</v>
      </c>
      <c r="BK260" s="21">
        <v>0</v>
      </c>
      <c r="BL260" s="21">
        <v>0</v>
      </c>
      <c r="BM260" s="21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21">
        <v>0</v>
      </c>
      <c r="CI260" s="21">
        <v>0</v>
      </c>
      <c r="CJ260" s="21">
        <v>0</v>
      </c>
      <c r="CK260" s="21">
        <v>0</v>
      </c>
      <c r="CL260" s="21">
        <v>0</v>
      </c>
      <c r="CM260" s="21">
        <v>0</v>
      </c>
      <c r="CN260" s="21">
        <v>0</v>
      </c>
      <c r="CO260" s="21">
        <v>0</v>
      </c>
      <c r="CP260" s="21">
        <v>0</v>
      </c>
      <c r="CQ260" s="21">
        <v>0</v>
      </c>
      <c r="CR260" s="21">
        <v>0</v>
      </c>
      <c r="CS260" s="21">
        <v>0</v>
      </c>
      <c r="CT260" s="21">
        <v>0</v>
      </c>
      <c r="CU260" s="21">
        <v>0</v>
      </c>
      <c r="CV260" s="21">
        <v>0</v>
      </c>
      <c r="CW260" s="21">
        <v>0</v>
      </c>
      <c r="CX260" s="21">
        <v>0</v>
      </c>
      <c r="CY260" s="21">
        <v>0</v>
      </c>
      <c r="CZ260" s="21">
        <v>0</v>
      </c>
      <c r="DA260" s="21">
        <v>0</v>
      </c>
      <c r="DB260" s="21">
        <v>0</v>
      </c>
      <c r="DC260" s="21">
        <v>0</v>
      </c>
      <c r="DD260" s="21">
        <v>0</v>
      </c>
      <c r="DE260" s="21">
        <v>0</v>
      </c>
      <c r="DF260" s="21">
        <v>0</v>
      </c>
      <c r="DG260" s="21">
        <v>0</v>
      </c>
      <c r="DH260" s="21">
        <v>0</v>
      </c>
      <c r="DI260" s="21">
        <v>0</v>
      </c>
      <c r="DJ260" s="21">
        <v>0</v>
      </c>
      <c r="DK260" s="21">
        <v>0</v>
      </c>
      <c r="DL260" s="21">
        <v>0</v>
      </c>
      <c r="DM260" s="21">
        <v>0</v>
      </c>
      <c r="DN260" s="21">
        <v>0</v>
      </c>
      <c r="DO260" s="21">
        <v>0</v>
      </c>
      <c r="DP260" s="21">
        <v>0</v>
      </c>
      <c r="DQ260" s="21">
        <v>0</v>
      </c>
      <c r="DR260" s="21">
        <v>0</v>
      </c>
      <c r="DS260" s="21">
        <v>0</v>
      </c>
      <c r="DT260" s="21">
        <v>0</v>
      </c>
      <c r="DU260" s="21">
        <v>0</v>
      </c>
      <c r="DV260" s="21">
        <v>0</v>
      </c>
      <c r="DW260" s="21">
        <v>0</v>
      </c>
      <c r="DX260" s="21">
        <v>0</v>
      </c>
      <c r="DY260" s="21">
        <v>0</v>
      </c>
      <c r="DZ260" s="21">
        <v>0</v>
      </c>
      <c r="EA260" s="21">
        <v>0</v>
      </c>
      <c r="EB260" s="21">
        <v>0</v>
      </c>
      <c r="EC260" s="21">
        <v>0</v>
      </c>
      <c r="ED260" s="21">
        <v>0</v>
      </c>
      <c r="EE260" s="21">
        <v>0</v>
      </c>
      <c r="EF260" s="21">
        <v>0</v>
      </c>
    </row>
    <row r="261" spans="1:136" ht="14.5" x14ac:dyDescent="0.35">
      <c r="A261" s="20" t="s">
        <v>12</v>
      </c>
      <c r="B261" s="20" t="s">
        <v>33</v>
      </c>
      <c r="C261" s="20" t="s">
        <v>33</v>
      </c>
      <c r="D261" s="20" t="s">
        <v>334</v>
      </c>
      <c r="E261" s="20" t="s">
        <v>10</v>
      </c>
      <c r="F261" s="20" t="s">
        <v>78</v>
      </c>
      <c r="G261" s="21">
        <v>0</v>
      </c>
      <c r="H261" s="21">
        <v>0</v>
      </c>
      <c r="I261" s="21">
        <v>3</v>
      </c>
      <c r="J261" s="21">
        <v>-3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3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1">
        <v>0</v>
      </c>
      <c r="BL261" s="21">
        <v>0</v>
      </c>
      <c r="BM261" s="21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21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21">
        <v>0</v>
      </c>
      <c r="CI261" s="21">
        <v>0</v>
      </c>
      <c r="CJ261" s="21">
        <v>0</v>
      </c>
      <c r="CK261" s="21">
        <v>0</v>
      </c>
      <c r="CL261" s="21">
        <v>0</v>
      </c>
      <c r="CM261" s="21">
        <v>0</v>
      </c>
      <c r="CN261" s="21">
        <v>0</v>
      </c>
      <c r="CO261" s="21">
        <v>0</v>
      </c>
      <c r="CP261" s="21">
        <v>0</v>
      </c>
      <c r="CQ261" s="21">
        <v>0</v>
      </c>
      <c r="CR261" s="21">
        <v>0</v>
      </c>
      <c r="CS261" s="21">
        <v>0</v>
      </c>
      <c r="CT261" s="21">
        <v>0</v>
      </c>
      <c r="CU261" s="21">
        <v>0</v>
      </c>
      <c r="CV261" s="21">
        <v>0</v>
      </c>
      <c r="CW261" s="21">
        <v>0</v>
      </c>
      <c r="CX261" s="21">
        <v>0</v>
      </c>
      <c r="CY261" s="21">
        <v>0</v>
      </c>
      <c r="CZ261" s="21">
        <v>0</v>
      </c>
      <c r="DA261" s="21">
        <v>0</v>
      </c>
      <c r="DB261" s="21">
        <v>0</v>
      </c>
      <c r="DC261" s="21">
        <v>0</v>
      </c>
      <c r="DD261" s="21">
        <v>0</v>
      </c>
      <c r="DE261" s="21">
        <v>0</v>
      </c>
      <c r="DF261" s="21">
        <v>0</v>
      </c>
      <c r="DG261" s="21">
        <v>0</v>
      </c>
      <c r="DH261" s="21">
        <v>0</v>
      </c>
      <c r="DI261" s="21">
        <v>0</v>
      </c>
      <c r="DJ261" s="21">
        <v>0</v>
      </c>
      <c r="DK261" s="21">
        <v>0</v>
      </c>
      <c r="DL261" s="21">
        <v>0</v>
      </c>
      <c r="DM261" s="21">
        <v>0</v>
      </c>
      <c r="DN261" s="21">
        <v>0</v>
      </c>
      <c r="DO261" s="21">
        <v>0</v>
      </c>
      <c r="DP261" s="21">
        <v>0</v>
      </c>
      <c r="DQ261" s="21">
        <v>0</v>
      </c>
      <c r="DR261" s="21">
        <v>0</v>
      </c>
      <c r="DS261" s="21">
        <v>0</v>
      </c>
      <c r="DT261" s="21">
        <v>0</v>
      </c>
      <c r="DU261" s="21">
        <v>0</v>
      </c>
      <c r="DV261" s="21">
        <v>0</v>
      </c>
      <c r="DW261" s="21">
        <v>0</v>
      </c>
      <c r="DX261" s="21">
        <v>0</v>
      </c>
      <c r="DY261" s="21">
        <v>0</v>
      </c>
      <c r="DZ261" s="21">
        <v>0</v>
      </c>
      <c r="EA261" s="21">
        <v>0</v>
      </c>
      <c r="EB261" s="21">
        <v>0</v>
      </c>
      <c r="EC261" s="21">
        <v>0</v>
      </c>
      <c r="ED261" s="21">
        <v>0</v>
      </c>
      <c r="EE261" s="21">
        <v>0</v>
      </c>
      <c r="EF261" s="21">
        <v>0</v>
      </c>
    </row>
    <row r="262" spans="1:136" ht="14.5" x14ac:dyDescent="0.35">
      <c r="A262" s="20" t="s">
        <v>12</v>
      </c>
      <c r="B262" s="20" t="s">
        <v>33</v>
      </c>
      <c r="C262" s="20" t="s">
        <v>33</v>
      </c>
      <c r="D262" s="20" t="s">
        <v>334</v>
      </c>
      <c r="E262" s="20" t="s">
        <v>10</v>
      </c>
      <c r="F262" s="20" t="s">
        <v>88</v>
      </c>
      <c r="G262" s="21">
        <v>0</v>
      </c>
      <c r="H262" s="21">
        <v>0</v>
      </c>
      <c r="I262" s="21">
        <v>5</v>
      </c>
      <c r="J262" s="21">
        <v>-5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5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1">
        <v>0</v>
      </c>
      <c r="BL262" s="21">
        <v>0</v>
      </c>
      <c r="BM262" s="21">
        <v>0</v>
      </c>
      <c r="BN262" s="21">
        <v>0</v>
      </c>
      <c r="BO262" s="21">
        <v>0</v>
      </c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21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1">
        <v>0</v>
      </c>
      <c r="CH262" s="21">
        <v>0</v>
      </c>
      <c r="CI262" s="21">
        <v>0</v>
      </c>
      <c r="CJ262" s="21">
        <v>0</v>
      </c>
      <c r="CK262" s="21">
        <v>0</v>
      </c>
      <c r="CL262" s="21">
        <v>0</v>
      </c>
      <c r="CM262" s="21">
        <v>0</v>
      </c>
      <c r="CN262" s="21">
        <v>0</v>
      </c>
      <c r="CO262" s="21">
        <v>0</v>
      </c>
      <c r="CP262" s="21">
        <v>0</v>
      </c>
      <c r="CQ262" s="21">
        <v>0</v>
      </c>
      <c r="CR262" s="21">
        <v>0</v>
      </c>
      <c r="CS262" s="21">
        <v>0</v>
      </c>
      <c r="CT262" s="21">
        <v>0</v>
      </c>
      <c r="CU262" s="21">
        <v>0</v>
      </c>
      <c r="CV262" s="21">
        <v>0</v>
      </c>
      <c r="CW262" s="21">
        <v>0</v>
      </c>
      <c r="CX262" s="21">
        <v>0</v>
      </c>
      <c r="CY262" s="21">
        <v>0</v>
      </c>
      <c r="CZ262" s="21">
        <v>0</v>
      </c>
      <c r="DA262" s="21">
        <v>0</v>
      </c>
      <c r="DB262" s="21">
        <v>0</v>
      </c>
      <c r="DC262" s="21">
        <v>0</v>
      </c>
      <c r="DD262" s="21">
        <v>0</v>
      </c>
      <c r="DE262" s="21">
        <v>0</v>
      </c>
      <c r="DF262" s="21">
        <v>0</v>
      </c>
      <c r="DG262" s="21">
        <v>0</v>
      </c>
      <c r="DH262" s="21">
        <v>0</v>
      </c>
      <c r="DI262" s="21">
        <v>0</v>
      </c>
      <c r="DJ262" s="21">
        <v>0</v>
      </c>
      <c r="DK262" s="21">
        <v>0</v>
      </c>
      <c r="DL262" s="21">
        <v>0</v>
      </c>
      <c r="DM262" s="21">
        <v>0</v>
      </c>
      <c r="DN262" s="21">
        <v>0</v>
      </c>
      <c r="DO262" s="21">
        <v>0</v>
      </c>
      <c r="DP262" s="21">
        <v>0</v>
      </c>
      <c r="DQ262" s="21">
        <v>0</v>
      </c>
      <c r="DR262" s="21">
        <v>0</v>
      </c>
      <c r="DS262" s="21">
        <v>0</v>
      </c>
      <c r="DT262" s="21">
        <v>0</v>
      </c>
      <c r="DU262" s="21">
        <v>0</v>
      </c>
      <c r="DV262" s="21">
        <v>0</v>
      </c>
      <c r="DW262" s="21">
        <v>0</v>
      </c>
      <c r="DX262" s="21">
        <v>0</v>
      </c>
      <c r="DY262" s="21">
        <v>0</v>
      </c>
      <c r="DZ262" s="21">
        <v>0</v>
      </c>
      <c r="EA262" s="21">
        <v>0</v>
      </c>
      <c r="EB262" s="21">
        <v>0</v>
      </c>
      <c r="EC262" s="21">
        <v>0</v>
      </c>
      <c r="ED262" s="21">
        <v>0</v>
      </c>
      <c r="EE262" s="21">
        <v>0</v>
      </c>
      <c r="EF262" s="21">
        <v>0</v>
      </c>
    </row>
    <row r="263" spans="1:136" ht="14.5" x14ac:dyDescent="0.35">
      <c r="A263" s="20" t="s">
        <v>12</v>
      </c>
      <c r="B263" s="20" t="s">
        <v>33</v>
      </c>
      <c r="C263" s="20" t="s">
        <v>33</v>
      </c>
      <c r="D263" s="20" t="s">
        <v>334</v>
      </c>
      <c r="E263" s="20" t="s">
        <v>10</v>
      </c>
      <c r="F263" s="20" t="s">
        <v>103</v>
      </c>
      <c r="G263" s="21">
        <v>0</v>
      </c>
      <c r="H263" s="21">
        <v>0</v>
      </c>
      <c r="I263" s="21">
        <v>678.5</v>
      </c>
      <c r="J263" s="21">
        <v>-678.5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4</v>
      </c>
      <c r="AK263" s="21">
        <v>16.5</v>
      </c>
      <c r="AL263" s="21">
        <v>9.5</v>
      </c>
      <c r="AM263" s="21">
        <v>21</v>
      </c>
      <c r="AN263" s="21">
        <v>11</v>
      </c>
      <c r="AO263" s="21">
        <v>12</v>
      </c>
      <c r="AP263" s="21">
        <v>20.5</v>
      </c>
      <c r="AQ263" s="21">
        <v>9</v>
      </c>
      <c r="AR263" s="21">
        <v>12</v>
      </c>
      <c r="AS263" s="21">
        <v>5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1">
        <v>0</v>
      </c>
      <c r="BL263" s="21">
        <v>0</v>
      </c>
      <c r="BM263" s="21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  <c r="BT263" s="21">
        <v>0</v>
      </c>
      <c r="BU263" s="21">
        <v>0</v>
      </c>
      <c r="BV263" s="21">
        <v>0</v>
      </c>
      <c r="BW263" s="21">
        <v>0</v>
      </c>
      <c r="BX263" s="21">
        <v>0</v>
      </c>
      <c r="BY263" s="21">
        <v>0</v>
      </c>
      <c r="BZ263" s="21">
        <v>0</v>
      </c>
      <c r="CA263" s="21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21">
        <v>0</v>
      </c>
      <c r="CH263" s="21">
        <v>0</v>
      </c>
      <c r="CI263" s="21">
        <v>0</v>
      </c>
      <c r="CJ263" s="21">
        <v>0</v>
      </c>
      <c r="CK263" s="21">
        <v>0</v>
      </c>
      <c r="CL263" s="21">
        <v>0</v>
      </c>
      <c r="CM263" s="21">
        <v>0</v>
      </c>
      <c r="CN263" s="21">
        <v>0</v>
      </c>
      <c r="CO263" s="21">
        <v>0</v>
      </c>
      <c r="CP263" s="21">
        <v>0</v>
      </c>
      <c r="CQ263" s="21">
        <v>0</v>
      </c>
      <c r="CR263" s="21">
        <v>0</v>
      </c>
      <c r="CS263" s="21">
        <v>10</v>
      </c>
      <c r="CT263" s="21">
        <v>0</v>
      </c>
      <c r="CU263" s="21">
        <v>0</v>
      </c>
      <c r="CV263" s="21">
        <v>0</v>
      </c>
      <c r="CW263" s="21">
        <v>0</v>
      </c>
      <c r="CX263" s="21">
        <v>5</v>
      </c>
      <c r="CY263" s="21">
        <v>13</v>
      </c>
      <c r="CZ263" s="21">
        <v>30</v>
      </c>
      <c r="DA263" s="21">
        <v>30</v>
      </c>
      <c r="DB263" s="21">
        <v>13</v>
      </c>
      <c r="DC263" s="21">
        <v>15</v>
      </c>
      <c r="DD263" s="21">
        <v>15</v>
      </c>
      <c r="DE263" s="21">
        <v>22</v>
      </c>
      <c r="DF263" s="21">
        <v>25</v>
      </c>
      <c r="DG263" s="21">
        <v>15</v>
      </c>
      <c r="DH263" s="21">
        <v>15</v>
      </c>
      <c r="DI263" s="21">
        <v>0</v>
      </c>
      <c r="DJ263" s="21">
        <v>0</v>
      </c>
      <c r="DK263" s="21">
        <v>30</v>
      </c>
      <c r="DL263" s="21">
        <v>45</v>
      </c>
      <c r="DM263" s="21">
        <v>65</v>
      </c>
      <c r="DN263" s="21">
        <v>63</v>
      </c>
      <c r="DO263" s="21">
        <v>62</v>
      </c>
      <c r="DP263" s="21">
        <v>65</v>
      </c>
      <c r="DQ263" s="21">
        <v>25</v>
      </c>
      <c r="DR263" s="21">
        <v>0</v>
      </c>
      <c r="DS263" s="21">
        <v>0</v>
      </c>
      <c r="DT263" s="21">
        <v>0</v>
      </c>
      <c r="DU263" s="21">
        <v>0</v>
      </c>
      <c r="DV263" s="21">
        <v>0</v>
      </c>
      <c r="DW263" s="21">
        <v>0</v>
      </c>
      <c r="DX263" s="21">
        <v>0</v>
      </c>
      <c r="DY263" s="21">
        <v>0</v>
      </c>
      <c r="DZ263" s="21">
        <v>0</v>
      </c>
      <c r="EA263" s="21">
        <v>0</v>
      </c>
      <c r="EB263" s="21">
        <v>0</v>
      </c>
      <c r="EC263" s="21">
        <v>0</v>
      </c>
      <c r="ED263" s="21">
        <v>0</v>
      </c>
      <c r="EE263" s="21">
        <v>0</v>
      </c>
      <c r="EF263" s="21">
        <v>0</v>
      </c>
    </row>
    <row r="264" spans="1:136" ht="14.5" x14ac:dyDescent="0.35">
      <c r="A264" s="20" t="s">
        <v>12</v>
      </c>
      <c r="B264" s="20" t="s">
        <v>33</v>
      </c>
      <c r="C264" s="20" t="s">
        <v>33</v>
      </c>
      <c r="D264" s="20" t="s">
        <v>333</v>
      </c>
      <c r="E264" s="20" t="s">
        <v>10</v>
      </c>
      <c r="F264" s="20" t="s">
        <v>103</v>
      </c>
      <c r="G264" s="21">
        <v>243.5</v>
      </c>
      <c r="H264" s="21">
        <v>806.5</v>
      </c>
      <c r="I264" s="21">
        <v>128.5</v>
      </c>
      <c r="J264" s="21">
        <v>678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1">
        <v>0</v>
      </c>
      <c r="AA264" s="21">
        <v>0</v>
      </c>
      <c r="AB264" s="21">
        <v>5.5</v>
      </c>
      <c r="AC264" s="21">
        <v>5</v>
      </c>
      <c r="AD264" s="21">
        <v>17</v>
      </c>
      <c r="AE264" s="21">
        <v>24</v>
      </c>
      <c r="AF264" s="21">
        <v>23</v>
      </c>
      <c r="AG264" s="21">
        <v>20</v>
      </c>
      <c r="AH264" s="21">
        <v>14.5</v>
      </c>
      <c r="AI264" s="21">
        <v>15.5</v>
      </c>
      <c r="AJ264" s="21">
        <v>4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0</v>
      </c>
      <c r="BG264" s="21">
        <v>0</v>
      </c>
      <c r="BH264" s="21">
        <v>0</v>
      </c>
      <c r="BI264" s="21">
        <v>0</v>
      </c>
      <c r="BJ264" s="21">
        <v>0</v>
      </c>
      <c r="BK264" s="21">
        <v>0</v>
      </c>
      <c r="BL264" s="21">
        <v>0</v>
      </c>
      <c r="BM264" s="21">
        <v>0</v>
      </c>
      <c r="BN264" s="21">
        <v>0</v>
      </c>
      <c r="BO264" s="21">
        <v>0</v>
      </c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21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>
        <v>0</v>
      </c>
      <c r="CI264" s="21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0</v>
      </c>
      <c r="CO264" s="21">
        <v>0</v>
      </c>
      <c r="CP264" s="21">
        <v>0</v>
      </c>
      <c r="CQ264" s="21">
        <v>0</v>
      </c>
      <c r="CR264" s="21">
        <v>0</v>
      </c>
      <c r="CS264" s="21">
        <v>0</v>
      </c>
      <c r="CT264" s="21">
        <v>0</v>
      </c>
      <c r="CU264" s="21">
        <v>0</v>
      </c>
      <c r="CV264" s="21">
        <v>0</v>
      </c>
      <c r="CW264" s="21">
        <v>0</v>
      </c>
      <c r="CX264" s="21">
        <v>0</v>
      </c>
      <c r="CY264" s="21">
        <v>0</v>
      </c>
      <c r="CZ264" s="21">
        <v>0</v>
      </c>
      <c r="DA264" s="21">
        <v>0</v>
      </c>
      <c r="DB264" s="21">
        <v>0</v>
      </c>
      <c r="DC264" s="21">
        <v>0</v>
      </c>
      <c r="DD264" s="21">
        <v>0</v>
      </c>
      <c r="DE264" s="21">
        <v>0</v>
      </c>
      <c r="DF264" s="21">
        <v>0</v>
      </c>
      <c r="DG264" s="21">
        <v>0</v>
      </c>
      <c r="DH264" s="21">
        <v>0</v>
      </c>
      <c r="DI264" s="21">
        <v>0</v>
      </c>
      <c r="DJ264" s="21">
        <v>0</v>
      </c>
      <c r="DK264" s="21">
        <v>0</v>
      </c>
      <c r="DL264" s="21">
        <v>0</v>
      </c>
      <c r="DM264" s="21">
        <v>0</v>
      </c>
      <c r="DN264" s="21">
        <v>0</v>
      </c>
      <c r="DO264" s="21">
        <v>0</v>
      </c>
      <c r="DP264" s="21">
        <v>0</v>
      </c>
      <c r="DQ264" s="21">
        <v>0</v>
      </c>
      <c r="DR264" s="21">
        <v>0</v>
      </c>
      <c r="DS264" s="21">
        <v>0</v>
      </c>
      <c r="DT264" s="21">
        <v>0</v>
      </c>
      <c r="DU264" s="21">
        <v>0</v>
      </c>
      <c r="DV264" s="21">
        <v>0</v>
      </c>
      <c r="DW264" s="21">
        <v>0</v>
      </c>
      <c r="DX264" s="21">
        <v>0</v>
      </c>
      <c r="DY264" s="21">
        <v>0</v>
      </c>
      <c r="DZ264" s="21">
        <v>0</v>
      </c>
      <c r="EA264" s="21">
        <v>0</v>
      </c>
      <c r="EB264" s="21">
        <v>0</v>
      </c>
      <c r="EC264" s="21">
        <v>0</v>
      </c>
      <c r="ED264" s="21">
        <v>0</v>
      </c>
      <c r="EE264" s="21">
        <v>0</v>
      </c>
      <c r="EF264" s="21">
        <v>0</v>
      </c>
    </row>
    <row r="265" spans="1:136" ht="14.5" x14ac:dyDescent="0.35">
      <c r="A265" s="20" t="s">
        <v>12</v>
      </c>
      <c r="B265" s="20" t="s">
        <v>33</v>
      </c>
      <c r="C265" s="20" t="s">
        <v>33</v>
      </c>
      <c r="D265" s="20" t="s">
        <v>334</v>
      </c>
      <c r="E265" s="20" t="s">
        <v>10</v>
      </c>
      <c r="F265" s="20" t="s">
        <v>102</v>
      </c>
      <c r="G265" s="21">
        <v>0</v>
      </c>
      <c r="H265" s="21">
        <v>0</v>
      </c>
      <c r="I265" s="21">
        <v>21</v>
      </c>
      <c r="J265" s="21">
        <v>-21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0.5</v>
      </c>
      <c r="AN265" s="21">
        <v>5.5</v>
      </c>
      <c r="AO265" s="21">
        <v>8</v>
      </c>
      <c r="AP265" s="21">
        <v>3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1">
        <v>0</v>
      </c>
      <c r="BL265" s="21">
        <v>0</v>
      </c>
      <c r="BM265" s="21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>
        <v>0</v>
      </c>
      <c r="CI265" s="21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21">
        <v>0</v>
      </c>
      <c r="CQ265" s="21">
        <v>0</v>
      </c>
      <c r="CR265" s="21">
        <v>0</v>
      </c>
      <c r="CS265" s="21">
        <v>0</v>
      </c>
      <c r="CT265" s="21">
        <v>0</v>
      </c>
      <c r="CU265" s="21">
        <v>0</v>
      </c>
      <c r="CV265" s="21">
        <v>0</v>
      </c>
      <c r="CW265" s="21">
        <v>0</v>
      </c>
      <c r="CX265" s="21">
        <v>0</v>
      </c>
      <c r="CY265" s="21">
        <v>0</v>
      </c>
      <c r="CZ265" s="21">
        <v>0</v>
      </c>
      <c r="DA265" s="21">
        <v>0</v>
      </c>
      <c r="DB265" s="21">
        <v>0</v>
      </c>
      <c r="DC265" s="21">
        <v>0</v>
      </c>
      <c r="DD265" s="21">
        <v>0</v>
      </c>
      <c r="DE265" s="21">
        <v>0</v>
      </c>
      <c r="DF265" s="21">
        <v>0</v>
      </c>
      <c r="DG265" s="21">
        <v>0</v>
      </c>
      <c r="DH265" s="21">
        <v>0</v>
      </c>
      <c r="DI265" s="21">
        <v>0</v>
      </c>
      <c r="DJ265" s="21">
        <v>0</v>
      </c>
      <c r="DK265" s="21">
        <v>0</v>
      </c>
      <c r="DL265" s="21">
        <v>0</v>
      </c>
      <c r="DM265" s="21">
        <v>0</v>
      </c>
      <c r="DN265" s="21">
        <v>0</v>
      </c>
      <c r="DO265" s="21">
        <v>0</v>
      </c>
      <c r="DP265" s="21">
        <v>0</v>
      </c>
      <c r="DQ265" s="21">
        <v>0</v>
      </c>
      <c r="DR265" s="21">
        <v>4</v>
      </c>
      <c r="DS265" s="21">
        <v>0</v>
      </c>
      <c r="DT265" s="21">
        <v>0</v>
      </c>
      <c r="DU265" s="21">
        <v>0</v>
      </c>
      <c r="DV265" s="21">
        <v>0</v>
      </c>
      <c r="DW265" s="21">
        <v>0</v>
      </c>
      <c r="DX265" s="21">
        <v>0</v>
      </c>
      <c r="DY265" s="21">
        <v>0</v>
      </c>
      <c r="DZ265" s="21">
        <v>0</v>
      </c>
      <c r="EA265" s="21">
        <v>0</v>
      </c>
      <c r="EB265" s="21">
        <v>0</v>
      </c>
      <c r="EC265" s="21">
        <v>0</v>
      </c>
      <c r="ED265" s="21">
        <v>0</v>
      </c>
      <c r="EE265" s="21">
        <v>0</v>
      </c>
      <c r="EF265" s="21">
        <v>0</v>
      </c>
    </row>
    <row r="266" spans="1:136" ht="14.5" x14ac:dyDescent="0.35">
      <c r="A266" s="20" t="s">
        <v>12</v>
      </c>
      <c r="B266" s="20" t="s">
        <v>33</v>
      </c>
      <c r="C266" s="20" t="s">
        <v>33</v>
      </c>
      <c r="D266" s="20" t="s">
        <v>334</v>
      </c>
      <c r="E266" s="20" t="s">
        <v>10</v>
      </c>
      <c r="F266" s="20" t="s">
        <v>128</v>
      </c>
      <c r="G266" s="21">
        <v>0</v>
      </c>
      <c r="H266" s="21">
        <v>0</v>
      </c>
      <c r="I266" s="21">
        <v>90</v>
      </c>
      <c r="J266" s="21">
        <v>-90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1">
        <v>0</v>
      </c>
      <c r="BL266" s="21">
        <v>0</v>
      </c>
      <c r="BM266" s="21">
        <v>0</v>
      </c>
      <c r="BN266" s="21">
        <v>0</v>
      </c>
      <c r="BO266" s="21">
        <v>0</v>
      </c>
      <c r="BP266" s="21">
        <v>0</v>
      </c>
      <c r="BQ266" s="21">
        <v>0</v>
      </c>
      <c r="BR266" s="21">
        <v>0</v>
      </c>
      <c r="BS266" s="21">
        <v>0</v>
      </c>
      <c r="BT266" s="21">
        <v>0</v>
      </c>
      <c r="BU266" s="21">
        <v>0</v>
      </c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1">
        <v>0</v>
      </c>
      <c r="CH266" s="21">
        <v>0</v>
      </c>
      <c r="CI266" s="21">
        <v>0</v>
      </c>
      <c r="CJ266" s="21">
        <v>0</v>
      </c>
      <c r="CK266" s="21">
        <v>0</v>
      </c>
      <c r="CL266" s="21">
        <v>0</v>
      </c>
      <c r="CM266" s="21">
        <v>0</v>
      </c>
      <c r="CN266" s="21">
        <v>0</v>
      </c>
      <c r="CO266" s="21">
        <v>0</v>
      </c>
      <c r="CP266" s="21">
        <v>0</v>
      </c>
      <c r="CQ266" s="21">
        <v>0</v>
      </c>
      <c r="CR266" s="21">
        <v>0</v>
      </c>
      <c r="CS266" s="21">
        <v>0</v>
      </c>
      <c r="CT266" s="21">
        <v>0</v>
      </c>
      <c r="CU266" s="21">
        <v>0</v>
      </c>
      <c r="CV266" s="21">
        <v>0</v>
      </c>
      <c r="CW266" s="21">
        <v>0</v>
      </c>
      <c r="CX266" s="21">
        <v>0</v>
      </c>
      <c r="CY266" s="21">
        <v>0</v>
      </c>
      <c r="CZ266" s="21">
        <v>0</v>
      </c>
      <c r="DA266" s="21">
        <v>0</v>
      </c>
      <c r="DB266" s="21">
        <v>0</v>
      </c>
      <c r="DC266" s="21">
        <v>0</v>
      </c>
      <c r="DD266" s="21">
        <v>0</v>
      </c>
      <c r="DE266" s="21">
        <v>0</v>
      </c>
      <c r="DF266" s="21">
        <v>0</v>
      </c>
      <c r="DG266" s="21">
        <v>0</v>
      </c>
      <c r="DH266" s="21">
        <v>0</v>
      </c>
      <c r="DI266" s="21">
        <v>0</v>
      </c>
      <c r="DJ266" s="21">
        <v>0</v>
      </c>
      <c r="DK266" s="21">
        <v>0</v>
      </c>
      <c r="DL266" s="21">
        <v>0</v>
      </c>
      <c r="DM266" s="21">
        <v>0</v>
      </c>
      <c r="DN266" s="21">
        <v>0</v>
      </c>
      <c r="DO266" s="21">
        <v>0</v>
      </c>
      <c r="DP266" s="21">
        <v>0</v>
      </c>
      <c r="DQ266" s="21">
        <v>0</v>
      </c>
      <c r="DR266" s="21">
        <v>0</v>
      </c>
      <c r="DS266" s="21">
        <v>30</v>
      </c>
      <c r="DT266" s="21">
        <v>30</v>
      </c>
      <c r="DU266" s="21">
        <v>30</v>
      </c>
      <c r="DV266" s="21">
        <v>0</v>
      </c>
      <c r="DW266" s="21">
        <v>0</v>
      </c>
      <c r="DX266" s="21">
        <v>0</v>
      </c>
      <c r="DY266" s="21">
        <v>0</v>
      </c>
      <c r="DZ266" s="21">
        <v>0</v>
      </c>
      <c r="EA266" s="21">
        <v>0</v>
      </c>
      <c r="EB266" s="21">
        <v>0</v>
      </c>
      <c r="EC266" s="21">
        <v>0</v>
      </c>
      <c r="ED266" s="21">
        <v>0</v>
      </c>
      <c r="EE266" s="21">
        <v>0</v>
      </c>
      <c r="EF266" s="21">
        <v>0</v>
      </c>
    </row>
    <row r="267" spans="1:136" ht="14.5" x14ac:dyDescent="0.35">
      <c r="A267" s="20" t="s">
        <v>12</v>
      </c>
      <c r="B267" s="20" t="s">
        <v>33</v>
      </c>
      <c r="C267" s="20" t="s">
        <v>33</v>
      </c>
      <c r="D267" s="20" t="s">
        <v>333</v>
      </c>
      <c r="E267" s="20" t="s">
        <v>10</v>
      </c>
      <c r="F267" s="20" t="s">
        <v>128</v>
      </c>
      <c r="G267" s="21">
        <v>0</v>
      </c>
      <c r="H267" s="21">
        <v>90</v>
      </c>
      <c r="I267" s="21">
        <v>0</v>
      </c>
      <c r="J267" s="21">
        <v>90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1">
        <v>0</v>
      </c>
      <c r="BL267" s="21">
        <v>0</v>
      </c>
      <c r="BM267" s="21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21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21">
        <v>0</v>
      </c>
      <c r="CI267" s="21">
        <v>0</v>
      </c>
      <c r="CJ267" s="21">
        <v>0</v>
      </c>
      <c r="CK267" s="21">
        <v>0</v>
      </c>
      <c r="CL267" s="21">
        <v>0</v>
      </c>
      <c r="CM267" s="21">
        <v>0</v>
      </c>
      <c r="CN267" s="21">
        <v>0</v>
      </c>
      <c r="CO267" s="21">
        <v>0</v>
      </c>
      <c r="CP267" s="21">
        <v>0</v>
      </c>
      <c r="CQ267" s="21">
        <v>0</v>
      </c>
      <c r="CR267" s="21">
        <v>0</v>
      </c>
      <c r="CS267" s="21">
        <v>0</v>
      </c>
      <c r="CT267" s="21">
        <v>0</v>
      </c>
      <c r="CU267" s="21">
        <v>0</v>
      </c>
      <c r="CV267" s="21">
        <v>0</v>
      </c>
      <c r="CW267" s="21">
        <v>0</v>
      </c>
      <c r="CX267" s="21">
        <v>0</v>
      </c>
      <c r="CY267" s="21">
        <v>0</v>
      </c>
      <c r="CZ267" s="21">
        <v>0</v>
      </c>
      <c r="DA267" s="21">
        <v>0</v>
      </c>
      <c r="DB267" s="21">
        <v>0</v>
      </c>
      <c r="DC267" s="21">
        <v>0</v>
      </c>
      <c r="DD267" s="21">
        <v>0</v>
      </c>
      <c r="DE267" s="21">
        <v>0</v>
      </c>
      <c r="DF267" s="21">
        <v>0</v>
      </c>
      <c r="DG267" s="21">
        <v>0</v>
      </c>
      <c r="DH267" s="21">
        <v>0</v>
      </c>
      <c r="DI267" s="21">
        <v>0</v>
      </c>
      <c r="DJ267" s="21">
        <v>0</v>
      </c>
      <c r="DK267" s="21">
        <v>0</v>
      </c>
      <c r="DL267" s="21">
        <v>0</v>
      </c>
      <c r="DM267" s="21">
        <v>0</v>
      </c>
      <c r="DN267" s="21">
        <v>0</v>
      </c>
      <c r="DO267" s="21">
        <v>0</v>
      </c>
      <c r="DP267" s="21">
        <v>0</v>
      </c>
      <c r="DQ267" s="21">
        <v>0</v>
      </c>
      <c r="DR267" s="21">
        <v>0</v>
      </c>
      <c r="DS267" s="21">
        <v>0</v>
      </c>
      <c r="DT267" s="21">
        <v>0</v>
      </c>
      <c r="DU267" s="21">
        <v>0</v>
      </c>
      <c r="DV267" s="21">
        <v>0</v>
      </c>
      <c r="DW267" s="21">
        <v>0</v>
      </c>
      <c r="DX267" s="21">
        <v>0</v>
      </c>
      <c r="DY267" s="21">
        <v>0</v>
      </c>
      <c r="DZ267" s="21">
        <v>0</v>
      </c>
      <c r="EA267" s="21">
        <v>0</v>
      </c>
      <c r="EB267" s="21">
        <v>0</v>
      </c>
      <c r="EC267" s="21">
        <v>0</v>
      </c>
      <c r="ED267" s="21">
        <v>0</v>
      </c>
      <c r="EE267" s="21">
        <v>0</v>
      </c>
      <c r="EF267" s="21">
        <v>0</v>
      </c>
    </row>
    <row r="268" spans="1:136" ht="14.5" x14ac:dyDescent="0.35">
      <c r="A268" s="20" t="s">
        <v>12</v>
      </c>
      <c r="B268" s="20" t="s">
        <v>33</v>
      </c>
      <c r="C268" s="20" t="s">
        <v>33</v>
      </c>
      <c r="D268" s="20" t="s">
        <v>334</v>
      </c>
      <c r="E268" s="20" t="s">
        <v>10</v>
      </c>
      <c r="F268" s="20" t="s">
        <v>91</v>
      </c>
      <c r="G268" s="21">
        <v>0</v>
      </c>
      <c r="H268" s="21">
        <v>0</v>
      </c>
      <c r="I268" s="21">
        <v>4.5</v>
      </c>
      <c r="J268" s="21">
        <v>-4.5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1</v>
      </c>
      <c r="AL268" s="21">
        <v>3.5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1">
        <v>0</v>
      </c>
      <c r="BL268" s="21">
        <v>0</v>
      </c>
      <c r="BM268" s="21">
        <v>0</v>
      </c>
      <c r="BN268" s="21">
        <v>0</v>
      </c>
      <c r="BO268" s="21">
        <v>0</v>
      </c>
      <c r="BP268" s="21">
        <v>0</v>
      </c>
      <c r="BQ268" s="21">
        <v>0</v>
      </c>
      <c r="BR268" s="21">
        <v>0</v>
      </c>
      <c r="BS268" s="21">
        <v>0</v>
      </c>
      <c r="BT268" s="21">
        <v>0</v>
      </c>
      <c r="BU268" s="21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21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</v>
      </c>
      <c r="CO268" s="21">
        <v>0</v>
      </c>
      <c r="CP268" s="21">
        <v>0</v>
      </c>
      <c r="CQ268" s="21">
        <v>0</v>
      </c>
      <c r="CR268" s="21">
        <v>0</v>
      </c>
      <c r="CS268" s="21">
        <v>0</v>
      </c>
      <c r="CT268" s="21">
        <v>0</v>
      </c>
      <c r="CU268" s="21">
        <v>0</v>
      </c>
      <c r="CV268" s="21">
        <v>0</v>
      </c>
      <c r="CW268" s="21">
        <v>0</v>
      </c>
      <c r="CX268" s="21">
        <v>0</v>
      </c>
      <c r="CY268" s="21">
        <v>0</v>
      </c>
      <c r="CZ268" s="21">
        <v>0</v>
      </c>
      <c r="DA268" s="21">
        <v>0</v>
      </c>
      <c r="DB268" s="21">
        <v>0</v>
      </c>
      <c r="DC268" s="21">
        <v>0</v>
      </c>
      <c r="DD268" s="21">
        <v>0</v>
      </c>
      <c r="DE268" s="21">
        <v>0</v>
      </c>
      <c r="DF268" s="21">
        <v>0</v>
      </c>
      <c r="DG268" s="21">
        <v>0</v>
      </c>
      <c r="DH268" s="21">
        <v>0</v>
      </c>
      <c r="DI268" s="21">
        <v>0</v>
      </c>
      <c r="DJ268" s="21">
        <v>0</v>
      </c>
      <c r="DK268" s="21">
        <v>0</v>
      </c>
      <c r="DL268" s="21">
        <v>0</v>
      </c>
      <c r="DM268" s="21">
        <v>0</v>
      </c>
      <c r="DN268" s="21">
        <v>0</v>
      </c>
      <c r="DO268" s="21">
        <v>0</v>
      </c>
      <c r="DP268" s="21">
        <v>0</v>
      </c>
      <c r="DQ268" s="21">
        <v>0</v>
      </c>
      <c r="DR268" s="21">
        <v>0</v>
      </c>
      <c r="DS268" s="21">
        <v>0</v>
      </c>
      <c r="DT268" s="21">
        <v>0</v>
      </c>
      <c r="DU268" s="21">
        <v>0</v>
      </c>
      <c r="DV268" s="21">
        <v>0</v>
      </c>
      <c r="DW268" s="21">
        <v>0</v>
      </c>
      <c r="DX268" s="21">
        <v>0</v>
      </c>
      <c r="DY268" s="21">
        <v>0</v>
      </c>
      <c r="DZ268" s="21">
        <v>0</v>
      </c>
      <c r="EA268" s="21">
        <v>0</v>
      </c>
      <c r="EB268" s="21">
        <v>0</v>
      </c>
      <c r="EC268" s="21">
        <v>0</v>
      </c>
      <c r="ED268" s="21">
        <v>0</v>
      </c>
      <c r="EE268" s="21">
        <v>0</v>
      </c>
      <c r="EF268" s="21">
        <v>0</v>
      </c>
    </row>
    <row r="269" spans="1:136" ht="14.5" x14ac:dyDescent="0.35">
      <c r="A269" s="20" t="s">
        <v>12</v>
      </c>
      <c r="B269" s="20" t="s">
        <v>33</v>
      </c>
      <c r="C269" s="20" t="s">
        <v>33</v>
      </c>
      <c r="D269" s="20" t="s">
        <v>333</v>
      </c>
      <c r="E269" s="20" t="s">
        <v>10</v>
      </c>
      <c r="F269" s="20" t="s">
        <v>91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1">
        <v>0</v>
      </c>
      <c r="BL269" s="21">
        <v>0</v>
      </c>
      <c r="BM269" s="21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>
        <v>0</v>
      </c>
      <c r="CI269" s="21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21">
        <v>0</v>
      </c>
      <c r="CQ269" s="21">
        <v>0</v>
      </c>
      <c r="CR269" s="21">
        <v>0</v>
      </c>
      <c r="CS269" s="21">
        <v>0</v>
      </c>
      <c r="CT269" s="21">
        <v>0</v>
      </c>
      <c r="CU269" s="21">
        <v>0</v>
      </c>
      <c r="CV269" s="21">
        <v>0</v>
      </c>
      <c r="CW269" s="21">
        <v>0</v>
      </c>
      <c r="CX269" s="21">
        <v>0</v>
      </c>
      <c r="CY269" s="21">
        <v>0</v>
      </c>
      <c r="CZ269" s="21">
        <v>0</v>
      </c>
      <c r="DA269" s="21">
        <v>0</v>
      </c>
      <c r="DB269" s="21">
        <v>0</v>
      </c>
      <c r="DC269" s="21">
        <v>0</v>
      </c>
      <c r="DD269" s="21">
        <v>0</v>
      </c>
      <c r="DE269" s="21">
        <v>0</v>
      </c>
      <c r="DF269" s="21">
        <v>0</v>
      </c>
      <c r="DG269" s="21">
        <v>0</v>
      </c>
      <c r="DH269" s="21">
        <v>0</v>
      </c>
      <c r="DI269" s="21">
        <v>0</v>
      </c>
      <c r="DJ269" s="21">
        <v>0</v>
      </c>
      <c r="DK269" s="21">
        <v>0</v>
      </c>
      <c r="DL269" s="21">
        <v>0</v>
      </c>
      <c r="DM269" s="21">
        <v>0</v>
      </c>
      <c r="DN269" s="21">
        <v>0</v>
      </c>
      <c r="DO269" s="21">
        <v>0</v>
      </c>
      <c r="DP269" s="21">
        <v>0</v>
      </c>
      <c r="DQ269" s="21">
        <v>0</v>
      </c>
      <c r="DR269" s="21">
        <v>0</v>
      </c>
      <c r="DS269" s="21">
        <v>0</v>
      </c>
      <c r="DT269" s="21">
        <v>0</v>
      </c>
      <c r="DU269" s="21">
        <v>0</v>
      </c>
      <c r="DV269" s="21">
        <v>0</v>
      </c>
      <c r="DW269" s="21">
        <v>0</v>
      </c>
      <c r="DX269" s="21">
        <v>0</v>
      </c>
      <c r="DY269" s="21">
        <v>0</v>
      </c>
      <c r="DZ269" s="21">
        <v>0</v>
      </c>
      <c r="EA269" s="21">
        <v>0</v>
      </c>
      <c r="EB269" s="21">
        <v>0</v>
      </c>
      <c r="EC269" s="21">
        <v>0</v>
      </c>
      <c r="ED269" s="21">
        <v>0</v>
      </c>
      <c r="EE269" s="21">
        <v>0</v>
      </c>
      <c r="EF269" s="21">
        <v>0</v>
      </c>
    </row>
    <row r="270" spans="1:136" ht="14.5" x14ac:dyDescent="0.35">
      <c r="A270" s="20" t="s">
        <v>12</v>
      </c>
      <c r="B270" s="20" t="s">
        <v>33</v>
      </c>
      <c r="C270" s="20" t="s">
        <v>33</v>
      </c>
      <c r="D270" s="20" t="s">
        <v>334</v>
      </c>
      <c r="E270" s="20" t="s">
        <v>10</v>
      </c>
      <c r="F270" s="20" t="s">
        <v>120</v>
      </c>
      <c r="G270" s="21">
        <v>9</v>
      </c>
      <c r="H270" s="21">
        <v>117.7</v>
      </c>
      <c r="I270" s="21">
        <v>108.7</v>
      </c>
      <c r="J270" s="21">
        <v>9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0</v>
      </c>
      <c r="BH270" s="21">
        <v>0</v>
      </c>
      <c r="BI270" s="21">
        <v>0</v>
      </c>
      <c r="BJ270" s="21">
        <v>0</v>
      </c>
      <c r="BK270" s="21">
        <v>0</v>
      </c>
      <c r="BL270" s="21">
        <v>0</v>
      </c>
      <c r="BM270" s="21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21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21">
        <v>0</v>
      </c>
      <c r="CI270" s="21">
        <v>0</v>
      </c>
      <c r="CJ270" s="21">
        <v>0</v>
      </c>
      <c r="CK270" s="21">
        <v>0</v>
      </c>
      <c r="CL270" s="21">
        <v>0</v>
      </c>
      <c r="CM270" s="21">
        <v>0</v>
      </c>
      <c r="CN270" s="21">
        <v>0</v>
      </c>
      <c r="CO270" s="21">
        <v>0</v>
      </c>
      <c r="CP270" s="21">
        <v>0</v>
      </c>
      <c r="CQ270" s="21">
        <v>0</v>
      </c>
      <c r="CR270" s="21">
        <v>0</v>
      </c>
      <c r="CS270" s="21">
        <v>7</v>
      </c>
      <c r="CT270" s="21">
        <v>7</v>
      </c>
      <c r="CU270" s="21">
        <v>4</v>
      </c>
      <c r="CV270" s="21">
        <v>1</v>
      </c>
      <c r="CW270" s="21">
        <v>1</v>
      </c>
      <c r="CX270" s="21">
        <v>1</v>
      </c>
      <c r="CY270" s="21">
        <v>0.2</v>
      </c>
      <c r="CZ270" s="21">
        <v>0.1</v>
      </c>
      <c r="DA270" s="21">
        <v>0.1</v>
      </c>
      <c r="DB270" s="21">
        <v>0.2</v>
      </c>
      <c r="DC270" s="21">
        <v>0</v>
      </c>
      <c r="DD270" s="21">
        <v>0</v>
      </c>
      <c r="DE270" s="21">
        <v>0</v>
      </c>
      <c r="DF270" s="21">
        <v>7</v>
      </c>
      <c r="DG270" s="21">
        <v>7</v>
      </c>
      <c r="DH270" s="21">
        <v>7</v>
      </c>
      <c r="DI270" s="21">
        <v>0</v>
      </c>
      <c r="DJ270" s="21">
        <v>0</v>
      </c>
      <c r="DK270" s="21">
        <v>7</v>
      </c>
      <c r="DL270" s="21">
        <v>0.1</v>
      </c>
      <c r="DM270" s="21">
        <v>0</v>
      </c>
      <c r="DN270" s="21">
        <v>0</v>
      </c>
      <c r="DO270" s="21">
        <v>0</v>
      </c>
      <c r="DP270" s="21">
        <v>0</v>
      </c>
      <c r="DQ270" s="21">
        <v>0</v>
      </c>
      <c r="DR270" s="21">
        <v>2</v>
      </c>
      <c r="DS270" s="21">
        <v>9</v>
      </c>
      <c r="DT270" s="21">
        <v>9</v>
      </c>
      <c r="DU270" s="21">
        <v>9</v>
      </c>
      <c r="DV270" s="21">
        <v>9</v>
      </c>
      <c r="DW270" s="21">
        <v>9</v>
      </c>
      <c r="DX270" s="21">
        <v>9</v>
      </c>
      <c r="DY270" s="21">
        <v>3</v>
      </c>
      <c r="DZ270" s="21">
        <v>0</v>
      </c>
      <c r="EA270" s="21">
        <v>0</v>
      </c>
      <c r="EB270" s="21">
        <v>0</v>
      </c>
      <c r="EC270" s="21">
        <v>0</v>
      </c>
      <c r="ED270" s="21">
        <v>0</v>
      </c>
      <c r="EE270" s="21">
        <v>0</v>
      </c>
      <c r="EF270" s="21">
        <v>0</v>
      </c>
    </row>
    <row r="271" spans="1:136" ht="14.5" x14ac:dyDescent="0.35">
      <c r="A271" s="20" t="s">
        <v>12</v>
      </c>
      <c r="B271" s="20" t="s">
        <v>94</v>
      </c>
      <c r="C271" s="20" t="s">
        <v>94</v>
      </c>
      <c r="D271" s="20" t="s">
        <v>337</v>
      </c>
      <c r="E271" s="20" t="s">
        <v>16</v>
      </c>
      <c r="F271" s="20" t="s">
        <v>87</v>
      </c>
      <c r="G271" s="21">
        <v>6</v>
      </c>
      <c r="H271" s="21">
        <v>6</v>
      </c>
      <c r="I271" s="21">
        <v>6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6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21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21">
        <v>0</v>
      </c>
      <c r="CQ271" s="21">
        <v>0</v>
      </c>
      <c r="CR271" s="21">
        <v>0</v>
      </c>
      <c r="CS271" s="21">
        <v>0</v>
      </c>
      <c r="CT271" s="21">
        <v>0</v>
      </c>
      <c r="CU271" s="21">
        <v>0</v>
      </c>
      <c r="CV271" s="21">
        <v>0</v>
      </c>
      <c r="CW271" s="21">
        <v>0</v>
      </c>
      <c r="CX271" s="21">
        <v>0</v>
      </c>
      <c r="CY271" s="21">
        <v>0</v>
      </c>
      <c r="CZ271" s="21">
        <v>0</v>
      </c>
      <c r="DA271" s="21">
        <v>0</v>
      </c>
      <c r="DB271" s="21">
        <v>0</v>
      </c>
      <c r="DC271" s="21">
        <v>0</v>
      </c>
      <c r="DD271" s="21">
        <v>0</v>
      </c>
      <c r="DE271" s="21">
        <v>0</v>
      </c>
      <c r="DF271" s="21">
        <v>0</v>
      </c>
      <c r="DG271" s="21">
        <v>0</v>
      </c>
      <c r="DH271" s="21">
        <v>0</v>
      </c>
      <c r="DI271" s="21">
        <v>0</v>
      </c>
      <c r="DJ271" s="21">
        <v>0</v>
      </c>
      <c r="DK271" s="21">
        <v>0</v>
      </c>
      <c r="DL271" s="21">
        <v>0</v>
      </c>
      <c r="DM271" s="21">
        <v>0</v>
      </c>
      <c r="DN271" s="21">
        <v>0</v>
      </c>
      <c r="DO271" s="21">
        <v>0</v>
      </c>
      <c r="DP271" s="21">
        <v>0</v>
      </c>
      <c r="DQ271" s="21">
        <v>0</v>
      </c>
      <c r="DR271" s="21">
        <v>0</v>
      </c>
      <c r="DS271" s="21">
        <v>0</v>
      </c>
      <c r="DT271" s="21">
        <v>0</v>
      </c>
      <c r="DU271" s="21">
        <v>0</v>
      </c>
      <c r="DV271" s="21">
        <v>0</v>
      </c>
      <c r="DW271" s="21">
        <v>0</v>
      </c>
      <c r="DX271" s="21">
        <v>0</v>
      </c>
      <c r="DY271" s="21">
        <v>0</v>
      </c>
      <c r="DZ271" s="21">
        <v>0</v>
      </c>
      <c r="EA271" s="21">
        <v>0</v>
      </c>
      <c r="EB271" s="21">
        <v>0</v>
      </c>
      <c r="EC271" s="21">
        <v>0</v>
      </c>
      <c r="ED271" s="21">
        <v>0</v>
      </c>
      <c r="EE271" s="21">
        <v>0</v>
      </c>
      <c r="EF271" s="21">
        <v>0</v>
      </c>
    </row>
    <row r="272" spans="1:136" ht="14.5" x14ac:dyDescent="0.35">
      <c r="A272" s="20" t="s">
        <v>12</v>
      </c>
      <c r="B272" s="20" t="s">
        <v>94</v>
      </c>
      <c r="C272" s="20" t="s">
        <v>94</v>
      </c>
      <c r="D272" s="20" t="s">
        <v>336</v>
      </c>
      <c r="E272" s="20" t="s">
        <v>16</v>
      </c>
      <c r="F272" s="20" t="s">
        <v>87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1">
        <v>0</v>
      </c>
      <c r="BL272" s="21">
        <v>0</v>
      </c>
      <c r="BM272" s="21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21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1">
        <v>0</v>
      </c>
      <c r="CH272" s="21">
        <v>0</v>
      </c>
      <c r="CI272" s="21">
        <v>0</v>
      </c>
      <c r="CJ272" s="21">
        <v>0</v>
      </c>
      <c r="CK272" s="21">
        <v>0</v>
      </c>
      <c r="CL272" s="21">
        <v>0</v>
      </c>
      <c r="CM272" s="21">
        <v>0</v>
      </c>
      <c r="CN272" s="21">
        <v>0</v>
      </c>
      <c r="CO272" s="21">
        <v>0</v>
      </c>
      <c r="CP272" s="21">
        <v>0</v>
      </c>
      <c r="CQ272" s="21">
        <v>0</v>
      </c>
      <c r="CR272" s="21">
        <v>0</v>
      </c>
      <c r="CS272" s="21">
        <v>0</v>
      </c>
      <c r="CT272" s="21">
        <v>0</v>
      </c>
      <c r="CU272" s="21">
        <v>0</v>
      </c>
      <c r="CV272" s="21">
        <v>0</v>
      </c>
      <c r="CW272" s="21">
        <v>0</v>
      </c>
      <c r="CX272" s="21">
        <v>0</v>
      </c>
      <c r="CY272" s="21">
        <v>0</v>
      </c>
      <c r="CZ272" s="21">
        <v>0</v>
      </c>
      <c r="DA272" s="21">
        <v>0</v>
      </c>
      <c r="DB272" s="21">
        <v>0</v>
      </c>
      <c r="DC272" s="21">
        <v>0</v>
      </c>
      <c r="DD272" s="21">
        <v>0</v>
      </c>
      <c r="DE272" s="21">
        <v>0</v>
      </c>
      <c r="DF272" s="21">
        <v>0</v>
      </c>
      <c r="DG272" s="21">
        <v>0</v>
      </c>
      <c r="DH272" s="21">
        <v>0</v>
      </c>
      <c r="DI272" s="21">
        <v>0</v>
      </c>
      <c r="DJ272" s="21">
        <v>0</v>
      </c>
      <c r="DK272" s="21">
        <v>0</v>
      </c>
      <c r="DL272" s="21">
        <v>0</v>
      </c>
      <c r="DM272" s="21">
        <v>0</v>
      </c>
      <c r="DN272" s="21">
        <v>0</v>
      </c>
      <c r="DO272" s="21">
        <v>0</v>
      </c>
      <c r="DP272" s="21">
        <v>0</v>
      </c>
      <c r="DQ272" s="21">
        <v>0</v>
      </c>
      <c r="DR272" s="21">
        <v>0</v>
      </c>
      <c r="DS272" s="21">
        <v>0</v>
      </c>
      <c r="DT272" s="21">
        <v>0</v>
      </c>
      <c r="DU272" s="21">
        <v>0</v>
      </c>
      <c r="DV272" s="21">
        <v>0</v>
      </c>
      <c r="DW272" s="21">
        <v>0</v>
      </c>
      <c r="DX272" s="21">
        <v>0</v>
      </c>
      <c r="DY272" s="21">
        <v>0</v>
      </c>
      <c r="DZ272" s="21">
        <v>0</v>
      </c>
      <c r="EA272" s="21">
        <v>0</v>
      </c>
      <c r="EB272" s="21">
        <v>0</v>
      </c>
      <c r="EC272" s="21">
        <v>0</v>
      </c>
      <c r="ED272" s="21">
        <v>0</v>
      </c>
      <c r="EE272" s="21">
        <v>0</v>
      </c>
      <c r="EF272" s="21">
        <v>0</v>
      </c>
    </row>
    <row r="273" spans="1:136" ht="14.5" x14ac:dyDescent="0.35">
      <c r="A273" s="20" t="s">
        <v>12</v>
      </c>
      <c r="B273" s="20" t="s">
        <v>94</v>
      </c>
      <c r="C273" s="20" t="s">
        <v>94</v>
      </c>
      <c r="D273" s="20" t="s">
        <v>337</v>
      </c>
      <c r="E273" s="20" t="s">
        <v>16</v>
      </c>
      <c r="F273" s="20" t="s">
        <v>89</v>
      </c>
      <c r="G273" s="21">
        <v>0</v>
      </c>
      <c r="H273" s="21">
        <v>10</v>
      </c>
      <c r="I273" s="21">
        <v>0</v>
      </c>
      <c r="J273" s="21">
        <v>10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0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1">
        <v>0</v>
      </c>
      <c r="BL273" s="21">
        <v>0</v>
      </c>
      <c r="BM273" s="21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  <c r="BT273" s="21">
        <v>0</v>
      </c>
      <c r="BU273" s="21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21">
        <v>0</v>
      </c>
      <c r="CB273" s="21">
        <v>0</v>
      </c>
      <c r="CC273" s="21">
        <v>0</v>
      </c>
      <c r="CD273" s="21">
        <v>0</v>
      </c>
      <c r="CE273" s="21">
        <v>0</v>
      </c>
      <c r="CF273" s="21">
        <v>0</v>
      </c>
      <c r="CG273" s="21">
        <v>0</v>
      </c>
      <c r="CH273" s="21">
        <v>0</v>
      </c>
      <c r="CI273" s="21">
        <v>0</v>
      </c>
      <c r="CJ273" s="21">
        <v>0</v>
      </c>
      <c r="CK273" s="21">
        <v>0</v>
      </c>
      <c r="CL273" s="21">
        <v>0</v>
      </c>
      <c r="CM273" s="21">
        <v>0</v>
      </c>
      <c r="CN273" s="21">
        <v>0</v>
      </c>
      <c r="CO273" s="21">
        <v>0</v>
      </c>
      <c r="CP273" s="21">
        <v>0</v>
      </c>
      <c r="CQ273" s="21">
        <v>0</v>
      </c>
      <c r="CR273" s="21">
        <v>0</v>
      </c>
      <c r="CS273" s="21">
        <v>0</v>
      </c>
      <c r="CT273" s="21">
        <v>0</v>
      </c>
      <c r="CU273" s="21">
        <v>0</v>
      </c>
      <c r="CV273" s="21">
        <v>0</v>
      </c>
      <c r="CW273" s="21">
        <v>0</v>
      </c>
      <c r="CX273" s="21">
        <v>0</v>
      </c>
      <c r="CY273" s="21">
        <v>0</v>
      </c>
      <c r="CZ273" s="21">
        <v>0</v>
      </c>
      <c r="DA273" s="21">
        <v>0</v>
      </c>
      <c r="DB273" s="21">
        <v>0</v>
      </c>
      <c r="DC273" s="21">
        <v>0</v>
      </c>
      <c r="DD273" s="21">
        <v>0</v>
      </c>
      <c r="DE273" s="21">
        <v>0</v>
      </c>
      <c r="DF273" s="21">
        <v>0</v>
      </c>
      <c r="DG273" s="21">
        <v>0</v>
      </c>
      <c r="DH273" s="21">
        <v>0</v>
      </c>
      <c r="DI273" s="21">
        <v>0</v>
      </c>
      <c r="DJ273" s="21">
        <v>0</v>
      </c>
      <c r="DK273" s="21">
        <v>0</v>
      </c>
      <c r="DL273" s="21">
        <v>0</v>
      </c>
      <c r="DM273" s="21">
        <v>0</v>
      </c>
      <c r="DN273" s="21">
        <v>0</v>
      </c>
      <c r="DO273" s="21">
        <v>0</v>
      </c>
      <c r="DP273" s="21">
        <v>0</v>
      </c>
      <c r="DQ273" s="21">
        <v>0</v>
      </c>
      <c r="DR273" s="21">
        <v>0</v>
      </c>
      <c r="DS273" s="21">
        <v>0</v>
      </c>
      <c r="DT273" s="21">
        <v>0</v>
      </c>
      <c r="DU273" s="21">
        <v>0</v>
      </c>
      <c r="DV273" s="21">
        <v>0</v>
      </c>
      <c r="DW273" s="21">
        <v>0</v>
      </c>
      <c r="DX273" s="21">
        <v>0</v>
      </c>
      <c r="DY273" s="21">
        <v>0</v>
      </c>
      <c r="DZ273" s="21">
        <v>0</v>
      </c>
      <c r="EA273" s="21">
        <v>0</v>
      </c>
      <c r="EB273" s="21">
        <v>0</v>
      </c>
      <c r="EC273" s="21">
        <v>0</v>
      </c>
      <c r="ED273" s="21">
        <v>0</v>
      </c>
      <c r="EE273" s="21">
        <v>0</v>
      </c>
      <c r="EF273" s="21">
        <v>0</v>
      </c>
    </row>
    <row r="274" spans="1:136" ht="14.5" x14ac:dyDescent="0.35">
      <c r="A274" s="20" t="s">
        <v>12</v>
      </c>
      <c r="B274" s="20" t="s">
        <v>94</v>
      </c>
      <c r="C274" s="20" t="s">
        <v>94</v>
      </c>
      <c r="D274" s="20" t="s">
        <v>336</v>
      </c>
      <c r="E274" s="20" t="s">
        <v>16</v>
      </c>
      <c r="F274" s="20" t="s">
        <v>89</v>
      </c>
      <c r="G274" s="21">
        <v>0</v>
      </c>
      <c r="H274" s="21">
        <v>0</v>
      </c>
      <c r="I274" s="21">
        <v>10</v>
      </c>
      <c r="J274" s="21">
        <v>-10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21">
        <v>0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0</v>
      </c>
      <c r="BH274" s="21">
        <v>0</v>
      </c>
      <c r="BI274" s="21">
        <v>0</v>
      </c>
      <c r="BJ274" s="21">
        <v>0</v>
      </c>
      <c r="BK274" s="21">
        <v>0</v>
      </c>
      <c r="BL274" s="21">
        <v>0</v>
      </c>
      <c r="BM274" s="21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21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21">
        <v>0</v>
      </c>
      <c r="CI274" s="21">
        <v>0</v>
      </c>
      <c r="CJ274" s="21">
        <v>0</v>
      </c>
      <c r="CK274" s="21">
        <v>0</v>
      </c>
      <c r="CL274" s="21">
        <v>0</v>
      </c>
      <c r="CM274" s="21">
        <v>0</v>
      </c>
      <c r="CN274" s="21">
        <v>0</v>
      </c>
      <c r="CO274" s="21">
        <v>0</v>
      </c>
      <c r="CP274" s="21">
        <v>0</v>
      </c>
      <c r="CQ274" s="21">
        <v>0</v>
      </c>
      <c r="CR274" s="21">
        <v>0</v>
      </c>
      <c r="CS274" s="21">
        <v>0</v>
      </c>
      <c r="CT274" s="21">
        <v>0</v>
      </c>
      <c r="CU274" s="21">
        <v>0</v>
      </c>
      <c r="CV274" s="21">
        <v>0</v>
      </c>
      <c r="CW274" s="21">
        <v>0</v>
      </c>
      <c r="CX274" s="21">
        <v>0</v>
      </c>
      <c r="CY274" s="21">
        <v>0</v>
      </c>
      <c r="CZ274" s="21">
        <v>5</v>
      </c>
      <c r="DA274" s="21">
        <v>5</v>
      </c>
      <c r="DB274" s="21">
        <v>0</v>
      </c>
      <c r="DC274" s="21">
        <v>0</v>
      </c>
      <c r="DD274" s="21">
        <v>0</v>
      </c>
      <c r="DE274" s="21">
        <v>0</v>
      </c>
      <c r="DF274" s="21">
        <v>0</v>
      </c>
      <c r="DG274" s="21">
        <v>0</v>
      </c>
      <c r="DH274" s="21">
        <v>0</v>
      </c>
      <c r="DI274" s="21">
        <v>0</v>
      </c>
      <c r="DJ274" s="21">
        <v>0</v>
      </c>
      <c r="DK274" s="21">
        <v>0</v>
      </c>
      <c r="DL274" s="21">
        <v>0</v>
      </c>
      <c r="DM274" s="21">
        <v>0</v>
      </c>
      <c r="DN274" s="21">
        <v>0</v>
      </c>
      <c r="DO274" s="21">
        <v>0</v>
      </c>
      <c r="DP274" s="21">
        <v>0</v>
      </c>
      <c r="DQ274" s="21">
        <v>0</v>
      </c>
      <c r="DR274" s="21">
        <v>0</v>
      </c>
      <c r="DS274" s="21">
        <v>0</v>
      </c>
      <c r="DT274" s="21">
        <v>0</v>
      </c>
      <c r="DU274" s="21">
        <v>0</v>
      </c>
      <c r="DV274" s="21">
        <v>0</v>
      </c>
      <c r="DW274" s="21">
        <v>0</v>
      </c>
      <c r="DX274" s="21">
        <v>0</v>
      </c>
      <c r="DY274" s="21">
        <v>0</v>
      </c>
      <c r="DZ274" s="21">
        <v>0</v>
      </c>
      <c r="EA274" s="21">
        <v>0</v>
      </c>
      <c r="EB274" s="21">
        <v>0</v>
      </c>
      <c r="EC274" s="21">
        <v>0</v>
      </c>
      <c r="ED274" s="21">
        <v>0</v>
      </c>
      <c r="EE274" s="21">
        <v>0</v>
      </c>
      <c r="EF274" s="21">
        <v>0</v>
      </c>
    </row>
    <row r="275" spans="1:136" ht="14.5" x14ac:dyDescent="0.35">
      <c r="A275" s="20" t="s">
        <v>12</v>
      </c>
      <c r="B275" s="20" t="s">
        <v>94</v>
      </c>
      <c r="C275" s="20" t="s">
        <v>94</v>
      </c>
      <c r="D275" s="20" t="s">
        <v>337</v>
      </c>
      <c r="E275" s="20" t="s">
        <v>16</v>
      </c>
      <c r="F275" s="20" t="s">
        <v>90</v>
      </c>
      <c r="G275" s="21">
        <v>0</v>
      </c>
      <c r="H275" s="21">
        <v>0</v>
      </c>
      <c r="I275" s="21">
        <v>13</v>
      </c>
      <c r="J275" s="21">
        <v>-13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3</v>
      </c>
      <c r="Z275" s="21">
        <v>0</v>
      </c>
      <c r="AA275" s="21">
        <v>10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21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21">
        <v>0</v>
      </c>
      <c r="CQ275" s="21">
        <v>0</v>
      </c>
      <c r="CR275" s="21">
        <v>0</v>
      </c>
      <c r="CS275" s="21">
        <v>0</v>
      </c>
      <c r="CT275" s="21">
        <v>0</v>
      </c>
      <c r="CU275" s="21">
        <v>0</v>
      </c>
      <c r="CV275" s="21">
        <v>0</v>
      </c>
      <c r="CW275" s="21">
        <v>0</v>
      </c>
      <c r="CX275" s="21">
        <v>0</v>
      </c>
      <c r="CY275" s="21">
        <v>0</v>
      </c>
      <c r="CZ275" s="21">
        <v>0</v>
      </c>
      <c r="DA275" s="21">
        <v>0</v>
      </c>
      <c r="DB275" s="21">
        <v>0</v>
      </c>
      <c r="DC275" s="21">
        <v>0</v>
      </c>
      <c r="DD275" s="21">
        <v>0</v>
      </c>
      <c r="DE275" s="21">
        <v>0</v>
      </c>
      <c r="DF275" s="21">
        <v>0</v>
      </c>
      <c r="DG275" s="21">
        <v>0</v>
      </c>
      <c r="DH275" s="21">
        <v>0</v>
      </c>
      <c r="DI275" s="21">
        <v>0</v>
      </c>
      <c r="DJ275" s="21">
        <v>0</v>
      </c>
      <c r="DK275" s="21">
        <v>0</v>
      </c>
      <c r="DL275" s="21">
        <v>0</v>
      </c>
      <c r="DM275" s="21">
        <v>0</v>
      </c>
      <c r="DN275" s="21">
        <v>0</v>
      </c>
      <c r="DO275" s="21">
        <v>0</v>
      </c>
      <c r="DP275" s="21">
        <v>0</v>
      </c>
      <c r="DQ275" s="21">
        <v>0</v>
      </c>
      <c r="DR275" s="21">
        <v>0</v>
      </c>
      <c r="DS275" s="21">
        <v>0</v>
      </c>
      <c r="DT275" s="21">
        <v>0</v>
      </c>
      <c r="DU275" s="21">
        <v>0</v>
      </c>
      <c r="DV275" s="21">
        <v>0</v>
      </c>
      <c r="DW275" s="21">
        <v>0</v>
      </c>
      <c r="DX275" s="21">
        <v>0</v>
      </c>
      <c r="DY275" s="21">
        <v>0</v>
      </c>
      <c r="DZ275" s="21">
        <v>0</v>
      </c>
      <c r="EA275" s="21">
        <v>0</v>
      </c>
      <c r="EB275" s="21">
        <v>0</v>
      </c>
      <c r="EC275" s="21">
        <v>0</v>
      </c>
      <c r="ED275" s="21">
        <v>0</v>
      </c>
      <c r="EE275" s="21">
        <v>0</v>
      </c>
      <c r="EF275" s="21">
        <v>0</v>
      </c>
    </row>
    <row r="276" spans="1:136" ht="14.5" x14ac:dyDescent="0.35">
      <c r="A276" s="20" t="s">
        <v>12</v>
      </c>
      <c r="B276" s="20" t="s">
        <v>94</v>
      </c>
      <c r="C276" s="20" t="s">
        <v>94</v>
      </c>
      <c r="D276" s="20" t="s">
        <v>337</v>
      </c>
      <c r="E276" s="20" t="s">
        <v>16</v>
      </c>
      <c r="F276" s="20" t="s">
        <v>96</v>
      </c>
      <c r="G276" s="21">
        <v>2</v>
      </c>
      <c r="H276" s="21">
        <v>2</v>
      </c>
      <c r="I276" s="21">
        <v>2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2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21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21">
        <v>0</v>
      </c>
      <c r="CQ276" s="21">
        <v>0</v>
      </c>
      <c r="CR276" s="21">
        <v>0</v>
      </c>
      <c r="CS276" s="21">
        <v>0</v>
      </c>
      <c r="CT276" s="21">
        <v>0</v>
      </c>
      <c r="CU276" s="21">
        <v>0</v>
      </c>
      <c r="CV276" s="21">
        <v>0</v>
      </c>
      <c r="CW276" s="21">
        <v>0</v>
      </c>
      <c r="CX276" s="21">
        <v>0</v>
      </c>
      <c r="CY276" s="21">
        <v>0</v>
      </c>
      <c r="CZ276" s="21">
        <v>0</v>
      </c>
      <c r="DA276" s="21">
        <v>0</v>
      </c>
      <c r="DB276" s="21">
        <v>0</v>
      </c>
      <c r="DC276" s="21">
        <v>0</v>
      </c>
      <c r="DD276" s="21">
        <v>0</v>
      </c>
      <c r="DE276" s="21">
        <v>0</v>
      </c>
      <c r="DF276" s="21">
        <v>0</v>
      </c>
      <c r="DG276" s="21">
        <v>0</v>
      </c>
      <c r="DH276" s="21">
        <v>0</v>
      </c>
      <c r="DI276" s="21">
        <v>0</v>
      </c>
      <c r="DJ276" s="21">
        <v>0</v>
      </c>
      <c r="DK276" s="21">
        <v>0</v>
      </c>
      <c r="DL276" s="21">
        <v>0</v>
      </c>
      <c r="DM276" s="21">
        <v>0</v>
      </c>
      <c r="DN276" s="21">
        <v>0</v>
      </c>
      <c r="DO276" s="21">
        <v>0</v>
      </c>
      <c r="DP276" s="21">
        <v>0</v>
      </c>
      <c r="DQ276" s="21">
        <v>0</v>
      </c>
      <c r="DR276" s="21">
        <v>0</v>
      </c>
      <c r="DS276" s="21">
        <v>0</v>
      </c>
      <c r="DT276" s="21">
        <v>0</v>
      </c>
      <c r="DU276" s="21">
        <v>0</v>
      </c>
      <c r="DV276" s="21">
        <v>0</v>
      </c>
      <c r="DW276" s="21">
        <v>0</v>
      </c>
      <c r="DX276" s="21">
        <v>0</v>
      </c>
      <c r="DY276" s="21">
        <v>0</v>
      </c>
      <c r="DZ276" s="21">
        <v>0</v>
      </c>
      <c r="EA276" s="21">
        <v>0</v>
      </c>
      <c r="EB276" s="21">
        <v>0</v>
      </c>
      <c r="EC276" s="21">
        <v>0</v>
      </c>
      <c r="ED276" s="21">
        <v>0</v>
      </c>
      <c r="EE276" s="21">
        <v>0</v>
      </c>
      <c r="EF276" s="21">
        <v>0</v>
      </c>
    </row>
    <row r="277" spans="1:136" ht="14.5" x14ac:dyDescent="0.35">
      <c r="A277" s="20" t="s">
        <v>12</v>
      </c>
      <c r="B277" s="20" t="s">
        <v>94</v>
      </c>
      <c r="C277" s="20" t="s">
        <v>94</v>
      </c>
      <c r="D277" s="20" t="s">
        <v>336</v>
      </c>
      <c r="E277" s="20" t="s">
        <v>16</v>
      </c>
      <c r="F277" s="20" t="s">
        <v>96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1">
        <v>0</v>
      </c>
      <c r="BL277" s="21">
        <v>0</v>
      </c>
      <c r="BM277" s="21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21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>
        <v>0</v>
      </c>
      <c r="CI277" s="21">
        <v>0</v>
      </c>
      <c r="CJ277" s="21">
        <v>0</v>
      </c>
      <c r="CK277" s="21">
        <v>0</v>
      </c>
      <c r="CL277" s="21">
        <v>0</v>
      </c>
      <c r="CM277" s="21">
        <v>0</v>
      </c>
      <c r="CN277" s="21">
        <v>0</v>
      </c>
      <c r="CO277" s="21">
        <v>0</v>
      </c>
      <c r="CP277" s="21">
        <v>0</v>
      </c>
      <c r="CQ277" s="21">
        <v>0</v>
      </c>
      <c r="CR277" s="21">
        <v>0</v>
      </c>
      <c r="CS277" s="21">
        <v>0</v>
      </c>
      <c r="CT277" s="21">
        <v>0</v>
      </c>
      <c r="CU277" s="21">
        <v>0</v>
      </c>
      <c r="CV277" s="21">
        <v>0</v>
      </c>
      <c r="CW277" s="21">
        <v>0</v>
      </c>
      <c r="CX277" s="21">
        <v>0</v>
      </c>
      <c r="CY277" s="21">
        <v>0</v>
      </c>
      <c r="CZ277" s="21">
        <v>0</v>
      </c>
      <c r="DA277" s="21">
        <v>0</v>
      </c>
      <c r="DB277" s="21">
        <v>0</v>
      </c>
      <c r="DC277" s="21">
        <v>0</v>
      </c>
      <c r="DD277" s="21">
        <v>0</v>
      </c>
      <c r="DE277" s="21">
        <v>0</v>
      </c>
      <c r="DF277" s="21">
        <v>0</v>
      </c>
      <c r="DG277" s="21">
        <v>0</v>
      </c>
      <c r="DH277" s="21">
        <v>0</v>
      </c>
      <c r="DI277" s="21">
        <v>0</v>
      </c>
      <c r="DJ277" s="21">
        <v>0</v>
      </c>
      <c r="DK277" s="21">
        <v>0</v>
      </c>
      <c r="DL277" s="21">
        <v>0</v>
      </c>
      <c r="DM277" s="21">
        <v>0</v>
      </c>
      <c r="DN277" s="21">
        <v>0</v>
      </c>
      <c r="DO277" s="21">
        <v>0</v>
      </c>
      <c r="DP277" s="21">
        <v>0</v>
      </c>
      <c r="DQ277" s="21">
        <v>0</v>
      </c>
      <c r="DR277" s="21">
        <v>0</v>
      </c>
      <c r="DS277" s="21">
        <v>0</v>
      </c>
      <c r="DT277" s="21">
        <v>0</v>
      </c>
      <c r="DU277" s="21">
        <v>0</v>
      </c>
      <c r="DV277" s="21">
        <v>0</v>
      </c>
      <c r="DW277" s="21">
        <v>0</v>
      </c>
      <c r="DX277" s="21">
        <v>0</v>
      </c>
      <c r="DY277" s="21">
        <v>0</v>
      </c>
      <c r="DZ277" s="21">
        <v>0</v>
      </c>
      <c r="EA277" s="21">
        <v>0</v>
      </c>
      <c r="EB277" s="21">
        <v>0</v>
      </c>
      <c r="EC277" s="21">
        <v>0</v>
      </c>
      <c r="ED277" s="21">
        <v>0</v>
      </c>
      <c r="EE277" s="21">
        <v>0</v>
      </c>
      <c r="EF277" s="21">
        <v>0</v>
      </c>
    </row>
    <row r="278" spans="1:136" ht="14.5" x14ac:dyDescent="0.35">
      <c r="A278" s="20" t="s">
        <v>12</v>
      </c>
      <c r="B278" s="20" t="s">
        <v>94</v>
      </c>
      <c r="C278" s="20" t="s">
        <v>94</v>
      </c>
      <c r="D278" s="20" t="s">
        <v>337</v>
      </c>
      <c r="E278" s="20" t="s">
        <v>16</v>
      </c>
      <c r="F278" s="20" t="s">
        <v>91</v>
      </c>
      <c r="G278" s="21">
        <v>24</v>
      </c>
      <c r="H278" s="21">
        <v>24</v>
      </c>
      <c r="I278" s="21">
        <v>0</v>
      </c>
      <c r="J278" s="21">
        <v>24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21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21">
        <v>0</v>
      </c>
      <c r="CQ278" s="21">
        <v>0</v>
      </c>
      <c r="CR278" s="21">
        <v>0</v>
      </c>
      <c r="CS278" s="21">
        <v>0</v>
      </c>
      <c r="CT278" s="21">
        <v>0</v>
      </c>
      <c r="CU278" s="21">
        <v>0</v>
      </c>
      <c r="CV278" s="21">
        <v>0</v>
      </c>
      <c r="CW278" s="21">
        <v>0</v>
      </c>
      <c r="CX278" s="21">
        <v>0</v>
      </c>
      <c r="CY278" s="21">
        <v>0</v>
      </c>
      <c r="CZ278" s="21">
        <v>0</v>
      </c>
      <c r="DA278" s="21">
        <v>0</v>
      </c>
      <c r="DB278" s="21">
        <v>0</v>
      </c>
      <c r="DC278" s="21">
        <v>0</v>
      </c>
      <c r="DD278" s="21">
        <v>0</v>
      </c>
      <c r="DE278" s="21">
        <v>0</v>
      </c>
      <c r="DF278" s="21">
        <v>0</v>
      </c>
      <c r="DG278" s="21">
        <v>0</v>
      </c>
      <c r="DH278" s="21">
        <v>0</v>
      </c>
      <c r="DI278" s="21">
        <v>0</v>
      </c>
      <c r="DJ278" s="21">
        <v>0</v>
      </c>
      <c r="DK278" s="21">
        <v>0</v>
      </c>
      <c r="DL278" s="21">
        <v>0</v>
      </c>
      <c r="DM278" s="21">
        <v>0</v>
      </c>
      <c r="DN278" s="21">
        <v>0</v>
      </c>
      <c r="DO278" s="21">
        <v>0</v>
      </c>
      <c r="DP278" s="21">
        <v>0</v>
      </c>
      <c r="DQ278" s="21">
        <v>0</v>
      </c>
      <c r="DR278" s="21">
        <v>0</v>
      </c>
      <c r="DS278" s="21">
        <v>0</v>
      </c>
      <c r="DT278" s="21">
        <v>0</v>
      </c>
      <c r="DU278" s="21">
        <v>0</v>
      </c>
      <c r="DV278" s="21">
        <v>0</v>
      </c>
      <c r="DW278" s="21">
        <v>0</v>
      </c>
      <c r="DX278" s="21">
        <v>0</v>
      </c>
      <c r="DY278" s="21">
        <v>0</v>
      </c>
      <c r="DZ278" s="21">
        <v>0</v>
      </c>
      <c r="EA278" s="21">
        <v>0</v>
      </c>
      <c r="EB278" s="21">
        <v>0</v>
      </c>
      <c r="EC278" s="21">
        <v>0</v>
      </c>
      <c r="ED278" s="21">
        <v>0</v>
      </c>
      <c r="EE278" s="21">
        <v>0</v>
      </c>
      <c r="EF278" s="21">
        <v>0</v>
      </c>
    </row>
    <row r="279" spans="1:136" ht="14.5" x14ac:dyDescent="0.35">
      <c r="A279" s="20" t="s">
        <v>12</v>
      </c>
      <c r="B279" s="20" t="s">
        <v>94</v>
      </c>
      <c r="C279" s="20" t="s">
        <v>94</v>
      </c>
      <c r="D279" s="20" t="s">
        <v>336</v>
      </c>
      <c r="E279" s="20" t="s">
        <v>16</v>
      </c>
      <c r="F279" s="20" t="s">
        <v>91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21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21">
        <v>0</v>
      </c>
      <c r="CQ279" s="21">
        <v>0</v>
      </c>
      <c r="CR279" s="21">
        <v>0</v>
      </c>
      <c r="CS279" s="21">
        <v>0</v>
      </c>
      <c r="CT279" s="21">
        <v>0</v>
      </c>
      <c r="CU279" s="21">
        <v>0</v>
      </c>
      <c r="CV279" s="21">
        <v>0</v>
      </c>
      <c r="CW279" s="21">
        <v>0</v>
      </c>
      <c r="CX279" s="21">
        <v>0</v>
      </c>
      <c r="CY279" s="21">
        <v>0</v>
      </c>
      <c r="CZ279" s="21">
        <v>0</v>
      </c>
      <c r="DA279" s="21">
        <v>0</v>
      </c>
      <c r="DB279" s="21">
        <v>0</v>
      </c>
      <c r="DC279" s="21">
        <v>0</v>
      </c>
      <c r="DD279" s="21">
        <v>0</v>
      </c>
      <c r="DE279" s="21">
        <v>0</v>
      </c>
      <c r="DF279" s="21">
        <v>0</v>
      </c>
      <c r="DG279" s="21">
        <v>0</v>
      </c>
      <c r="DH279" s="21">
        <v>0</v>
      </c>
      <c r="DI279" s="21">
        <v>0</v>
      </c>
      <c r="DJ279" s="21">
        <v>0</v>
      </c>
      <c r="DK279" s="21">
        <v>0</v>
      </c>
      <c r="DL279" s="21">
        <v>0</v>
      </c>
      <c r="DM279" s="21">
        <v>0</v>
      </c>
      <c r="DN279" s="21">
        <v>0</v>
      </c>
      <c r="DO279" s="21">
        <v>0</v>
      </c>
      <c r="DP279" s="21">
        <v>0</v>
      </c>
      <c r="DQ279" s="21">
        <v>0</v>
      </c>
      <c r="DR279" s="21">
        <v>0</v>
      </c>
      <c r="DS279" s="21">
        <v>0</v>
      </c>
      <c r="DT279" s="21">
        <v>0</v>
      </c>
      <c r="DU279" s="21">
        <v>0</v>
      </c>
      <c r="DV279" s="21">
        <v>0</v>
      </c>
      <c r="DW279" s="21">
        <v>0</v>
      </c>
      <c r="DX279" s="21">
        <v>0</v>
      </c>
      <c r="DY279" s="21">
        <v>0</v>
      </c>
      <c r="DZ279" s="21">
        <v>0</v>
      </c>
      <c r="EA279" s="21">
        <v>0</v>
      </c>
      <c r="EB279" s="21">
        <v>0</v>
      </c>
      <c r="EC279" s="21">
        <v>0</v>
      </c>
      <c r="ED279" s="21">
        <v>0</v>
      </c>
      <c r="EE279" s="21">
        <v>0</v>
      </c>
      <c r="EF279" s="21">
        <v>0</v>
      </c>
    </row>
    <row r="280" spans="1:136" ht="14.5" x14ac:dyDescent="0.35">
      <c r="A280" s="20" t="s">
        <v>12</v>
      </c>
      <c r="B280" s="20" t="s">
        <v>24</v>
      </c>
      <c r="C280" s="20" t="s">
        <v>24</v>
      </c>
      <c r="D280" s="20" t="s">
        <v>333</v>
      </c>
      <c r="E280" s="20" t="s">
        <v>14</v>
      </c>
      <c r="F280" s="20" t="s">
        <v>86</v>
      </c>
      <c r="G280" s="21">
        <v>0</v>
      </c>
      <c r="H280" s="21">
        <v>88</v>
      </c>
      <c r="I280" s="21">
        <v>0</v>
      </c>
      <c r="J280" s="21">
        <v>88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21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21">
        <v>0</v>
      </c>
      <c r="CQ280" s="21">
        <v>0</v>
      </c>
      <c r="CR280" s="21">
        <v>0</v>
      </c>
      <c r="CS280" s="21">
        <v>0</v>
      </c>
      <c r="CT280" s="21">
        <v>0</v>
      </c>
      <c r="CU280" s="21">
        <v>0</v>
      </c>
      <c r="CV280" s="21">
        <v>0</v>
      </c>
      <c r="CW280" s="21">
        <v>0</v>
      </c>
      <c r="CX280" s="21">
        <v>0</v>
      </c>
      <c r="CY280" s="21">
        <v>0</v>
      </c>
      <c r="CZ280" s="21">
        <v>0</v>
      </c>
      <c r="DA280" s="21">
        <v>0</v>
      </c>
      <c r="DB280" s="21">
        <v>0</v>
      </c>
      <c r="DC280" s="21">
        <v>0</v>
      </c>
      <c r="DD280" s="21">
        <v>0</v>
      </c>
      <c r="DE280" s="21">
        <v>0</v>
      </c>
      <c r="DF280" s="21">
        <v>0</v>
      </c>
      <c r="DG280" s="21">
        <v>0</v>
      </c>
      <c r="DH280" s="21">
        <v>0</v>
      </c>
      <c r="DI280" s="21">
        <v>0</v>
      </c>
      <c r="DJ280" s="21">
        <v>0</v>
      </c>
      <c r="DK280" s="21">
        <v>0</v>
      </c>
      <c r="DL280" s="21">
        <v>0</v>
      </c>
      <c r="DM280" s="21">
        <v>0</v>
      </c>
      <c r="DN280" s="21">
        <v>0</v>
      </c>
      <c r="DO280" s="21">
        <v>0</v>
      </c>
      <c r="DP280" s="21">
        <v>0</v>
      </c>
      <c r="DQ280" s="21">
        <v>0</v>
      </c>
      <c r="DR280" s="21">
        <v>0</v>
      </c>
      <c r="DS280" s="21">
        <v>0</v>
      </c>
      <c r="DT280" s="21">
        <v>0</v>
      </c>
      <c r="DU280" s="21">
        <v>0</v>
      </c>
      <c r="DV280" s="21">
        <v>0</v>
      </c>
      <c r="DW280" s="21">
        <v>0</v>
      </c>
      <c r="DX280" s="21">
        <v>0</v>
      </c>
      <c r="DY280" s="21">
        <v>0</v>
      </c>
      <c r="DZ280" s="21">
        <v>0</v>
      </c>
      <c r="EA280" s="21">
        <v>0</v>
      </c>
      <c r="EB280" s="21">
        <v>0</v>
      </c>
      <c r="EC280" s="21">
        <v>0</v>
      </c>
      <c r="ED280" s="21">
        <v>0</v>
      </c>
      <c r="EE280" s="21">
        <v>0</v>
      </c>
      <c r="EF280" s="21">
        <v>0</v>
      </c>
    </row>
    <row r="281" spans="1:136" ht="14.5" x14ac:dyDescent="0.35">
      <c r="A281" s="20" t="s">
        <v>12</v>
      </c>
      <c r="B281" s="20" t="s">
        <v>24</v>
      </c>
      <c r="C281" s="20" t="s">
        <v>24</v>
      </c>
      <c r="D281" s="20" t="s">
        <v>339</v>
      </c>
      <c r="E281" s="20" t="s">
        <v>14</v>
      </c>
      <c r="F281" s="20" t="s">
        <v>86</v>
      </c>
      <c r="G281" s="21">
        <v>0</v>
      </c>
      <c r="H281" s="21">
        <v>0</v>
      </c>
      <c r="I281" s="21">
        <v>100</v>
      </c>
      <c r="J281" s="21">
        <v>-100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21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21">
        <v>0</v>
      </c>
      <c r="CQ281" s="21">
        <v>0</v>
      </c>
      <c r="CR281" s="21">
        <v>0</v>
      </c>
      <c r="CS281" s="21">
        <v>0</v>
      </c>
      <c r="CT281" s="21">
        <v>2</v>
      </c>
      <c r="CU281" s="21">
        <v>0</v>
      </c>
      <c r="CV281" s="21">
        <v>4</v>
      </c>
      <c r="CW281" s="21">
        <v>0</v>
      </c>
      <c r="CX281" s="21">
        <v>0</v>
      </c>
      <c r="CY281" s="21">
        <v>0</v>
      </c>
      <c r="CZ281" s="21">
        <v>0</v>
      </c>
      <c r="DA281" s="21">
        <v>0</v>
      </c>
      <c r="DB281" s="21">
        <v>0</v>
      </c>
      <c r="DC281" s="21">
        <v>0</v>
      </c>
      <c r="DD281" s="21">
        <v>0</v>
      </c>
      <c r="DE281" s="21">
        <v>0</v>
      </c>
      <c r="DF281" s="21">
        <v>0</v>
      </c>
      <c r="DG281" s="21">
        <v>0</v>
      </c>
      <c r="DH281" s="21">
        <v>0</v>
      </c>
      <c r="DI281" s="21">
        <v>0</v>
      </c>
      <c r="DJ281" s="21">
        <v>0</v>
      </c>
      <c r="DK281" s="21">
        <v>0</v>
      </c>
      <c r="DL281" s="21">
        <v>0</v>
      </c>
      <c r="DM281" s="21">
        <v>0</v>
      </c>
      <c r="DN281" s="21">
        <v>0</v>
      </c>
      <c r="DO281" s="21">
        <v>0</v>
      </c>
      <c r="DP281" s="21">
        <v>0</v>
      </c>
      <c r="DQ281" s="21">
        <v>0</v>
      </c>
      <c r="DR281" s="21">
        <v>10</v>
      </c>
      <c r="DS281" s="21">
        <v>25</v>
      </c>
      <c r="DT281" s="21">
        <v>37</v>
      </c>
      <c r="DU281" s="21">
        <v>22</v>
      </c>
      <c r="DV281" s="21">
        <v>0</v>
      </c>
      <c r="DW281" s="21">
        <v>0</v>
      </c>
      <c r="DX281" s="21">
        <v>0</v>
      </c>
      <c r="DY281" s="21">
        <v>0</v>
      </c>
      <c r="DZ281" s="21">
        <v>0</v>
      </c>
      <c r="EA281" s="21">
        <v>0</v>
      </c>
      <c r="EB281" s="21">
        <v>0</v>
      </c>
      <c r="EC281" s="21">
        <v>0</v>
      </c>
      <c r="ED281" s="21">
        <v>0</v>
      </c>
      <c r="EE281" s="21">
        <v>0</v>
      </c>
      <c r="EF281" s="21">
        <v>0</v>
      </c>
    </row>
    <row r="282" spans="1:136" ht="14.5" x14ac:dyDescent="0.35">
      <c r="A282" s="20" t="s">
        <v>12</v>
      </c>
      <c r="B282" s="20" t="s">
        <v>24</v>
      </c>
      <c r="C282" s="20" t="s">
        <v>24</v>
      </c>
      <c r="D282" s="20" t="s">
        <v>333</v>
      </c>
      <c r="E282" s="20" t="s">
        <v>14</v>
      </c>
      <c r="F282" s="20" t="s">
        <v>127</v>
      </c>
      <c r="G282" s="21">
        <v>0</v>
      </c>
      <c r="H282" s="21">
        <v>110</v>
      </c>
      <c r="I282" s="21">
        <v>0</v>
      </c>
      <c r="J282" s="21">
        <v>110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0</v>
      </c>
      <c r="BH282" s="21">
        <v>0</v>
      </c>
      <c r="BI282" s="21">
        <v>0</v>
      </c>
      <c r="BJ282" s="21">
        <v>0</v>
      </c>
      <c r="BK282" s="21">
        <v>0</v>
      </c>
      <c r="BL282" s="21">
        <v>0</v>
      </c>
      <c r="BM282" s="21">
        <v>0</v>
      </c>
      <c r="BN282" s="21">
        <v>0</v>
      </c>
      <c r="BO282" s="21">
        <v>0</v>
      </c>
      <c r="BP282" s="21">
        <v>0</v>
      </c>
      <c r="BQ282" s="21">
        <v>0</v>
      </c>
      <c r="BR282" s="21">
        <v>0</v>
      </c>
      <c r="BS282" s="21">
        <v>0</v>
      </c>
      <c r="BT282" s="21">
        <v>0</v>
      </c>
      <c r="BU282" s="21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21">
        <v>0</v>
      </c>
      <c r="CI282" s="21">
        <v>0</v>
      </c>
      <c r="CJ282" s="21">
        <v>0</v>
      </c>
      <c r="CK282" s="21">
        <v>0</v>
      </c>
      <c r="CL282" s="21">
        <v>0</v>
      </c>
      <c r="CM282" s="21">
        <v>0</v>
      </c>
      <c r="CN282" s="21">
        <v>0</v>
      </c>
      <c r="CO282" s="21">
        <v>0</v>
      </c>
      <c r="CP282" s="21">
        <v>0</v>
      </c>
      <c r="CQ282" s="21">
        <v>0</v>
      </c>
      <c r="CR282" s="21">
        <v>0</v>
      </c>
      <c r="CS282" s="21">
        <v>0</v>
      </c>
      <c r="CT282" s="21">
        <v>0</v>
      </c>
      <c r="CU282" s="21">
        <v>0</v>
      </c>
      <c r="CV282" s="21">
        <v>0</v>
      </c>
      <c r="CW282" s="21">
        <v>0</v>
      </c>
      <c r="CX282" s="21">
        <v>0</v>
      </c>
      <c r="CY282" s="21">
        <v>0</v>
      </c>
      <c r="CZ282" s="21">
        <v>0</v>
      </c>
      <c r="DA282" s="21">
        <v>0</v>
      </c>
      <c r="DB282" s="21">
        <v>0</v>
      </c>
      <c r="DC282" s="21">
        <v>0</v>
      </c>
      <c r="DD282" s="21">
        <v>0</v>
      </c>
      <c r="DE282" s="21">
        <v>0</v>
      </c>
      <c r="DF282" s="21">
        <v>0</v>
      </c>
      <c r="DG282" s="21">
        <v>0</v>
      </c>
      <c r="DH282" s="21">
        <v>0</v>
      </c>
      <c r="DI282" s="21">
        <v>0</v>
      </c>
      <c r="DJ282" s="21">
        <v>0</v>
      </c>
      <c r="DK282" s="21">
        <v>0</v>
      </c>
      <c r="DL282" s="21">
        <v>0</v>
      </c>
      <c r="DM282" s="21">
        <v>0</v>
      </c>
      <c r="DN282" s="21">
        <v>0</v>
      </c>
      <c r="DO282" s="21">
        <v>0</v>
      </c>
      <c r="DP282" s="21">
        <v>0</v>
      </c>
      <c r="DQ282" s="21">
        <v>0</v>
      </c>
      <c r="DR282" s="21">
        <v>0</v>
      </c>
      <c r="DS282" s="21">
        <v>0</v>
      </c>
      <c r="DT282" s="21">
        <v>0</v>
      </c>
      <c r="DU282" s="21">
        <v>0</v>
      </c>
      <c r="DV282" s="21">
        <v>0</v>
      </c>
      <c r="DW282" s="21">
        <v>0</v>
      </c>
      <c r="DX282" s="21">
        <v>0</v>
      </c>
      <c r="DY282" s="21">
        <v>0</v>
      </c>
      <c r="DZ282" s="21">
        <v>0</v>
      </c>
      <c r="EA282" s="21">
        <v>0</v>
      </c>
      <c r="EB282" s="21">
        <v>0</v>
      </c>
      <c r="EC282" s="21">
        <v>0</v>
      </c>
      <c r="ED282" s="21">
        <v>0</v>
      </c>
      <c r="EE282" s="21">
        <v>0</v>
      </c>
      <c r="EF282" s="21">
        <v>0</v>
      </c>
    </row>
    <row r="283" spans="1:136" ht="14.5" x14ac:dyDescent="0.35">
      <c r="A283" s="20" t="s">
        <v>12</v>
      </c>
      <c r="B283" s="20" t="s">
        <v>24</v>
      </c>
      <c r="C283" s="20" t="s">
        <v>24</v>
      </c>
      <c r="D283" s="20" t="s">
        <v>339</v>
      </c>
      <c r="E283" s="20" t="s">
        <v>14</v>
      </c>
      <c r="F283" s="20" t="s">
        <v>127</v>
      </c>
      <c r="G283" s="21">
        <v>0</v>
      </c>
      <c r="H283" s="21">
        <v>0</v>
      </c>
      <c r="I283" s="21">
        <v>110.5</v>
      </c>
      <c r="J283" s="21">
        <v>-110.5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0.5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1">
        <v>0</v>
      </c>
      <c r="BL283" s="21">
        <v>0</v>
      </c>
      <c r="BM283" s="21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21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21">
        <v>0</v>
      </c>
      <c r="CQ283" s="21">
        <v>0</v>
      </c>
      <c r="CR283" s="21">
        <v>0</v>
      </c>
      <c r="CS283" s="21">
        <v>0</v>
      </c>
      <c r="CT283" s="21">
        <v>0</v>
      </c>
      <c r="CU283" s="21">
        <v>5</v>
      </c>
      <c r="CV283" s="21">
        <v>5</v>
      </c>
      <c r="CW283" s="21">
        <v>5</v>
      </c>
      <c r="CX283" s="21">
        <v>5</v>
      </c>
      <c r="CY283" s="21">
        <v>5</v>
      </c>
      <c r="CZ283" s="21">
        <v>5</v>
      </c>
      <c r="DA283" s="21">
        <v>0</v>
      </c>
      <c r="DB283" s="21">
        <v>0</v>
      </c>
      <c r="DC283" s="21">
        <v>0</v>
      </c>
      <c r="DD283" s="21">
        <v>0</v>
      </c>
      <c r="DE283" s="21">
        <v>0</v>
      </c>
      <c r="DF283" s="21">
        <v>0</v>
      </c>
      <c r="DG283" s="21">
        <v>0</v>
      </c>
      <c r="DH283" s="21">
        <v>0</v>
      </c>
      <c r="DI283" s="21">
        <v>0</v>
      </c>
      <c r="DJ283" s="21">
        <v>0</v>
      </c>
      <c r="DK283" s="21">
        <v>0</v>
      </c>
      <c r="DL283" s="21">
        <v>0</v>
      </c>
      <c r="DM283" s="21">
        <v>0</v>
      </c>
      <c r="DN283" s="21">
        <v>0</v>
      </c>
      <c r="DO283" s="21">
        <v>0</v>
      </c>
      <c r="DP283" s="21">
        <v>0</v>
      </c>
      <c r="DQ283" s="21">
        <v>0</v>
      </c>
      <c r="DR283" s="21">
        <v>0</v>
      </c>
      <c r="DS283" s="21">
        <v>20</v>
      </c>
      <c r="DT283" s="21">
        <v>24</v>
      </c>
      <c r="DU283" s="21">
        <v>24</v>
      </c>
      <c r="DV283" s="21">
        <v>12</v>
      </c>
      <c r="DW283" s="21">
        <v>0</v>
      </c>
      <c r="DX283" s="21">
        <v>0</v>
      </c>
      <c r="DY283" s="21">
        <v>0</v>
      </c>
      <c r="DZ283" s="21">
        <v>0</v>
      </c>
      <c r="EA283" s="21">
        <v>0</v>
      </c>
      <c r="EB283" s="21">
        <v>0</v>
      </c>
      <c r="EC283" s="21">
        <v>0</v>
      </c>
      <c r="ED283" s="21">
        <v>0</v>
      </c>
      <c r="EE283" s="21">
        <v>0</v>
      </c>
      <c r="EF283" s="21">
        <v>0</v>
      </c>
    </row>
    <row r="284" spans="1:136" ht="14.5" x14ac:dyDescent="0.35">
      <c r="A284" s="20" t="s">
        <v>12</v>
      </c>
      <c r="B284" s="20" t="s">
        <v>24</v>
      </c>
      <c r="C284" s="20" t="s">
        <v>24</v>
      </c>
      <c r="D284" s="20" t="s">
        <v>333</v>
      </c>
      <c r="E284" s="20" t="s">
        <v>14</v>
      </c>
      <c r="F284" s="20" t="s">
        <v>78</v>
      </c>
      <c r="G284" s="21">
        <v>14.3</v>
      </c>
      <c r="H284" s="21">
        <v>64.599999999999994</v>
      </c>
      <c r="I284" s="21">
        <v>0</v>
      </c>
      <c r="J284" s="21">
        <v>64.599999999999994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1">
        <v>0</v>
      </c>
      <c r="BL284" s="21">
        <v>0</v>
      </c>
      <c r="BM284" s="21">
        <v>0</v>
      </c>
      <c r="BN284" s="21">
        <v>0</v>
      </c>
      <c r="BO284" s="21">
        <v>0</v>
      </c>
      <c r="BP284" s="21">
        <v>0</v>
      </c>
      <c r="BQ284" s="21">
        <v>0</v>
      </c>
      <c r="BR284" s="21">
        <v>0</v>
      </c>
      <c r="BS284" s="21">
        <v>0</v>
      </c>
      <c r="BT284" s="21">
        <v>0</v>
      </c>
      <c r="BU284" s="21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21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0</v>
      </c>
      <c r="CO284" s="21">
        <v>0</v>
      </c>
      <c r="CP284" s="21">
        <v>0</v>
      </c>
      <c r="CQ284" s="21">
        <v>0</v>
      </c>
      <c r="CR284" s="21">
        <v>0</v>
      </c>
      <c r="CS284" s="21">
        <v>0</v>
      </c>
      <c r="CT284" s="21">
        <v>0</v>
      </c>
      <c r="CU284" s="21">
        <v>0</v>
      </c>
      <c r="CV284" s="21">
        <v>0</v>
      </c>
      <c r="CW284" s="21">
        <v>0</v>
      </c>
      <c r="CX284" s="21">
        <v>0</v>
      </c>
      <c r="CY284" s="21">
        <v>0</v>
      </c>
      <c r="CZ284" s="21">
        <v>0</v>
      </c>
      <c r="DA284" s="21">
        <v>0</v>
      </c>
      <c r="DB284" s="21">
        <v>0</v>
      </c>
      <c r="DC284" s="21">
        <v>0</v>
      </c>
      <c r="DD284" s="21">
        <v>0</v>
      </c>
      <c r="DE284" s="21">
        <v>0</v>
      </c>
      <c r="DF284" s="21">
        <v>0</v>
      </c>
      <c r="DG284" s="21">
        <v>0</v>
      </c>
      <c r="DH284" s="21">
        <v>0</v>
      </c>
      <c r="DI284" s="21">
        <v>0</v>
      </c>
      <c r="DJ284" s="21">
        <v>0</v>
      </c>
      <c r="DK284" s="21">
        <v>0</v>
      </c>
      <c r="DL284" s="21">
        <v>0</v>
      </c>
      <c r="DM284" s="21">
        <v>0</v>
      </c>
      <c r="DN284" s="21">
        <v>0</v>
      </c>
      <c r="DO284" s="21">
        <v>0</v>
      </c>
      <c r="DP284" s="21">
        <v>0</v>
      </c>
      <c r="DQ284" s="21">
        <v>0</v>
      </c>
      <c r="DR284" s="21">
        <v>0</v>
      </c>
      <c r="DS284" s="21">
        <v>0</v>
      </c>
      <c r="DT284" s="21">
        <v>0</v>
      </c>
      <c r="DU284" s="21">
        <v>0</v>
      </c>
      <c r="DV284" s="21">
        <v>0</v>
      </c>
      <c r="DW284" s="21">
        <v>0</v>
      </c>
      <c r="DX284" s="21">
        <v>0</v>
      </c>
      <c r="DY284" s="21">
        <v>0</v>
      </c>
      <c r="DZ284" s="21">
        <v>0</v>
      </c>
      <c r="EA284" s="21">
        <v>0</v>
      </c>
      <c r="EB284" s="21">
        <v>0</v>
      </c>
      <c r="EC284" s="21">
        <v>0</v>
      </c>
      <c r="ED284" s="21">
        <v>0</v>
      </c>
      <c r="EE284" s="21">
        <v>0</v>
      </c>
      <c r="EF284" s="21">
        <v>0</v>
      </c>
    </row>
    <row r="285" spans="1:136" ht="14.5" x14ac:dyDescent="0.35">
      <c r="A285" s="20" t="s">
        <v>12</v>
      </c>
      <c r="B285" s="20" t="s">
        <v>24</v>
      </c>
      <c r="C285" s="20" t="s">
        <v>24</v>
      </c>
      <c r="D285" s="20" t="s">
        <v>339</v>
      </c>
      <c r="E285" s="20" t="s">
        <v>14</v>
      </c>
      <c r="F285" s="20" t="s">
        <v>78</v>
      </c>
      <c r="G285" s="21">
        <v>0</v>
      </c>
      <c r="H285" s="21">
        <v>0</v>
      </c>
      <c r="I285" s="21">
        <v>49.8</v>
      </c>
      <c r="J285" s="21">
        <v>-49.8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21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21">
        <v>0</v>
      </c>
      <c r="CQ285" s="21">
        <v>0</v>
      </c>
      <c r="CR285" s="21">
        <v>0</v>
      </c>
      <c r="CS285" s="21">
        <v>1.3461540000000001</v>
      </c>
      <c r="CT285" s="21">
        <v>1.3461540000000001</v>
      </c>
      <c r="CU285" s="21">
        <v>1.3461540000000001</v>
      </c>
      <c r="CV285" s="21">
        <v>1.3461540000000001</v>
      </c>
      <c r="CW285" s="21">
        <v>1.3461540000000001</v>
      </c>
      <c r="CX285" s="21">
        <v>1.3461540000000001</v>
      </c>
      <c r="CY285" s="21">
        <v>1.3461540000000001</v>
      </c>
      <c r="CZ285" s="21">
        <v>1.3461540000000001</v>
      </c>
      <c r="DA285" s="21">
        <v>1.3461540000000001</v>
      </c>
      <c r="DB285" s="21">
        <v>1.3461540000000001</v>
      </c>
      <c r="DC285" s="21">
        <v>1.3461540000000001</v>
      </c>
      <c r="DD285" s="21">
        <v>1.3461540000000001</v>
      </c>
      <c r="DE285" s="21">
        <v>1.3461540000000001</v>
      </c>
      <c r="DF285" s="21">
        <v>1.3461540000000001</v>
      </c>
      <c r="DG285" s="21">
        <v>1.3461540000000001</v>
      </c>
      <c r="DH285" s="21">
        <v>1.3461540000000001</v>
      </c>
      <c r="DI285" s="21">
        <v>1.3461540000000001</v>
      </c>
      <c r="DJ285" s="21">
        <v>1.3461540000000001</v>
      </c>
      <c r="DK285" s="21">
        <v>2.5</v>
      </c>
      <c r="DL285" s="21">
        <v>2.5</v>
      </c>
      <c r="DM285" s="21">
        <v>3.1</v>
      </c>
      <c r="DN285" s="21">
        <v>3.5</v>
      </c>
      <c r="DO285" s="21">
        <v>3.5</v>
      </c>
      <c r="DP285" s="21">
        <v>3.5</v>
      </c>
      <c r="DQ285" s="21">
        <v>3.5</v>
      </c>
      <c r="DR285" s="21">
        <v>3.5</v>
      </c>
      <c r="DS285" s="21">
        <v>0</v>
      </c>
      <c r="DT285" s="21">
        <v>0</v>
      </c>
      <c r="DU285" s="21">
        <v>0</v>
      </c>
      <c r="DV285" s="21">
        <v>0</v>
      </c>
      <c r="DW285" s="21">
        <v>0</v>
      </c>
      <c r="DX285" s="21">
        <v>0</v>
      </c>
      <c r="DY285" s="21">
        <v>0</v>
      </c>
      <c r="DZ285" s="21">
        <v>0</v>
      </c>
      <c r="EA285" s="21">
        <v>0</v>
      </c>
      <c r="EB285" s="21">
        <v>0</v>
      </c>
      <c r="EC285" s="21">
        <v>0</v>
      </c>
      <c r="ED285" s="21">
        <v>0</v>
      </c>
      <c r="EE285" s="21">
        <v>0</v>
      </c>
      <c r="EF285" s="21">
        <v>0</v>
      </c>
    </row>
    <row r="286" spans="1:136" ht="14.5" x14ac:dyDescent="0.35">
      <c r="A286" s="20" t="s">
        <v>12</v>
      </c>
      <c r="B286" s="20" t="s">
        <v>24</v>
      </c>
      <c r="C286" s="20" t="s">
        <v>24</v>
      </c>
      <c r="D286" s="20" t="s">
        <v>333</v>
      </c>
      <c r="E286" s="20" t="s">
        <v>14</v>
      </c>
      <c r="F286" s="20" t="s">
        <v>87</v>
      </c>
      <c r="G286" s="21">
        <v>7</v>
      </c>
      <c r="H286" s="21">
        <v>7</v>
      </c>
      <c r="I286" s="21">
        <v>7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7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21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21">
        <v>0</v>
      </c>
      <c r="CQ286" s="21">
        <v>0</v>
      </c>
      <c r="CR286" s="21">
        <v>0</v>
      </c>
      <c r="CS286" s="21">
        <v>0</v>
      </c>
      <c r="CT286" s="21">
        <v>0</v>
      </c>
      <c r="CU286" s="21">
        <v>0</v>
      </c>
      <c r="CV286" s="21">
        <v>0</v>
      </c>
      <c r="CW286" s="21">
        <v>0</v>
      </c>
      <c r="CX286" s="21">
        <v>0</v>
      </c>
      <c r="CY286" s="21">
        <v>0</v>
      </c>
      <c r="CZ286" s="21">
        <v>0</v>
      </c>
      <c r="DA286" s="21">
        <v>0</v>
      </c>
      <c r="DB286" s="21">
        <v>0</v>
      </c>
      <c r="DC286" s="21">
        <v>0</v>
      </c>
      <c r="DD286" s="21">
        <v>0</v>
      </c>
      <c r="DE286" s="21">
        <v>0</v>
      </c>
      <c r="DF286" s="21">
        <v>0</v>
      </c>
      <c r="DG286" s="21">
        <v>0</v>
      </c>
      <c r="DH286" s="21">
        <v>0</v>
      </c>
      <c r="DI286" s="21">
        <v>0</v>
      </c>
      <c r="DJ286" s="21">
        <v>0</v>
      </c>
      <c r="DK286" s="21">
        <v>0</v>
      </c>
      <c r="DL286" s="21">
        <v>0</v>
      </c>
      <c r="DM286" s="21">
        <v>0</v>
      </c>
      <c r="DN286" s="21">
        <v>0</v>
      </c>
      <c r="DO286" s="21">
        <v>0</v>
      </c>
      <c r="DP286" s="21">
        <v>0</v>
      </c>
      <c r="DQ286" s="21">
        <v>0</v>
      </c>
      <c r="DR286" s="21">
        <v>0</v>
      </c>
      <c r="DS286" s="21">
        <v>0</v>
      </c>
      <c r="DT286" s="21">
        <v>0</v>
      </c>
      <c r="DU286" s="21">
        <v>0</v>
      </c>
      <c r="DV286" s="21">
        <v>0</v>
      </c>
      <c r="DW286" s="21">
        <v>0</v>
      </c>
      <c r="DX286" s="21">
        <v>0</v>
      </c>
      <c r="DY286" s="21">
        <v>0</v>
      </c>
      <c r="DZ286" s="21">
        <v>0</v>
      </c>
      <c r="EA286" s="21">
        <v>0</v>
      </c>
      <c r="EB286" s="21">
        <v>0</v>
      </c>
      <c r="EC286" s="21">
        <v>0</v>
      </c>
      <c r="ED286" s="21">
        <v>0</v>
      </c>
      <c r="EE286" s="21">
        <v>0</v>
      </c>
      <c r="EF286" s="21">
        <v>0</v>
      </c>
    </row>
    <row r="287" spans="1:136" ht="14.5" x14ac:dyDescent="0.35">
      <c r="A287" s="20" t="s">
        <v>12</v>
      </c>
      <c r="B287" s="20" t="s">
        <v>24</v>
      </c>
      <c r="C287" s="20" t="s">
        <v>24</v>
      </c>
      <c r="D287" s="20" t="s">
        <v>339</v>
      </c>
      <c r="E287" s="20" t="s">
        <v>14</v>
      </c>
      <c r="F287" s="20" t="s">
        <v>87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0</v>
      </c>
      <c r="BG287" s="21">
        <v>0</v>
      </c>
      <c r="BH287" s="21">
        <v>0</v>
      </c>
      <c r="BI287" s="21">
        <v>0</v>
      </c>
      <c r="BJ287" s="21">
        <v>0</v>
      </c>
      <c r="BK287" s="21">
        <v>0</v>
      </c>
      <c r="BL287" s="21">
        <v>0</v>
      </c>
      <c r="BM287" s="21">
        <v>0</v>
      </c>
      <c r="BN287" s="21">
        <v>0</v>
      </c>
      <c r="BO287" s="21">
        <v>0</v>
      </c>
      <c r="BP287" s="21">
        <v>0</v>
      </c>
      <c r="BQ287" s="21">
        <v>0</v>
      </c>
      <c r="BR287" s="21">
        <v>0</v>
      </c>
      <c r="BS287" s="21">
        <v>0</v>
      </c>
      <c r="BT287" s="21">
        <v>0</v>
      </c>
      <c r="BU287" s="21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21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21">
        <v>0</v>
      </c>
      <c r="CI287" s="21">
        <v>0</v>
      </c>
      <c r="CJ287" s="21">
        <v>0</v>
      </c>
      <c r="CK287" s="21">
        <v>0</v>
      </c>
      <c r="CL287" s="21">
        <v>0</v>
      </c>
      <c r="CM287" s="21">
        <v>0</v>
      </c>
      <c r="CN287" s="21">
        <v>0</v>
      </c>
      <c r="CO287" s="21">
        <v>0</v>
      </c>
      <c r="CP287" s="21">
        <v>0</v>
      </c>
      <c r="CQ287" s="21">
        <v>0</v>
      </c>
      <c r="CR287" s="21">
        <v>0</v>
      </c>
      <c r="CS287" s="21">
        <v>0</v>
      </c>
      <c r="CT287" s="21">
        <v>0</v>
      </c>
      <c r="CU287" s="21">
        <v>0</v>
      </c>
      <c r="CV287" s="21">
        <v>0</v>
      </c>
      <c r="CW287" s="21">
        <v>0</v>
      </c>
      <c r="CX287" s="21">
        <v>0</v>
      </c>
      <c r="CY287" s="21">
        <v>0</v>
      </c>
      <c r="CZ287" s="21">
        <v>0</v>
      </c>
      <c r="DA287" s="21">
        <v>0</v>
      </c>
      <c r="DB287" s="21">
        <v>0</v>
      </c>
      <c r="DC287" s="21">
        <v>0</v>
      </c>
      <c r="DD287" s="21">
        <v>0</v>
      </c>
      <c r="DE287" s="21">
        <v>0</v>
      </c>
      <c r="DF287" s="21">
        <v>0</v>
      </c>
      <c r="DG287" s="21">
        <v>0</v>
      </c>
      <c r="DH287" s="21">
        <v>0</v>
      </c>
      <c r="DI287" s="21">
        <v>0</v>
      </c>
      <c r="DJ287" s="21">
        <v>0</v>
      </c>
      <c r="DK287" s="21">
        <v>0</v>
      </c>
      <c r="DL287" s="21">
        <v>0</v>
      </c>
      <c r="DM287" s="21">
        <v>0</v>
      </c>
      <c r="DN287" s="21">
        <v>0</v>
      </c>
      <c r="DO287" s="21">
        <v>0</v>
      </c>
      <c r="DP287" s="21">
        <v>0</v>
      </c>
      <c r="DQ287" s="21">
        <v>0</v>
      </c>
      <c r="DR287" s="21">
        <v>0</v>
      </c>
      <c r="DS287" s="21">
        <v>0</v>
      </c>
      <c r="DT287" s="21">
        <v>0</v>
      </c>
      <c r="DU287" s="21">
        <v>0</v>
      </c>
      <c r="DV287" s="21">
        <v>0</v>
      </c>
      <c r="DW287" s="21">
        <v>0</v>
      </c>
      <c r="DX287" s="21">
        <v>0</v>
      </c>
      <c r="DY287" s="21">
        <v>0</v>
      </c>
      <c r="DZ287" s="21">
        <v>0</v>
      </c>
      <c r="EA287" s="21">
        <v>0</v>
      </c>
      <c r="EB287" s="21">
        <v>0</v>
      </c>
      <c r="EC287" s="21">
        <v>0</v>
      </c>
      <c r="ED287" s="21">
        <v>0</v>
      </c>
      <c r="EE287" s="21">
        <v>0</v>
      </c>
      <c r="EF287" s="21">
        <v>0</v>
      </c>
    </row>
    <row r="288" spans="1:136" ht="14.5" x14ac:dyDescent="0.35">
      <c r="A288" s="20" t="s">
        <v>12</v>
      </c>
      <c r="B288" s="20" t="s">
        <v>24</v>
      </c>
      <c r="C288" s="20" t="s">
        <v>24</v>
      </c>
      <c r="D288" s="20" t="s">
        <v>339</v>
      </c>
      <c r="E288" s="20" t="s">
        <v>14</v>
      </c>
      <c r="F288" s="20" t="s">
        <v>88</v>
      </c>
      <c r="G288" s="21">
        <v>0</v>
      </c>
      <c r="H288" s="21">
        <v>0</v>
      </c>
      <c r="I288" s="21">
        <v>34</v>
      </c>
      <c r="J288" s="21">
        <v>-34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23</v>
      </c>
      <c r="AO288" s="21">
        <v>11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1">
        <v>0</v>
      </c>
      <c r="BL288" s="21">
        <v>0</v>
      </c>
      <c r="BM288" s="21">
        <v>0</v>
      </c>
      <c r="BN288" s="21">
        <v>0</v>
      </c>
      <c r="BO288" s="21">
        <v>0</v>
      </c>
      <c r="BP288" s="21">
        <v>0</v>
      </c>
      <c r="BQ288" s="21">
        <v>0</v>
      </c>
      <c r="BR288" s="21">
        <v>0</v>
      </c>
      <c r="BS288" s="21">
        <v>0</v>
      </c>
      <c r="BT288" s="21">
        <v>0</v>
      </c>
      <c r="BU288" s="21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21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0</v>
      </c>
      <c r="CO288" s="21">
        <v>0</v>
      </c>
      <c r="CP288" s="21">
        <v>0</v>
      </c>
      <c r="CQ288" s="21">
        <v>0</v>
      </c>
      <c r="CR288" s="21">
        <v>0</v>
      </c>
      <c r="CS288" s="21">
        <v>0</v>
      </c>
      <c r="CT288" s="21">
        <v>0</v>
      </c>
      <c r="CU288" s="21">
        <v>0</v>
      </c>
      <c r="CV288" s="21">
        <v>0</v>
      </c>
      <c r="CW288" s="21">
        <v>0</v>
      </c>
      <c r="CX288" s="21">
        <v>0</v>
      </c>
      <c r="CY288" s="21">
        <v>0</v>
      </c>
      <c r="CZ288" s="21">
        <v>0</v>
      </c>
      <c r="DA288" s="21">
        <v>0</v>
      </c>
      <c r="DB288" s="21">
        <v>0</v>
      </c>
      <c r="DC288" s="21">
        <v>0</v>
      </c>
      <c r="DD288" s="21">
        <v>0</v>
      </c>
      <c r="DE288" s="21">
        <v>0</v>
      </c>
      <c r="DF288" s="21">
        <v>0</v>
      </c>
      <c r="DG288" s="21">
        <v>0</v>
      </c>
      <c r="DH288" s="21">
        <v>0</v>
      </c>
      <c r="DI288" s="21">
        <v>0</v>
      </c>
      <c r="DJ288" s="21">
        <v>0</v>
      </c>
      <c r="DK288" s="21">
        <v>0</v>
      </c>
      <c r="DL288" s="21">
        <v>0</v>
      </c>
      <c r="DM288" s="21">
        <v>0</v>
      </c>
      <c r="DN288" s="21">
        <v>0</v>
      </c>
      <c r="DO288" s="21">
        <v>0</v>
      </c>
      <c r="DP288" s="21">
        <v>0</v>
      </c>
      <c r="DQ288" s="21">
        <v>0</v>
      </c>
      <c r="DR288" s="21">
        <v>0</v>
      </c>
      <c r="DS288" s="21">
        <v>0</v>
      </c>
      <c r="DT288" s="21">
        <v>0</v>
      </c>
      <c r="DU288" s="21">
        <v>0</v>
      </c>
      <c r="DV288" s="21">
        <v>0</v>
      </c>
      <c r="DW288" s="21">
        <v>0</v>
      </c>
      <c r="DX288" s="21">
        <v>0</v>
      </c>
      <c r="DY288" s="21">
        <v>0</v>
      </c>
      <c r="DZ288" s="21">
        <v>0</v>
      </c>
      <c r="EA288" s="21">
        <v>0</v>
      </c>
      <c r="EB288" s="21">
        <v>0</v>
      </c>
      <c r="EC288" s="21">
        <v>0</v>
      </c>
      <c r="ED288" s="21">
        <v>0</v>
      </c>
      <c r="EE288" s="21">
        <v>0</v>
      </c>
      <c r="EF288" s="21">
        <v>0</v>
      </c>
    </row>
    <row r="289" spans="1:136" ht="14.5" x14ac:dyDescent="0.35">
      <c r="A289" s="20" t="s">
        <v>12</v>
      </c>
      <c r="B289" s="20" t="s">
        <v>24</v>
      </c>
      <c r="C289" s="20" t="s">
        <v>24</v>
      </c>
      <c r="D289" s="20" t="s">
        <v>339</v>
      </c>
      <c r="E289" s="20" t="s">
        <v>14</v>
      </c>
      <c r="F289" s="20" t="s">
        <v>89</v>
      </c>
      <c r="G289" s="21">
        <v>0</v>
      </c>
      <c r="H289" s="21">
        <v>0</v>
      </c>
      <c r="I289" s="21">
        <v>10</v>
      </c>
      <c r="J289" s="21">
        <v>-10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21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21">
        <v>0</v>
      </c>
      <c r="CQ289" s="21">
        <v>0</v>
      </c>
      <c r="CR289" s="21">
        <v>0</v>
      </c>
      <c r="CS289" s="21">
        <v>0</v>
      </c>
      <c r="CT289" s="21">
        <v>0</v>
      </c>
      <c r="CU289" s="21">
        <v>0</v>
      </c>
      <c r="CV289" s="21">
        <v>0</v>
      </c>
      <c r="CW289" s="21">
        <v>0</v>
      </c>
      <c r="CX289" s="21">
        <v>0</v>
      </c>
      <c r="CY289" s="21">
        <v>0</v>
      </c>
      <c r="CZ289" s="21">
        <v>5</v>
      </c>
      <c r="DA289" s="21">
        <v>5</v>
      </c>
      <c r="DB289" s="21">
        <v>0</v>
      </c>
      <c r="DC289" s="21">
        <v>0</v>
      </c>
      <c r="DD289" s="21">
        <v>0</v>
      </c>
      <c r="DE289" s="21">
        <v>0</v>
      </c>
      <c r="DF289" s="21">
        <v>0</v>
      </c>
      <c r="DG289" s="21">
        <v>0</v>
      </c>
      <c r="DH289" s="21">
        <v>0</v>
      </c>
      <c r="DI289" s="21">
        <v>0</v>
      </c>
      <c r="DJ289" s="21">
        <v>0</v>
      </c>
      <c r="DK289" s="21">
        <v>0</v>
      </c>
      <c r="DL289" s="21">
        <v>0</v>
      </c>
      <c r="DM289" s="21">
        <v>0</v>
      </c>
      <c r="DN289" s="21">
        <v>0</v>
      </c>
      <c r="DO289" s="21">
        <v>0</v>
      </c>
      <c r="DP289" s="21">
        <v>0</v>
      </c>
      <c r="DQ289" s="21">
        <v>0</v>
      </c>
      <c r="DR289" s="21">
        <v>0</v>
      </c>
      <c r="DS289" s="21">
        <v>0</v>
      </c>
      <c r="DT289" s="21">
        <v>0</v>
      </c>
      <c r="DU289" s="21">
        <v>0</v>
      </c>
      <c r="DV289" s="21">
        <v>0</v>
      </c>
      <c r="DW289" s="21">
        <v>0</v>
      </c>
      <c r="DX289" s="21">
        <v>0</v>
      </c>
      <c r="DY289" s="21">
        <v>0</v>
      </c>
      <c r="DZ289" s="21">
        <v>0</v>
      </c>
      <c r="EA289" s="21">
        <v>0</v>
      </c>
      <c r="EB289" s="21">
        <v>0</v>
      </c>
      <c r="EC289" s="21">
        <v>0</v>
      </c>
      <c r="ED289" s="21">
        <v>0</v>
      </c>
      <c r="EE289" s="21">
        <v>0</v>
      </c>
      <c r="EF289" s="21">
        <v>0</v>
      </c>
    </row>
    <row r="290" spans="1:136" ht="14.5" x14ac:dyDescent="0.35">
      <c r="A290" s="20" t="s">
        <v>12</v>
      </c>
      <c r="B290" s="20" t="s">
        <v>24</v>
      </c>
      <c r="C290" s="20" t="s">
        <v>24</v>
      </c>
      <c r="D290" s="20" t="s">
        <v>339</v>
      </c>
      <c r="E290" s="20" t="s">
        <v>14</v>
      </c>
      <c r="F290" s="20" t="s">
        <v>40</v>
      </c>
      <c r="G290" s="21">
        <v>0</v>
      </c>
      <c r="H290" s="21">
        <v>0</v>
      </c>
      <c r="I290" s="21">
        <v>56</v>
      </c>
      <c r="J290" s="21">
        <v>-56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0</v>
      </c>
      <c r="BH290" s="21">
        <v>0</v>
      </c>
      <c r="BI290" s="21">
        <v>0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0</v>
      </c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1">
        <v>0</v>
      </c>
      <c r="CH290" s="21">
        <v>0</v>
      </c>
      <c r="CI290" s="21">
        <v>0</v>
      </c>
      <c r="CJ290" s="21">
        <v>0</v>
      </c>
      <c r="CK290" s="21">
        <v>0</v>
      </c>
      <c r="CL290" s="21">
        <v>0</v>
      </c>
      <c r="CM290" s="21">
        <v>0</v>
      </c>
      <c r="CN290" s="21">
        <v>0</v>
      </c>
      <c r="CO290" s="21">
        <v>0</v>
      </c>
      <c r="CP290" s="21">
        <v>0</v>
      </c>
      <c r="CQ290" s="21">
        <v>0</v>
      </c>
      <c r="CR290" s="21">
        <v>0</v>
      </c>
      <c r="CS290" s="21">
        <v>0</v>
      </c>
      <c r="CT290" s="21">
        <v>0</v>
      </c>
      <c r="CU290" s="21">
        <v>0</v>
      </c>
      <c r="CV290" s="21">
        <v>0</v>
      </c>
      <c r="CW290" s="21">
        <v>0</v>
      </c>
      <c r="CX290" s="21">
        <v>0</v>
      </c>
      <c r="CY290" s="21">
        <v>0</v>
      </c>
      <c r="CZ290" s="21">
        <v>0</v>
      </c>
      <c r="DA290" s="21">
        <v>0</v>
      </c>
      <c r="DB290" s="21">
        <v>0</v>
      </c>
      <c r="DC290" s="21">
        <v>0</v>
      </c>
      <c r="DD290" s="21">
        <v>0</v>
      </c>
      <c r="DE290" s="21">
        <v>0</v>
      </c>
      <c r="DF290" s="21">
        <v>0</v>
      </c>
      <c r="DG290" s="21">
        <v>0</v>
      </c>
      <c r="DH290" s="21">
        <v>0</v>
      </c>
      <c r="DI290" s="21">
        <v>0</v>
      </c>
      <c r="DJ290" s="21">
        <v>0</v>
      </c>
      <c r="DK290" s="21">
        <v>0</v>
      </c>
      <c r="DL290" s="21">
        <v>0</v>
      </c>
      <c r="DM290" s="21">
        <v>0</v>
      </c>
      <c r="DN290" s="21">
        <v>0</v>
      </c>
      <c r="DO290" s="21">
        <v>0</v>
      </c>
      <c r="DP290" s="21">
        <v>16</v>
      </c>
      <c r="DQ290" s="21">
        <v>20</v>
      </c>
      <c r="DR290" s="21">
        <v>20</v>
      </c>
      <c r="DS290" s="21">
        <v>0</v>
      </c>
      <c r="DT290" s="21">
        <v>0</v>
      </c>
      <c r="DU290" s="21">
        <v>0</v>
      </c>
      <c r="DV290" s="21">
        <v>0</v>
      </c>
      <c r="DW290" s="21">
        <v>0</v>
      </c>
      <c r="DX290" s="21">
        <v>0</v>
      </c>
      <c r="DY290" s="21">
        <v>0</v>
      </c>
      <c r="DZ290" s="21">
        <v>0</v>
      </c>
      <c r="EA290" s="21">
        <v>0</v>
      </c>
      <c r="EB290" s="21">
        <v>0</v>
      </c>
      <c r="EC290" s="21">
        <v>0</v>
      </c>
      <c r="ED290" s="21">
        <v>0</v>
      </c>
      <c r="EE290" s="21">
        <v>0</v>
      </c>
      <c r="EF290" s="21">
        <v>0</v>
      </c>
    </row>
    <row r="291" spans="1:136" ht="14.5" x14ac:dyDescent="0.35">
      <c r="A291" s="20" t="s">
        <v>12</v>
      </c>
      <c r="B291" s="20" t="s">
        <v>24</v>
      </c>
      <c r="C291" s="20" t="s">
        <v>24</v>
      </c>
      <c r="D291" s="20" t="s">
        <v>333</v>
      </c>
      <c r="E291" s="20" t="s">
        <v>14</v>
      </c>
      <c r="F291" s="20" t="s">
        <v>103</v>
      </c>
      <c r="G291" s="21">
        <v>421</v>
      </c>
      <c r="H291" s="21">
        <v>901</v>
      </c>
      <c r="I291" s="21">
        <v>173</v>
      </c>
      <c r="J291" s="21">
        <v>728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21">
        <v>0</v>
      </c>
      <c r="AB291" s="21">
        <v>0</v>
      </c>
      <c r="AC291" s="21">
        <v>2</v>
      </c>
      <c r="AD291" s="21">
        <v>6</v>
      </c>
      <c r="AE291" s="21">
        <v>22.5</v>
      </c>
      <c r="AF291" s="21">
        <v>33.5</v>
      </c>
      <c r="AG291" s="21">
        <v>38</v>
      </c>
      <c r="AH291" s="21">
        <v>26.5</v>
      </c>
      <c r="AI291" s="21">
        <v>29</v>
      </c>
      <c r="AJ291" s="21">
        <v>15.5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>
        <v>0</v>
      </c>
      <c r="AY291" s="21">
        <v>0</v>
      </c>
      <c r="AZ291" s="21">
        <v>0</v>
      </c>
      <c r="BA291" s="21">
        <v>0</v>
      </c>
      <c r="BB291" s="21">
        <v>0</v>
      </c>
      <c r="BC291" s="21">
        <v>0</v>
      </c>
      <c r="BD291" s="21">
        <v>0</v>
      </c>
      <c r="BE291" s="21">
        <v>0</v>
      </c>
      <c r="BF291" s="21">
        <v>0</v>
      </c>
      <c r="BG291" s="21">
        <v>0</v>
      </c>
      <c r="BH291" s="21">
        <v>0</v>
      </c>
      <c r="BI291" s="21">
        <v>0</v>
      </c>
      <c r="BJ291" s="21">
        <v>0</v>
      </c>
      <c r="BK291" s="21">
        <v>0</v>
      </c>
      <c r="BL291" s="21">
        <v>0</v>
      </c>
      <c r="BM291" s="21">
        <v>0</v>
      </c>
      <c r="BN291" s="21">
        <v>0</v>
      </c>
      <c r="BO291" s="21">
        <v>0</v>
      </c>
      <c r="BP291" s="21">
        <v>0</v>
      </c>
      <c r="BQ291" s="21">
        <v>0</v>
      </c>
      <c r="BR291" s="21">
        <v>0</v>
      </c>
      <c r="BS291" s="21">
        <v>0</v>
      </c>
      <c r="BT291" s="21">
        <v>0</v>
      </c>
      <c r="BU291" s="21">
        <v>0</v>
      </c>
      <c r="BV291" s="21">
        <v>0</v>
      </c>
      <c r="BW291" s="21">
        <v>0</v>
      </c>
      <c r="BX291" s="21">
        <v>0</v>
      </c>
      <c r="BY291" s="21">
        <v>0</v>
      </c>
      <c r="BZ291" s="21">
        <v>0</v>
      </c>
      <c r="CA291" s="21">
        <v>0</v>
      </c>
      <c r="CB291" s="21">
        <v>0</v>
      </c>
      <c r="CC291" s="21">
        <v>0</v>
      </c>
      <c r="CD291" s="21">
        <v>0</v>
      </c>
      <c r="CE291" s="21">
        <v>0</v>
      </c>
      <c r="CF291" s="21">
        <v>0</v>
      </c>
      <c r="CG291" s="21">
        <v>0</v>
      </c>
      <c r="CH291" s="21">
        <v>0</v>
      </c>
      <c r="CI291" s="21">
        <v>0</v>
      </c>
      <c r="CJ291" s="21">
        <v>0</v>
      </c>
      <c r="CK291" s="21">
        <v>0</v>
      </c>
      <c r="CL291" s="21">
        <v>0</v>
      </c>
      <c r="CM291" s="21">
        <v>0</v>
      </c>
      <c r="CN291" s="21">
        <v>0</v>
      </c>
      <c r="CO291" s="21">
        <v>0</v>
      </c>
      <c r="CP291" s="21">
        <v>0</v>
      </c>
      <c r="CQ291" s="21">
        <v>0</v>
      </c>
      <c r="CR291" s="21">
        <v>0</v>
      </c>
      <c r="CS291" s="21">
        <v>0</v>
      </c>
      <c r="CT291" s="21">
        <v>0</v>
      </c>
      <c r="CU291" s="21">
        <v>0</v>
      </c>
      <c r="CV291" s="21">
        <v>0</v>
      </c>
      <c r="CW291" s="21">
        <v>0</v>
      </c>
      <c r="CX291" s="21">
        <v>0</v>
      </c>
      <c r="CY291" s="21">
        <v>0</v>
      </c>
      <c r="CZ291" s="21">
        <v>0</v>
      </c>
      <c r="DA291" s="21">
        <v>0</v>
      </c>
      <c r="DB291" s="21">
        <v>0</v>
      </c>
      <c r="DC291" s="21">
        <v>0</v>
      </c>
      <c r="DD291" s="21">
        <v>0</v>
      </c>
      <c r="DE291" s="21">
        <v>0</v>
      </c>
      <c r="DF291" s="21">
        <v>0</v>
      </c>
      <c r="DG291" s="21">
        <v>0</v>
      </c>
      <c r="DH291" s="21">
        <v>0</v>
      </c>
      <c r="DI291" s="21">
        <v>0</v>
      </c>
      <c r="DJ291" s="21">
        <v>0</v>
      </c>
      <c r="DK291" s="21">
        <v>0</v>
      </c>
      <c r="DL291" s="21">
        <v>0</v>
      </c>
      <c r="DM291" s="21">
        <v>0</v>
      </c>
      <c r="DN291" s="21">
        <v>0</v>
      </c>
      <c r="DO291" s="21">
        <v>0</v>
      </c>
      <c r="DP291" s="21">
        <v>0</v>
      </c>
      <c r="DQ291" s="21">
        <v>0</v>
      </c>
      <c r="DR291" s="21">
        <v>0</v>
      </c>
      <c r="DS291" s="21">
        <v>0</v>
      </c>
      <c r="DT291" s="21">
        <v>0</v>
      </c>
      <c r="DU291" s="21">
        <v>0</v>
      </c>
      <c r="DV291" s="21">
        <v>0</v>
      </c>
      <c r="DW291" s="21">
        <v>0</v>
      </c>
      <c r="DX291" s="21">
        <v>0</v>
      </c>
      <c r="DY291" s="21">
        <v>0</v>
      </c>
      <c r="DZ291" s="21">
        <v>0</v>
      </c>
      <c r="EA291" s="21">
        <v>0</v>
      </c>
      <c r="EB291" s="21">
        <v>0</v>
      </c>
      <c r="EC291" s="21">
        <v>0</v>
      </c>
      <c r="ED291" s="21">
        <v>0</v>
      </c>
      <c r="EE291" s="21">
        <v>0</v>
      </c>
      <c r="EF291" s="21">
        <v>0</v>
      </c>
    </row>
    <row r="292" spans="1:136" ht="14.5" x14ac:dyDescent="0.35">
      <c r="A292" s="20" t="s">
        <v>12</v>
      </c>
      <c r="B292" s="20" t="s">
        <v>24</v>
      </c>
      <c r="C292" s="20" t="s">
        <v>24</v>
      </c>
      <c r="D292" s="20" t="s">
        <v>339</v>
      </c>
      <c r="E292" s="20" t="s">
        <v>14</v>
      </c>
      <c r="F292" s="20" t="s">
        <v>103</v>
      </c>
      <c r="G292" s="21">
        <v>0</v>
      </c>
      <c r="H292" s="21">
        <v>0</v>
      </c>
      <c r="I292" s="21">
        <v>855</v>
      </c>
      <c r="J292" s="21">
        <v>-855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19</v>
      </c>
      <c r="AK292" s="21">
        <v>23</v>
      </c>
      <c r="AL292" s="21">
        <v>34</v>
      </c>
      <c r="AM292" s="21">
        <v>18</v>
      </c>
      <c r="AN292" s="21">
        <v>4</v>
      </c>
      <c r="AO292" s="21">
        <v>25</v>
      </c>
      <c r="AP292" s="21">
        <v>36</v>
      </c>
      <c r="AQ292" s="21">
        <v>0</v>
      </c>
      <c r="AR292" s="21">
        <v>33</v>
      </c>
      <c r="AS292" s="21">
        <v>5.5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21">
        <v>0</v>
      </c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1">
        <v>0</v>
      </c>
      <c r="CH292" s="21">
        <v>0</v>
      </c>
      <c r="CI292" s="21">
        <v>0</v>
      </c>
      <c r="CJ292" s="21">
        <v>0</v>
      </c>
      <c r="CK292" s="21">
        <v>0</v>
      </c>
      <c r="CL292" s="21">
        <v>0</v>
      </c>
      <c r="CM292" s="21">
        <v>0</v>
      </c>
      <c r="CN292" s="21">
        <v>0</v>
      </c>
      <c r="CO292" s="21">
        <v>0</v>
      </c>
      <c r="CP292" s="21">
        <v>0</v>
      </c>
      <c r="CQ292" s="21">
        <v>0</v>
      </c>
      <c r="CR292" s="21">
        <v>0</v>
      </c>
      <c r="CS292" s="21">
        <v>32</v>
      </c>
      <c r="CT292" s="21">
        <v>30</v>
      </c>
      <c r="CU292" s="21">
        <v>6</v>
      </c>
      <c r="CV292" s="21">
        <v>0</v>
      </c>
      <c r="CW292" s="21">
        <v>10</v>
      </c>
      <c r="CX292" s="21">
        <v>10</v>
      </c>
      <c r="CY292" s="21">
        <v>25</v>
      </c>
      <c r="CZ292" s="21">
        <v>35</v>
      </c>
      <c r="DA292" s="21">
        <v>15</v>
      </c>
      <c r="DB292" s="21">
        <v>30</v>
      </c>
      <c r="DC292" s="21">
        <v>30</v>
      </c>
      <c r="DD292" s="21">
        <v>30</v>
      </c>
      <c r="DE292" s="21">
        <v>25</v>
      </c>
      <c r="DF292" s="21">
        <v>20</v>
      </c>
      <c r="DG292" s="21">
        <v>10</v>
      </c>
      <c r="DH292" s="21">
        <v>5</v>
      </c>
      <c r="DI292" s="21">
        <v>0</v>
      </c>
      <c r="DJ292" s="21">
        <v>0</v>
      </c>
      <c r="DK292" s="21">
        <v>35</v>
      </c>
      <c r="DL292" s="21">
        <v>50</v>
      </c>
      <c r="DM292" s="21">
        <v>60</v>
      </c>
      <c r="DN292" s="21">
        <v>65</v>
      </c>
      <c r="DO292" s="21">
        <v>60</v>
      </c>
      <c r="DP292" s="21">
        <v>50</v>
      </c>
      <c r="DQ292" s="21">
        <v>30</v>
      </c>
      <c r="DR292" s="21">
        <v>0</v>
      </c>
      <c r="DS292" s="21">
        <v>0</v>
      </c>
      <c r="DT292" s="21">
        <v>0</v>
      </c>
      <c r="DU292" s="21">
        <v>0</v>
      </c>
      <c r="DV292" s="21">
        <v>0</v>
      </c>
      <c r="DW292" s="21">
        <v>0</v>
      </c>
      <c r="DX292" s="21">
        <v>0</v>
      </c>
      <c r="DY292" s="21">
        <v>0</v>
      </c>
      <c r="DZ292" s="21">
        <v>0</v>
      </c>
      <c r="EA292" s="21">
        <v>0</v>
      </c>
      <c r="EB292" s="21">
        <v>0</v>
      </c>
      <c r="EC292" s="21">
        <v>0</v>
      </c>
      <c r="ED292" s="21">
        <v>0</v>
      </c>
      <c r="EE292" s="21">
        <v>0</v>
      </c>
      <c r="EF292" s="21">
        <v>0</v>
      </c>
    </row>
    <row r="293" spans="1:136" ht="14.5" x14ac:dyDescent="0.35">
      <c r="A293" s="20" t="s">
        <v>12</v>
      </c>
      <c r="B293" s="20" t="s">
        <v>24</v>
      </c>
      <c r="C293" s="20" t="s">
        <v>24</v>
      </c>
      <c r="D293" s="20" t="s">
        <v>333</v>
      </c>
      <c r="E293" s="20" t="s">
        <v>14</v>
      </c>
      <c r="F293" s="20" t="s">
        <v>125</v>
      </c>
      <c r="G293" s="21">
        <v>14.5</v>
      </c>
      <c r="H293" s="21">
        <v>14.5</v>
      </c>
      <c r="I293" s="21">
        <v>14.5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1">
        <v>0</v>
      </c>
      <c r="AC293" s="21">
        <v>7.5</v>
      </c>
      <c r="AD293" s="21">
        <v>6.5</v>
      </c>
      <c r="AE293" s="21">
        <v>0.5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1">
        <v>0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0</v>
      </c>
      <c r="BH293" s="21">
        <v>0</v>
      </c>
      <c r="BI293" s="21">
        <v>0</v>
      </c>
      <c r="BJ293" s="21">
        <v>0</v>
      </c>
      <c r="BK293" s="21">
        <v>0</v>
      </c>
      <c r="BL293" s="21">
        <v>0</v>
      </c>
      <c r="BM293" s="21">
        <v>0</v>
      </c>
      <c r="BN293" s="21">
        <v>0</v>
      </c>
      <c r="BO293" s="21">
        <v>0</v>
      </c>
      <c r="BP293" s="21">
        <v>0</v>
      </c>
      <c r="BQ293" s="21">
        <v>0</v>
      </c>
      <c r="BR293" s="21">
        <v>0</v>
      </c>
      <c r="BS293" s="21">
        <v>0</v>
      </c>
      <c r="BT293" s="21">
        <v>0</v>
      </c>
      <c r="BU293" s="21">
        <v>0</v>
      </c>
      <c r="BV293" s="21">
        <v>0</v>
      </c>
      <c r="BW293" s="21">
        <v>0</v>
      </c>
      <c r="BX293" s="21">
        <v>0</v>
      </c>
      <c r="BY293" s="21">
        <v>0</v>
      </c>
      <c r="BZ293" s="21">
        <v>0</v>
      </c>
      <c r="CA293" s="21">
        <v>0</v>
      </c>
      <c r="CB293" s="21">
        <v>0</v>
      </c>
      <c r="CC293" s="21">
        <v>0</v>
      </c>
      <c r="CD293" s="21">
        <v>0</v>
      </c>
      <c r="CE293" s="21">
        <v>0</v>
      </c>
      <c r="CF293" s="21">
        <v>0</v>
      </c>
      <c r="CG293" s="21">
        <v>0</v>
      </c>
      <c r="CH293" s="21">
        <v>0</v>
      </c>
      <c r="CI293" s="21">
        <v>0</v>
      </c>
      <c r="CJ293" s="21">
        <v>0</v>
      </c>
      <c r="CK293" s="21">
        <v>0</v>
      </c>
      <c r="CL293" s="21">
        <v>0</v>
      </c>
      <c r="CM293" s="21">
        <v>0</v>
      </c>
      <c r="CN293" s="21">
        <v>0</v>
      </c>
      <c r="CO293" s="21">
        <v>0</v>
      </c>
      <c r="CP293" s="21">
        <v>0</v>
      </c>
      <c r="CQ293" s="21">
        <v>0</v>
      </c>
      <c r="CR293" s="21">
        <v>0</v>
      </c>
      <c r="CS293" s="21">
        <v>0</v>
      </c>
      <c r="CT293" s="21">
        <v>0</v>
      </c>
      <c r="CU293" s="21">
        <v>0</v>
      </c>
      <c r="CV293" s="21">
        <v>0</v>
      </c>
      <c r="CW293" s="21">
        <v>0</v>
      </c>
      <c r="CX293" s="21">
        <v>0</v>
      </c>
      <c r="CY293" s="21">
        <v>0</v>
      </c>
      <c r="CZ293" s="21">
        <v>0</v>
      </c>
      <c r="DA293" s="21">
        <v>0</v>
      </c>
      <c r="DB293" s="21">
        <v>0</v>
      </c>
      <c r="DC293" s="21">
        <v>0</v>
      </c>
      <c r="DD293" s="21">
        <v>0</v>
      </c>
      <c r="DE293" s="21">
        <v>0</v>
      </c>
      <c r="DF293" s="21">
        <v>0</v>
      </c>
      <c r="DG293" s="21">
        <v>0</v>
      </c>
      <c r="DH293" s="21">
        <v>0</v>
      </c>
      <c r="DI293" s="21">
        <v>0</v>
      </c>
      <c r="DJ293" s="21">
        <v>0</v>
      </c>
      <c r="DK293" s="21">
        <v>0</v>
      </c>
      <c r="DL293" s="21">
        <v>0</v>
      </c>
      <c r="DM293" s="21">
        <v>0</v>
      </c>
      <c r="DN293" s="21">
        <v>0</v>
      </c>
      <c r="DO293" s="21">
        <v>0</v>
      </c>
      <c r="DP293" s="21">
        <v>0</v>
      </c>
      <c r="DQ293" s="21">
        <v>0</v>
      </c>
      <c r="DR293" s="21">
        <v>0</v>
      </c>
      <c r="DS293" s="21">
        <v>0</v>
      </c>
      <c r="DT293" s="21">
        <v>0</v>
      </c>
      <c r="DU293" s="21">
        <v>0</v>
      </c>
      <c r="DV293" s="21">
        <v>0</v>
      </c>
      <c r="DW293" s="21">
        <v>0</v>
      </c>
      <c r="DX293" s="21">
        <v>0</v>
      </c>
      <c r="DY293" s="21">
        <v>0</v>
      </c>
      <c r="DZ293" s="21">
        <v>0</v>
      </c>
      <c r="EA293" s="21">
        <v>0</v>
      </c>
      <c r="EB293" s="21">
        <v>0</v>
      </c>
      <c r="EC293" s="21">
        <v>0</v>
      </c>
      <c r="ED293" s="21">
        <v>0</v>
      </c>
      <c r="EE293" s="21">
        <v>0</v>
      </c>
      <c r="EF293" s="21">
        <v>0</v>
      </c>
    </row>
    <row r="294" spans="1:136" ht="14.5" x14ac:dyDescent="0.35">
      <c r="A294" s="20" t="s">
        <v>12</v>
      </c>
      <c r="B294" s="20" t="s">
        <v>24</v>
      </c>
      <c r="C294" s="20" t="s">
        <v>24</v>
      </c>
      <c r="D294" s="20" t="s">
        <v>339</v>
      </c>
      <c r="E294" s="20" t="s">
        <v>14</v>
      </c>
      <c r="F294" s="20" t="s">
        <v>125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1">
        <v>0</v>
      </c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0</v>
      </c>
      <c r="AT294" s="21">
        <v>0</v>
      </c>
      <c r="AU294" s="21">
        <v>0</v>
      </c>
      <c r="AV294" s="21">
        <v>0</v>
      </c>
      <c r="AW294" s="21">
        <v>0</v>
      </c>
      <c r="AX294" s="21">
        <v>0</v>
      </c>
      <c r="AY294" s="21">
        <v>0</v>
      </c>
      <c r="AZ294" s="21">
        <v>0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1">
        <v>0</v>
      </c>
      <c r="BH294" s="21">
        <v>0</v>
      </c>
      <c r="BI294" s="21">
        <v>0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21">
        <v>0</v>
      </c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1">
        <v>0</v>
      </c>
      <c r="CH294" s="21">
        <v>0</v>
      </c>
      <c r="CI294" s="21">
        <v>0</v>
      </c>
      <c r="CJ294" s="21">
        <v>0</v>
      </c>
      <c r="CK294" s="21">
        <v>0</v>
      </c>
      <c r="CL294" s="21">
        <v>0</v>
      </c>
      <c r="CM294" s="21">
        <v>0</v>
      </c>
      <c r="CN294" s="21">
        <v>0</v>
      </c>
      <c r="CO294" s="21">
        <v>0</v>
      </c>
      <c r="CP294" s="21">
        <v>0</v>
      </c>
      <c r="CQ294" s="21">
        <v>0</v>
      </c>
      <c r="CR294" s="21">
        <v>0</v>
      </c>
      <c r="CS294" s="21">
        <v>0</v>
      </c>
      <c r="CT294" s="21">
        <v>0</v>
      </c>
      <c r="CU294" s="21">
        <v>0</v>
      </c>
      <c r="CV294" s="21">
        <v>0</v>
      </c>
      <c r="CW294" s="21">
        <v>0</v>
      </c>
      <c r="CX294" s="21">
        <v>0</v>
      </c>
      <c r="CY294" s="21">
        <v>0</v>
      </c>
      <c r="CZ294" s="21">
        <v>0</v>
      </c>
      <c r="DA294" s="21">
        <v>0</v>
      </c>
      <c r="DB294" s="21">
        <v>0</v>
      </c>
      <c r="DC294" s="21">
        <v>0</v>
      </c>
      <c r="DD294" s="21">
        <v>0</v>
      </c>
      <c r="DE294" s="21">
        <v>0</v>
      </c>
      <c r="DF294" s="21">
        <v>0</v>
      </c>
      <c r="DG294" s="21">
        <v>0</v>
      </c>
      <c r="DH294" s="21">
        <v>0</v>
      </c>
      <c r="DI294" s="21">
        <v>0</v>
      </c>
      <c r="DJ294" s="21">
        <v>0</v>
      </c>
      <c r="DK294" s="21">
        <v>0</v>
      </c>
      <c r="DL294" s="21">
        <v>0</v>
      </c>
      <c r="DM294" s="21">
        <v>0</v>
      </c>
      <c r="DN294" s="21">
        <v>0</v>
      </c>
      <c r="DO294" s="21">
        <v>0</v>
      </c>
      <c r="DP294" s="21">
        <v>0</v>
      </c>
      <c r="DQ294" s="21">
        <v>0</v>
      </c>
      <c r="DR294" s="21">
        <v>0</v>
      </c>
      <c r="DS294" s="21">
        <v>0</v>
      </c>
      <c r="DT294" s="21">
        <v>0</v>
      </c>
      <c r="DU294" s="21">
        <v>0</v>
      </c>
      <c r="DV294" s="21">
        <v>0</v>
      </c>
      <c r="DW294" s="21">
        <v>0</v>
      </c>
      <c r="DX294" s="21">
        <v>0</v>
      </c>
      <c r="DY294" s="21">
        <v>0</v>
      </c>
      <c r="DZ294" s="21">
        <v>0</v>
      </c>
      <c r="EA294" s="21">
        <v>0</v>
      </c>
      <c r="EB294" s="21">
        <v>0</v>
      </c>
      <c r="EC294" s="21">
        <v>0</v>
      </c>
      <c r="ED294" s="21">
        <v>0</v>
      </c>
      <c r="EE294" s="21">
        <v>0</v>
      </c>
      <c r="EF294" s="21">
        <v>0</v>
      </c>
    </row>
    <row r="295" spans="1:136" ht="14.5" x14ac:dyDescent="0.35">
      <c r="A295" s="20" t="s">
        <v>12</v>
      </c>
      <c r="B295" s="20" t="s">
        <v>24</v>
      </c>
      <c r="C295" s="20" t="s">
        <v>24</v>
      </c>
      <c r="D295" s="20" t="s">
        <v>333</v>
      </c>
      <c r="E295" s="20" t="s">
        <v>14</v>
      </c>
      <c r="F295" s="20" t="s">
        <v>91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0</v>
      </c>
      <c r="AW295" s="21">
        <v>0</v>
      </c>
      <c r="AX295" s="21">
        <v>0</v>
      </c>
      <c r="AY295" s="21">
        <v>0</v>
      </c>
      <c r="AZ295" s="21">
        <v>0</v>
      </c>
      <c r="BA295" s="21">
        <v>0</v>
      </c>
      <c r="BB295" s="21">
        <v>0</v>
      </c>
      <c r="BC295" s="21">
        <v>0</v>
      </c>
      <c r="BD295" s="21">
        <v>0</v>
      </c>
      <c r="BE295" s="21">
        <v>0</v>
      </c>
      <c r="BF295" s="21">
        <v>0</v>
      </c>
      <c r="BG295" s="21">
        <v>0</v>
      </c>
      <c r="BH295" s="21">
        <v>0</v>
      </c>
      <c r="BI295" s="21">
        <v>0</v>
      </c>
      <c r="BJ295" s="21">
        <v>0</v>
      </c>
      <c r="BK295" s="21">
        <v>0</v>
      </c>
      <c r="BL295" s="21">
        <v>0</v>
      </c>
      <c r="BM295" s="21">
        <v>0</v>
      </c>
      <c r="BN295" s="21">
        <v>0</v>
      </c>
      <c r="BO295" s="21">
        <v>0</v>
      </c>
      <c r="BP295" s="21">
        <v>0</v>
      </c>
      <c r="BQ295" s="21">
        <v>0</v>
      </c>
      <c r="BR295" s="21">
        <v>0</v>
      </c>
      <c r="BS295" s="21">
        <v>0</v>
      </c>
      <c r="BT295" s="21">
        <v>0</v>
      </c>
      <c r="BU295" s="21">
        <v>0</v>
      </c>
      <c r="BV295" s="21">
        <v>0</v>
      </c>
      <c r="BW295" s="21">
        <v>0</v>
      </c>
      <c r="BX295" s="21">
        <v>0</v>
      </c>
      <c r="BY295" s="21">
        <v>0</v>
      </c>
      <c r="BZ295" s="21">
        <v>0</v>
      </c>
      <c r="CA295" s="21">
        <v>0</v>
      </c>
      <c r="CB295" s="21">
        <v>0</v>
      </c>
      <c r="CC295" s="21">
        <v>0</v>
      </c>
      <c r="CD295" s="21">
        <v>0</v>
      </c>
      <c r="CE295" s="21">
        <v>0</v>
      </c>
      <c r="CF295" s="21">
        <v>0</v>
      </c>
      <c r="CG295" s="21">
        <v>0</v>
      </c>
      <c r="CH295" s="21">
        <v>0</v>
      </c>
      <c r="CI295" s="21">
        <v>0</v>
      </c>
      <c r="CJ295" s="21">
        <v>0</v>
      </c>
      <c r="CK295" s="21">
        <v>0</v>
      </c>
      <c r="CL295" s="21">
        <v>0</v>
      </c>
      <c r="CM295" s="21">
        <v>0</v>
      </c>
      <c r="CN295" s="21">
        <v>0</v>
      </c>
      <c r="CO295" s="21">
        <v>0</v>
      </c>
      <c r="CP295" s="21">
        <v>0</v>
      </c>
      <c r="CQ295" s="21">
        <v>0</v>
      </c>
      <c r="CR295" s="21">
        <v>0</v>
      </c>
      <c r="CS295" s="21">
        <v>0</v>
      </c>
      <c r="CT295" s="21">
        <v>0</v>
      </c>
      <c r="CU295" s="21">
        <v>0</v>
      </c>
      <c r="CV295" s="21">
        <v>0</v>
      </c>
      <c r="CW295" s="21">
        <v>0</v>
      </c>
      <c r="CX295" s="21">
        <v>0</v>
      </c>
      <c r="CY295" s="21">
        <v>0</v>
      </c>
      <c r="CZ295" s="21">
        <v>0</v>
      </c>
      <c r="DA295" s="21">
        <v>0</v>
      </c>
      <c r="DB295" s="21">
        <v>0</v>
      </c>
      <c r="DC295" s="21">
        <v>0</v>
      </c>
      <c r="DD295" s="21">
        <v>0</v>
      </c>
      <c r="DE295" s="21">
        <v>0</v>
      </c>
      <c r="DF295" s="21">
        <v>0</v>
      </c>
      <c r="DG295" s="21">
        <v>0</v>
      </c>
      <c r="DH295" s="21">
        <v>0</v>
      </c>
      <c r="DI295" s="21">
        <v>0</v>
      </c>
      <c r="DJ295" s="21">
        <v>0</v>
      </c>
      <c r="DK295" s="21">
        <v>0</v>
      </c>
      <c r="DL295" s="21">
        <v>0</v>
      </c>
      <c r="DM295" s="21">
        <v>0</v>
      </c>
      <c r="DN295" s="21">
        <v>0</v>
      </c>
      <c r="DO295" s="21">
        <v>0</v>
      </c>
      <c r="DP295" s="21">
        <v>0</v>
      </c>
      <c r="DQ295" s="21">
        <v>0</v>
      </c>
      <c r="DR295" s="21">
        <v>0</v>
      </c>
      <c r="DS295" s="21">
        <v>0</v>
      </c>
      <c r="DT295" s="21">
        <v>0</v>
      </c>
      <c r="DU295" s="21">
        <v>0</v>
      </c>
      <c r="DV295" s="21">
        <v>0</v>
      </c>
      <c r="DW295" s="21">
        <v>0</v>
      </c>
      <c r="DX295" s="21">
        <v>0</v>
      </c>
      <c r="DY295" s="21">
        <v>0</v>
      </c>
      <c r="DZ295" s="21">
        <v>0</v>
      </c>
      <c r="EA295" s="21">
        <v>0</v>
      </c>
      <c r="EB295" s="21">
        <v>0</v>
      </c>
      <c r="EC295" s="21">
        <v>0</v>
      </c>
      <c r="ED295" s="21">
        <v>0</v>
      </c>
      <c r="EE295" s="21">
        <v>0</v>
      </c>
      <c r="EF295" s="21">
        <v>0</v>
      </c>
    </row>
    <row r="296" spans="1:136" ht="14.5" x14ac:dyDescent="0.35">
      <c r="A296" s="20" t="s">
        <v>12</v>
      </c>
      <c r="B296" s="20" t="s">
        <v>24</v>
      </c>
      <c r="C296" s="20" t="s">
        <v>24</v>
      </c>
      <c r="D296" s="20" t="s">
        <v>339</v>
      </c>
      <c r="E296" s="20" t="s">
        <v>14</v>
      </c>
      <c r="F296" s="20" t="s">
        <v>91</v>
      </c>
      <c r="G296" s="21">
        <v>0</v>
      </c>
      <c r="H296" s="21">
        <v>0</v>
      </c>
      <c r="I296" s="21">
        <v>35</v>
      </c>
      <c r="J296" s="21">
        <v>-35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3</v>
      </c>
      <c r="AM296" s="21">
        <v>16.5</v>
      </c>
      <c r="AN296" s="21">
        <v>15.5</v>
      </c>
      <c r="AO296" s="21">
        <v>0</v>
      </c>
      <c r="AP296" s="21">
        <v>0</v>
      </c>
      <c r="AQ296" s="21">
        <v>0</v>
      </c>
      <c r="AR296" s="21">
        <v>0</v>
      </c>
      <c r="AS296" s="21">
        <v>0</v>
      </c>
      <c r="AT296" s="21">
        <v>0</v>
      </c>
      <c r="AU296" s="21">
        <v>0</v>
      </c>
      <c r="AV296" s="21">
        <v>0</v>
      </c>
      <c r="AW296" s="21">
        <v>0</v>
      </c>
      <c r="AX296" s="21">
        <v>0</v>
      </c>
      <c r="AY296" s="21">
        <v>0</v>
      </c>
      <c r="AZ296" s="21">
        <v>0</v>
      </c>
      <c r="BA296" s="21">
        <v>0</v>
      </c>
      <c r="BB296" s="21">
        <v>0</v>
      </c>
      <c r="BC296" s="21">
        <v>0</v>
      </c>
      <c r="BD296" s="21">
        <v>0</v>
      </c>
      <c r="BE296" s="21">
        <v>0</v>
      </c>
      <c r="BF296" s="21">
        <v>0</v>
      </c>
      <c r="BG296" s="21">
        <v>0</v>
      </c>
      <c r="BH296" s="21">
        <v>0</v>
      </c>
      <c r="BI296" s="21">
        <v>0</v>
      </c>
      <c r="BJ296" s="21">
        <v>0</v>
      </c>
      <c r="BK296" s="21">
        <v>0</v>
      </c>
      <c r="BL296" s="21">
        <v>0</v>
      </c>
      <c r="BM296" s="21">
        <v>0</v>
      </c>
      <c r="BN296" s="21">
        <v>0</v>
      </c>
      <c r="BO296" s="21">
        <v>0</v>
      </c>
      <c r="BP296" s="21">
        <v>0</v>
      </c>
      <c r="BQ296" s="21">
        <v>0</v>
      </c>
      <c r="BR296" s="21">
        <v>0</v>
      </c>
      <c r="BS296" s="21">
        <v>0</v>
      </c>
      <c r="BT296" s="21">
        <v>0</v>
      </c>
      <c r="BU296" s="21">
        <v>0</v>
      </c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1">
        <v>0</v>
      </c>
      <c r="CH296" s="21">
        <v>0</v>
      </c>
      <c r="CI296" s="21">
        <v>0</v>
      </c>
      <c r="CJ296" s="21">
        <v>0</v>
      </c>
      <c r="CK296" s="21">
        <v>0</v>
      </c>
      <c r="CL296" s="21">
        <v>0</v>
      </c>
      <c r="CM296" s="21">
        <v>0</v>
      </c>
      <c r="CN296" s="21">
        <v>0</v>
      </c>
      <c r="CO296" s="21">
        <v>0</v>
      </c>
      <c r="CP296" s="21">
        <v>0</v>
      </c>
      <c r="CQ296" s="21">
        <v>0</v>
      </c>
      <c r="CR296" s="21">
        <v>0</v>
      </c>
      <c r="CS296" s="21">
        <v>0</v>
      </c>
      <c r="CT296" s="21">
        <v>0</v>
      </c>
      <c r="CU296" s="21">
        <v>0</v>
      </c>
      <c r="CV296" s="21">
        <v>0</v>
      </c>
      <c r="CW296" s="21">
        <v>0</v>
      </c>
      <c r="CX296" s="21">
        <v>0</v>
      </c>
      <c r="CY296" s="21">
        <v>0</v>
      </c>
      <c r="CZ296" s="21">
        <v>0</v>
      </c>
      <c r="DA296" s="21">
        <v>0</v>
      </c>
      <c r="DB296" s="21">
        <v>0</v>
      </c>
      <c r="DC296" s="21">
        <v>0</v>
      </c>
      <c r="DD296" s="21">
        <v>0</v>
      </c>
      <c r="DE296" s="21">
        <v>0</v>
      </c>
      <c r="DF296" s="21">
        <v>0</v>
      </c>
      <c r="DG296" s="21">
        <v>0</v>
      </c>
      <c r="DH296" s="21">
        <v>0</v>
      </c>
      <c r="DI296" s="21">
        <v>0</v>
      </c>
      <c r="DJ296" s="21">
        <v>0</v>
      </c>
      <c r="DK296" s="21">
        <v>0</v>
      </c>
      <c r="DL296" s="21">
        <v>0</v>
      </c>
      <c r="DM296" s="21">
        <v>0</v>
      </c>
      <c r="DN296" s="21">
        <v>0</v>
      </c>
      <c r="DO296" s="21">
        <v>0</v>
      </c>
      <c r="DP296" s="21">
        <v>0</v>
      </c>
      <c r="DQ296" s="21">
        <v>0</v>
      </c>
      <c r="DR296" s="21">
        <v>0</v>
      </c>
      <c r="DS296" s="21">
        <v>0</v>
      </c>
      <c r="DT296" s="21">
        <v>0</v>
      </c>
      <c r="DU296" s="21">
        <v>0</v>
      </c>
      <c r="DV296" s="21">
        <v>0</v>
      </c>
      <c r="DW296" s="21">
        <v>0</v>
      </c>
      <c r="DX296" s="21">
        <v>0</v>
      </c>
      <c r="DY296" s="21">
        <v>0</v>
      </c>
      <c r="DZ296" s="21">
        <v>0</v>
      </c>
      <c r="EA296" s="21">
        <v>0</v>
      </c>
      <c r="EB296" s="21">
        <v>0</v>
      </c>
      <c r="EC296" s="21">
        <v>0</v>
      </c>
      <c r="ED296" s="21">
        <v>0</v>
      </c>
      <c r="EE296" s="21">
        <v>0</v>
      </c>
      <c r="EF296" s="21">
        <v>0</v>
      </c>
    </row>
    <row r="297" spans="1:136" ht="14.5" x14ac:dyDescent="0.35">
      <c r="A297" s="20" t="s">
        <v>12</v>
      </c>
      <c r="B297" s="20" t="s">
        <v>15</v>
      </c>
      <c r="C297" s="20" t="s">
        <v>15</v>
      </c>
      <c r="D297" s="20" t="s">
        <v>338</v>
      </c>
      <c r="E297" s="20" t="s">
        <v>16</v>
      </c>
      <c r="F297" s="20" t="s">
        <v>77</v>
      </c>
      <c r="G297" s="21">
        <v>0</v>
      </c>
      <c r="H297" s="21">
        <v>0</v>
      </c>
      <c r="I297" s="21">
        <v>56.4</v>
      </c>
      <c r="J297" s="21">
        <v>-56.4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0.5</v>
      </c>
      <c r="AL297" s="21">
        <v>0.5</v>
      </c>
      <c r="AM297" s="21">
        <v>0</v>
      </c>
      <c r="AN297" s="21">
        <v>1</v>
      </c>
      <c r="AO297" s="21">
        <v>0</v>
      </c>
      <c r="AP297" s="21">
        <v>1</v>
      </c>
      <c r="AQ297" s="21">
        <v>0.5</v>
      </c>
      <c r="AR297" s="21">
        <v>1</v>
      </c>
      <c r="AS297" s="21">
        <v>0.5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0</v>
      </c>
      <c r="BS297" s="21">
        <v>0</v>
      </c>
      <c r="BT297" s="21">
        <v>0</v>
      </c>
      <c r="BU297" s="21">
        <v>0</v>
      </c>
      <c r="BV297" s="21">
        <v>0</v>
      </c>
      <c r="BW297" s="21">
        <v>0</v>
      </c>
      <c r="BX297" s="21">
        <v>0</v>
      </c>
      <c r="BY297" s="21">
        <v>0</v>
      </c>
      <c r="BZ297" s="21">
        <v>0</v>
      </c>
      <c r="CA297" s="21">
        <v>0</v>
      </c>
      <c r="CB297" s="21">
        <v>0</v>
      </c>
      <c r="CC297" s="21">
        <v>0</v>
      </c>
      <c r="CD297" s="21">
        <v>0</v>
      </c>
      <c r="CE297" s="21">
        <v>0</v>
      </c>
      <c r="CF297" s="21">
        <v>0</v>
      </c>
      <c r="CG297" s="21">
        <v>0</v>
      </c>
      <c r="CH297" s="21">
        <v>0</v>
      </c>
      <c r="CI297" s="21">
        <v>0</v>
      </c>
      <c r="CJ297" s="21">
        <v>0</v>
      </c>
      <c r="CK297" s="21">
        <v>0</v>
      </c>
      <c r="CL297" s="21">
        <v>0</v>
      </c>
      <c r="CM297" s="21">
        <v>0</v>
      </c>
      <c r="CN297" s="21">
        <v>0</v>
      </c>
      <c r="CO297" s="21">
        <v>0</v>
      </c>
      <c r="CP297" s="21">
        <v>0</v>
      </c>
      <c r="CQ297" s="21">
        <v>0</v>
      </c>
      <c r="CR297" s="21">
        <v>0</v>
      </c>
      <c r="CS297" s="21">
        <v>1.4035089999999999</v>
      </c>
      <c r="CT297" s="21">
        <v>1.4035089999999999</v>
      </c>
      <c r="CU297" s="21">
        <v>1.4035089999999999</v>
      </c>
      <c r="CV297" s="21">
        <v>1.4035089999999999</v>
      </c>
      <c r="CW297" s="21">
        <v>1.4035089999999999</v>
      </c>
      <c r="CX297" s="21">
        <v>1.4035089999999999</v>
      </c>
      <c r="CY297" s="21">
        <v>1.4035089999999999</v>
      </c>
      <c r="CZ297" s="21">
        <v>1.4035089999999999</v>
      </c>
      <c r="DA297" s="21">
        <v>1.4035089999999999</v>
      </c>
      <c r="DB297" s="21">
        <v>1.4035089999999999</v>
      </c>
      <c r="DC297" s="21">
        <v>1.4035089999999999</v>
      </c>
      <c r="DD297" s="21">
        <v>1.4035089999999999</v>
      </c>
      <c r="DE297" s="21">
        <v>1.4035089999999999</v>
      </c>
      <c r="DF297" s="21">
        <v>1.4035089999999999</v>
      </c>
      <c r="DG297" s="21">
        <v>1.4035089999999999</v>
      </c>
      <c r="DH297" s="21">
        <v>1.4035089999999999</v>
      </c>
      <c r="DI297" s="21">
        <v>1.4035089999999999</v>
      </c>
      <c r="DJ297" s="21">
        <v>1.4035089999999999</v>
      </c>
      <c r="DK297" s="21">
        <v>1.4035089999999999</v>
      </c>
      <c r="DL297" s="21">
        <v>1.4035089999999999</v>
      </c>
      <c r="DM297" s="21">
        <v>1.4035089999999999</v>
      </c>
      <c r="DN297" s="21">
        <v>1.4035089999999999</v>
      </c>
      <c r="DO297" s="21">
        <v>1.4035089999999999</v>
      </c>
      <c r="DP297" s="21">
        <v>1.4035089999999999</v>
      </c>
      <c r="DQ297" s="21">
        <v>1.4035089999999999</v>
      </c>
      <c r="DR297" s="21">
        <v>1.4035089999999999</v>
      </c>
      <c r="DS297" s="21">
        <v>1.4035089999999999</v>
      </c>
      <c r="DT297" s="21">
        <v>1.4035089999999999</v>
      </c>
      <c r="DU297" s="21">
        <v>1.4035089999999999</v>
      </c>
      <c r="DV297" s="21">
        <v>1.4035089999999999</v>
      </c>
      <c r="DW297" s="21">
        <v>1.4035089999999999</v>
      </c>
      <c r="DX297" s="21">
        <v>1.4035089999999999</v>
      </c>
      <c r="DY297" s="21">
        <v>1.4035089999999999</v>
      </c>
      <c r="DZ297" s="21">
        <v>1.4035089999999999</v>
      </c>
      <c r="EA297" s="21">
        <v>1.4035089999999999</v>
      </c>
      <c r="EB297" s="21">
        <v>1.4035089999999999</v>
      </c>
      <c r="EC297" s="21">
        <v>1.4035089999999999</v>
      </c>
      <c r="ED297" s="21">
        <v>0</v>
      </c>
      <c r="EE297" s="21">
        <v>0</v>
      </c>
      <c r="EF297" s="21">
        <v>0</v>
      </c>
    </row>
    <row r="298" spans="1:136" ht="14.5" x14ac:dyDescent="0.35">
      <c r="A298" s="20" t="s">
        <v>12</v>
      </c>
      <c r="B298" s="20" t="s">
        <v>15</v>
      </c>
      <c r="C298" s="20" t="s">
        <v>15</v>
      </c>
      <c r="D298" s="20" t="s">
        <v>337</v>
      </c>
      <c r="E298" s="20" t="s">
        <v>16</v>
      </c>
      <c r="F298" s="20" t="s">
        <v>77</v>
      </c>
      <c r="G298" s="21">
        <v>42.9</v>
      </c>
      <c r="H298" s="21">
        <v>94.9</v>
      </c>
      <c r="I298" s="21">
        <v>28.5</v>
      </c>
      <c r="J298" s="21">
        <v>66.400000000000006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9</v>
      </c>
      <c r="AC298" s="21">
        <v>7</v>
      </c>
      <c r="AD298" s="21">
        <v>7</v>
      </c>
      <c r="AE298" s="21">
        <v>1</v>
      </c>
      <c r="AF298" s="21">
        <v>2</v>
      </c>
      <c r="AG298" s="21">
        <v>1.5</v>
      </c>
      <c r="AH298" s="21">
        <v>1</v>
      </c>
      <c r="AI298" s="21">
        <v>0</v>
      </c>
      <c r="AJ298" s="21">
        <v>0</v>
      </c>
      <c r="AK298" s="21">
        <v>0</v>
      </c>
      <c r="AL298" s="21">
        <v>0</v>
      </c>
      <c r="AM298" s="21">
        <v>0</v>
      </c>
      <c r="AN298" s="21">
        <v>0</v>
      </c>
      <c r="AO298" s="21">
        <v>0</v>
      </c>
      <c r="AP298" s="21">
        <v>0</v>
      </c>
      <c r="AQ298" s="21">
        <v>0</v>
      </c>
      <c r="AR298" s="21">
        <v>0</v>
      </c>
      <c r="AS298" s="21">
        <v>0</v>
      </c>
      <c r="AT298" s="21">
        <v>0</v>
      </c>
      <c r="AU298" s="21">
        <v>0</v>
      </c>
      <c r="AV298" s="21">
        <v>0</v>
      </c>
      <c r="AW298" s="21">
        <v>0</v>
      </c>
      <c r="AX298" s="21">
        <v>0</v>
      </c>
      <c r="AY298" s="21">
        <v>0</v>
      </c>
      <c r="AZ298" s="21">
        <v>0</v>
      </c>
      <c r="BA298" s="21">
        <v>0</v>
      </c>
      <c r="BB298" s="21">
        <v>0</v>
      </c>
      <c r="BC298" s="21">
        <v>0</v>
      </c>
      <c r="BD298" s="21">
        <v>0</v>
      </c>
      <c r="BE298" s="21">
        <v>0</v>
      </c>
      <c r="BF298" s="21">
        <v>0</v>
      </c>
      <c r="BG298" s="21">
        <v>0</v>
      </c>
      <c r="BH298" s="21">
        <v>0</v>
      </c>
      <c r="BI298" s="21">
        <v>0</v>
      </c>
      <c r="BJ298" s="21">
        <v>0</v>
      </c>
      <c r="BK298" s="21">
        <v>0</v>
      </c>
      <c r="BL298" s="21">
        <v>0</v>
      </c>
      <c r="BM298" s="21">
        <v>0</v>
      </c>
      <c r="BN298" s="21">
        <v>0</v>
      </c>
      <c r="BO298" s="21">
        <v>0</v>
      </c>
      <c r="BP298" s="21">
        <v>0</v>
      </c>
      <c r="BQ298" s="21">
        <v>0</v>
      </c>
      <c r="BR298" s="21">
        <v>0</v>
      </c>
      <c r="BS298" s="21">
        <v>0</v>
      </c>
      <c r="BT298" s="21">
        <v>0</v>
      </c>
      <c r="BU298" s="21">
        <v>0</v>
      </c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1">
        <v>0</v>
      </c>
      <c r="CH298" s="21">
        <v>0</v>
      </c>
      <c r="CI298" s="21">
        <v>0</v>
      </c>
      <c r="CJ298" s="21">
        <v>0</v>
      </c>
      <c r="CK298" s="21">
        <v>0</v>
      </c>
      <c r="CL298" s="21">
        <v>0</v>
      </c>
      <c r="CM298" s="21">
        <v>0</v>
      </c>
      <c r="CN298" s="21">
        <v>0</v>
      </c>
      <c r="CO298" s="21">
        <v>0</v>
      </c>
      <c r="CP298" s="21">
        <v>0</v>
      </c>
      <c r="CQ298" s="21">
        <v>0</v>
      </c>
      <c r="CR298" s="21">
        <v>0</v>
      </c>
      <c r="CS298" s="21">
        <v>0</v>
      </c>
      <c r="CT298" s="21">
        <v>0</v>
      </c>
      <c r="CU298" s="21">
        <v>0</v>
      </c>
      <c r="CV298" s="21">
        <v>0</v>
      </c>
      <c r="CW298" s="21">
        <v>0</v>
      </c>
      <c r="CX298" s="21">
        <v>0</v>
      </c>
      <c r="CY298" s="21">
        <v>0</v>
      </c>
      <c r="CZ298" s="21">
        <v>0</v>
      </c>
      <c r="DA298" s="21">
        <v>0</v>
      </c>
      <c r="DB298" s="21">
        <v>0</v>
      </c>
      <c r="DC298" s="21">
        <v>0</v>
      </c>
      <c r="DD298" s="21">
        <v>0</v>
      </c>
      <c r="DE298" s="21">
        <v>0</v>
      </c>
      <c r="DF298" s="21">
        <v>0</v>
      </c>
      <c r="DG298" s="21">
        <v>0</v>
      </c>
      <c r="DH298" s="21">
        <v>0</v>
      </c>
      <c r="DI298" s="21">
        <v>0</v>
      </c>
      <c r="DJ298" s="21">
        <v>0</v>
      </c>
      <c r="DK298" s="21">
        <v>0</v>
      </c>
      <c r="DL298" s="21">
        <v>0</v>
      </c>
      <c r="DM298" s="21">
        <v>0</v>
      </c>
      <c r="DN298" s="21">
        <v>0</v>
      </c>
      <c r="DO298" s="21">
        <v>0</v>
      </c>
      <c r="DP298" s="21">
        <v>0</v>
      </c>
      <c r="DQ298" s="21">
        <v>0</v>
      </c>
      <c r="DR298" s="21">
        <v>0</v>
      </c>
      <c r="DS298" s="21">
        <v>0</v>
      </c>
      <c r="DT298" s="21">
        <v>0</v>
      </c>
      <c r="DU298" s="21">
        <v>0</v>
      </c>
      <c r="DV298" s="21">
        <v>0</v>
      </c>
      <c r="DW298" s="21">
        <v>0</v>
      </c>
      <c r="DX298" s="21">
        <v>0</v>
      </c>
      <c r="DY298" s="21">
        <v>0</v>
      </c>
      <c r="DZ298" s="21">
        <v>0</v>
      </c>
      <c r="EA298" s="21">
        <v>0</v>
      </c>
      <c r="EB298" s="21">
        <v>0</v>
      </c>
      <c r="EC298" s="21">
        <v>0</v>
      </c>
      <c r="ED298" s="21">
        <v>0</v>
      </c>
      <c r="EE298" s="21">
        <v>0</v>
      </c>
      <c r="EF298" s="21">
        <v>0</v>
      </c>
    </row>
    <row r="299" spans="1:136" ht="14.5" x14ac:dyDescent="0.35">
      <c r="A299" s="20" t="s">
        <v>12</v>
      </c>
      <c r="B299" s="20" t="s">
        <v>15</v>
      </c>
      <c r="C299" s="20" t="s">
        <v>15</v>
      </c>
      <c r="D299" s="20" t="s">
        <v>338</v>
      </c>
      <c r="E299" s="20" t="s">
        <v>16</v>
      </c>
      <c r="F299" s="20" t="s">
        <v>78</v>
      </c>
      <c r="G299" s="21">
        <v>0</v>
      </c>
      <c r="H299" s="21">
        <v>0</v>
      </c>
      <c r="I299" s="21">
        <v>73.5</v>
      </c>
      <c r="J299" s="21">
        <v>-73.5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1.5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0</v>
      </c>
      <c r="BQ299" s="21">
        <v>0</v>
      </c>
      <c r="BR299" s="21">
        <v>0</v>
      </c>
      <c r="BS299" s="21">
        <v>0</v>
      </c>
      <c r="BT299" s="21">
        <v>0</v>
      </c>
      <c r="BU299" s="21">
        <v>0</v>
      </c>
      <c r="BV299" s="21">
        <v>0</v>
      </c>
      <c r="BW299" s="21">
        <v>0</v>
      </c>
      <c r="BX299" s="21">
        <v>0</v>
      </c>
      <c r="BY299" s="21">
        <v>0</v>
      </c>
      <c r="BZ299" s="21">
        <v>0</v>
      </c>
      <c r="CA299" s="21">
        <v>0</v>
      </c>
      <c r="CB299" s="21">
        <v>0</v>
      </c>
      <c r="CC299" s="21">
        <v>0</v>
      </c>
      <c r="CD299" s="21">
        <v>0</v>
      </c>
      <c r="CE299" s="21">
        <v>0</v>
      </c>
      <c r="CF299" s="21">
        <v>0</v>
      </c>
      <c r="CG299" s="21">
        <v>0</v>
      </c>
      <c r="CH299" s="21">
        <v>0</v>
      </c>
      <c r="CI299" s="21">
        <v>0</v>
      </c>
      <c r="CJ299" s="21">
        <v>0</v>
      </c>
      <c r="CK299" s="21">
        <v>0</v>
      </c>
      <c r="CL299" s="21">
        <v>0</v>
      </c>
      <c r="CM299" s="21">
        <v>0</v>
      </c>
      <c r="CN299" s="21">
        <v>0</v>
      </c>
      <c r="CO299" s="21">
        <v>0</v>
      </c>
      <c r="CP299" s="21">
        <v>0</v>
      </c>
      <c r="CQ299" s="21">
        <v>0</v>
      </c>
      <c r="CR299" s="21">
        <v>0</v>
      </c>
      <c r="CS299" s="21">
        <v>1.3</v>
      </c>
      <c r="CT299" s="21">
        <v>11.5</v>
      </c>
      <c r="CU299" s="21">
        <v>0</v>
      </c>
      <c r="CV299" s="21">
        <v>0</v>
      </c>
      <c r="CW299" s="21">
        <v>0</v>
      </c>
      <c r="CX299" s="21">
        <v>0</v>
      </c>
      <c r="CY299" s="21">
        <v>0</v>
      </c>
      <c r="CZ299" s="21">
        <v>0</v>
      </c>
      <c r="DA299" s="21">
        <v>2</v>
      </c>
      <c r="DB299" s="21">
        <v>0</v>
      </c>
      <c r="DC299" s="21">
        <v>2.2999999999999998</v>
      </c>
      <c r="DD299" s="21">
        <v>1.9</v>
      </c>
      <c r="DE299" s="21">
        <v>1</v>
      </c>
      <c r="DF299" s="21">
        <v>8.8000000000000007</v>
      </c>
      <c r="DG299" s="21">
        <v>1.4</v>
      </c>
      <c r="DH299" s="21">
        <v>0</v>
      </c>
      <c r="DI299" s="21">
        <v>0</v>
      </c>
      <c r="DJ299" s="21">
        <v>0</v>
      </c>
      <c r="DK299" s="21">
        <v>0</v>
      </c>
      <c r="DL299" s="21">
        <v>0</v>
      </c>
      <c r="DM299" s="21">
        <v>0</v>
      </c>
      <c r="DN299" s="21">
        <v>1</v>
      </c>
      <c r="DO299" s="21">
        <v>3.4</v>
      </c>
      <c r="DP299" s="21">
        <v>7.9</v>
      </c>
      <c r="DQ299" s="21">
        <v>13.7</v>
      </c>
      <c r="DR299" s="21">
        <v>15.8</v>
      </c>
      <c r="DS299" s="21">
        <v>0</v>
      </c>
      <c r="DT299" s="21">
        <v>0</v>
      </c>
      <c r="DU299" s="21">
        <v>0</v>
      </c>
      <c r="DV299" s="21">
        <v>0</v>
      </c>
      <c r="DW299" s="21">
        <v>0</v>
      </c>
      <c r="DX299" s="21">
        <v>0</v>
      </c>
      <c r="DY299" s="21">
        <v>0</v>
      </c>
      <c r="DZ299" s="21">
        <v>0</v>
      </c>
      <c r="EA299" s="21">
        <v>0</v>
      </c>
      <c r="EB299" s="21">
        <v>0</v>
      </c>
      <c r="EC299" s="21">
        <v>0</v>
      </c>
      <c r="ED299" s="21">
        <v>0</v>
      </c>
      <c r="EE299" s="21">
        <v>0</v>
      </c>
      <c r="EF299" s="21">
        <v>0</v>
      </c>
    </row>
    <row r="300" spans="1:136" ht="14.5" x14ac:dyDescent="0.35">
      <c r="A300" s="20" t="s">
        <v>12</v>
      </c>
      <c r="B300" s="20" t="s">
        <v>15</v>
      </c>
      <c r="C300" s="20" t="s">
        <v>15</v>
      </c>
      <c r="D300" s="20" t="s">
        <v>337</v>
      </c>
      <c r="E300" s="20" t="s">
        <v>16</v>
      </c>
      <c r="F300" s="20" t="s">
        <v>78</v>
      </c>
      <c r="G300" s="21">
        <v>21.1</v>
      </c>
      <c r="H300" s="21">
        <v>93.1</v>
      </c>
      <c r="I300" s="21">
        <v>0</v>
      </c>
      <c r="J300" s="21">
        <v>93.1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>
        <v>0</v>
      </c>
      <c r="AY300" s="21">
        <v>0</v>
      </c>
      <c r="AZ300" s="21">
        <v>0</v>
      </c>
      <c r="BA300" s="21">
        <v>0</v>
      </c>
      <c r="BB300" s="21">
        <v>0</v>
      </c>
      <c r="BC300" s="21">
        <v>0</v>
      </c>
      <c r="BD300" s="21">
        <v>0</v>
      </c>
      <c r="BE300" s="21">
        <v>0</v>
      </c>
      <c r="BF300" s="21">
        <v>0</v>
      </c>
      <c r="BG300" s="21">
        <v>0</v>
      </c>
      <c r="BH300" s="21">
        <v>0</v>
      </c>
      <c r="BI300" s="21">
        <v>0</v>
      </c>
      <c r="BJ300" s="21">
        <v>0</v>
      </c>
      <c r="BK300" s="21">
        <v>0</v>
      </c>
      <c r="BL300" s="21">
        <v>0</v>
      </c>
      <c r="BM300" s="21">
        <v>0</v>
      </c>
      <c r="BN300" s="21">
        <v>0</v>
      </c>
      <c r="BO300" s="21">
        <v>0</v>
      </c>
      <c r="BP300" s="21">
        <v>0</v>
      </c>
      <c r="BQ300" s="21">
        <v>0</v>
      </c>
      <c r="BR300" s="21">
        <v>0</v>
      </c>
      <c r="BS300" s="21">
        <v>0</v>
      </c>
      <c r="BT300" s="21">
        <v>0</v>
      </c>
      <c r="BU300" s="21">
        <v>0</v>
      </c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1">
        <v>0</v>
      </c>
      <c r="CH300" s="21">
        <v>0</v>
      </c>
      <c r="CI300" s="21">
        <v>0</v>
      </c>
      <c r="CJ300" s="21">
        <v>0</v>
      </c>
      <c r="CK300" s="21">
        <v>0</v>
      </c>
      <c r="CL300" s="21">
        <v>0</v>
      </c>
      <c r="CM300" s="21">
        <v>0</v>
      </c>
      <c r="CN300" s="21">
        <v>0</v>
      </c>
      <c r="CO300" s="21">
        <v>0</v>
      </c>
      <c r="CP300" s="21">
        <v>0</v>
      </c>
      <c r="CQ300" s="21">
        <v>0</v>
      </c>
      <c r="CR300" s="21">
        <v>0</v>
      </c>
      <c r="CS300" s="21">
        <v>0</v>
      </c>
      <c r="CT300" s="21">
        <v>0</v>
      </c>
      <c r="CU300" s="21">
        <v>0</v>
      </c>
      <c r="CV300" s="21">
        <v>0</v>
      </c>
      <c r="CW300" s="21">
        <v>0</v>
      </c>
      <c r="CX300" s="21">
        <v>0</v>
      </c>
      <c r="CY300" s="21">
        <v>0</v>
      </c>
      <c r="CZ300" s="21">
        <v>0</v>
      </c>
      <c r="DA300" s="21">
        <v>0</v>
      </c>
      <c r="DB300" s="21">
        <v>0</v>
      </c>
      <c r="DC300" s="21">
        <v>0</v>
      </c>
      <c r="DD300" s="21">
        <v>0</v>
      </c>
      <c r="DE300" s="21">
        <v>0</v>
      </c>
      <c r="DF300" s="21">
        <v>0</v>
      </c>
      <c r="DG300" s="21">
        <v>0</v>
      </c>
      <c r="DH300" s="21">
        <v>0</v>
      </c>
      <c r="DI300" s="21">
        <v>0</v>
      </c>
      <c r="DJ300" s="21">
        <v>0</v>
      </c>
      <c r="DK300" s="21">
        <v>0</v>
      </c>
      <c r="DL300" s="21">
        <v>0</v>
      </c>
      <c r="DM300" s="21">
        <v>0</v>
      </c>
      <c r="DN300" s="21">
        <v>0</v>
      </c>
      <c r="DO300" s="21">
        <v>0</v>
      </c>
      <c r="DP300" s="21">
        <v>0</v>
      </c>
      <c r="DQ300" s="21">
        <v>0</v>
      </c>
      <c r="DR300" s="21">
        <v>0</v>
      </c>
      <c r="DS300" s="21">
        <v>0</v>
      </c>
      <c r="DT300" s="21">
        <v>0</v>
      </c>
      <c r="DU300" s="21">
        <v>0</v>
      </c>
      <c r="DV300" s="21">
        <v>0</v>
      </c>
      <c r="DW300" s="21">
        <v>0</v>
      </c>
      <c r="DX300" s="21">
        <v>0</v>
      </c>
      <c r="DY300" s="21">
        <v>0</v>
      </c>
      <c r="DZ300" s="21">
        <v>0</v>
      </c>
      <c r="EA300" s="21">
        <v>0</v>
      </c>
      <c r="EB300" s="21">
        <v>0</v>
      </c>
      <c r="EC300" s="21">
        <v>0</v>
      </c>
      <c r="ED300" s="21">
        <v>0</v>
      </c>
      <c r="EE300" s="21">
        <v>0</v>
      </c>
      <c r="EF300" s="21">
        <v>0</v>
      </c>
    </row>
    <row r="301" spans="1:136" ht="14.5" x14ac:dyDescent="0.35">
      <c r="A301" s="20" t="s">
        <v>12</v>
      </c>
      <c r="B301" s="20" t="s">
        <v>15</v>
      </c>
      <c r="C301" s="20" t="s">
        <v>15</v>
      </c>
      <c r="D301" s="20" t="s">
        <v>338</v>
      </c>
      <c r="E301" s="20" t="s">
        <v>16</v>
      </c>
      <c r="F301" s="20" t="s">
        <v>79</v>
      </c>
      <c r="G301" s="21">
        <v>0</v>
      </c>
      <c r="H301" s="21">
        <v>0</v>
      </c>
      <c r="I301" s="21">
        <v>52.2</v>
      </c>
      <c r="J301" s="21">
        <v>-52.2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2</v>
      </c>
      <c r="AP301" s="21">
        <v>4.5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0</v>
      </c>
      <c r="CB301" s="21">
        <v>0</v>
      </c>
      <c r="CC301" s="21">
        <v>0</v>
      </c>
      <c r="CD301" s="21">
        <v>0</v>
      </c>
      <c r="CE301" s="21">
        <v>0</v>
      </c>
      <c r="CF301" s="21">
        <v>0</v>
      </c>
      <c r="CG301" s="21">
        <v>0</v>
      </c>
      <c r="CH301" s="21">
        <v>0</v>
      </c>
      <c r="CI301" s="21">
        <v>0</v>
      </c>
      <c r="CJ301" s="21">
        <v>0</v>
      </c>
      <c r="CK301" s="21">
        <v>0</v>
      </c>
      <c r="CL301" s="21">
        <v>0</v>
      </c>
      <c r="CM301" s="21">
        <v>0</v>
      </c>
      <c r="CN301" s="21">
        <v>0</v>
      </c>
      <c r="CO301" s="21">
        <v>0</v>
      </c>
      <c r="CP301" s="21">
        <v>0</v>
      </c>
      <c r="CQ301" s="21">
        <v>0</v>
      </c>
      <c r="CR301" s="21">
        <v>0</v>
      </c>
      <c r="CS301" s="21">
        <v>0</v>
      </c>
      <c r="CT301" s="21">
        <v>0.3</v>
      </c>
      <c r="CU301" s="21">
        <v>0</v>
      </c>
      <c r="CV301" s="21">
        <v>0</v>
      </c>
      <c r="CW301" s="21">
        <v>0</v>
      </c>
      <c r="CX301" s="21">
        <v>0.2</v>
      </c>
      <c r="CY301" s="21">
        <v>0</v>
      </c>
      <c r="CZ301" s="21">
        <v>0</v>
      </c>
      <c r="DA301" s="21">
        <v>1</v>
      </c>
      <c r="DB301" s="21">
        <v>0</v>
      </c>
      <c r="DC301" s="21">
        <v>0</v>
      </c>
      <c r="DD301" s="21">
        <v>2</v>
      </c>
      <c r="DE301" s="21">
        <v>0</v>
      </c>
      <c r="DF301" s="21">
        <v>1</v>
      </c>
      <c r="DG301" s="21">
        <v>0</v>
      </c>
      <c r="DH301" s="21">
        <v>0</v>
      </c>
      <c r="DI301" s="21">
        <v>0</v>
      </c>
      <c r="DJ301" s="21">
        <v>0</v>
      </c>
      <c r="DK301" s="21">
        <v>0</v>
      </c>
      <c r="DL301" s="21">
        <v>1</v>
      </c>
      <c r="DM301" s="21">
        <v>5.2</v>
      </c>
      <c r="DN301" s="21">
        <v>8</v>
      </c>
      <c r="DO301" s="21">
        <v>8</v>
      </c>
      <c r="DP301" s="21">
        <v>5</v>
      </c>
      <c r="DQ301" s="21">
        <v>14</v>
      </c>
      <c r="DR301" s="21">
        <v>0</v>
      </c>
      <c r="DS301" s="21">
        <v>0</v>
      </c>
      <c r="DT301" s="21">
        <v>0</v>
      </c>
      <c r="DU301" s="21">
        <v>0</v>
      </c>
      <c r="DV301" s="21">
        <v>0</v>
      </c>
      <c r="DW301" s="21">
        <v>0</v>
      </c>
      <c r="DX301" s="21">
        <v>0</v>
      </c>
      <c r="DY301" s="21">
        <v>0</v>
      </c>
      <c r="DZ301" s="21">
        <v>0</v>
      </c>
      <c r="EA301" s="21">
        <v>0</v>
      </c>
      <c r="EB301" s="21">
        <v>0</v>
      </c>
      <c r="EC301" s="21">
        <v>0</v>
      </c>
      <c r="ED301" s="21">
        <v>0</v>
      </c>
      <c r="EE301" s="21">
        <v>0</v>
      </c>
      <c r="EF301" s="21">
        <v>0</v>
      </c>
    </row>
    <row r="302" spans="1:136" ht="14.5" x14ac:dyDescent="0.35">
      <c r="A302" s="20" t="s">
        <v>12</v>
      </c>
      <c r="B302" s="20" t="s">
        <v>15</v>
      </c>
      <c r="C302" s="20" t="s">
        <v>15</v>
      </c>
      <c r="D302" s="20" t="s">
        <v>337</v>
      </c>
      <c r="E302" s="20" t="s">
        <v>16</v>
      </c>
      <c r="F302" s="20" t="s">
        <v>79</v>
      </c>
      <c r="G302" s="21">
        <v>25.1</v>
      </c>
      <c r="H302" s="21">
        <v>70.8</v>
      </c>
      <c r="I302" s="21">
        <v>11</v>
      </c>
      <c r="J302" s="21">
        <v>59.8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1.5</v>
      </c>
      <c r="AD302" s="21">
        <v>1.5</v>
      </c>
      <c r="AE302" s="21">
        <v>0</v>
      </c>
      <c r="AF302" s="21">
        <v>0.5</v>
      </c>
      <c r="AG302" s="21">
        <v>0</v>
      </c>
      <c r="AH302" s="21">
        <v>0</v>
      </c>
      <c r="AI302" s="21">
        <v>7</v>
      </c>
      <c r="AJ302" s="21">
        <v>0.5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21">
        <v>0</v>
      </c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1">
        <v>0</v>
      </c>
      <c r="CH302" s="21">
        <v>0</v>
      </c>
      <c r="CI302" s="21">
        <v>0</v>
      </c>
      <c r="CJ302" s="21">
        <v>0</v>
      </c>
      <c r="CK302" s="21">
        <v>0</v>
      </c>
      <c r="CL302" s="21">
        <v>0</v>
      </c>
      <c r="CM302" s="21">
        <v>0</v>
      </c>
      <c r="CN302" s="21">
        <v>0</v>
      </c>
      <c r="CO302" s="21">
        <v>0</v>
      </c>
      <c r="CP302" s="21">
        <v>0</v>
      </c>
      <c r="CQ302" s="21">
        <v>0</v>
      </c>
      <c r="CR302" s="21">
        <v>0</v>
      </c>
      <c r="CS302" s="21">
        <v>0</v>
      </c>
      <c r="CT302" s="21">
        <v>0</v>
      </c>
      <c r="CU302" s="21">
        <v>0</v>
      </c>
      <c r="CV302" s="21">
        <v>0</v>
      </c>
      <c r="CW302" s="21">
        <v>0</v>
      </c>
      <c r="CX302" s="21">
        <v>0</v>
      </c>
      <c r="CY302" s="21">
        <v>0</v>
      </c>
      <c r="CZ302" s="21">
        <v>0</v>
      </c>
      <c r="DA302" s="21">
        <v>0</v>
      </c>
      <c r="DB302" s="21">
        <v>0</v>
      </c>
      <c r="DC302" s="21">
        <v>0</v>
      </c>
      <c r="DD302" s="21">
        <v>0</v>
      </c>
      <c r="DE302" s="21">
        <v>0</v>
      </c>
      <c r="DF302" s="21">
        <v>0</v>
      </c>
      <c r="DG302" s="21">
        <v>0</v>
      </c>
      <c r="DH302" s="21">
        <v>0</v>
      </c>
      <c r="DI302" s="21">
        <v>0</v>
      </c>
      <c r="DJ302" s="21">
        <v>0</v>
      </c>
      <c r="DK302" s="21">
        <v>0</v>
      </c>
      <c r="DL302" s="21">
        <v>0</v>
      </c>
      <c r="DM302" s="21">
        <v>0</v>
      </c>
      <c r="DN302" s="21">
        <v>0</v>
      </c>
      <c r="DO302" s="21">
        <v>0</v>
      </c>
      <c r="DP302" s="21">
        <v>0</v>
      </c>
      <c r="DQ302" s="21">
        <v>0</v>
      </c>
      <c r="DR302" s="21">
        <v>0</v>
      </c>
      <c r="DS302" s="21">
        <v>0</v>
      </c>
      <c r="DT302" s="21">
        <v>0</v>
      </c>
      <c r="DU302" s="21">
        <v>0</v>
      </c>
      <c r="DV302" s="21">
        <v>0</v>
      </c>
      <c r="DW302" s="21">
        <v>0</v>
      </c>
      <c r="DX302" s="21">
        <v>0</v>
      </c>
      <c r="DY302" s="21">
        <v>0</v>
      </c>
      <c r="DZ302" s="21">
        <v>0</v>
      </c>
      <c r="EA302" s="21">
        <v>0</v>
      </c>
      <c r="EB302" s="21">
        <v>0</v>
      </c>
      <c r="EC302" s="21">
        <v>0</v>
      </c>
      <c r="ED302" s="21">
        <v>0</v>
      </c>
      <c r="EE302" s="21">
        <v>0</v>
      </c>
      <c r="EF302" s="21">
        <v>0</v>
      </c>
    </row>
    <row r="303" spans="1:136" ht="14.5" x14ac:dyDescent="0.35">
      <c r="A303" s="20" t="s">
        <v>12</v>
      </c>
      <c r="B303" s="20" t="s">
        <v>15</v>
      </c>
      <c r="C303" s="20" t="s">
        <v>15</v>
      </c>
      <c r="D303" s="20" t="s">
        <v>338</v>
      </c>
      <c r="E303" s="20" t="s">
        <v>16</v>
      </c>
      <c r="F303" s="20" t="s">
        <v>100</v>
      </c>
      <c r="G303" s="21">
        <v>0</v>
      </c>
      <c r="H303" s="21">
        <v>0</v>
      </c>
      <c r="I303" s="21">
        <v>172.5</v>
      </c>
      <c r="J303" s="21">
        <v>-172.5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3</v>
      </c>
      <c r="AK303" s="21">
        <v>6.5</v>
      </c>
      <c r="AL303" s="21">
        <v>17</v>
      </c>
      <c r="AM303" s="21">
        <v>0</v>
      </c>
      <c r="AN303" s="21">
        <v>14.5</v>
      </c>
      <c r="AO303" s="21">
        <v>0</v>
      </c>
      <c r="AP303" s="21">
        <v>3</v>
      </c>
      <c r="AQ303" s="21">
        <v>1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  <c r="BW303" s="21">
        <v>0</v>
      </c>
      <c r="BX303" s="21">
        <v>0</v>
      </c>
      <c r="BY303" s="21">
        <v>0</v>
      </c>
      <c r="BZ303" s="21">
        <v>0</v>
      </c>
      <c r="CA303" s="21">
        <v>0</v>
      </c>
      <c r="CB303" s="21">
        <v>0</v>
      </c>
      <c r="CC303" s="21">
        <v>0</v>
      </c>
      <c r="CD303" s="21">
        <v>0</v>
      </c>
      <c r="CE303" s="21">
        <v>0</v>
      </c>
      <c r="CF303" s="21">
        <v>0</v>
      </c>
      <c r="CG303" s="21">
        <v>0</v>
      </c>
      <c r="CH303" s="21">
        <v>0</v>
      </c>
      <c r="CI303" s="21">
        <v>0</v>
      </c>
      <c r="CJ303" s="21">
        <v>0</v>
      </c>
      <c r="CK303" s="21">
        <v>0</v>
      </c>
      <c r="CL303" s="21">
        <v>0</v>
      </c>
      <c r="CM303" s="21">
        <v>0</v>
      </c>
      <c r="CN303" s="21">
        <v>0</v>
      </c>
      <c r="CO303" s="21">
        <v>0</v>
      </c>
      <c r="CP303" s="21">
        <v>0</v>
      </c>
      <c r="CQ303" s="21">
        <v>0</v>
      </c>
      <c r="CR303" s="21">
        <v>0</v>
      </c>
      <c r="CS303" s="21">
        <v>0</v>
      </c>
      <c r="CT303" s="21">
        <v>0</v>
      </c>
      <c r="CU303" s="21">
        <v>0</v>
      </c>
      <c r="CV303" s="21">
        <v>0</v>
      </c>
      <c r="CW303" s="21">
        <v>0</v>
      </c>
      <c r="CX303" s="21">
        <v>0</v>
      </c>
      <c r="CY303" s="21">
        <v>0</v>
      </c>
      <c r="CZ303" s="21">
        <v>0</v>
      </c>
      <c r="DA303" s="21">
        <v>0</v>
      </c>
      <c r="DB303" s="21">
        <v>0</v>
      </c>
      <c r="DC303" s="21">
        <v>0</v>
      </c>
      <c r="DD303" s="21">
        <v>6</v>
      </c>
      <c r="DE303" s="21">
        <v>10</v>
      </c>
      <c r="DF303" s="21">
        <v>12</v>
      </c>
      <c r="DG303" s="21">
        <v>10</v>
      </c>
      <c r="DH303" s="21">
        <v>21</v>
      </c>
      <c r="DI303" s="21">
        <v>4</v>
      </c>
      <c r="DJ303" s="21">
        <v>1</v>
      </c>
      <c r="DK303" s="21">
        <v>1</v>
      </c>
      <c r="DL303" s="21">
        <v>2.5</v>
      </c>
      <c r="DM303" s="21">
        <v>2.5</v>
      </c>
      <c r="DN303" s="21">
        <v>9</v>
      </c>
      <c r="DO303" s="21">
        <v>11.5</v>
      </c>
      <c r="DP303" s="21">
        <v>12</v>
      </c>
      <c r="DQ303" s="21">
        <v>25</v>
      </c>
      <c r="DR303" s="21">
        <v>0</v>
      </c>
      <c r="DS303" s="21">
        <v>0</v>
      </c>
      <c r="DT303" s="21">
        <v>0</v>
      </c>
      <c r="DU303" s="21">
        <v>0</v>
      </c>
      <c r="DV303" s="21">
        <v>0</v>
      </c>
      <c r="DW303" s="21">
        <v>0</v>
      </c>
      <c r="DX303" s="21">
        <v>0</v>
      </c>
      <c r="DY303" s="21">
        <v>0</v>
      </c>
      <c r="DZ303" s="21">
        <v>0</v>
      </c>
      <c r="EA303" s="21">
        <v>0</v>
      </c>
      <c r="EB303" s="21">
        <v>0</v>
      </c>
      <c r="EC303" s="21">
        <v>0</v>
      </c>
      <c r="ED303" s="21">
        <v>0</v>
      </c>
      <c r="EE303" s="21">
        <v>0</v>
      </c>
      <c r="EF303" s="21">
        <v>0</v>
      </c>
    </row>
    <row r="304" spans="1:136" ht="14.5" x14ac:dyDescent="0.35">
      <c r="A304" s="20" t="s">
        <v>12</v>
      </c>
      <c r="B304" s="20" t="s">
        <v>15</v>
      </c>
      <c r="C304" s="20" t="s">
        <v>15</v>
      </c>
      <c r="D304" s="20" t="s">
        <v>337</v>
      </c>
      <c r="E304" s="20" t="s">
        <v>16</v>
      </c>
      <c r="F304" s="20" t="s">
        <v>100</v>
      </c>
      <c r="G304" s="21">
        <v>117.5</v>
      </c>
      <c r="H304" s="21">
        <v>245</v>
      </c>
      <c r="I304" s="21">
        <v>42</v>
      </c>
      <c r="J304" s="21">
        <v>203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1">
        <v>0</v>
      </c>
      <c r="AB304" s="21">
        <v>0</v>
      </c>
      <c r="AC304" s="21">
        <v>0</v>
      </c>
      <c r="AD304" s="21">
        <v>3.5</v>
      </c>
      <c r="AE304" s="21">
        <v>3.5</v>
      </c>
      <c r="AF304" s="21">
        <v>4.5</v>
      </c>
      <c r="AG304" s="21">
        <v>13</v>
      </c>
      <c r="AH304" s="21">
        <v>10.5</v>
      </c>
      <c r="AI304" s="21">
        <v>2.5</v>
      </c>
      <c r="AJ304" s="21">
        <v>4.5</v>
      </c>
      <c r="AK304" s="21">
        <v>0</v>
      </c>
      <c r="AL304" s="21">
        <v>0</v>
      </c>
      <c r="AM304" s="21">
        <v>0</v>
      </c>
      <c r="AN304" s="21">
        <v>0</v>
      </c>
      <c r="AO304" s="21">
        <v>0</v>
      </c>
      <c r="AP304" s="21">
        <v>0</v>
      </c>
      <c r="AQ304" s="21">
        <v>0</v>
      </c>
      <c r="AR304" s="21">
        <v>0</v>
      </c>
      <c r="AS304" s="21">
        <v>0</v>
      </c>
      <c r="AT304" s="21">
        <v>0</v>
      </c>
      <c r="AU304" s="21">
        <v>0</v>
      </c>
      <c r="AV304" s="21">
        <v>0</v>
      </c>
      <c r="AW304" s="21">
        <v>0</v>
      </c>
      <c r="AX304" s="21">
        <v>0</v>
      </c>
      <c r="AY304" s="21">
        <v>0</v>
      </c>
      <c r="AZ304" s="21">
        <v>0</v>
      </c>
      <c r="BA304" s="21">
        <v>0</v>
      </c>
      <c r="BB304" s="21">
        <v>0</v>
      </c>
      <c r="BC304" s="21">
        <v>0</v>
      </c>
      <c r="BD304" s="21">
        <v>0</v>
      </c>
      <c r="BE304" s="21">
        <v>0</v>
      </c>
      <c r="BF304" s="21">
        <v>0</v>
      </c>
      <c r="BG304" s="21">
        <v>0</v>
      </c>
      <c r="BH304" s="21">
        <v>0</v>
      </c>
      <c r="BI304" s="21">
        <v>0</v>
      </c>
      <c r="BJ304" s="21">
        <v>0</v>
      </c>
      <c r="BK304" s="21">
        <v>0</v>
      </c>
      <c r="BL304" s="21">
        <v>0</v>
      </c>
      <c r="BM304" s="21">
        <v>0</v>
      </c>
      <c r="BN304" s="21">
        <v>0</v>
      </c>
      <c r="BO304" s="21">
        <v>0</v>
      </c>
      <c r="BP304" s="21">
        <v>0</v>
      </c>
      <c r="BQ304" s="21">
        <v>0</v>
      </c>
      <c r="BR304" s="21">
        <v>0</v>
      </c>
      <c r="BS304" s="21">
        <v>0</v>
      </c>
      <c r="BT304" s="21">
        <v>0</v>
      </c>
      <c r="BU304" s="21">
        <v>0</v>
      </c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1">
        <v>0</v>
      </c>
      <c r="CH304" s="21">
        <v>0</v>
      </c>
      <c r="CI304" s="21">
        <v>0</v>
      </c>
      <c r="CJ304" s="21">
        <v>0</v>
      </c>
      <c r="CK304" s="21">
        <v>0</v>
      </c>
      <c r="CL304" s="21">
        <v>0</v>
      </c>
      <c r="CM304" s="21">
        <v>0</v>
      </c>
      <c r="CN304" s="21">
        <v>0</v>
      </c>
      <c r="CO304" s="21">
        <v>0</v>
      </c>
      <c r="CP304" s="21">
        <v>0</v>
      </c>
      <c r="CQ304" s="21">
        <v>0</v>
      </c>
      <c r="CR304" s="21">
        <v>0</v>
      </c>
      <c r="CS304" s="21">
        <v>0</v>
      </c>
      <c r="CT304" s="21">
        <v>0</v>
      </c>
      <c r="CU304" s="21">
        <v>0</v>
      </c>
      <c r="CV304" s="21">
        <v>0</v>
      </c>
      <c r="CW304" s="21">
        <v>0</v>
      </c>
      <c r="CX304" s="21">
        <v>0</v>
      </c>
      <c r="CY304" s="21">
        <v>0</v>
      </c>
      <c r="CZ304" s="21">
        <v>0</v>
      </c>
      <c r="DA304" s="21">
        <v>0</v>
      </c>
      <c r="DB304" s="21">
        <v>0</v>
      </c>
      <c r="DC304" s="21">
        <v>0</v>
      </c>
      <c r="DD304" s="21">
        <v>0</v>
      </c>
      <c r="DE304" s="21">
        <v>0</v>
      </c>
      <c r="DF304" s="21">
        <v>0</v>
      </c>
      <c r="DG304" s="21">
        <v>0</v>
      </c>
      <c r="DH304" s="21">
        <v>0</v>
      </c>
      <c r="DI304" s="21">
        <v>0</v>
      </c>
      <c r="DJ304" s="21">
        <v>0</v>
      </c>
      <c r="DK304" s="21">
        <v>0</v>
      </c>
      <c r="DL304" s="21">
        <v>0</v>
      </c>
      <c r="DM304" s="21">
        <v>0</v>
      </c>
      <c r="DN304" s="21">
        <v>0</v>
      </c>
      <c r="DO304" s="21">
        <v>0</v>
      </c>
      <c r="DP304" s="21">
        <v>0</v>
      </c>
      <c r="DQ304" s="21">
        <v>0</v>
      </c>
      <c r="DR304" s="21">
        <v>0</v>
      </c>
      <c r="DS304" s="21">
        <v>0</v>
      </c>
      <c r="DT304" s="21">
        <v>0</v>
      </c>
      <c r="DU304" s="21">
        <v>0</v>
      </c>
      <c r="DV304" s="21">
        <v>0</v>
      </c>
      <c r="DW304" s="21">
        <v>0</v>
      </c>
      <c r="DX304" s="21">
        <v>0</v>
      </c>
      <c r="DY304" s="21">
        <v>0</v>
      </c>
      <c r="DZ304" s="21">
        <v>0</v>
      </c>
      <c r="EA304" s="21">
        <v>0</v>
      </c>
      <c r="EB304" s="21">
        <v>0</v>
      </c>
      <c r="EC304" s="21">
        <v>0</v>
      </c>
      <c r="ED304" s="21">
        <v>0</v>
      </c>
      <c r="EE304" s="21">
        <v>0</v>
      </c>
      <c r="EF304" s="21">
        <v>0</v>
      </c>
    </row>
    <row r="305" spans="1:136" ht="14.5" x14ac:dyDescent="0.35">
      <c r="A305" s="20" t="s">
        <v>12</v>
      </c>
      <c r="B305" s="20" t="s">
        <v>15</v>
      </c>
      <c r="C305" s="20" t="s">
        <v>15</v>
      </c>
      <c r="D305" s="20" t="s">
        <v>338</v>
      </c>
      <c r="E305" s="20" t="s">
        <v>16</v>
      </c>
      <c r="F305" s="20" t="s">
        <v>87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>
        <v>0</v>
      </c>
      <c r="AK305" s="21">
        <v>0</v>
      </c>
      <c r="AL305" s="21">
        <v>0</v>
      </c>
      <c r="AM305" s="21">
        <v>0</v>
      </c>
      <c r="AN305" s="21">
        <v>0</v>
      </c>
      <c r="AO305" s="21">
        <v>0</v>
      </c>
      <c r="AP305" s="21">
        <v>0</v>
      </c>
      <c r="AQ305" s="21">
        <v>0</v>
      </c>
      <c r="AR305" s="21">
        <v>0</v>
      </c>
      <c r="AS305" s="21">
        <v>0</v>
      </c>
      <c r="AT305" s="21">
        <v>0</v>
      </c>
      <c r="AU305" s="21">
        <v>0</v>
      </c>
      <c r="AV305" s="21">
        <v>0</v>
      </c>
      <c r="AW305" s="21">
        <v>0</v>
      </c>
      <c r="AX305" s="21">
        <v>0</v>
      </c>
      <c r="AY305" s="21">
        <v>0</v>
      </c>
      <c r="AZ305" s="21">
        <v>0</v>
      </c>
      <c r="BA305" s="21">
        <v>0</v>
      </c>
      <c r="BB305" s="21">
        <v>0</v>
      </c>
      <c r="BC305" s="21">
        <v>0</v>
      </c>
      <c r="BD305" s="21">
        <v>0</v>
      </c>
      <c r="BE305" s="21">
        <v>0</v>
      </c>
      <c r="BF305" s="21">
        <v>0</v>
      </c>
      <c r="BG305" s="21">
        <v>0</v>
      </c>
      <c r="BH305" s="21">
        <v>0</v>
      </c>
      <c r="BI305" s="21">
        <v>0</v>
      </c>
      <c r="BJ305" s="21">
        <v>0</v>
      </c>
      <c r="BK305" s="21">
        <v>0</v>
      </c>
      <c r="BL305" s="21">
        <v>0</v>
      </c>
      <c r="BM305" s="21">
        <v>0</v>
      </c>
      <c r="BN305" s="21">
        <v>0</v>
      </c>
      <c r="BO305" s="21">
        <v>0</v>
      </c>
      <c r="BP305" s="21">
        <v>0</v>
      </c>
      <c r="BQ305" s="21">
        <v>0</v>
      </c>
      <c r="BR305" s="21">
        <v>0</v>
      </c>
      <c r="BS305" s="21">
        <v>0</v>
      </c>
      <c r="BT305" s="21">
        <v>0</v>
      </c>
      <c r="BU305" s="21">
        <v>0</v>
      </c>
      <c r="BV305" s="21">
        <v>0</v>
      </c>
      <c r="BW305" s="21">
        <v>0</v>
      </c>
      <c r="BX305" s="21">
        <v>0</v>
      </c>
      <c r="BY305" s="21">
        <v>0</v>
      </c>
      <c r="BZ305" s="21">
        <v>0</v>
      </c>
      <c r="CA305" s="21">
        <v>0</v>
      </c>
      <c r="CB305" s="21">
        <v>0</v>
      </c>
      <c r="CC305" s="21">
        <v>0</v>
      </c>
      <c r="CD305" s="21">
        <v>0</v>
      </c>
      <c r="CE305" s="21">
        <v>0</v>
      </c>
      <c r="CF305" s="21">
        <v>0</v>
      </c>
      <c r="CG305" s="21">
        <v>0</v>
      </c>
      <c r="CH305" s="21">
        <v>0</v>
      </c>
      <c r="CI305" s="21">
        <v>0</v>
      </c>
      <c r="CJ305" s="21">
        <v>0</v>
      </c>
      <c r="CK305" s="21">
        <v>0</v>
      </c>
      <c r="CL305" s="21">
        <v>0</v>
      </c>
      <c r="CM305" s="21">
        <v>0</v>
      </c>
      <c r="CN305" s="21">
        <v>0</v>
      </c>
      <c r="CO305" s="21">
        <v>0</v>
      </c>
      <c r="CP305" s="21">
        <v>0</v>
      </c>
      <c r="CQ305" s="21">
        <v>0</v>
      </c>
      <c r="CR305" s="21">
        <v>0</v>
      </c>
      <c r="CS305" s="21">
        <v>0</v>
      </c>
      <c r="CT305" s="21">
        <v>0</v>
      </c>
      <c r="CU305" s="21">
        <v>0</v>
      </c>
      <c r="CV305" s="21">
        <v>0</v>
      </c>
      <c r="CW305" s="21">
        <v>0</v>
      </c>
      <c r="CX305" s="21">
        <v>0</v>
      </c>
      <c r="CY305" s="21">
        <v>0</v>
      </c>
      <c r="CZ305" s="21">
        <v>0</v>
      </c>
      <c r="DA305" s="21">
        <v>0</v>
      </c>
      <c r="DB305" s="21">
        <v>0</v>
      </c>
      <c r="DC305" s="21">
        <v>0</v>
      </c>
      <c r="DD305" s="21">
        <v>0</v>
      </c>
      <c r="DE305" s="21">
        <v>0</v>
      </c>
      <c r="DF305" s="21">
        <v>0</v>
      </c>
      <c r="DG305" s="21">
        <v>0</v>
      </c>
      <c r="DH305" s="21">
        <v>0</v>
      </c>
      <c r="DI305" s="21">
        <v>0</v>
      </c>
      <c r="DJ305" s="21">
        <v>0</v>
      </c>
      <c r="DK305" s="21">
        <v>0</v>
      </c>
      <c r="DL305" s="21">
        <v>0</v>
      </c>
      <c r="DM305" s="21">
        <v>0</v>
      </c>
      <c r="DN305" s="21">
        <v>0</v>
      </c>
      <c r="DO305" s="21">
        <v>0</v>
      </c>
      <c r="DP305" s="21">
        <v>0</v>
      </c>
      <c r="DQ305" s="21">
        <v>0</v>
      </c>
      <c r="DR305" s="21">
        <v>0</v>
      </c>
      <c r="DS305" s="21">
        <v>0</v>
      </c>
      <c r="DT305" s="21">
        <v>0</v>
      </c>
      <c r="DU305" s="21">
        <v>0</v>
      </c>
      <c r="DV305" s="21">
        <v>0</v>
      </c>
      <c r="DW305" s="21">
        <v>0</v>
      </c>
      <c r="DX305" s="21">
        <v>0</v>
      </c>
      <c r="DY305" s="21">
        <v>0</v>
      </c>
      <c r="DZ305" s="21">
        <v>0</v>
      </c>
      <c r="EA305" s="21">
        <v>0</v>
      </c>
      <c r="EB305" s="21">
        <v>0</v>
      </c>
      <c r="EC305" s="21">
        <v>0</v>
      </c>
      <c r="ED305" s="21">
        <v>0</v>
      </c>
      <c r="EE305" s="21">
        <v>0</v>
      </c>
      <c r="EF305" s="21">
        <v>0</v>
      </c>
    </row>
    <row r="306" spans="1:136" ht="14.5" x14ac:dyDescent="0.35">
      <c r="A306" s="20" t="s">
        <v>12</v>
      </c>
      <c r="B306" s="20" t="s">
        <v>15</v>
      </c>
      <c r="C306" s="20" t="s">
        <v>15</v>
      </c>
      <c r="D306" s="20" t="s">
        <v>337</v>
      </c>
      <c r="E306" s="20" t="s">
        <v>16</v>
      </c>
      <c r="F306" s="20" t="s">
        <v>87</v>
      </c>
      <c r="G306" s="21">
        <v>3</v>
      </c>
      <c r="H306" s="21">
        <v>3</v>
      </c>
      <c r="I306" s="21">
        <v>3</v>
      </c>
      <c r="J306" s="21">
        <v>0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1">
        <v>0</v>
      </c>
      <c r="AB306" s="21">
        <v>3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0</v>
      </c>
      <c r="AO306" s="21">
        <v>0</v>
      </c>
      <c r="AP306" s="21">
        <v>0</v>
      </c>
      <c r="AQ306" s="21">
        <v>0</v>
      </c>
      <c r="AR306" s="21">
        <v>0</v>
      </c>
      <c r="AS306" s="21">
        <v>0</v>
      </c>
      <c r="AT306" s="21">
        <v>0</v>
      </c>
      <c r="AU306" s="21">
        <v>0</v>
      </c>
      <c r="AV306" s="21">
        <v>0</v>
      </c>
      <c r="AW306" s="21">
        <v>0</v>
      </c>
      <c r="AX306" s="21">
        <v>0</v>
      </c>
      <c r="AY306" s="21">
        <v>0</v>
      </c>
      <c r="AZ306" s="21">
        <v>0</v>
      </c>
      <c r="BA306" s="21">
        <v>0</v>
      </c>
      <c r="BB306" s="21">
        <v>0</v>
      </c>
      <c r="BC306" s="21">
        <v>0</v>
      </c>
      <c r="BD306" s="21">
        <v>0</v>
      </c>
      <c r="BE306" s="21">
        <v>0</v>
      </c>
      <c r="BF306" s="21">
        <v>0</v>
      </c>
      <c r="BG306" s="21">
        <v>0</v>
      </c>
      <c r="BH306" s="21">
        <v>0</v>
      </c>
      <c r="BI306" s="21">
        <v>0</v>
      </c>
      <c r="BJ306" s="21">
        <v>0</v>
      </c>
      <c r="BK306" s="21">
        <v>0</v>
      </c>
      <c r="BL306" s="21">
        <v>0</v>
      </c>
      <c r="BM306" s="21">
        <v>0</v>
      </c>
      <c r="BN306" s="21">
        <v>0</v>
      </c>
      <c r="BO306" s="21">
        <v>0</v>
      </c>
      <c r="BP306" s="21">
        <v>0</v>
      </c>
      <c r="BQ306" s="21">
        <v>0</v>
      </c>
      <c r="BR306" s="21">
        <v>0</v>
      </c>
      <c r="BS306" s="21">
        <v>0</v>
      </c>
      <c r="BT306" s="21">
        <v>0</v>
      </c>
      <c r="BU306" s="21">
        <v>0</v>
      </c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1">
        <v>0</v>
      </c>
      <c r="CH306" s="21">
        <v>0</v>
      </c>
      <c r="CI306" s="21">
        <v>0</v>
      </c>
      <c r="CJ306" s="21">
        <v>0</v>
      </c>
      <c r="CK306" s="21">
        <v>0</v>
      </c>
      <c r="CL306" s="21">
        <v>0</v>
      </c>
      <c r="CM306" s="21">
        <v>0</v>
      </c>
      <c r="CN306" s="21">
        <v>0</v>
      </c>
      <c r="CO306" s="21">
        <v>0</v>
      </c>
      <c r="CP306" s="21">
        <v>0</v>
      </c>
      <c r="CQ306" s="21">
        <v>0</v>
      </c>
      <c r="CR306" s="21">
        <v>0</v>
      </c>
      <c r="CS306" s="21">
        <v>0</v>
      </c>
      <c r="CT306" s="21">
        <v>0</v>
      </c>
      <c r="CU306" s="21">
        <v>0</v>
      </c>
      <c r="CV306" s="21">
        <v>0</v>
      </c>
      <c r="CW306" s="21">
        <v>0</v>
      </c>
      <c r="CX306" s="21">
        <v>0</v>
      </c>
      <c r="CY306" s="21">
        <v>0</v>
      </c>
      <c r="CZ306" s="21">
        <v>0</v>
      </c>
      <c r="DA306" s="21">
        <v>0</v>
      </c>
      <c r="DB306" s="21">
        <v>0</v>
      </c>
      <c r="DC306" s="21">
        <v>0</v>
      </c>
      <c r="DD306" s="21">
        <v>0</v>
      </c>
      <c r="DE306" s="21">
        <v>0</v>
      </c>
      <c r="DF306" s="21">
        <v>0</v>
      </c>
      <c r="DG306" s="21">
        <v>0</v>
      </c>
      <c r="DH306" s="21">
        <v>0</v>
      </c>
      <c r="DI306" s="21">
        <v>0</v>
      </c>
      <c r="DJ306" s="21">
        <v>0</v>
      </c>
      <c r="DK306" s="21">
        <v>0</v>
      </c>
      <c r="DL306" s="21">
        <v>0</v>
      </c>
      <c r="DM306" s="21">
        <v>0</v>
      </c>
      <c r="DN306" s="21">
        <v>0</v>
      </c>
      <c r="DO306" s="21">
        <v>0</v>
      </c>
      <c r="DP306" s="21">
        <v>0</v>
      </c>
      <c r="DQ306" s="21">
        <v>0</v>
      </c>
      <c r="DR306" s="21">
        <v>0</v>
      </c>
      <c r="DS306" s="21">
        <v>0</v>
      </c>
      <c r="DT306" s="21">
        <v>0</v>
      </c>
      <c r="DU306" s="21">
        <v>0</v>
      </c>
      <c r="DV306" s="21">
        <v>0</v>
      </c>
      <c r="DW306" s="21">
        <v>0</v>
      </c>
      <c r="DX306" s="21">
        <v>0</v>
      </c>
      <c r="DY306" s="21">
        <v>0</v>
      </c>
      <c r="DZ306" s="21">
        <v>0</v>
      </c>
      <c r="EA306" s="21">
        <v>0</v>
      </c>
      <c r="EB306" s="21">
        <v>0</v>
      </c>
      <c r="EC306" s="21">
        <v>0</v>
      </c>
      <c r="ED306" s="21">
        <v>0</v>
      </c>
      <c r="EE306" s="21">
        <v>0</v>
      </c>
      <c r="EF306" s="21">
        <v>0</v>
      </c>
    </row>
    <row r="307" spans="1:136" ht="14.5" x14ac:dyDescent="0.35">
      <c r="A307" s="20" t="s">
        <v>12</v>
      </c>
      <c r="B307" s="20" t="s">
        <v>15</v>
      </c>
      <c r="C307" s="20" t="s">
        <v>15</v>
      </c>
      <c r="D307" s="20" t="s">
        <v>338</v>
      </c>
      <c r="E307" s="20" t="s">
        <v>16</v>
      </c>
      <c r="F307" s="20" t="s">
        <v>88</v>
      </c>
      <c r="G307" s="21">
        <v>0</v>
      </c>
      <c r="H307" s="21">
        <v>0</v>
      </c>
      <c r="I307" s="21">
        <v>10</v>
      </c>
      <c r="J307" s="21">
        <v>-10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0</v>
      </c>
      <c r="X307" s="21">
        <v>0</v>
      </c>
      <c r="Y307" s="21">
        <v>0</v>
      </c>
      <c r="Z307" s="21">
        <v>0</v>
      </c>
      <c r="AA307" s="21">
        <v>0</v>
      </c>
      <c r="AB307" s="21">
        <v>0</v>
      </c>
      <c r="AC307" s="21">
        <v>0</v>
      </c>
      <c r="AD307" s="21">
        <v>0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0</v>
      </c>
      <c r="AL307" s="21">
        <v>0</v>
      </c>
      <c r="AM307" s="21">
        <v>0</v>
      </c>
      <c r="AN307" s="21">
        <v>0</v>
      </c>
      <c r="AO307" s="21">
        <v>10</v>
      </c>
      <c r="AP307" s="21">
        <v>0</v>
      </c>
      <c r="AQ307" s="21">
        <v>0</v>
      </c>
      <c r="AR307" s="21">
        <v>0</v>
      </c>
      <c r="AS307" s="21">
        <v>0</v>
      </c>
      <c r="AT307" s="21">
        <v>0</v>
      </c>
      <c r="AU307" s="21">
        <v>0</v>
      </c>
      <c r="AV307" s="21">
        <v>0</v>
      </c>
      <c r="AW307" s="21">
        <v>0</v>
      </c>
      <c r="AX307" s="21">
        <v>0</v>
      </c>
      <c r="AY307" s="21">
        <v>0</v>
      </c>
      <c r="AZ307" s="21">
        <v>0</v>
      </c>
      <c r="BA307" s="21">
        <v>0</v>
      </c>
      <c r="BB307" s="21">
        <v>0</v>
      </c>
      <c r="BC307" s="21">
        <v>0</v>
      </c>
      <c r="BD307" s="21">
        <v>0</v>
      </c>
      <c r="BE307" s="21">
        <v>0</v>
      </c>
      <c r="BF307" s="21">
        <v>0</v>
      </c>
      <c r="BG307" s="21">
        <v>0</v>
      </c>
      <c r="BH307" s="21">
        <v>0</v>
      </c>
      <c r="BI307" s="21">
        <v>0</v>
      </c>
      <c r="BJ307" s="21">
        <v>0</v>
      </c>
      <c r="BK307" s="21">
        <v>0</v>
      </c>
      <c r="BL307" s="21">
        <v>0</v>
      </c>
      <c r="BM307" s="21">
        <v>0</v>
      </c>
      <c r="BN307" s="21">
        <v>0</v>
      </c>
      <c r="BO307" s="21">
        <v>0</v>
      </c>
      <c r="BP307" s="21">
        <v>0</v>
      </c>
      <c r="BQ307" s="21">
        <v>0</v>
      </c>
      <c r="BR307" s="21">
        <v>0</v>
      </c>
      <c r="BS307" s="21">
        <v>0</v>
      </c>
      <c r="BT307" s="21">
        <v>0</v>
      </c>
      <c r="BU307" s="21">
        <v>0</v>
      </c>
      <c r="BV307" s="21">
        <v>0</v>
      </c>
      <c r="BW307" s="21">
        <v>0</v>
      </c>
      <c r="BX307" s="21">
        <v>0</v>
      </c>
      <c r="BY307" s="21">
        <v>0</v>
      </c>
      <c r="BZ307" s="21">
        <v>0</v>
      </c>
      <c r="CA307" s="21">
        <v>0</v>
      </c>
      <c r="CB307" s="21">
        <v>0</v>
      </c>
      <c r="CC307" s="21">
        <v>0</v>
      </c>
      <c r="CD307" s="21">
        <v>0</v>
      </c>
      <c r="CE307" s="21">
        <v>0</v>
      </c>
      <c r="CF307" s="21">
        <v>0</v>
      </c>
      <c r="CG307" s="21">
        <v>0</v>
      </c>
      <c r="CH307" s="21">
        <v>0</v>
      </c>
      <c r="CI307" s="21">
        <v>0</v>
      </c>
      <c r="CJ307" s="21">
        <v>0</v>
      </c>
      <c r="CK307" s="21">
        <v>0</v>
      </c>
      <c r="CL307" s="21">
        <v>0</v>
      </c>
      <c r="CM307" s="21">
        <v>0</v>
      </c>
      <c r="CN307" s="21">
        <v>0</v>
      </c>
      <c r="CO307" s="21">
        <v>0</v>
      </c>
      <c r="CP307" s="21">
        <v>0</v>
      </c>
      <c r="CQ307" s="21">
        <v>0</v>
      </c>
      <c r="CR307" s="21">
        <v>0</v>
      </c>
      <c r="CS307" s="21">
        <v>0</v>
      </c>
      <c r="CT307" s="21">
        <v>0</v>
      </c>
      <c r="CU307" s="21">
        <v>0</v>
      </c>
      <c r="CV307" s="21">
        <v>0</v>
      </c>
      <c r="CW307" s="21">
        <v>0</v>
      </c>
      <c r="CX307" s="21">
        <v>0</v>
      </c>
      <c r="CY307" s="21">
        <v>0</v>
      </c>
      <c r="CZ307" s="21">
        <v>0</v>
      </c>
      <c r="DA307" s="21">
        <v>0</v>
      </c>
      <c r="DB307" s="21">
        <v>0</v>
      </c>
      <c r="DC307" s="21">
        <v>0</v>
      </c>
      <c r="DD307" s="21">
        <v>0</v>
      </c>
      <c r="DE307" s="21">
        <v>0</v>
      </c>
      <c r="DF307" s="21">
        <v>0</v>
      </c>
      <c r="DG307" s="21">
        <v>0</v>
      </c>
      <c r="DH307" s="21">
        <v>0</v>
      </c>
      <c r="DI307" s="21">
        <v>0</v>
      </c>
      <c r="DJ307" s="21">
        <v>0</v>
      </c>
      <c r="DK307" s="21">
        <v>0</v>
      </c>
      <c r="DL307" s="21">
        <v>0</v>
      </c>
      <c r="DM307" s="21">
        <v>0</v>
      </c>
      <c r="DN307" s="21">
        <v>0</v>
      </c>
      <c r="DO307" s="21">
        <v>0</v>
      </c>
      <c r="DP307" s="21">
        <v>0</v>
      </c>
      <c r="DQ307" s="21">
        <v>0</v>
      </c>
      <c r="DR307" s="21">
        <v>0</v>
      </c>
      <c r="DS307" s="21">
        <v>0</v>
      </c>
      <c r="DT307" s="21">
        <v>0</v>
      </c>
      <c r="DU307" s="21">
        <v>0</v>
      </c>
      <c r="DV307" s="21">
        <v>0</v>
      </c>
      <c r="DW307" s="21">
        <v>0</v>
      </c>
      <c r="DX307" s="21">
        <v>0</v>
      </c>
      <c r="DY307" s="21">
        <v>0</v>
      </c>
      <c r="DZ307" s="21">
        <v>0</v>
      </c>
      <c r="EA307" s="21">
        <v>0</v>
      </c>
      <c r="EB307" s="21">
        <v>0</v>
      </c>
      <c r="EC307" s="21">
        <v>0</v>
      </c>
      <c r="ED307" s="21">
        <v>0</v>
      </c>
      <c r="EE307" s="21">
        <v>0</v>
      </c>
      <c r="EF307" s="21">
        <v>0</v>
      </c>
    </row>
    <row r="308" spans="1:136" ht="14.5" x14ac:dyDescent="0.35">
      <c r="A308" s="20" t="s">
        <v>12</v>
      </c>
      <c r="B308" s="20" t="s">
        <v>15</v>
      </c>
      <c r="C308" s="20" t="s">
        <v>15</v>
      </c>
      <c r="D308" s="20" t="s">
        <v>338</v>
      </c>
      <c r="E308" s="20" t="s">
        <v>16</v>
      </c>
      <c r="F308" s="20" t="s">
        <v>40</v>
      </c>
      <c r="G308" s="21">
        <v>0</v>
      </c>
      <c r="H308" s="21">
        <v>0</v>
      </c>
      <c r="I308" s="21">
        <v>54.6</v>
      </c>
      <c r="J308" s="21">
        <v>-54.6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0</v>
      </c>
      <c r="X308" s="21">
        <v>0</v>
      </c>
      <c r="Y308" s="21">
        <v>0</v>
      </c>
      <c r="Z308" s="21">
        <v>0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0</v>
      </c>
      <c r="AO308" s="21">
        <v>0</v>
      </c>
      <c r="AP308" s="21">
        <v>0</v>
      </c>
      <c r="AQ308" s="21">
        <v>0.5</v>
      </c>
      <c r="AR308" s="21">
        <v>1</v>
      </c>
      <c r="AS308" s="21">
        <v>0</v>
      </c>
      <c r="AT308" s="21">
        <v>0</v>
      </c>
      <c r="AU308" s="21">
        <v>0</v>
      </c>
      <c r="AV308" s="21">
        <v>0</v>
      </c>
      <c r="AW308" s="21">
        <v>0</v>
      </c>
      <c r="AX308" s="21">
        <v>0</v>
      </c>
      <c r="AY308" s="21">
        <v>0</v>
      </c>
      <c r="AZ308" s="21">
        <v>0</v>
      </c>
      <c r="BA308" s="21">
        <v>0</v>
      </c>
      <c r="BB308" s="21">
        <v>0</v>
      </c>
      <c r="BC308" s="21">
        <v>0</v>
      </c>
      <c r="BD308" s="21">
        <v>0</v>
      </c>
      <c r="BE308" s="21">
        <v>0</v>
      </c>
      <c r="BF308" s="21">
        <v>0</v>
      </c>
      <c r="BG308" s="21">
        <v>0</v>
      </c>
      <c r="BH308" s="21">
        <v>0</v>
      </c>
      <c r="BI308" s="21">
        <v>0</v>
      </c>
      <c r="BJ308" s="21">
        <v>0</v>
      </c>
      <c r="BK308" s="21">
        <v>0</v>
      </c>
      <c r="BL308" s="21">
        <v>0</v>
      </c>
      <c r="BM308" s="21">
        <v>0</v>
      </c>
      <c r="BN308" s="21">
        <v>0</v>
      </c>
      <c r="BO308" s="21">
        <v>0</v>
      </c>
      <c r="BP308" s="21">
        <v>0</v>
      </c>
      <c r="BQ308" s="21">
        <v>0</v>
      </c>
      <c r="BR308" s="21">
        <v>0</v>
      </c>
      <c r="BS308" s="21">
        <v>0</v>
      </c>
      <c r="BT308" s="21">
        <v>0</v>
      </c>
      <c r="BU308" s="21">
        <v>0</v>
      </c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1">
        <v>0</v>
      </c>
      <c r="CH308" s="21">
        <v>0</v>
      </c>
      <c r="CI308" s="21">
        <v>0</v>
      </c>
      <c r="CJ308" s="21">
        <v>0</v>
      </c>
      <c r="CK308" s="21">
        <v>0</v>
      </c>
      <c r="CL308" s="21">
        <v>0</v>
      </c>
      <c r="CM308" s="21">
        <v>0</v>
      </c>
      <c r="CN308" s="21">
        <v>0</v>
      </c>
      <c r="CO308" s="21">
        <v>0</v>
      </c>
      <c r="CP308" s="21">
        <v>0</v>
      </c>
      <c r="CQ308" s="21">
        <v>0</v>
      </c>
      <c r="CR308" s="21">
        <v>0</v>
      </c>
      <c r="CS308" s="21">
        <v>7.9</v>
      </c>
      <c r="CT308" s="21">
        <v>0</v>
      </c>
      <c r="CU308" s="21">
        <v>0</v>
      </c>
      <c r="CV308" s="21">
        <v>0</v>
      </c>
      <c r="CW308" s="21">
        <v>0</v>
      </c>
      <c r="CX308" s="21">
        <v>0</v>
      </c>
      <c r="CY308" s="21">
        <v>0</v>
      </c>
      <c r="CZ308" s="21">
        <v>0</v>
      </c>
      <c r="DA308" s="21">
        <v>0</v>
      </c>
      <c r="DB308" s="21">
        <v>1.8</v>
      </c>
      <c r="DC308" s="21">
        <v>1.4</v>
      </c>
      <c r="DD308" s="21">
        <v>0</v>
      </c>
      <c r="DE308" s="21">
        <v>6.4</v>
      </c>
      <c r="DF308" s="21">
        <v>3.8</v>
      </c>
      <c r="DG308" s="21">
        <v>0</v>
      </c>
      <c r="DH308" s="21">
        <v>6</v>
      </c>
      <c r="DI308" s="21">
        <v>5</v>
      </c>
      <c r="DJ308" s="21">
        <v>0</v>
      </c>
      <c r="DK308" s="21">
        <v>0</v>
      </c>
      <c r="DL308" s="21">
        <v>0</v>
      </c>
      <c r="DM308" s="21">
        <v>0</v>
      </c>
      <c r="DN308" s="21">
        <v>0</v>
      </c>
      <c r="DO308" s="21">
        <v>6.9</v>
      </c>
      <c r="DP308" s="21">
        <v>2.9</v>
      </c>
      <c r="DQ308" s="21">
        <v>9.8000000000000007</v>
      </c>
      <c r="DR308" s="21">
        <v>1.2</v>
      </c>
      <c r="DS308" s="21">
        <v>0</v>
      </c>
      <c r="DT308" s="21">
        <v>0</v>
      </c>
      <c r="DU308" s="21">
        <v>0</v>
      </c>
      <c r="DV308" s="21">
        <v>0</v>
      </c>
      <c r="DW308" s="21">
        <v>0</v>
      </c>
      <c r="DX308" s="21">
        <v>0</v>
      </c>
      <c r="DY308" s="21">
        <v>0</v>
      </c>
      <c r="DZ308" s="21">
        <v>0</v>
      </c>
      <c r="EA308" s="21">
        <v>0</v>
      </c>
      <c r="EB308" s="21">
        <v>0</v>
      </c>
      <c r="EC308" s="21">
        <v>0</v>
      </c>
      <c r="ED308" s="21">
        <v>0</v>
      </c>
      <c r="EE308" s="21">
        <v>0</v>
      </c>
      <c r="EF308" s="21">
        <v>0</v>
      </c>
    </row>
    <row r="309" spans="1:136" ht="14.5" x14ac:dyDescent="0.35">
      <c r="A309" s="20" t="s">
        <v>12</v>
      </c>
      <c r="B309" s="20" t="s">
        <v>15</v>
      </c>
      <c r="C309" s="20" t="s">
        <v>15</v>
      </c>
      <c r="D309" s="20" t="s">
        <v>337</v>
      </c>
      <c r="E309" s="20" t="s">
        <v>16</v>
      </c>
      <c r="F309" s="20" t="s">
        <v>40</v>
      </c>
      <c r="G309" s="21">
        <v>11.8</v>
      </c>
      <c r="H309" s="21">
        <v>64.900000000000006</v>
      </c>
      <c r="I309" s="21">
        <v>0.5</v>
      </c>
      <c r="J309" s="21">
        <v>64.400000000000006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0</v>
      </c>
      <c r="X309" s="21">
        <v>0</v>
      </c>
      <c r="Y309" s="21">
        <v>0</v>
      </c>
      <c r="Z309" s="21">
        <v>0</v>
      </c>
      <c r="AA309" s="21">
        <v>0</v>
      </c>
      <c r="AB309" s="21">
        <v>0</v>
      </c>
      <c r="AC309" s="21">
        <v>0</v>
      </c>
      <c r="AD309" s="21">
        <v>0</v>
      </c>
      <c r="AE309" s="21">
        <v>0</v>
      </c>
      <c r="AF309" s="21">
        <v>0</v>
      </c>
      <c r="AG309" s="21">
        <v>0</v>
      </c>
      <c r="AH309" s="21">
        <v>0.5</v>
      </c>
      <c r="AI309" s="21">
        <v>0</v>
      </c>
      <c r="AJ309" s="21">
        <v>0</v>
      </c>
      <c r="AK309" s="21">
        <v>0</v>
      </c>
      <c r="AL309" s="21">
        <v>0</v>
      </c>
      <c r="AM309" s="21">
        <v>0</v>
      </c>
      <c r="AN309" s="21">
        <v>0</v>
      </c>
      <c r="AO309" s="21">
        <v>0</v>
      </c>
      <c r="AP309" s="21">
        <v>0</v>
      </c>
      <c r="AQ309" s="21">
        <v>0</v>
      </c>
      <c r="AR309" s="21">
        <v>0</v>
      </c>
      <c r="AS309" s="21">
        <v>0</v>
      </c>
      <c r="AT309" s="21">
        <v>0</v>
      </c>
      <c r="AU309" s="21">
        <v>0</v>
      </c>
      <c r="AV309" s="21">
        <v>0</v>
      </c>
      <c r="AW309" s="21">
        <v>0</v>
      </c>
      <c r="AX309" s="21">
        <v>0</v>
      </c>
      <c r="AY309" s="21">
        <v>0</v>
      </c>
      <c r="AZ309" s="21">
        <v>0</v>
      </c>
      <c r="BA309" s="21">
        <v>0</v>
      </c>
      <c r="BB309" s="21">
        <v>0</v>
      </c>
      <c r="BC309" s="21">
        <v>0</v>
      </c>
      <c r="BD309" s="21">
        <v>0</v>
      </c>
      <c r="BE309" s="21">
        <v>0</v>
      </c>
      <c r="BF309" s="21">
        <v>0</v>
      </c>
      <c r="BG309" s="21">
        <v>0</v>
      </c>
      <c r="BH309" s="21">
        <v>0</v>
      </c>
      <c r="BI309" s="21">
        <v>0</v>
      </c>
      <c r="BJ309" s="21">
        <v>0</v>
      </c>
      <c r="BK309" s="21">
        <v>0</v>
      </c>
      <c r="BL309" s="21">
        <v>0</v>
      </c>
      <c r="BM309" s="21">
        <v>0</v>
      </c>
      <c r="BN309" s="21">
        <v>0</v>
      </c>
      <c r="BO309" s="21">
        <v>0</v>
      </c>
      <c r="BP309" s="21">
        <v>0</v>
      </c>
      <c r="BQ309" s="21">
        <v>0</v>
      </c>
      <c r="BR309" s="21">
        <v>0</v>
      </c>
      <c r="BS309" s="21">
        <v>0</v>
      </c>
      <c r="BT309" s="21">
        <v>0</v>
      </c>
      <c r="BU309" s="21">
        <v>0</v>
      </c>
      <c r="BV309" s="21">
        <v>0</v>
      </c>
      <c r="BW309" s="21">
        <v>0</v>
      </c>
      <c r="BX309" s="21">
        <v>0</v>
      </c>
      <c r="BY309" s="21">
        <v>0</v>
      </c>
      <c r="BZ309" s="21">
        <v>0</v>
      </c>
      <c r="CA309" s="21">
        <v>0</v>
      </c>
      <c r="CB309" s="21">
        <v>0</v>
      </c>
      <c r="CC309" s="21">
        <v>0</v>
      </c>
      <c r="CD309" s="21">
        <v>0</v>
      </c>
      <c r="CE309" s="21">
        <v>0</v>
      </c>
      <c r="CF309" s="21">
        <v>0</v>
      </c>
      <c r="CG309" s="21">
        <v>0</v>
      </c>
      <c r="CH309" s="21">
        <v>0</v>
      </c>
      <c r="CI309" s="21">
        <v>0</v>
      </c>
      <c r="CJ309" s="21">
        <v>0</v>
      </c>
      <c r="CK309" s="21">
        <v>0</v>
      </c>
      <c r="CL309" s="21">
        <v>0</v>
      </c>
      <c r="CM309" s="21">
        <v>0</v>
      </c>
      <c r="CN309" s="21">
        <v>0</v>
      </c>
      <c r="CO309" s="21">
        <v>0</v>
      </c>
      <c r="CP309" s="21">
        <v>0</v>
      </c>
      <c r="CQ309" s="21">
        <v>0</v>
      </c>
      <c r="CR309" s="21">
        <v>0</v>
      </c>
      <c r="CS309" s="21">
        <v>0</v>
      </c>
      <c r="CT309" s="21">
        <v>0</v>
      </c>
      <c r="CU309" s="21">
        <v>0</v>
      </c>
      <c r="CV309" s="21">
        <v>0</v>
      </c>
      <c r="CW309" s="21">
        <v>0</v>
      </c>
      <c r="CX309" s="21">
        <v>0</v>
      </c>
      <c r="CY309" s="21">
        <v>0</v>
      </c>
      <c r="CZ309" s="21">
        <v>0</v>
      </c>
      <c r="DA309" s="21">
        <v>0</v>
      </c>
      <c r="DB309" s="21">
        <v>0</v>
      </c>
      <c r="DC309" s="21">
        <v>0</v>
      </c>
      <c r="DD309" s="21">
        <v>0</v>
      </c>
      <c r="DE309" s="21">
        <v>0</v>
      </c>
      <c r="DF309" s="21">
        <v>0</v>
      </c>
      <c r="DG309" s="21">
        <v>0</v>
      </c>
      <c r="DH309" s="21">
        <v>0</v>
      </c>
      <c r="DI309" s="21">
        <v>0</v>
      </c>
      <c r="DJ309" s="21">
        <v>0</v>
      </c>
      <c r="DK309" s="21">
        <v>0</v>
      </c>
      <c r="DL309" s="21">
        <v>0</v>
      </c>
      <c r="DM309" s="21">
        <v>0</v>
      </c>
      <c r="DN309" s="21">
        <v>0</v>
      </c>
      <c r="DO309" s="21">
        <v>0</v>
      </c>
      <c r="DP309" s="21">
        <v>0</v>
      </c>
      <c r="DQ309" s="21">
        <v>0</v>
      </c>
      <c r="DR309" s="21">
        <v>0</v>
      </c>
      <c r="DS309" s="21">
        <v>0</v>
      </c>
      <c r="DT309" s="21">
        <v>0</v>
      </c>
      <c r="DU309" s="21">
        <v>0</v>
      </c>
      <c r="DV309" s="21">
        <v>0</v>
      </c>
      <c r="DW309" s="21">
        <v>0</v>
      </c>
      <c r="DX309" s="21">
        <v>0</v>
      </c>
      <c r="DY309" s="21">
        <v>0</v>
      </c>
      <c r="DZ309" s="21">
        <v>0</v>
      </c>
      <c r="EA309" s="21">
        <v>0</v>
      </c>
      <c r="EB309" s="21">
        <v>0</v>
      </c>
      <c r="EC309" s="21">
        <v>0</v>
      </c>
      <c r="ED309" s="21">
        <v>0</v>
      </c>
      <c r="EE309" s="21">
        <v>0</v>
      </c>
      <c r="EF309" s="21">
        <v>0</v>
      </c>
    </row>
    <row r="310" spans="1:136" ht="14.5" x14ac:dyDescent="0.35">
      <c r="A310" s="20" t="s">
        <v>12</v>
      </c>
      <c r="B310" s="20" t="s">
        <v>15</v>
      </c>
      <c r="C310" s="20" t="s">
        <v>15</v>
      </c>
      <c r="D310" s="20" t="s">
        <v>338</v>
      </c>
      <c r="E310" s="20" t="s">
        <v>16</v>
      </c>
      <c r="F310" s="20" t="s">
        <v>101</v>
      </c>
      <c r="G310" s="21">
        <v>0</v>
      </c>
      <c r="H310" s="21">
        <v>0</v>
      </c>
      <c r="I310" s="21">
        <v>154.6</v>
      </c>
      <c r="J310" s="21">
        <v>-154.6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0</v>
      </c>
      <c r="X310" s="21">
        <v>0</v>
      </c>
      <c r="Y310" s="21">
        <v>0</v>
      </c>
      <c r="Z310" s="21">
        <v>0</v>
      </c>
      <c r="AA310" s="21">
        <v>0</v>
      </c>
      <c r="AB310" s="21">
        <v>0</v>
      </c>
      <c r="AC310" s="21">
        <v>0</v>
      </c>
      <c r="AD310" s="21">
        <v>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1.5</v>
      </c>
      <c r="AL310" s="21">
        <v>1.5</v>
      </c>
      <c r="AM310" s="21">
        <v>0</v>
      </c>
      <c r="AN310" s="21">
        <v>0</v>
      </c>
      <c r="AO310" s="21">
        <v>4</v>
      </c>
      <c r="AP310" s="21">
        <v>11</v>
      </c>
      <c r="AQ310" s="21">
        <v>14</v>
      </c>
      <c r="AR310" s="21">
        <v>7.5</v>
      </c>
      <c r="AS310" s="21">
        <v>2</v>
      </c>
      <c r="AT310" s="21">
        <v>0</v>
      </c>
      <c r="AU310" s="21">
        <v>0</v>
      </c>
      <c r="AV310" s="21">
        <v>0</v>
      </c>
      <c r="AW310" s="21">
        <v>0</v>
      </c>
      <c r="AX310" s="21">
        <v>0</v>
      </c>
      <c r="AY310" s="21">
        <v>0</v>
      </c>
      <c r="AZ310" s="21">
        <v>0</v>
      </c>
      <c r="BA310" s="21">
        <v>0</v>
      </c>
      <c r="BB310" s="21">
        <v>0</v>
      </c>
      <c r="BC310" s="21">
        <v>0</v>
      </c>
      <c r="BD310" s="21">
        <v>0</v>
      </c>
      <c r="BE310" s="21">
        <v>0</v>
      </c>
      <c r="BF310" s="21">
        <v>0</v>
      </c>
      <c r="BG310" s="21">
        <v>0</v>
      </c>
      <c r="BH310" s="21">
        <v>0</v>
      </c>
      <c r="BI310" s="21">
        <v>0</v>
      </c>
      <c r="BJ310" s="21">
        <v>0</v>
      </c>
      <c r="BK310" s="21">
        <v>0</v>
      </c>
      <c r="BL310" s="21">
        <v>0</v>
      </c>
      <c r="BM310" s="21">
        <v>0</v>
      </c>
      <c r="BN310" s="21">
        <v>0</v>
      </c>
      <c r="BO310" s="21">
        <v>0</v>
      </c>
      <c r="BP310" s="21">
        <v>0</v>
      </c>
      <c r="BQ310" s="21">
        <v>0</v>
      </c>
      <c r="BR310" s="21">
        <v>0</v>
      </c>
      <c r="BS310" s="21">
        <v>0</v>
      </c>
      <c r="BT310" s="21">
        <v>0</v>
      </c>
      <c r="BU310" s="21">
        <v>0</v>
      </c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1">
        <v>0</v>
      </c>
      <c r="CH310" s="21">
        <v>0</v>
      </c>
      <c r="CI310" s="21">
        <v>0</v>
      </c>
      <c r="CJ310" s="21">
        <v>0</v>
      </c>
      <c r="CK310" s="21">
        <v>0</v>
      </c>
      <c r="CL310" s="21">
        <v>0</v>
      </c>
      <c r="CM310" s="21">
        <v>0</v>
      </c>
      <c r="CN310" s="21">
        <v>0</v>
      </c>
      <c r="CO310" s="21">
        <v>0</v>
      </c>
      <c r="CP310" s="21">
        <v>0</v>
      </c>
      <c r="CQ310" s="21">
        <v>0</v>
      </c>
      <c r="CR310" s="21">
        <v>0</v>
      </c>
      <c r="CS310" s="21">
        <v>10</v>
      </c>
      <c r="CT310" s="21">
        <v>1</v>
      </c>
      <c r="CU310" s="21">
        <v>0</v>
      </c>
      <c r="CV310" s="21">
        <v>0</v>
      </c>
      <c r="CW310" s="21">
        <v>0</v>
      </c>
      <c r="CX310" s="21">
        <v>11</v>
      </c>
      <c r="CY310" s="21">
        <v>10.5</v>
      </c>
      <c r="CZ310" s="21">
        <v>11</v>
      </c>
      <c r="DA310" s="21">
        <v>0</v>
      </c>
      <c r="DB310" s="21">
        <v>0</v>
      </c>
      <c r="DC310" s="21">
        <v>7.4</v>
      </c>
      <c r="DD310" s="21">
        <v>1</v>
      </c>
      <c r="DE310" s="21">
        <v>0</v>
      </c>
      <c r="DF310" s="21">
        <v>2</v>
      </c>
      <c r="DG310" s="21">
        <v>14.5</v>
      </c>
      <c r="DH310" s="21">
        <v>11.5</v>
      </c>
      <c r="DI310" s="21">
        <v>0</v>
      </c>
      <c r="DJ310" s="21">
        <v>0</v>
      </c>
      <c r="DK310" s="21">
        <v>0</v>
      </c>
      <c r="DL310" s="21">
        <v>0</v>
      </c>
      <c r="DM310" s="21">
        <v>0</v>
      </c>
      <c r="DN310" s="21">
        <v>0</v>
      </c>
      <c r="DO310" s="21">
        <v>0</v>
      </c>
      <c r="DP310" s="21">
        <v>15</v>
      </c>
      <c r="DQ310" s="21">
        <v>20.2</v>
      </c>
      <c r="DR310" s="21">
        <v>0</v>
      </c>
      <c r="DS310" s="21">
        <v>0</v>
      </c>
      <c r="DT310" s="21">
        <v>0</v>
      </c>
      <c r="DU310" s="21">
        <v>0</v>
      </c>
      <c r="DV310" s="21">
        <v>0</v>
      </c>
      <c r="DW310" s="21">
        <v>0</v>
      </c>
      <c r="DX310" s="21">
        <v>0</v>
      </c>
      <c r="DY310" s="21">
        <v>0</v>
      </c>
      <c r="DZ310" s="21">
        <v>0</v>
      </c>
      <c r="EA310" s="21">
        <v>0</v>
      </c>
      <c r="EB310" s="21">
        <v>0</v>
      </c>
      <c r="EC310" s="21">
        <v>0</v>
      </c>
      <c r="ED310" s="21">
        <v>0</v>
      </c>
      <c r="EE310" s="21">
        <v>0</v>
      </c>
      <c r="EF310" s="21">
        <v>0</v>
      </c>
    </row>
    <row r="311" spans="1:136" ht="14.5" x14ac:dyDescent="0.35">
      <c r="A311" s="20" t="s">
        <v>12</v>
      </c>
      <c r="B311" s="20" t="s">
        <v>15</v>
      </c>
      <c r="C311" s="20" t="s">
        <v>15</v>
      </c>
      <c r="D311" s="20" t="s">
        <v>337</v>
      </c>
      <c r="E311" s="20" t="s">
        <v>16</v>
      </c>
      <c r="F311" s="20" t="s">
        <v>101</v>
      </c>
      <c r="G311" s="21">
        <v>55.8</v>
      </c>
      <c r="H311" s="21">
        <v>168.6</v>
      </c>
      <c r="I311" s="21">
        <v>11.5</v>
      </c>
      <c r="J311" s="21">
        <v>157.1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0</v>
      </c>
      <c r="Y311" s="21">
        <v>0</v>
      </c>
      <c r="Z311" s="21">
        <v>0</v>
      </c>
      <c r="AA311" s="21">
        <v>0</v>
      </c>
      <c r="AB311" s="21">
        <v>0</v>
      </c>
      <c r="AC311" s="21">
        <v>1.5</v>
      </c>
      <c r="AD311" s="21">
        <v>1</v>
      </c>
      <c r="AE311" s="21">
        <v>1</v>
      </c>
      <c r="AF311" s="21">
        <v>2.5</v>
      </c>
      <c r="AG311" s="21">
        <v>2.5</v>
      </c>
      <c r="AH311" s="21">
        <v>1.5</v>
      </c>
      <c r="AI311" s="21">
        <v>0.5</v>
      </c>
      <c r="AJ311" s="21">
        <v>1</v>
      </c>
      <c r="AK311" s="21">
        <v>0</v>
      </c>
      <c r="AL311" s="21">
        <v>0</v>
      </c>
      <c r="AM311" s="21">
        <v>0</v>
      </c>
      <c r="AN311" s="21">
        <v>0</v>
      </c>
      <c r="AO311" s="21">
        <v>0</v>
      </c>
      <c r="AP311" s="21">
        <v>0</v>
      </c>
      <c r="AQ311" s="21">
        <v>0</v>
      </c>
      <c r="AR311" s="21">
        <v>0</v>
      </c>
      <c r="AS311" s="21">
        <v>0</v>
      </c>
      <c r="AT311" s="21">
        <v>0</v>
      </c>
      <c r="AU311" s="21">
        <v>0</v>
      </c>
      <c r="AV311" s="21">
        <v>0</v>
      </c>
      <c r="AW311" s="21">
        <v>0</v>
      </c>
      <c r="AX311" s="21">
        <v>0</v>
      </c>
      <c r="AY311" s="21">
        <v>0</v>
      </c>
      <c r="AZ311" s="21">
        <v>0</v>
      </c>
      <c r="BA311" s="21">
        <v>0</v>
      </c>
      <c r="BB311" s="21">
        <v>0</v>
      </c>
      <c r="BC311" s="21">
        <v>0</v>
      </c>
      <c r="BD311" s="21">
        <v>0</v>
      </c>
      <c r="BE311" s="21">
        <v>0</v>
      </c>
      <c r="BF311" s="21">
        <v>0</v>
      </c>
      <c r="BG311" s="21">
        <v>0</v>
      </c>
      <c r="BH311" s="21">
        <v>0</v>
      </c>
      <c r="BI311" s="21">
        <v>0</v>
      </c>
      <c r="BJ311" s="21">
        <v>0</v>
      </c>
      <c r="BK311" s="21">
        <v>0</v>
      </c>
      <c r="BL311" s="21">
        <v>0</v>
      </c>
      <c r="BM311" s="21">
        <v>0</v>
      </c>
      <c r="BN311" s="21">
        <v>0</v>
      </c>
      <c r="BO311" s="21">
        <v>0</v>
      </c>
      <c r="BP311" s="21">
        <v>0</v>
      </c>
      <c r="BQ311" s="21">
        <v>0</v>
      </c>
      <c r="BR311" s="21">
        <v>0</v>
      </c>
      <c r="BS311" s="21">
        <v>0</v>
      </c>
      <c r="BT311" s="21">
        <v>0</v>
      </c>
      <c r="BU311" s="21">
        <v>0</v>
      </c>
      <c r="BV311" s="21">
        <v>0</v>
      </c>
      <c r="BW311" s="21">
        <v>0</v>
      </c>
      <c r="BX311" s="21">
        <v>0</v>
      </c>
      <c r="BY311" s="21">
        <v>0</v>
      </c>
      <c r="BZ311" s="21">
        <v>0</v>
      </c>
      <c r="CA311" s="21">
        <v>0</v>
      </c>
      <c r="CB311" s="21">
        <v>0</v>
      </c>
      <c r="CC311" s="21">
        <v>0</v>
      </c>
      <c r="CD311" s="21">
        <v>0</v>
      </c>
      <c r="CE311" s="21">
        <v>0</v>
      </c>
      <c r="CF311" s="21">
        <v>0</v>
      </c>
      <c r="CG311" s="21">
        <v>0</v>
      </c>
      <c r="CH311" s="21">
        <v>0</v>
      </c>
      <c r="CI311" s="21">
        <v>0</v>
      </c>
      <c r="CJ311" s="21">
        <v>0</v>
      </c>
      <c r="CK311" s="21">
        <v>0</v>
      </c>
      <c r="CL311" s="21">
        <v>0</v>
      </c>
      <c r="CM311" s="21">
        <v>0</v>
      </c>
      <c r="CN311" s="21">
        <v>0</v>
      </c>
      <c r="CO311" s="21">
        <v>0</v>
      </c>
      <c r="CP311" s="21">
        <v>0</v>
      </c>
      <c r="CQ311" s="21">
        <v>0</v>
      </c>
      <c r="CR311" s="21">
        <v>0</v>
      </c>
      <c r="CS311" s="21">
        <v>0</v>
      </c>
      <c r="CT311" s="21">
        <v>0</v>
      </c>
      <c r="CU311" s="21">
        <v>0</v>
      </c>
      <c r="CV311" s="21">
        <v>0</v>
      </c>
      <c r="CW311" s="21">
        <v>0</v>
      </c>
      <c r="CX311" s="21">
        <v>0</v>
      </c>
      <c r="CY311" s="21">
        <v>0</v>
      </c>
      <c r="CZ311" s="21">
        <v>0</v>
      </c>
      <c r="DA311" s="21">
        <v>0</v>
      </c>
      <c r="DB311" s="21">
        <v>0</v>
      </c>
      <c r="DC311" s="21">
        <v>0</v>
      </c>
      <c r="DD311" s="21">
        <v>0</v>
      </c>
      <c r="DE311" s="21">
        <v>0</v>
      </c>
      <c r="DF311" s="21">
        <v>0</v>
      </c>
      <c r="DG311" s="21">
        <v>0</v>
      </c>
      <c r="DH311" s="21">
        <v>0</v>
      </c>
      <c r="DI311" s="21">
        <v>0</v>
      </c>
      <c r="DJ311" s="21">
        <v>0</v>
      </c>
      <c r="DK311" s="21">
        <v>0</v>
      </c>
      <c r="DL311" s="21">
        <v>0</v>
      </c>
      <c r="DM311" s="21">
        <v>0</v>
      </c>
      <c r="DN311" s="21">
        <v>0</v>
      </c>
      <c r="DO311" s="21">
        <v>0</v>
      </c>
      <c r="DP311" s="21">
        <v>0</v>
      </c>
      <c r="DQ311" s="21">
        <v>0</v>
      </c>
      <c r="DR311" s="21">
        <v>0</v>
      </c>
      <c r="DS311" s="21">
        <v>0</v>
      </c>
      <c r="DT311" s="21">
        <v>0</v>
      </c>
      <c r="DU311" s="21">
        <v>0</v>
      </c>
      <c r="DV311" s="21">
        <v>0</v>
      </c>
      <c r="DW311" s="21">
        <v>0</v>
      </c>
      <c r="DX311" s="21">
        <v>0</v>
      </c>
      <c r="DY311" s="21">
        <v>0</v>
      </c>
      <c r="DZ311" s="21">
        <v>0</v>
      </c>
      <c r="EA311" s="21">
        <v>0</v>
      </c>
      <c r="EB311" s="21">
        <v>0</v>
      </c>
      <c r="EC311" s="21">
        <v>0</v>
      </c>
      <c r="ED311" s="21">
        <v>0</v>
      </c>
      <c r="EE311" s="21">
        <v>0</v>
      </c>
      <c r="EF311" s="21">
        <v>0</v>
      </c>
    </row>
    <row r="312" spans="1:136" ht="14.5" x14ac:dyDescent="0.35">
      <c r="A312" s="20" t="s">
        <v>12</v>
      </c>
      <c r="B312" s="20" t="s">
        <v>15</v>
      </c>
      <c r="C312" s="20" t="s">
        <v>15</v>
      </c>
      <c r="D312" s="20" t="s">
        <v>338</v>
      </c>
      <c r="E312" s="20" t="s">
        <v>16</v>
      </c>
      <c r="F312" s="20" t="s">
        <v>97</v>
      </c>
      <c r="G312" s="21">
        <v>0</v>
      </c>
      <c r="H312" s="21">
        <v>0</v>
      </c>
      <c r="I312" s="21">
        <v>93.2</v>
      </c>
      <c r="J312" s="21">
        <v>-93.2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0</v>
      </c>
      <c r="X312" s="21">
        <v>0</v>
      </c>
      <c r="Y312" s="21">
        <v>0</v>
      </c>
      <c r="Z312" s="21">
        <v>0</v>
      </c>
      <c r="AA312" s="21">
        <v>0</v>
      </c>
      <c r="AB312" s="21">
        <v>0</v>
      </c>
      <c r="AC312" s="21">
        <v>0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1.5</v>
      </c>
      <c r="AK312" s="21">
        <v>1.5</v>
      </c>
      <c r="AL312" s="21">
        <v>1.7</v>
      </c>
      <c r="AM312" s="21">
        <v>0</v>
      </c>
      <c r="AN312" s="21">
        <v>9</v>
      </c>
      <c r="AO312" s="21">
        <v>0.5</v>
      </c>
      <c r="AP312" s="21">
        <v>0.5</v>
      </c>
      <c r="AQ312" s="21">
        <v>1</v>
      </c>
      <c r="AR312" s="21">
        <v>5.5</v>
      </c>
      <c r="AS312" s="21">
        <v>2.5</v>
      </c>
      <c r="AT312" s="21">
        <v>0</v>
      </c>
      <c r="AU312" s="21">
        <v>0</v>
      </c>
      <c r="AV312" s="21">
        <v>0</v>
      </c>
      <c r="AW312" s="21">
        <v>0</v>
      </c>
      <c r="AX312" s="21">
        <v>0</v>
      </c>
      <c r="AY312" s="21">
        <v>0</v>
      </c>
      <c r="AZ312" s="21">
        <v>0</v>
      </c>
      <c r="BA312" s="21">
        <v>0</v>
      </c>
      <c r="BB312" s="21">
        <v>0</v>
      </c>
      <c r="BC312" s="21">
        <v>0</v>
      </c>
      <c r="BD312" s="21">
        <v>0</v>
      </c>
      <c r="BE312" s="21">
        <v>0</v>
      </c>
      <c r="BF312" s="21">
        <v>0</v>
      </c>
      <c r="BG312" s="21">
        <v>0</v>
      </c>
      <c r="BH312" s="21">
        <v>0</v>
      </c>
      <c r="BI312" s="21">
        <v>0</v>
      </c>
      <c r="BJ312" s="21">
        <v>0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0</v>
      </c>
      <c r="BQ312" s="21">
        <v>0</v>
      </c>
      <c r="BR312" s="21">
        <v>0</v>
      </c>
      <c r="BS312" s="21">
        <v>0</v>
      </c>
      <c r="BT312" s="21">
        <v>0</v>
      </c>
      <c r="BU312" s="21">
        <v>0</v>
      </c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1">
        <v>0</v>
      </c>
      <c r="CH312" s="21">
        <v>0</v>
      </c>
      <c r="CI312" s="21">
        <v>0</v>
      </c>
      <c r="CJ312" s="21">
        <v>0</v>
      </c>
      <c r="CK312" s="21">
        <v>0</v>
      </c>
      <c r="CL312" s="21">
        <v>0</v>
      </c>
      <c r="CM312" s="21">
        <v>0</v>
      </c>
      <c r="CN312" s="21">
        <v>0</v>
      </c>
      <c r="CO312" s="21">
        <v>0</v>
      </c>
      <c r="CP312" s="21">
        <v>0</v>
      </c>
      <c r="CQ312" s="21">
        <v>0</v>
      </c>
      <c r="CR312" s="21">
        <v>0</v>
      </c>
      <c r="CS312" s="21">
        <v>4</v>
      </c>
      <c r="CT312" s="21">
        <v>0</v>
      </c>
      <c r="CU312" s="21">
        <v>4</v>
      </c>
      <c r="CV312" s="21">
        <v>4</v>
      </c>
      <c r="CW312" s="21">
        <v>4</v>
      </c>
      <c r="CX312" s="21">
        <v>0</v>
      </c>
      <c r="CY312" s="21">
        <v>0</v>
      </c>
      <c r="CZ312" s="21">
        <v>0</v>
      </c>
      <c r="DA312" s="21">
        <v>4</v>
      </c>
      <c r="DB312" s="21">
        <v>5</v>
      </c>
      <c r="DC312" s="21">
        <v>5</v>
      </c>
      <c r="DD312" s="21">
        <v>5</v>
      </c>
      <c r="DE312" s="21">
        <v>0</v>
      </c>
      <c r="DF312" s="21">
        <v>5</v>
      </c>
      <c r="DG312" s="21">
        <v>4</v>
      </c>
      <c r="DH312" s="21">
        <v>4</v>
      </c>
      <c r="DI312" s="21">
        <v>0</v>
      </c>
      <c r="DJ312" s="21">
        <v>0</v>
      </c>
      <c r="DK312" s="21">
        <v>0</v>
      </c>
      <c r="DL312" s="21">
        <v>2</v>
      </c>
      <c r="DM312" s="21">
        <v>2</v>
      </c>
      <c r="DN312" s="21">
        <v>4</v>
      </c>
      <c r="DO312" s="21">
        <v>4</v>
      </c>
      <c r="DP312" s="21">
        <v>4</v>
      </c>
      <c r="DQ312" s="21">
        <v>4</v>
      </c>
      <c r="DR312" s="21">
        <v>4</v>
      </c>
      <c r="DS312" s="21">
        <v>0</v>
      </c>
      <c r="DT312" s="21">
        <v>0</v>
      </c>
      <c r="DU312" s="21">
        <v>0</v>
      </c>
      <c r="DV312" s="21">
        <v>0</v>
      </c>
      <c r="DW312" s="21">
        <v>0</v>
      </c>
      <c r="DX312" s="21">
        <v>0</v>
      </c>
      <c r="DY312" s="21">
        <v>0</v>
      </c>
      <c r="DZ312" s="21">
        <v>0</v>
      </c>
      <c r="EA312" s="21">
        <v>0</v>
      </c>
      <c r="EB312" s="21">
        <v>0</v>
      </c>
      <c r="EC312" s="21">
        <v>0</v>
      </c>
      <c r="ED312" s="21">
        <v>0</v>
      </c>
      <c r="EE312" s="21">
        <v>0</v>
      </c>
      <c r="EF312" s="21">
        <v>0</v>
      </c>
    </row>
    <row r="313" spans="1:136" ht="14.5" x14ac:dyDescent="0.35">
      <c r="A313" s="20" t="s">
        <v>12</v>
      </c>
      <c r="B313" s="20" t="s">
        <v>15</v>
      </c>
      <c r="C313" s="20" t="s">
        <v>15</v>
      </c>
      <c r="D313" s="20" t="s">
        <v>337</v>
      </c>
      <c r="E313" s="20" t="s">
        <v>16</v>
      </c>
      <c r="F313" s="20" t="s">
        <v>97</v>
      </c>
      <c r="G313" s="21">
        <v>30.5</v>
      </c>
      <c r="H313" s="21">
        <v>102.5</v>
      </c>
      <c r="I313" s="21">
        <v>13</v>
      </c>
      <c r="J313" s="21">
        <v>89.5</v>
      </c>
      <c r="K313" s="21">
        <v>0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>
        <v>0</v>
      </c>
      <c r="X313" s="21">
        <v>0</v>
      </c>
      <c r="Y313" s="21">
        <v>0</v>
      </c>
      <c r="Z313" s="21">
        <v>0</v>
      </c>
      <c r="AA313" s="21">
        <v>0</v>
      </c>
      <c r="AB313" s="21">
        <v>0</v>
      </c>
      <c r="AC313" s="21">
        <v>0</v>
      </c>
      <c r="AD313" s="21">
        <v>0</v>
      </c>
      <c r="AE313" s="21">
        <v>0.5</v>
      </c>
      <c r="AF313" s="21">
        <v>4</v>
      </c>
      <c r="AG313" s="21">
        <v>3</v>
      </c>
      <c r="AH313" s="21">
        <v>2</v>
      </c>
      <c r="AI313" s="21">
        <v>3.5</v>
      </c>
      <c r="AJ313" s="21">
        <v>0</v>
      </c>
      <c r="AK313" s="21">
        <v>0</v>
      </c>
      <c r="AL313" s="21">
        <v>0</v>
      </c>
      <c r="AM313" s="21">
        <v>0</v>
      </c>
      <c r="AN313" s="21">
        <v>0</v>
      </c>
      <c r="AO313" s="21">
        <v>0</v>
      </c>
      <c r="AP313" s="21">
        <v>0</v>
      </c>
      <c r="AQ313" s="21">
        <v>0</v>
      </c>
      <c r="AR313" s="21">
        <v>0</v>
      </c>
      <c r="AS313" s="21">
        <v>0</v>
      </c>
      <c r="AT313" s="21">
        <v>0</v>
      </c>
      <c r="AU313" s="21">
        <v>0</v>
      </c>
      <c r="AV313" s="21">
        <v>0</v>
      </c>
      <c r="AW313" s="21">
        <v>0</v>
      </c>
      <c r="AX313" s="21">
        <v>0</v>
      </c>
      <c r="AY313" s="21">
        <v>0</v>
      </c>
      <c r="AZ313" s="21">
        <v>0</v>
      </c>
      <c r="BA313" s="21">
        <v>0</v>
      </c>
      <c r="BB313" s="21">
        <v>0</v>
      </c>
      <c r="BC313" s="21">
        <v>0</v>
      </c>
      <c r="BD313" s="21">
        <v>0</v>
      </c>
      <c r="BE313" s="21">
        <v>0</v>
      </c>
      <c r="BF313" s="21">
        <v>0</v>
      </c>
      <c r="BG313" s="21">
        <v>0</v>
      </c>
      <c r="BH313" s="21">
        <v>0</v>
      </c>
      <c r="BI313" s="21">
        <v>0</v>
      </c>
      <c r="BJ313" s="21">
        <v>0</v>
      </c>
      <c r="BK313" s="21">
        <v>0</v>
      </c>
      <c r="BL313" s="21">
        <v>0</v>
      </c>
      <c r="BM313" s="21">
        <v>0</v>
      </c>
      <c r="BN313" s="21">
        <v>0</v>
      </c>
      <c r="BO313" s="21">
        <v>0</v>
      </c>
      <c r="BP313" s="21">
        <v>0</v>
      </c>
      <c r="BQ313" s="21">
        <v>0</v>
      </c>
      <c r="BR313" s="21">
        <v>0</v>
      </c>
      <c r="BS313" s="21">
        <v>0</v>
      </c>
      <c r="BT313" s="21">
        <v>0</v>
      </c>
      <c r="BU313" s="21">
        <v>0</v>
      </c>
      <c r="BV313" s="21">
        <v>0</v>
      </c>
      <c r="BW313" s="21">
        <v>0</v>
      </c>
      <c r="BX313" s="21">
        <v>0</v>
      </c>
      <c r="BY313" s="21">
        <v>0</v>
      </c>
      <c r="BZ313" s="21">
        <v>0</v>
      </c>
      <c r="CA313" s="21">
        <v>0</v>
      </c>
      <c r="CB313" s="21">
        <v>0</v>
      </c>
      <c r="CC313" s="21">
        <v>0</v>
      </c>
      <c r="CD313" s="21">
        <v>0</v>
      </c>
      <c r="CE313" s="21">
        <v>0</v>
      </c>
      <c r="CF313" s="21">
        <v>0</v>
      </c>
      <c r="CG313" s="21">
        <v>0</v>
      </c>
      <c r="CH313" s="21">
        <v>0</v>
      </c>
      <c r="CI313" s="21">
        <v>0</v>
      </c>
      <c r="CJ313" s="21">
        <v>0</v>
      </c>
      <c r="CK313" s="21">
        <v>0</v>
      </c>
      <c r="CL313" s="21">
        <v>0</v>
      </c>
      <c r="CM313" s="21">
        <v>0</v>
      </c>
      <c r="CN313" s="21">
        <v>0</v>
      </c>
      <c r="CO313" s="21">
        <v>0</v>
      </c>
      <c r="CP313" s="21">
        <v>0</v>
      </c>
      <c r="CQ313" s="21">
        <v>0</v>
      </c>
      <c r="CR313" s="21">
        <v>0</v>
      </c>
      <c r="CS313" s="21">
        <v>0</v>
      </c>
      <c r="CT313" s="21">
        <v>0</v>
      </c>
      <c r="CU313" s="21">
        <v>0</v>
      </c>
      <c r="CV313" s="21">
        <v>0</v>
      </c>
      <c r="CW313" s="21">
        <v>0</v>
      </c>
      <c r="CX313" s="21">
        <v>0</v>
      </c>
      <c r="CY313" s="21">
        <v>0</v>
      </c>
      <c r="CZ313" s="21">
        <v>0</v>
      </c>
      <c r="DA313" s="21">
        <v>0</v>
      </c>
      <c r="DB313" s="21">
        <v>0</v>
      </c>
      <c r="DC313" s="21">
        <v>0</v>
      </c>
      <c r="DD313" s="21">
        <v>0</v>
      </c>
      <c r="DE313" s="21">
        <v>0</v>
      </c>
      <c r="DF313" s="21">
        <v>0</v>
      </c>
      <c r="DG313" s="21">
        <v>0</v>
      </c>
      <c r="DH313" s="21">
        <v>0</v>
      </c>
      <c r="DI313" s="21">
        <v>0</v>
      </c>
      <c r="DJ313" s="21">
        <v>0</v>
      </c>
      <c r="DK313" s="21">
        <v>0</v>
      </c>
      <c r="DL313" s="21">
        <v>0</v>
      </c>
      <c r="DM313" s="21">
        <v>0</v>
      </c>
      <c r="DN313" s="21">
        <v>0</v>
      </c>
      <c r="DO313" s="21">
        <v>0</v>
      </c>
      <c r="DP313" s="21">
        <v>0</v>
      </c>
      <c r="DQ313" s="21">
        <v>0</v>
      </c>
      <c r="DR313" s="21">
        <v>0</v>
      </c>
      <c r="DS313" s="21">
        <v>0</v>
      </c>
      <c r="DT313" s="21">
        <v>0</v>
      </c>
      <c r="DU313" s="21">
        <v>0</v>
      </c>
      <c r="DV313" s="21">
        <v>0</v>
      </c>
      <c r="DW313" s="21">
        <v>0</v>
      </c>
      <c r="DX313" s="21">
        <v>0</v>
      </c>
      <c r="DY313" s="21">
        <v>0</v>
      </c>
      <c r="DZ313" s="21">
        <v>0</v>
      </c>
      <c r="EA313" s="21">
        <v>0</v>
      </c>
      <c r="EB313" s="21">
        <v>0</v>
      </c>
      <c r="EC313" s="21">
        <v>0</v>
      </c>
      <c r="ED313" s="21">
        <v>0</v>
      </c>
      <c r="EE313" s="21">
        <v>0</v>
      </c>
      <c r="EF313" s="21">
        <v>0</v>
      </c>
    </row>
    <row r="314" spans="1:136" ht="14.5" x14ac:dyDescent="0.35">
      <c r="A314" s="20" t="s">
        <v>12</v>
      </c>
      <c r="B314" s="20" t="s">
        <v>15</v>
      </c>
      <c r="C314" s="20" t="s">
        <v>15</v>
      </c>
      <c r="D314" s="20" t="s">
        <v>338</v>
      </c>
      <c r="E314" s="20" t="s">
        <v>16</v>
      </c>
      <c r="F314" s="20" t="s">
        <v>82</v>
      </c>
      <c r="G314" s="21">
        <v>0</v>
      </c>
      <c r="H314" s="21">
        <v>0</v>
      </c>
      <c r="I314" s="21">
        <v>13</v>
      </c>
      <c r="J314" s="21">
        <v>-13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>
        <v>0</v>
      </c>
      <c r="X314" s="21">
        <v>0</v>
      </c>
      <c r="Y314" s="21">
        <v>0</v>
      </c>
      <c r="Z314" s="21">
        <v>0</v>
      </c>
      <c r="AA314" s="21">
        <v>0</v>
      </c>
      <c r="AB314" s="21">
        <v>0</v>
      </c>
      <c r="AC314" s="21">
        <v>0</v>
      </c>
      <c r="AD314" s="21">
        <v>0</v>
      </c>
      <c r="AE314" s="21">
        <v>0</v>
      </c>
      <c r="AF314" s="21">
        <v>0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21">
        <v>0</v>
      </c>
      <c r="AO314" s="21">
        <v>0</v>
      </c>
      <c r="AP314" s="21">
        <v>0</v>
      </c>
      <c r="AQ314" s="21">
        <v>0</v>
      </c>
      <c r="AR314" s="21">
        <v>0</v>
      </c>
      <c r="AS314" s="21">
        <v>0</v>
      </c>
      <c r="AT314" s="21">
        <v>0</v>
      </c>
      <c r="AU314" s="21">
        <v>0</v>
      </c>
      <c r="AV314" s="21">
        <v>0</v>
      </c>
      <c r="AW314" s="21">
        <v>0</v>
      </c>
      <c r="AX314" s="21">
        <v>0</v>
      </c>
      <c r="AY314" s="21">
        <v>0</v>
      </c>
      <c r="AZ314" s="21">
        <v>0</v>
      </c>
      <c r="BA314" s="21">
        <v>0</v>
      </c>
      <c r="BB314" s="21">
        <v>0</v>
      </c>
      <c r="BC314" s="21">
        <v>0</v>
      </c>
      <c r="BD314" s="21">
        <v>0</v>
      </c>
      <c r="BE314" s="21">
        <v>0</v>
      </c>
      <c r="BF314" s="21">
        <v>0</v>
      </c>
      <c r="BG314" s="21">
        <v>0</v>
      </c>
      <c r="BH314" s="21">
        <v>0</v>
      </c>
      <c r="BI314" s="21">
        <v>0</v>
      </c>
      <c r="BJ314" s="21">
        <v>0</v>
      </c>
      <c r="BK314" s="21">
        <v>0</v>
      </c>
      <c r="BL314" s="21">
        <v>0</v>
      </c>
      <c r="BM314" s="21">
        <v>0</v>
      </c>
      <c r="BN314" s="21">
        <v>0</v>
      </c>
      <c r="BO314" s="21">
        <v>0</v>
      </c>
      <c r="BP314" s="21">
        <v>0</v>
      </c>
      <c r="BQ314" s="21">
        <v>0</v>
      </c>
      <c r="BR314" s="21">
        <v>0</v>
      </c>
      <c r="BS314" s="21">
        <v>0</v>
      </c>
      <c r="BT314" s="21">
        <v>0</v>
      </c>
      <c r="BU314" s="21">
        <v>0</v>
      </c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1">
        <v>0</v>
      </c>
      <c r="CH314" s="21">
        <v>0</v>
      </c>
      <c r="CI314" s="21">
        <v>0</v>
      </c>
      <c r="CJ314" s="21">
        <v>0</v>
      </c>
      <c r="CK314" s="21">
        <v>0</v>
      </c>
      <c r="CL314" s="21">
        <v>0</v>
      </c>
      <c r="CM314" s="21">
        <v>0</v>
      </c>
      <c r="CN314" s="21">
        <v>0</v>
      </c>
      <c r="CO314" s="21">
        <v>0</v>
      </c>
      <c r="CP314" s="21">
        <v>0</v>
      </c>
      <c r="CQ314" s="21">
        <v>0</v>
      </c>
      <c r="CR314" s="21">
        <v>0</v>
      </c>
      <c r="CS314" s="21">
        <v>0</v>
      </c>
      <c r="CT314" s="21">
        <v>2</v>
      </c>
      <c r="CU314" s="21">
        <v>2</v>
      </c>
      <c r="CV314" s="21">
        <v>2</v>
      </c>
      <c r="CW314" s="21">
        <v>0</v>
      </c>
      <c r="CX314" s="21">
        <v>0</v>
      </c>
      <c r="CY314" s="21">
        <v>1</v>
      </c>
      <c r="CZ314" s="21">
        <v>0</v>
      </c>
      <c r="DA314" s="21">
        <v>0</v>
      </c>
      <c r="DB314" s="21">
        <v>1</v>
      </c>
      <c r="DC314" s="21">
        <v>1</v>
      </c>
      <c r="DD314" s="21">
        <v>1</v>
      </c>
      <c r="DE314" s="21">
        <v>0</v>
      </c>
      <c r="DF314" s="21">
        <v>1</v>
      </c>
      <c r="DG314" s="21">
        <v>1</v>
      </c>
      <c r="DH314" s="21">
        <v>1</v>
      </c>
      <c r="DI314" s="21">
        <v>0</v>
      </c>
      <c r="DJ314" s="21">
        <v>0</v>
      </c>
      <c r="DK314" s="21">
        <v>0</v>
      </c>
      <c r="DL314" s="21">
        <v>0</v>
      </c>
      <c r="DM314" s="21">
        <v>0</v>
      </c>
      <c r="DN314" s="21">
        <v>0</v>
      </c>
      <c r="DO314" s="21">
        <v>0</v>
      </c>
      <c r="DP314" s="21">
        <v>0</v>
      </c>
      <c r="DQ314" s="21">
        <v>0</v>
      </c>
      <c r="DR314" s="21">
        <v>0</v>
      </c>
      <c r="DS314" s="21">
        <v>0</v>
      </c>
      <c r="DT314" s="21">
        <v>0</v>
      </c>
      <c r="DU314" s="21">
        <v>0</v>
      </c>
      <c r="DV314" s="21">
        <v>0</v>
      </c>
      <c r="DW314" s="21">
        <v>0</v>
      </c>
      <c r="DX314" s="21">
        <v>0</v>
      </c>
      <c r="DY314" s="21">
        <v>0</v>
      </c>
      <c r="DZ314" s="21">
        <v>0</v>
      </c>
      <c r="EA314" s="21">
        <v>0</v>
      </c>
      <c r="EB314" s="21">
        <v>0</v>
      </c>
      <c r="EC314" s="21">
        <v>0</v>
      </c>
      <c r="ED314" s="21">
        <v>0</v>
      </c>
      <c r="EE314" s="21">
        <v>0</v>
      </c>
      <c r="EF314" s="21">
        <v>0</v>
      </c>
    </row>
    <row r="315" spans="1:136" ht="14.5" x14ac:dyDescent="0.35">
      <c r="A315" s="20" t="s">
        <v>12</v>
      </c>
      <c r="B315" s="20" t="s">
        <v>15</v>
      </c>
      <c r="C315" s="20" t="s">
        <v>15</v>
      </c>
      <c r="D315" s="20" t="s">
        <v>338</v>
      </c>
      <c r="E315" s="20" t="s">
        <v>16</v>
      </c>
      <c r="F315" s="20" t="s">
        <v>98</v>
      </c>
      <c r="G315" s="21">
        <v>0</v>
      </c>
      <c r="H315" s="21">
        <v>0</v>
      </c>
      <c r="I315" s="21">
        <v>30.4</v>
      </c>
      <c r="J315" s="21">
        <v>-30.4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0</v>
      </c>
      <c r="Z315" s="21">
        <v>0</v>
      </c>
      <c r="AA315" s="21">
        <v>0</v>
      </c>
      <c r="AB315" s="21">
        <v>0</v>
      </c>
      <c r="AC315" s="21">
        <v>0</v>
      </c>
      <c r="AD315" s="21">
        <v>0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</v>
      </c>
      <c r="AN315" s="21">
        <v>0</v>
      </c>
      <c r="AO315" s="21">
        <v>0</v>
      </c>
      <c r="AP315" s="21">
        <v>0</v>
      </c>
      <c r="AQ315" s="21">
        <v>0</v>
      </c>
      <c r="AR315" s="21">
        <v>0</v>
      </c>
      <c r="AS315" s="21">
        <v>0</v>
      </c>
      <c r="AT315" s="21">
        <v>0</v>
      </c>
      <c r="AU315" s="21">
        <v>0</v>
      </c>
      <c r="AV315" s="21">
        <v>0</v>
      </c>
      <c r="AW315" s="21">
        <v>0</v>
      </c>
      <c r="AX315" s="21">
        <v>0</v>
      </c>
      <c r="AY315" s="21">
        <v>0</v>
      </c>
      <c r="AZ315" s="21">
        <v>0</v>
      </c>
      <c r="BA315" s="21">
        <v>0</v>
      </c>
      <c r="BB315" s="21">
        <v>0</v>
      </c>
      <c r="BC315" s="21">
        <v>0</v>
      </c>
      <c r="BD315" s="21">
        <v>0</v>
      </c>
      <c r="BE315" s="21">
        <v>0</v>
      </c>
      <c r="BF315" s="21">
        <v>0</v>
      </c>
      <c r="BG315" s="21">
        <v>0</v>
      </c>
      <c r="BH315" s="21">
        <v>0</v>
      </c>
      <c r="BI315" s="21">
        <v>0</v>
      </c>
      <c r="BJ315" s="21">
        <v>0</v>
      </c>
      <c r="BK315" s="21">
        <v>0</v>
      </c>
      <c r="BL315" s="21">
        <v>0</v>
      </c>
      <c r="BM315" s="21">
        <v>0</v>
      </c>
      <c r="BN315" s="21">
        <v>0</v>
      </c>
      <c r="BO315" s="21">
        <v>0</v>
      </c>
      <c r="BP315" s="21">
        <v>0</v>
      </c>
      <c r="BQ315" s="21">
        <v>0</v>
      </c>
      <c r="BR315" s="21">
        <v>0</v>
      </c>
      <c r="BS315" s="21">
        <v>0</v>
      </c>
      <c r="BT315" s="21">
        <v>0</v>
      </c>
      <c r="BU315" s="21">
        <v>0</v>
      </c>
      <c r="BV315" s="21">
        <v>0</v>
      </c>
      <c r="BW315" s="21">
        <v>0</v>
      </c>
      <c r="BX315" s="21">
        <v>0</v>
      </c>
      <c r="BY315" s="21">
        <v>0</v>
      </c>
      <c r="BZ315" s="21">
        <v>0</v>
      </c>
      <c r="CA315" s="21">
        <v>0</v>
      </c>
      <c r="CB315" s="21">
        <v>0</v>
      </c>
      <c r="CC315" s="21">
        <v>0</v>
      </c>
      <c r="CD315" s="21">
        <v>0</v>
      </c>
      <c r="CE315" s="21">
        <v>0</v>
      </c>
      <c r="CF315" s="21">
        <v>0</v>
      </c>
      <c r="CG315" s="21">
        <v>0</v>
      </c>
      <c r="CH315" s="21">
        <v>0</v>
      </c>
      <c r="CI315" s="21">
        <v>0</v>
      </c>
      <c r="CJ315" s="21">
        <v>0</v>
      </c>
      <c r="CK315" s="21">
        <v>0</v>
      </c>
      <c r="CL315" s="21">
        <v>0</v>
      </c>
      <c r="CM315" s="21">
        <v>0</v>
      </c>
      <c r="CN315" s="21">
        <v>0</v>
      </c>
      <c r="CO315" s="21">
        <v>0</v>
      </c>
      <c r="CP315" s="21">
        <v>0</v>
      </c>
      <c r="CQ315" s="21">
        <v>0</v>
      </c>
      <c r="CR315" s="21">
        <v>0</v>
      </c>
      <c r="CS315" s="21">
        <v>2.4</v>
      </c>
      <c r="CT315" s="21">
        <v>0</v>
      </c>
      <c r="CU315" s="21">
        <v>0</v>
      </c>
      <c r="CV315" s="21">
        <v>0</v>
      </c>
      <c r="CW315" s="21">
        <v>0</v>
      </c>
      <c r="CX315" s="21">
        <v>0</v>
      </c>
      <c r="CY315" s="21">
        <v>0</v>
      </c>
      <c r="CZ315" s="21">
        <v>0</v>
      </c>
      <c r="DA315" s="21">
        <v>0</v>
      </c>
      <c r="DB315" s="21">
        <v>1.4</v>
      </c>
      <c r="DC315" s="21">
        <v>1.2</v>
      </c>
      <c r="DD315" s="21">
        <v>0</v>
      </c>
      <c r="DE315" s="21">
        <v>2</v>
      </c>
      <c r="DF315" s="21">
        <v>1.4</v>
      </c>
      <c r="DG315" s="21">
        <v>0</v>
      </c>
      <c r="DH315" s="21">
        <v>0</v>
      </c>
      <c r="DI315" s="21">
        <v>0</v>
      </c>
      <c r="DJ315" s="21">
        <v>0</v>
      </c>
      <c r="DK315" s="21">
        <v>0</v>
      </c>
      <c r="DL315" s="21">
        <v>0</v>
      </c>
      <c r="DM315" s="21">
        <v>0</v>
      </c>
      <c r="DN315" s="21">
        <v>0</v>
      </c>
      <c r="DO315" s="21">
        <v>2</v>
      </c>
      <c r="DP315" s="21">
        <v>16.7</v>
      </c>
      <c r="DQ315" s="21">
        <v>2.1</v>
      </c>
      <c r="DR315" s="21">
        <v>1.2</v>
      </c>
      <c r="DS315" s="21">
        <v>0</v>
      </c>
      <c r="DT315" s="21">
        <v>0</v>
      </c>
      <c r="DU315" s="21">
        <v>0</v>
      </c>
      <c r="DV315" s="21">
        <v>0</v>
      </c>
      <c r="DW315" s="21">
        <v>0</v>
      </c>
      <c r="DX315" s="21">
        <v>0</v>
      </c>
      <c r="DY315" s="21">
        <v>0</v>
      </c>
      <c r="DZ315" s="21">
        <v>0</v>
      </c>
      <c r="EA315" s="21">
        <v>0</v>
      </c>
      <c r="EB315" s="21">
        <v>0</v>
      </c>
      <c r="EC315" s="21">
        <v>0</v>
      </c>
      <c r="ED315" s="21">
        <v>0</v>
      </c>
      <c r="EE315" s="21">
        <v>0</v>
      </c>
      <c r="EF315" s="21">
        <v>0</v>
      </c>
    </row>
    <row r="316" spans="1:136" ht="14.5" x14ac:dyDescent="0.35">
      <c r="A316" s="20" t="s">
        <v>12</v>
      </c>
      <c r="B316" s="20" t="s">
        <v>15</v>
      </c>
      <c r="C316" s="20" t="s">
        <v>15</v>
      </c>
      <c r="D316" s="20" t="s">
        <v>337</v>
      </c>
      <c r="E316" s="20" t="s">
        <v>16</v>
      </c>
      <c r="F316" s="20" t="s">
        <v>98</v>
      </c>
      <c r="G316" s="21">
        <v>25.2</v>
      </c>
      <c r="H316" s="21">
        <v>55.6</v>
      </c>
      <c r="I316" s="21">
        <v>0</v>
      </c>
      <c r="J316" s="21">
        <v>55.6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0</v>
      </c>
      <c r="X316" s="21">
        <v>0</v>
      </c>
      <c r="Y316" s="21">
        <v>0</v>
      </c>
      <c r="Z316" s="21">
        <v>0</v>
      </c>
      <c r="AA316" s="21">
        <v>0</v>
      </c>
      <c r="AB316" s="21">
        <v>0</v>
      </c>
      <c r="AC316" s="21">
        <v>0</v>
      </c>
      <c r="AD316" s="21">
        <v>0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1">
        <v>0</v>
      </c>
      <c r="AT316" s="21">
        <v>0</v>
      </c>
      <c r="AU316" s="21">
        <v>0</v>
      </c>
      <c r="AV316" s="21">
        <v>0</v>
      </c>
      <c r="AW316" s="21">
        <v>0</v>
      </c>
      <c r="AX316" s="21">
        <v>0</v>
      </c>
      <c r="AY316" s="21">
        <v>0</v>
      </c>
      <c r="AZ316" s="21">
        <v>0</v>
      </c>
      <c r="BA316" s="21">
        <v>0</v>
      </c>
      <c r="BB316" s="21">
        <v>0</v>
      </c>
      <c r="BC316" s="21">
        <v>0</v>
      </c>
      <c r="BD316" s="21">
        <v>0</v>
      </c>
      <c r="BE316" s="21">
        <v>0</v>
      </c>
      <c r="BF316" s="21">
        <v>0</v>
      </c>
      <c r="BG316" s="21">
        <v>0</v>
      </c>
      <c r="BH316" s="21">
        <v>0</v>
      </c>
      <c r="BI316" s="21">
        <v>0</v>
      </c>
      <c r="BJ316" s="21">
        <v>0</v>
      </c>
      <c r="BK316" s="21">
        <v>0</v>
      </c>
      <c r="BL316" s="21">
        <v>0</v>
      </c>
      <c r="BM316" s="21">
        <v>0</v>
      </c>
      <c r="BN316" s="21">
        <v>0</v>
      </c>
      <c r="BO316" s="21">
        <v>0</v>
      </c>
      <c r="BP316" s="21">
        <v>0</v>
      </c>
      <c r="BQ316" s="21">
        <v>0</v>
      </c>
      <c r="BR316" s="21">
        <v>0</v>
      </c>
      <c r="BS316" s="21">
        <v>0</v>
      </c>
      <c r="BT316" s="21">
        <v>0</v>
      </c>
      <c r="BU316" s="21">
        <v>0</v>
      </c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1">
        <v>0</v>
      </c>
      <c r="CH316" s="21">
        <v>0</v>
      </c>
      <c r="CI316" s="21">
        <v>0</v>
      </c>
      <c r="CJ316" s="21">
        <v>0</v>
      </c>
      <c r="CK316" s="21">
        <v>0</v>
      </c>
      <c r="CL316" s="21">
        <v>0</v>
      </c>
      <c r="CM316" s="21">
        <v>0</v>
      </c>
      <c r="CN316" s="21">
        <v>0</v>
      </c>
      <c r="CO316" s="21">
        <v>0</v>
      </c>
      <c r="CP316" s="21">
        <v>0</v>
      </c>
      <c r="CQ316" s="21">
        <v>0</v>
      </c>
      <c r="CR316" s="21">
        <v>0</v>
      </c>
      <c r="CS316" s="21">
        <v>0</v>
      </c>
      <c r="CT316" s="21">
        <v>0</v>
      </c>
      <c r="CU316" s="21">
        <v>0</v>
      </c>
      <c r="CV316" s="21">
        <v>0</v>
      </c>
      <c r="CW316" s="21">
        <v>0</v>
      </c>
      <c r="CX316" s="21">
        <v>0</v>
      </c>
      <c r="CY316" s="21">
        <v>0</v>
      </c>
      <c r="CZ316" s="21">
        <v>0</v>
      </c>
      <c r="DA316" s="21">
        <v>0</v>
      </c>
      <c r="DB316" s="21">
        <v>0</v>
      </c>
      <c r="DC316" s="21">
        <v>0</v>
      </c>
      <c r="DD316" s="21">
        <v>0</v>
      </c>
      <c r="DE316" s="21">
        <v>0</v>
      </c>
      <c r="DF316" s="21">
        <v>0</v>
      </c>
      <c r="DG316" s="21">
        <v>0</v>
      </c>
      <c r="DH316" s="21">
        <v>0</v>
      </c>
      <c r="DI316" s="21">
        <v>0</v>
      </c>
      <c r="DJ316" s="21">
        <v>0</v>
      </c>
      <c r="DK316" s="21">
        <v>0</v>
      </c>
      <c r="DL316" s="21">
        <v>0</v>
      </c>
      <c r="DM316" s="21">
        <v>0</v>
      </c>
      <c r="DN316" s="21">
        <v>0</v>
      </c>
      <c r="DO316" s="21">
        <v>0</v>
      </c>
      <c r="DP316" s="21">
        <v>0</v>
      </c>
      <c r="DQ316" s="21">
        <v>0</v>
      </c>
      <c r="DR316" s="21">
        <v>0</v>
      </c>
      <c r="DS316" s="21">
        <v>0</v>
      </c>
      <c r="DT316" s="21">
        <v>0</v>
      </c>
      <c r="DU316" s="21">
        <v>0</v>
      </c>
      <c r="DV316" s="21">
        <v>0</v>
      </c>
      <c r="DW316" s="21">
        <v>0</v>
      </c>
      <c r="DX316" s="21">
        <v>0</v>
      </c>
      <c r="DY316" s="21">
        <v>0</v>
      </c>
      <c r="DZ316" s="21">
        <v>0</v>
      </c>
      <c r="EA316" s="21">
        <v>0</v>
      </c>
      <c r="EB316" s="21">
        <v>0</v>
      </c>
      <c r="EC316" s="21">
        <v>0</v>
      </c>
      <c r="ED316" s="21">
        <v>0</v>
      </c>
      <c r="EE316" s="21">
        <v>0</v>
      </c>
      <c r="EF316" s="21">
        <v>0</v>
      </c>
    </row>
    <row r="317" spans="1:136" ht="14.5" x14ac:dyDescent="0.35">
      <c r="A317" s="20" t="s">
        <v>12</v>
      </c>
      <c r="B317" s="20" t="s">
        <v>15</v>
      </c>
      <c r="C317" s="20" t="s">
        <v>15</v>
      </c>
      <c r="D317" s="20" t="s">
        <v>338</v>
      </c>
      <c r="E317" s="20" t="s">
        <v>16</v>
      </c>
      <c r="F317" s="20" t="s">
        <v>43</v>
      </c>
      <c r="G317" s="21">
        <v>0</v>
      </c>
      <c r="H317" s="21">
        <v>0</v>
      </c>
      <c r="I317" s="21">
        <v>31.8</v>
      </c>
      <c r="J317" s="21">
        <v>-31.8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1">
        <v>0</v>
      </c>
      <c r="BH317" s="21">
        <v>0</v>
      </c>
      <c r="BI317" s="21">
        <v>0</v>
      </c>
      <c r="BJ317" s="21">
        <v>0</v>
      </c>
      <c r="BK317" s="21">
        <v>0</v>
      </c>
      <c r="BL317" s="21">
        <v>0</v>
      </c>
      <c r="BM317" s="21">
        <v>0</v>
      </c>
      <c r="BN317" s="21">
        <v>0</v>
      </c>
      <c r="BO317" s="21">
        <v>0</v>
      </c>
      <c r="BP317" s="21">
        <v>0</v>
      </c>
      <c r="BQ317" s="21">
        <v>0</v>
      </c>
      <c r="BR317" s="21">
        <v>0</v>
      </c>
      <c r="BS317" s="21">
        <v>0</v>
      </c>
      <c r="BT317" s="21">
        <v>0</v>
      </c>
      <c r="BU317" s="21">
        <v>0</v>
      </c>
      <c r="BV317" s="21">
        <v>0</v>
      </c>
      <c r="BW317" s="21">
        <v>0</v>
      </c>
      <c r="BX317" s="21">
        <v>0</v>
      </c>
      <c r="BY317" s="21">
        <v>0</v>
      </c>
      <c r="BZ317" s="21">
        <v>0</v>
      </c>
      <c r="CA317" s="21">
        <v>0</v>
      </c>
      <c r="CB317" s="21">
        <v>0</v>
      </c>
      <c r="CC317" s="21">
        <v>0</v>
      </c>
      <c r="CD317" s="21">
        <v>0</v>
      </c>
      <c r="CE317" s="21">
        <v>0</v>
      </c>
      <c r="CF317" s="21">
        <v>0</v>
      </c>
      <c r="CG317" s="21">
        <v>0</v>
      </c>
      <c r="CH317" s="21">
        <v>0</v>
      </c>
      <c r="CI317" s="21">
        <v>0</v>
      </c>
      <c r="CJ317" s="21">
        <v>0</v>
      </c>
      <c r="CK317" s="21">
        <v>0</v>
      </c>
      <c r="CL317" s="21">
        <v>0</v>
      </c>
      <c r="CM317" s="21">
        <v>0</v>
      </c>
      <c r="CN317" s="21">
        <v>0</v>
      </c>
      <c r="CO317" s="21">
        <v>0</v>
      </c>
      <c r="CP317" s="21">
        <v>0</v>
      </c>
      <c r="CQ317" s="21">
        <v>0</v>
      </c>
      <c r="CR317" s="21">
        <v>0</v>
      </c>
      <c r="CS317" s="21">
        <v>3.6</v>
      </c>
      <c r="CT317" s="21">
        <v>0</v>
      </c>
      <c r="CU317" s="21">
        <v>0</v>
      </c>
      <c r="CV317" s="21">
        <v>0</v>
      </c>
      <c r="CW317" s="21">
        <v>0</v>
      </c>
      <c r="CX317" s="21">
        <v>0</v>
      </c>
      <c r="CY317" s="21">
        <v>0</v>
      </c>
      <c r="CZ317" s="21">
        <v>0</v>
      </c>
      <c r="DA317" s="21">
        <v>0</v>
      </c>
      <c r="DB317" s="21">
        <v>0</v>
      </c>
      <c r="DC317" s="21">
        <v>1.3</v>
      </c>
      <c r="DD317" s="21">
        <v>0.9</v>
      </c>
      <c r="DE317" s="21">
        <v>0</v>
      </c>
      <c r="DF317" s="21">
        <v>4</v>
      </c>
      <c r="DG317" s="21">
        <v>2.2000000000000002</v>
      </c>
      <c r="DH317" s="21">
        <v>0</v>
      </c>
      <c r="DI317" s="21">
        <v>0</v>
      </c>
      <c r="DJ317" s="21">
        <v>0</v>
      </c>
      <c r="DK317" s="21">
        <v>0</v>
      </c>
      <c r="DL317" s="21">
        <v>0</v>
      </c>
      <c r="DM317" s="21">
        <v>0</v>
      </c>
      <c r="DN317" s="21">
        <v>0</v>
      </c>
      <c r="DO317" s="21">
        <v>0</v>
      </c>
      <c r="DP317" s="21">
        <v>4.3</v>
      </c>
      <c r="DQ317" s="21">
        <v>5</v>
      </c>
      <c r="DR317" s="21">
        <v>9.3000000000000007</v>
      </c>
      <c r="DS317" s="21">
        <v>1.2</v>
      </c>
      <c r="DT317" s="21">
        <v>0</v>
      </c>
      <c r="DU317" s="21">
        <v>0</v>
      </c>
      <c r="DV317" s="21">
        <v>0</v>
      </c>
      <c r="DW317" s="21">
        <v>0</v>
      </c>
      <c r="DX317" s="21">
        <v>0</v>
      </c>
      <c r="DY317" s="21">
        <v>0</v>
      </c>
      <c r="DZ317" s="21">
        <v>0</v>
      </c>
      <c r="EA317" s="21">
        <v>0</v>
      </c>
      <c r="EB317" s="21">
        <v>0</v>
      </c>
      <c r="EC317" s="21">
        <v>0</v>
      </c>
      <c r="ED317" s="21">
        <v>0</v>
      </c>
      <c r="EE317" s="21">
        <v>0</v>
      </c>
      <c r="EF317" s="21">
        <v>0</v>
      </c>
    </row>
    <row r="318" spans="1:136" ht="14.5" x14ac:dyDescent="0.35">
      <c r="A318" s="20" t="s">
        <v>12</v>
      </c>
      <c r="B318" s="20" t="s">
        <v>15</v>
      </c>
      <c r="C318" s="20" t="s">
        <v>15</v>
      </c>
      <c r="D318" s="20" t="s">
        <v>337</v>
      </c>
      <c r="E318" s="20" t="s">
        <v>16</v>
      </c>
      <c r="F318" s="20" t="s">
        <v>43</v>
      </c>
      <c r="G318" s="21">
        <v>1.4</v>
      </c>
      <c r="H318" s="21">
        <v>33.200000000000003</v>
      </c>
      <c r="I318" s="21">
        <v>0</v>
      </c>
      <c r="J318" s="21">
        <v>33.200000000000003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0</v>
      </c>
      <c r="X318" s="21">
        <v>0</v>
      </c>
      <c r="Y318" s="21">
        <v>0</v>
      </c>
      <c r="Z318" s="21">
        <v>0</v>
      </c>
      <c r="AA318" s="21">
        <v>0</v>
      </c>
      <c r="AB318" s="21">
        <v>0</v>
      </c>
      <c r="AC318" s="21">
        <v>0</v>
      </c>
      <c r="AD318" s="21">
        <v>0</v>
      </c>
      <c r="AE318" s="21">
        <v>0</v>
      </c>
      <c r="AF318" s="21">
        <v>0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21">
        <v>0</v>
      </c>
      <c r="AO318" s="21">
        <v>0</v>
      </c>
      <c r="AP318" s="21">
        <v>0</v>
      </c>
      <c r="AQ318" s="21">
        <v>0</v>
      </c>
      <c r="AR318" s="21">
        <v>0</v>
      </c>
      <c r="AS318" s="21">
        <v>0</v>
      </c>
      <c r="AT318" s="21">
        <v>0</v>
      </c>
      <c r="AU318" s="21">
        <v>0</v>
      </c>
      <c r="AV318" s="21">
        <v>0</v>
      </c>
      <c r="AW318" s="21">
        <v>0</v>
      </c>
      <c r="AX318" s="21">
        <v>0</v>
      </c>
      <c r="AY318" s="21">
        <v>0</v>
      </c>
      <c r="AZ318" s="21">
        <v>0</v>
      </c>
      <c r="BA318" s="21">
        <v>0</v>
      </c>
      <c r="BB318" s="21">
        <v>0</v>
      </c>
      <c r="BC318" s="21">
        <v>0</v>
      </c>
      <c r="BD318" s="21">
        <v>0</v>
      </c>
      <c r="BE318" s="21">
        <v>0</v>
      </c>
      <c r="BF318" s="21">
        <v>0</v>
      </c>
      <c r="BG318" s="21">
        <v>0</v>
      </c>
      <c r="BH318" s="21">
        <v>0</v>
      </c>
      <c r="BI318" s="21">
        <v>0</v>
      </c>
      <c r="BJ318" s="21">
        <v>0</v>
      </c>
      <c r="BK318" s="21">
        <v>0</v>
      </c>
      <c r="BL318" s="21">
        <v>0</v>
      </c>
      <c r="BM318" s="21">
        <v>0</v>
      </c>
      <c r="BN318" s="21">
        <v>0</v>
      </c>
      <c r="BO318" s="21">
        <v>0</v>
      </c>
      <c r="BP318" s="21">
        <v>0</v>
      </c>
      <c r="BQ318" s="21">
        <v>0</v>
      </c>
      <c r="BR318" s="21">
        <v>0</v>
      </c>
      <c r="BS318" s="21">
        <v>0</v>
      </c>
      <c r="BT318" s="21">
        <v>0</v>
      </c>
      <c r="BU318" s="21">
        <v>0</v>
      </c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1">
        <v>0</v>
      </c>
      <c r="CH318" s="21">
        <v>0</v>
      </c>
      <c r="CI318" s="21">
        <v>0</v>
      </c>
      <c r="CJ318" s="21">
        <v>0</v>
      </c>
      <c r="CK318" s="21">
        <v>0</v>
      </c>
      <c r="CL318" s="21">
        <v>0</v>
      </c>
      <c r="CM318" s="21">
        <v>0</v>
      </c>
      <c r="CN318" s="21">
        <v>0</v>
      </c>
      <c r="CO318" s="21">
        <v>0</v>
      </c>
      <c r="CP318" s="21">
        <v>0</v>
      </c>
      <c r="CQ318" s="21">
        <v>0</v>
      </c>
      <c r="CR318" s="21">
        <v>0</v>
      </c>
      <c r="CS318" s="21">
        <v>0</v>
      </c>
      <c r="CT318" s="21">
        <v>0</v>
      </c>
      <c r="CU318" s="21">
        <v>0</v>
      </c>
      <c r="CV318" s="21">
        <v>0</v>
      </c>
      <c r="CW318" s="21">
        <v>0</v>
      </c>
      <c r="CX318" s="21">
        <v>0</v>
      </c>
      <c r="CY318" s="21">
        <v>0</v>
      </c>
      <c r="CZ318" s="21">
        <v>0</v>
      </c>
      <c r="DA318" s="21">
        <v>0</v>
      </c>
      <c r="DB318" s="21">
        <v>0</v>
      </c>
      <c r="DC318" s="21">
        <v>0</v>
      </c>
      <c r="DD318" s="21">
        <v>0</v>
      </c>
      <c r="DE318" s="21">
        <v>0</v>
      </c>
      <c r="DF318" s="21">
        <v>0</v>
      </c>
      <c r="DG318" s="21">
        <v>0</v>
      </c>
      <c r="DH318" s="21">
        <v>0</v>
      </c>
      <c r="DI318" s="21">
        <v>0</v>
      </c>
      <c r="DJ318" s="21">
        <v>0</v>
      </c>
      <c r="DK318" s="21">
        <v>0</v>
      </c>
      <c r="DL318" s="21">
        <v>0</v>
      </c>
      <c r="DM318" s="21">
        <v>0</v>
      </c>
      <c r="DN318" s="21">
        <v>0</v>
      </c>
      <c r="DO318" s="21">
        <v>0</v>
      </c>
      <c r="DP318" s="21">
        <v>0</v>
      </c>
      <c r="DQ318" s="21">
        <v>0</v>
      </c>
      <c r="DR318" s="21">
        <v>0</v>
      </c>
      <c r="DS318" s="21">
        <v>0</v>
      </c>
      <c r="DT318" s="21">
        <v>0</v>
      </c>
      <c r="DU318" s="21">
        <v>0</v>
      </c>
      <c r="DV318" s="21">
        <v>0</v>
      </c>
      <c r="DW318" s="21">
        <v>0</v>
      </c>
      <c r="DX318" s="21">
        <v>0</v>
      </c>
      <c r="DY318" s="21">
        <v>0</v>
      </c>
      <c r="DZ318" s="21">
        <v>0</v>
      </c>
      <c r="EA318" s="21">
        <v>0</v>
      </c>
      <c r="EB318" s="21">
        <v>0</v>
      </c>
      <c r="EC318" s="21">
        <v>0</v>
      </c>
      <c r="ED318" s="21">
        <v>0</v>
      </c>
      <c r="EE318" s="21">
        <v>0</v>
      </c>
      <c r="EF318" s="21">
        <v>0</v>
      </c>
    </row>
    <row r="319" spans="1:136" ht="14.5" x14ac:dyDescent="0.35">
      <c r="A319" s="20" t="s">
        <v>12</v>
      </c>
      <c r="B319" s="20" t="s">
        <v>15</v>
      </c>
      <c r="C319" s="20" t="s">
        <v>15</v>
      </c>
      <c r="D319" s="20" t="s">
        <v>338</v>
      </c>
      <c r="E319" s="20" t="s">
        <v>16</v>
      </c>
      <c r="F319" s="20" t="s">
        <v>102</v>
      </c>
      <c r="G319" s="21">
        <v>0</v>
      </c>
      <c r="H319" s="21">
        <v>0</v>
      </c>
      <c r="I319" s="21">
        <v>24.8</v>
      </c>
      <c r="J319" s="21">
        <v>-24.8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0</v>
      </c>
      <c r="AA319" s="21">
        <v>0</v>
      </c>
      <c r="AB319" s="21">
        <v>0</v>
      </c>
      <c r="AC319" s="21">
        <v>0</v>
      </c>
      <c r="AD319" s="21">
        <v>0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0</v>
      </c>
      <c r="AO319" s="21">
        <v>0</v>
      </c>
      <c r="AP319" s="21">
        <v>0.5</v>
      </c>
      <c r="AQ319" s="21">
        <v>0</v>
      </c>
      <c r="AR319" s="21">
        <v>0</v>
      </c>
      <c r="AS319" s="21">
        <v>0</v>
      </c>
      <c r="AT319" s="21">
        <v>0</v>
      </c>
      <c r="AU319" s="21">
        <v>0</v>
      </c>
      <c r="AV319" s="21">
        <v>0</v>
      </c>
      <c r="AW319" s="21">
        <v>0</v>
      </c>
      <c r="AX319" s="21">
        <v>0</v>
      </c>
      <c r="AY319" s="21">
        <v>0</v>
      </c>
      <c r="AZ319" s="21">
        <v>0</v>
      </c>
      <c r="BA319" s="21">
        <v>0</v>
      </c>
      <c r="BB319" s="21">
        <v>0</v>
      </c>
      <c r="BC319" s="21">
        <v>0</v>
      </c>
      <c r="BD319" s="21">
        <v>0</v>
      </c>
      <c r="BE319" s="21">
        <v>0</v>
      </c>
      <c r="BF319" s="21">
        <v>0</v>
      </c>
      <c r="BG319" s="21">
        <v>0</v>
      </c>
      <c r="BH319" s="21">
        <v>0</v>
      </c>
      <c r="BI319" s="21">
        <v>0</v>
      </c>
      <c r="BJ319" s="21">
        <v>0</v>
      </c>
      <c r="BK319" s="21">
        <v>0</v>
      </c>
      <c r="BL319" s="21">
        <v>0</v>
      </c>
      <c r="BM319" s="21">
        <v>0</v>
      </c>
      <c r="BN319" s="21">
        <v>0</v>
      </c>
      <c r="BO319" s="21">
        <v>0</v>
      </c>
      <c r="BP319" s="21">
        <v>0</v>
      </c>
      <c r="BQ319" s="21">
        <v>0</v>
      </c>
      <c r="BR319" s="21">
        <v>0</v>
      </c>
      <c r="BS319" s="21">
        <v>0</v>
      </c>
      <c r="BT319" s="21">
        <v>0</v>
      </c>
      <c r="BU319" s="21">
        <v>0</v>
      </c>
      <c r="BV319" s="21">
        <v>0</v>
      </c>
      <c r="BW319" s="21">
        <v>0</v>
      </c>
      <c r="BX319" s="21">
        <v>0</v>
      </c>
      <c r="BY319" s="21">
        <v>0</v>
      </c>
      <c r="BZ319" s="21">
        <v>0</v>
      </c>
      <c r="CA319" s="21">
        <v>0</v>
      </c>
      <c r="CB319" s="21">
        <v>0</v>
      </c>
      <c r="CC319" s="21">
        <v>0</v>
      </c>
      <c r="CD319" s="21">
        <v>0</v>
      </c>
      <c r="CE319" s="21">
        <v>0</v>
      </c>
      <c r="CF319" s="21">
        <v>0</v>
      </c>
      <c r="CG319" s="21">
        <v>0</v>
      </c>
      <c r="CH319" s="21">
        <v>0</v>
      </c>
      <c r="CI319" s="21">
        <v>0</v>
      </c>
      <c r="CJ319" s="21">
        <v>0</v>
      </c>
      <c r="CK319" s="21">
        <v>0</v>
      </c>
      <c r="CL319" s="21">
        <v>0</v>
      </c>
      <c r="CM319" s="21">
        <v>0</v>
      </c>
      <c r="CN319" s="21">
        <v>0</v>
      </c>
      <c r="CO319" s="21">
        <v>0</v>
      </c>
      <c r="CP319" s="21">
        <v>0</v>
      </c>
      <c r="CQ319" s="21">
        <v>0</v>
      </c>
      <c r="CR319" s="21">
        <v>0</v>
      </c>
      <c r="CS319" s="21">
        <v>3.6</v>
      </c>
      <c r="CT319" s="21">
        <v>0</v>
      </c>
      <c r="CU319" s="21">
        <v>0</v>
      </c>
      <c r="CV319" s="21">
        <v>0</v>
      </c>
      <c r="CW319" s="21">
        <v>0</v>
      </c>
      <c r="CX319" s="21">
        <v>0</v>
      </c>
      <c r="CY319" s="21">
        <v>0</v>
      </c>
      <c r="CZ319" s="21">
        <v>0</v>
      </c>
      <c r="DA319" s="21">
        <v>0</v>
      </c>
      <c r="DB319" s="21">
        <v>1.9</v>
      </c>
      <c r="DC319" s="21">
        <v>0</v>
      </c>
      <c r="DD319" s="21">
        <v>0</v>
      </c>
      <c r="DE319" s="21">
        <v>0</v>
      </c>
      <c r="DF319" s="21">
        <v>4.5</v>
      </c>
      <c r="DG319" s="21">
        <v>0</v>
      </c>
      <c r="DH319" s="21">
        <v>0</v>
      </c>
      <c r="DI319" s="21">
        <v>0</v>
      </c>
      <c r="DJ319" s="21">
        <v>0</v>
      </c>
      <c r="DK319" s="21">
        <v>0</v>
      </c>
      <c r="DL319" s="21">
        <v>0</v>
      </c>
      <c r="DM319" s="21">
        <v>0</v>
      </c>
      <c r="DN319" s="21">
        <v>0</v>
      </c>
      <c r="DO319" s="21">
        <v>4.3</v>
      </c>
      <c r="DP319" s="21">
        <v>10</v>
      </c>
      <c r="DQ319" s="21">
        <v>0</v>
      </c>
      <c r="DR319" s="21">
        <v>0</v>
      </c>
      <c r="DS319" s="21">
        <v>0</v>
      </c>
      <c r="DT319" s="21">
        <v>0</v>
      </c>
      <c r="DU319" s="21">
        <v>0</v>
      </c>
      <c r="DV319" s="21">
        <v>0</v>
      </c>
      <c r="DW319" s="21">
        <v>0</v>
      </c>
      <c r="DX319" s="21">
        <v>0</v>
      </c>
      <c r="DY319" s="21">
        <v>0</v>
      </c>
      <c r="DZ319" s="21">
        <v>0</v>
      </c>
      <c r="EA319" s="21">
        <v>0</v>
      </c>
      <c r="EB319" s="21">
        <v>0</v>
      </c>
      <c r="EC319" s="21">
        <v>0</v>
      </c>
      <c r="ED319" s="21">
        <v>0</v>
      </c>
      <c r="EE319" s="21">
        <v>0</v>
      </c>
      <c r="EF319" s="21">
        <v>0</v>
      </c>
    </row>
    <row r="320" spans="1:136" ht="14.5" x14ac:dyDescent="0.35">
      <c r="A320" s="20" t="s">
        <v>12</v>
      </c>
      <c r="B320" s="20" t="s">
        <v>15</v>
      </c>
      <c r="C320" s="20" t="s">
        <v>15</v>
      </c>
      <c r="D320" s="20" t="s">
        <v>337</v>
      </c>
      <c r="E320" s="20" t="s">
        <v>16</v>
      </c>
      <c r="F320" s="20" t="s">
        <v>102</v>
      </c>
      <c r="G320" s="21">
        <v>3.3</v>
      </c>
      <c r="H320" s="21">
        <v>27.6</v>
      </c>
      <c r="I320" s="21">
        <v>0.5</v>
      </c>
      <c r="J320" s="21">
        <v>27.1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21">
        <v>0</v>
      </c>
      <c r="AB320" s="21">
        <v>0.5</v>
      </c>
      <c r="AC320" s="21">
        <v>0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0</v>
      </c>
      <c r="AN320" s="21">
        <v>0</v>
      </c>
      <c r="AO320" s="21">
        <v>0</v>
      </c>
      <c r="AP320" s="21">
        <v>0</v>
      </c>
      <c r="AQ320" s="21">
        <v>0</v>
      </c>
      <c r="AR320" s="21">
        <v>0</v>
      </c>
      <c r="AS320" s="21">
        <v>0</v>
      </c>
      <c r="AT320" s="21">
        <v>0</v>
      </c>
      <c r="AU320" s="21">
        <v>0</v>
      </c>
      <c r="AV320" s="21">
        <v>0</v>
      </c>
      <c r="AW320" s="21">
        <v>0</v>
      </c>
      <c r="AX320" s="21">
        <v>0</v>
      </c>
      <c r="AY320" s="21">
        <v>0</v>
      </c>
      <c r="AZ320" s="21">
        <v>0</v>
      </c>
      <c r="BA320" s="21">
        <v>0</v>
      </c>
      <c r="BB320" s="21">
        <v>0</v>
      </c>
      <c r="BC320" s="21">
        <v>0</v>
      </c>
      <c r="BD320" s="21">
        <v>0</v>
      </c>
      <c r="BE320" s="21">
        <v>0</v>
      </c>
      <c r="BF320" s="21">
        <v>0</v>
      </c>
      <c r="BG320" s="21">
        <v>0</v>
      </c>
      <c r="BH320" s="21">
        <v>0</v>
      </c>
      <c r="BI320" s="21">
        <v>0</v>
      </c>
      <c r="BJ320" s="21">
        <v>0</v>
      </c>
      <c r="BK320" s="21">
        <v>0</v>
      </c>
      <c r="BL320" s="21">
        <v>0</v>
      </c>
      <c r="BM320" s="21">
        <v>0</v>
      </c>
      <c r="BN320" s="21">
        <v>0</v>
      </c>
      <c r="BO320" s="21">
        <v>0</v>
      </c>
      <c r="BP320" s="21">
        <v>0</v>
      </c>
      <c r="BQ320" s="21">
        <v>0</v>
      </c>
      <c r="BR320" s="21">
        <v>0</v>
      </c>
      <c r="BS320" s="21">
        <v>0</v>
      </c>
      <c r="BT320" s="21">
        <v>0</v>
      </c>
      <c r="BU320" s="21">
        <v>0</v>
      </c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1">
        <v>0</v>
      </c>
      <c r="CH320" s="21">
        <v>0</v>
      </c>
      <c r="CI320" s="21">
        <v>0</v>
      </c>
      <c r="CJ320" s="21">
        <v>0</v>
      </c>
      <c r="CK320" s="21">
        <v>0</v>
      </c>
      <c r="CL320" s="21">
        <v>0</v>
      </c>
      <c r="CM320" s="21">
        <v>0</v>
      </c>
      <c r="CN320" s="21">
        <v>0</v>
      </c>
      <c r="CO320" s="21">
        <v>0</v>
      </c>
      <c r="CP320" s="21">
        <v>0</v>
      </c>
      <c r="CQ320" s="21">
        <v>0</v>
      </c>
      <c r="CR320" s="21">
        <v>0</v>
      </c>
      <c r="CS320" s="21">
        <v>0</v>
      </c>
      <c r="CT320" s="21">
        <v>0</v>
      </c>
      <c r="CU320" s="21">
        <v>0</v>
      </c>
      <c r="CV320" s="21">
        <v>0</v>
      </c>
      <c r="CW320" s="21">
        <v>0</v>
      </c>
      <c r="CX320" s="21">
        <v>0</v>
      </c>
      <c r="CY320" s="21">
        <v>0</v>
      </c>
      <c r="CZ320" s="21">
        <v>0</v>
      </c>
      <c r="DA320" s="21">
        <v>0</v>
      </c>
      <c r="DB320" s="21">
        <v>0</v>
      </c>
      <c r="DC320" s="21">
        <v>0</v>
      </c>
      <c r="DD320" s="21">
        <v>0</v>
      </c>
      <c r="DE320" s="21">
        <v>0</v>
      </c>
      <c r="DF320" s="21">
        <v>0</v>
      </c>
      <c r="DG320" s="21">
        <v>0</v>
      </c>
      <c r="DH320" s="21">
        <v>0</v>
      </c>
      <c r="DI320" s="21">
        <v>0</v>
      </c>
      <c r="DJ320" s="21">
        <v>0</v>
      </c>
      <c r="DK320" s="21">
        <v>0</v>
      </c>
      <c r="DL320" s="21">
        <v>0</v>
      </c>
      <c r="DM320" s="21">
        <v>0</v>
      </c>
      <c r="DN320" s="21">
        <v>0</v>
      </c>
      <c r="DO320" s="21">
        <v>0</v>
      </c>
      <c r="DP320" s="21">
        <v>0</v>
      </c>
      <c r="DQ320" s="21">
        <v>0</v>
      </c>
      <c r="DR320" s="21">
        <v>0</v>
      </c>
      <c r="DS320" s="21">
        <v>0</v>
      </c>
      <c r="DT320" s="21">
        <v>0</v>
      </c>
      <c r="DU320" s="21">
        <v>0</v>
      </c>
      <c r="DV320" s="21">
        <v>0</v>
      </c>
      <c r="DW320" s="21">
        <v>0</v>
      </c>
      <c r="DX320" s="21">
        <v>0</v>
      </c>
      <c r="DY320" s="21">
        <v>0</v>
      </c>
      <c r="DZ320" s="21">
        <v>0</v>
      </c>
      <c r="EA320" s="21">
        <v>0</v>
      </c>
      <c r="EB320" s="21">
        <v>0</v>
      </c>
      <c r="EC320" s="21">
        <v>0</v>
      </c>
      <c r="ED320" s="21">
        <v>0</v>
      </c>
      <c r="EE320" s="21">
        <v>0</v>
      </c>
      <c r="EF320" s="21">
        <v>0</v>
      </c>
    </row>
    <row r="321" spans="1:136" ht="14.5" x14ac:dyDescent="0.35">
      <c r="A321" s="20" t="s">
        <v>12</v>
      </c>
      <c r="B321" s="20" t="s">
        <v>15</v>
      </c>
      <c r="C321" s="20" t="s">
        <v>15</v>
      </c>
      <c r="D321" s="20" t="s">
        <v>338</v>
      </c>
      <c r="E321" s="20" t="s">
        <v>16</v>
      </c>
      <c r="F321" s="20" t="s">
        <v>91</v>
      </c>
      <c r="G321" s="21">
        <v>0</v>
      </c>
      <c r="H321" s="21">
        <v>0</v>
      </c>
      <c r="I321" s="21">
        <v>21</v>
      </c>
      <c r="J321" s="21">
        <v>-21</v>
      </c>
      <c r="K321" s="21">
        <v>0</v>
      </c>
      <c r="L321" s="21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0</v>
      </c>
      <c r="Z321" s="21">
        <v>0</v>
      </c>
      <c r="AA321" s="21">
        <v>0</v>
      </c>
      <c r="AB321" s="21">
        <v>0</v>
      </c>
      <c r="AC321" s="21">
        <v>0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0</v>
      </c>
      <c r="AL321" s="21">
        <v>0</v>
      </c>
      <c r="AM321" s="21">
        <v>0</v>
      </c>
      <c r="AN321" s="21">
        <v>14</v>
      </c>
      <c r="AO321" s="21">
        <v>7</v>
      </c>
      <c r="AP321" s="21">
        <v>0</v>
      </c>
      <c r="AQ321" s="21">
        <v>0</v>
      </c>
      <c r="AR321" s="21">
        <v>0</v>
      </c>
      <c r="AS321" s="21">
        <v>0</v>
      </c>
      <c r="AT321" s="21">
        <v>0</v>
      </c>
      <c r="AU321" s="21">
        <v>0</v>
      </c>
      <c r="AV321" s="21">
        <v>0</v>
      </c>
      <c r="AW321" s="21">
        <v>0</v>
      </c>
      <c r="AX321" s="21">
        <v>0</v>
      </c>
      <c r="AY321" s="21">
        <v>0</v>
      </c>
      <c r="AZ321" s="21">
        <v>0</v>
      </c>
      <c r="BA321" s="21">
        <v>0</v>
      </c>
      <c r="BB321" s="21">
        <v>0</v>
      </c>
      <c r="BC321" s="21">
        <v>0</v>
      </c>
      <c r="BD321" s="21">
        <v>0</v>
      </c>
      <c r="BE321" s="21">
        <v>0</v>
      </c>
      <c r="BF321" s="21">
        <v>0</v>
      </c>
      <c r="BG321" s="21">
        <v>0</v>
      </c>
      <c r="BH321" s="21">
        <v>0</v>
      </c>
      <c r="BI321" s="21">
        <v>0</v>
      </c>
      <c r="BJ321" s="21">
        <v>0</v>
      </c>
      <c r="BK321" s="21">
        <v>0</v>
      </c>
      <c r="BL321" s="21">
        <v>0</v>
      </c>
      <c r="BM321" s="21">
        <v>0</v>
      </c>
      <c r="BN321" s="21">
        <v>0</v>
      </c>
      <c r="BO321" s="21">
        <v>0</v>
      </c>
      <c r="BP321" s="21">
        <v>0</v>
      </c>
      <c r="BQ321" s="21">
        <v>0</v>
      </c>
      <c r="BR321" s="21">
        <v>0</v>
      </c>
      <c r="BS321" s="21">
        <v>0</v>
      </c>
      <c r="BT321" s="21">
        <v>0</v>
      </c>
      <c r="BU321" s="21">
        <v>0</v>
      </c>
      <c r="BV321" s="21">
        <v>0</v>
      </c>
      <c r="BW321" s="21">
        <v>0</v>
      </c>
      <c r="BX321" s="21">
        <v>0</v>
      </c>
      <c r="BY321" s="21">
        <v>0</v>
      </c>
      <c r="BZ321" s="21">
        <v>0</v>
      </c>
      <c r="CA321" s="21">
        <v>0</v>
      </c>
      <c r="CB321" s="21">
        <v>0</v>
      </c>
      <c r="CC321" s="21">
        <v>0</v>
      </c>
      <c r="CD321" s="21">
        <v>0</v>
      </c>
      <c r="CE321" s="21">
        <v>0</v>
      </c>
      <c r="CF321" s="21">
        <v>0</v>
      </c>
      <c r="CG321" s="21">
        <v>0</v>
      </c>
      <c r="CH321" s="21">
        <v>0</v>
      </c>
      <c r="CI321" s="21">
        <v>0</v>
      </c>
      <c r="CJ321" s="21">
        <v>0</v>
      </c>
      <c r="CK321" s="21">
        <v>0</v>
      </c>
      <c r="CL321" s="21">
        <v>0</v>
      </c>
      <c r="CM321" s="21">
        <v>0</v>
      </c>
      <c r="CN321" s="21">
        <v>0</v>
      </c>
      <c r="CO321" s="21">
        <v>0</v>
      </c>
      <c r="CP321" s="21">
        <v>0</v>
      </c>
      <c r="CQ321" s="21">
        <v>0</v>
      </c>
      <c r="CR321" s="21">
        <v>0</v>
      </c>
      <c r="CS321" s="21">
        <v>0</v>
      </c>
      <c r="CT321" s="21">
        <v>0</v>
      </c>
      <c r="CU321" s="21">
        <v>0</v>
      </c>
      <c r="CV321" s="21">
        <v>0</v>
      </c>
      <c r="CW321" s="21">
        <v>0</v>
      </c>
      <c r="CX321" s="21">
        <v>0</v>
      </c>
      <c r="CY321" s="21">
        <v>0</v>
      </c>
      <c r="CZ321" s="21">
        <v>0</v>
      </c>
      <c r="DA321" s="21">
        <v>0</v>
      </c>
      <c r="DB321" s="21">
        <v>0</v>
      </c>
      <c r="DC321" s="21">
        <v>0</v>
      </c>
      <c r="DD321" s="21">
        <v>0</v>
      </c>
      <c r="DE321" s="21">
        <v>0</v>
      </c>
      <c r="DF321" s="21">
        <v>0</v>
      </c>
      <c r="DG321" s="21">
        <v>0</v>
      </c>
      <c r="DH321" s="21">
        <v>0</v>
      </c>
      <c r="DI321" s="21">
        <v>0</v>
      </c>
      <c r="DJ321" s="21">
        <v>0</v>
      </c>
      <c r="DK321" s="21">
        <v>0</v>
      </c>
      <c r="DL321" s="21">
        <v>0</v>
      </c>
      <c r="DM321" s="21">
        <v>0</v>
      </c>
      <c r="DN321" s="21">
        <v>0</v>
      </c>
      <c r="DO321" s="21">
        <v>0</v>
      </c>
      <c r="DP321" s="21">
        <v>0</v>
      </c>
      <c r="DQ321" s="21">
        <v>0</v>
      </c>
      <c r="DR321" s="21">
        <v>0</v>
      </c>
      <c r="DS321" s="21">
        <v>0</v>
      </c>
      <c r="DT321" s="21">
        <v>0</v>
      </c>
      <c r="DU321" s="21">
        <v>0</v>
      </c>
      <c r="DV321" s="21">
        <v>0</v>
      </c>
      <c r="DW321" s="21">
        <v>0</v>
      </c>
      <c r="DX321" s="21">
        <v>0</v>
      </c>
      <c r="DY321" s="21">
        <v>0</v>
      </c>
      <c r="DZ321" s="21">
        <v>0</v>
      </c>
      <c r="EA321" s="21">
        <v>0</v>
      </c>
      <c r="EB321" s="21">
        <v>0</v>
      </c>
      <c r="EC321" s="21">
        <v>0</v>
      </c>
      <c r="ED321" s="21">
        <v>0</v>
      </c>
      <c r="EE321" s="21">
        <v>0</v>
      </c>
      <c r="EF321" s="21">
        <v>0</v>
      </c>
    </row>
    <row r="322" spans="1:136" ht="14.5" x14ac:dyDescent="0.35">
      <c r="A322" s="20" t="s">
        <v>12</v>
      </c>
      <c r="B322" s="20" t="s">
        <v>15</v>
      </c>
      <c r="C322" s="20" t="s">
        <v>15</v>
      </c>
      <c r="D322" s="20" t="s">
        <v>337</v>
      </c>
      <c r="E322" s="20" t="s">
        <v>16</v>
      </c>
      <c r="F322" s="20" t="s">
        <v>91</v>
      </c>
      <c r="G322" s="21">
        <v>0</v>
      </c>
      <c r="H322" s="21">
        <v>0</v>
      </c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1">
        <v>0</v>
      </c>
      <c r="AA322" s="21">
        <v>0</v>
      </c>
      <c r="AB322" s="21">
        <v>0</v>
      </c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0</v>
      </c>
      <c r="AN322" s="21">
        <v>0</v>
      </c>
      <c r="AO322" s="21">
        <v>0</v>
      </c>
      <c r="AP322" s="21">
        <v>0</v>
      </c>
      <c r="AQ322" s="21">
        <v>0</v>
      </c>
      <c r="AR322" s="21">
        <v>0</v>
      </c>
      <c r="AS322" s="21">
        <v>0</v>
      </c>
      <c r="AT322" s="21">
        <v>0</v>
      </c>
      <c r="AU322" s="21">
        <v>0</v>
      </c>
      <c r="AV322" s="21">
        <v>0</v>
      </c>
      <c r="AW322" s="21">
        <v>0</v>
      </c>
      <c r="AX322" s="21">
        <v>0</v>
      </c>
      <c r="AY322" s="21">
        <v>0</v>
      </c>
      <c r="AZ322" s="21">
        <v>0</v>
      </c>
      <c r="BA322" s="21">
        <v>0</v>
      </c>
      <c r="BB322" s="21">
        <v>0</v>
      </c>
      <c r="BC322" s="21">
        <v>0</v>
      </c>
      <c r="BD322" s="21">
        <v>0</v>
      </c>
      <c r="BE322" s="21">
        <v>0</v>
      </c>
      <c r="BF322" s="21">
        <v>0</v>
      </c>
      <c r="BG322" s="21">
        <v>0</v>
      </c>
      <c r="BH322" s="21">
        <v>0</v>
      </c>
      <c r="BI322" s="21">
        <v>0</v>
      </c>
      <c r="BJ322" s="21">
        <v>0</v>
      </c>
      <c r="BK322" s="21">
        <v>0</v>
      </c>
      <c r="BL322" s="21">
        <v>0</v>
      </c>
      <c r="BM322" s="21">
        <v>0</v>
      </c>
      <c r="BN322" s="21">
        <v>0</v>
      </c>
      <c r="BO322" s="21">
        <v>0</v>
      </c>
      <c r="BP322" s="21">
        <v>0</v>
      </c>
      <c r="BQ322" s="21">
        <v>0</v>
      </c>
      <c r="BR322" s="21">
        <v>0</v>
      </c>
      <c r="BS322" s="21">
        <v>0</v>
      </c>
      <c r="BT322" s="21">
        <v>0</v>
      </c>
      <c r="BU322" s="21">
        <v>0</v>
      </c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1">
        <v>0</v>
      </c>
      <c r="CH322" s="21">
        <v>0</v>
      </c>
      <c r="CI322" s="21">
        <v>0</v>
      </c>
      <c r="CJ322" s="21">
        <v>0</v>
      </c>
      <c r="CK322" s="21">
        <v>0</v>
      </c>
      <c r="CL322" s="21">
        <v>0</v>
      </c>
      <c r="CM322" s="21">
        <v>0</v>
      </c>
      <c r="CN322" s="21">
        <v>0</v>
      </c>
      <c r="CO322" s="21">
        <v>0</v>
      </c>
      <c r="CP322" s="21">
        <v>0</v>
      </c>
      <c r="CQ322" s="21">
        <v>0</v>
      </c>
      <c r="CR322" s="21">
        <v>0</v>
      </c>
      <c r="CS322" s="21">
        <v>0</v>
      </c>
      <c r="CT322" s="21">
        <v>0</v>
      </c>
      <c r="CU322" s="21">
        <v>0</v>
      </c>
      <c r="CV322" s="21">
        <v>0</v>
      </c>
      <c r="CW322" s="21">
        <v>0</v>
      </c>
      <c r="CX322" s="21">
        <v>0</v>
      </c>
      <c r="CY322" s="21">
        <v>0</v>
      </c>
      <c r="CZ322" s="21">
        <v>0</v>
      </c>
      <c r="DA322" s="21">
        <v>0</v>
      </c>
      <c r="DB322" s="21">
        <v>0</v>
      </c>
      <c r="DC322" s="21">
        <v>0</v>
      </c>
      <c r="DD322" s="21">
        <v>0</v>
      </c>
      <c r="DE322" s="21">
        <v>0</v>
      </c>
      <c r="DF322" s="21">
        <v>0</v>
      </c>
      <c r="DG322" s="21">
        <v>0</v>
      </c>
      <c r="DH322" s="21">
        <v>0</v>
      </c>
      <c r="DI322" s="21">
        <v>0</v>
      </c>
      <c r="DJ322" s="21">
        <v>0</v>
      </c>
      <c r="DK322" s="21">
        <v>0</v>
      </c>
      <c r="DL322" s="21">
        <v>0</v>
      </c>
      <c r="DM322" s="21">
        <v>0</v>
      </c>
      <c r="DN322" s="21">
        <v>0</v>
      </c>
      <c r="DO322" s="21">
        <v>0</v>
      </c>
      <c r="DP322" s="21">
        <v>0</v>
      </c>
      <c r="DQ322" s="21">
        <v>0</v>
      </c>
      <c r="DR322" s="21">
        <v>0</v>
      </c>
      <c r="DS322" s="21">
        <v>0</v>
      </c>
      <c r="DT322" s="21">
        <v>0</v>
      </c>
      <c r="DU322" s="21">
        <v>0</v>
      </c>
      <c r="DV322" s="21">
        <v>0</v>
      </c>
      <c r="DW322" s="21">
        <v>0</v>
      </c>
      <c r="DX322" s="21">
        <v>0</v>
      </c>
      <c r="DY322" s="21">
        <v>0</v>
      </c>
      <c r="DZ322" s="21">
        <v>0</v>
      </c>
      <c r="EA322" s="21">
        <v>0</v>
      </c>
      <c r="EB322" s="21">
        <v>0</v>
      </c>
      <c r="EC322" s="21">
        <v>0</v>
      </c>
      <c r="ED322" s="21">
        <v>0</v>
      </c>
      <c r="EE322" s="21">
        <v>0</v>
      </c>
      <c r="EF322" s="21">
        <v>0</v>
      </c>
    </row>
    <row r="323" spans="1:136" ht="14.5" x14ac:dyDescent="0.35">
      <c r="A323" s="20" t="s">
        <v>12</v>
      </c>
      <c r="B323" s="20" t="s">
        <v>160</v>
      </c>
      <c r="C323" s="20" t="s">
        <v>160</v>
      </c>
      <c r="D323" s="20" t="s">
        <v>332</v>
      </c>
      <c r="E323" s="20" t="s">
        <v>14</v>
      </c>
      <c r="F323" s="20" t="s">
        <v>77</v>
      </c>
      <c r="G323" s="21">
        <v>0</v>
      </c>
      <c r="H323" s="21">
        <v>0</v>
      </c>
      <c r="I323" s="21">
        <v>8.3000000000000007</v>
      </c>
      <c r="J323" s="21">
        <v>-8.3000000000000007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0</v>
      </c>
      <c r="X323" s="21">
        <v>0</v>
      </c>
      <c r="Y323" s="21">
        <v>0</v>
      </c>
      <c r="Z323" s="21">
        <v>0</v>
      </c>
      <c r="AA323" s="21">
        <v>0</v>
      </c>
      <c r="AB323" s="21">
        <v>0</v>
      </c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0</v>
      </c>
      <c r="AL323" s="21">
        <v>0</v>
      </c>
      <c r="AM323" s="21">
        <v>1</v>
      </c>
      <c r="AN323" s="21">
        <v>5.3</v>
      </c>
      <c r="AO323" s="21">
        <v>2</v>
      </c>
      <c r="AP323" s="21">
        <v>0</v>
      </c>
      <c r="AQ323" s="21">
        <v>0</v>
      </c>
      <c r="AR323" s="21">
        <v>0</v>
      </c>
      <c r="AS323" s="21">
        <v>0</v>
      </c>
      <c r="AT323" s="21">
        <v>0</v>
      </c>
      <c r="AU323" s="21">
        <v>0</v>
      </c>
      <c r="AV323" s="21">
        <v>0</v>
      </c>
      <c r="AW323" s="21">
        <v>0</v>
      </c>
      <c r="AX323" s="21">
        <v>0</v>
      </c>
      <c r="AY323" s="21">
        <v>0</v>
      </c>
      <c r="AZ323" s="21">
        <v>0</v>
      </c>
      <c r="BA323" s="21">
        <v>0</v>
      </c>
      <c r="BB323" s="21">
        <v>0</v>
      </c>
      <c r="BC323" s="21">
        <v>0</v>
      </c>
      <c r="BD323" s="21">
        <v>0</v>
      </c>
      <c r="BE323" s="21">
        <v>0</v>
      </c>
      <c r="BF323" s="21">
        <v>0</v>
      </c>
      <c r="BG323" s="21">
        <v>0</v>
      </c>
      <c r="BH323" s="21">
        <v>0</v>
      </c>
      <c r="BI323" s="21">
        <v>0</v>
      </c>
      <c r="BJ323" s="21">
        <v>0</v>
      </c>
      <c r="BK323" s="21">
        <v>0</v>
      </c>
      <c r="BL323" s="21">
        <v>0</v>
      </c>
      <c r="BM323" s="21">
        <v>0</v>
      </c>
      <c r="BN323" s="21">
        <v>0</v>
      </c>
      <c r="BO323" s="21">
        <v>0</v>
      </c>
      <c r="BP323" s="21">
        <v>0</v>
      </c>
      <c r="BQ323" s="21">
        <v>0</v>
      </c>
      <c r="BR323" s="21">
        <v>0</v>
      </c>
      <c r="BS323" s="21">
        <v>0</v>
      </c>
      <c r="BT323" s="21">
        <v>0</v>
      </c>
      <c r="BU323" s="21">
        <v>0</v>
      </c>
      <c r="BV323" s="21">
        <v>0</v>
      </c>
      <c r="BW323" s="21">
        <v>0</v>
      </c>
      <c r="BX323" s="21">
        <v>0</v>
      </c>
      <c r="BY323" s="21">
        <v>0</v>
      </c>
      <c r="BZ323" s="21">
        <v>0</v>
      </c>
      <c r="CA323" s="21">
        <v>0</v>
      </c>
      <c r="CB323" s="21">
        <v>0</v>
      </c>
      <c r="CC323" s="21">
        <v>0</v>
      </c>
      <c r="CD323" s="21">
        <v>0</v>
      </c>
      <c r="CE323" s="21">
        <v>0</v>
      </c>
      <c r="CF323" s="21">
        <v>0</v>
      </c>
      <c r="CG323" s="21">
        <v>0</v>
      </c>
      <c r="CH323" s="21">
        <v>0</v>
      </c>
      <c r="CI323" s="21">
        <v>0</v>
      </c>
      <c r="CJ323" s="21">
        <v>0</v>
      </c>
      <c r="CK323" s="21">
        <v>0</v>
      </c>
      <c r="CL323" s="21">
        <v>0</v>
      </c>
      <c r="CM323" s="21">
        <v>0</v>
      </c>
      <c r="CN323" s="21">
        <v>0</v>
      </c>
      <c r="CO323" s="21">
        <v>0</v>
      </c>
      <c r="CP323" s="21">
        <v>0</v>
      </c>
      <c r="CQ323" s="21">
        <v>0</v>
      </c>
      <c r="CR323" s="21">
        <v>0</v>
      </c>
      <c r="CS323" s="21">
        <v>0</v>
      </c>
      <c r="CT323" s="21">
        <v>0</v>
      </c>
      <c r="CU323" s="21">
        <v>0</v>
      </c>
      <c r="CV323" s="21">
        <v>0</v>
      </c>
      <c r="CW323" s="21">
        <v>0</v>
      </c>
      <c r="CX323" s="21">
        <v>0</v>
      </c>
      <c r="CY323" s="21">
        <v>0</v>
      </c>
      <c r="CZ323" s="21">
        <v>0</v>
      </c>
      <c r="DA323" s="21">
        <v>0</v>
      </c>
      <c r="DB323" s="21">
        <v>0</v>
      </c>
      <c r="DC323" s="21">
        <v>0</v>
      </c>
      <c r="DD323" s="21">
        <v>0</v>
      </c>
      <c r="DE323" s="21">
        <v>0</v>
      </c>
      <c r="DF323" s="21">
        <v>0</v>
      </c>
      <c r="DG323" s="21">
        <v>0</v>
      </c>
      <c r="DH323" s="21">
        <v>0</v>
      </c>
      <c r="DI323" s="21">
        <v>0</v>
      </c>
      <c r="DJ323" s="21">
        <v>0</v>
      </c>
      <c r="DK323" s="21">
        <v>0</v>
      </c>
      <c r="DL323" s="21">
        <v>0</v>
      </c>
      <c r="DM323" s="21">
        <v>0</v>
      </c>
      <c r="DN323" s="21">
        <v>0</v>
      </c>
      <c r="DO323" s="21">
        <v>0</v>
      </c>
      <c r="DP323" s="21">
        <v>0</v>
      </c>
      <c r="DQ323" s="21">
        <v>0</v>
      </c>
      <c r="DR323" s="21">
        <v>0</v>
      </c>
      <c r="DS323" s="21">
        <v>0</v>
      </c>
      <c r="DT323" s="21">
        <v>0</v>
      </c>
      <c r="DU323" s="21">
        <v>0</v>
      </c>
      <c r="DV323" s="21">
        <v>0</v>
      </c>
      <c r="DW323" s="21">
        <v>0</v>
      </c>
      <c r="DX323" s="21">
        <v>0</v>
      </c>
      <c r="DY323" s="21">
        <v>0</v>
      </c>
      <c r="DZ323" s="21">
        <v>0</v>
      </c>
      <c r="EA323" s="21">
        <v>0</v>
      </c>
      <c r="EB323" s="21">
        <v>0</v>
      </c>
      <c r="EC323" s="21">
        <v>0</v>
      </c>
      <c r="ED323" s="21">
        <v>0</v>
      </c>
      <c r="EE323" s="21">
        <v>0</v>
      </c>
      <c r="EF323" s="21">
        <v>0</v>
      </c>
    </row>
    <row r="324" spans="1:136" ht="14.5" x14ac:dyDescent="0.35">
      <c r="A324" s="20" t="s">
        <v>12</v>
      </c>
      <c r="B324" s="20" t="s">
        <v>160</v>
      </c>
      <c r="C324" s="20" t="s">
        <v>160</v>
      </c>
      <c r="D324" s="20" t="s">
        <v>333</v>
      </c>
      <c r="E324" s="20" t="s">
        <v>14</v>
      </c>
      <c r="F324" s="20" t="s">
        <v>77</v>
      </c>
      <c r="G324" s="21">
        <v>0</v>
      </c>
      <c r="H324" s="21">
        <v>0</v>
      </c>
      <c r="I324" s="21">
        <v>0</v>
      </c>
      <c r="J324" s="21">
        <v>0</v>
      </c>
      <c r="K324" s="21">
        <v>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0</v>
      </c>
      <c r="Z324" s="21">
        <v>0</v>
      </c>
      <c r="AA324" s="21">
        <v>0</v>
      </c>
      <c r="AB324" s="21">
        <v>0</v>
      </c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0</v>
      </c>
      <c r="AN324" s="21">
        <v>0</v>
      </c>
      <c r="AO324" s="21">
        <v>0</v>
      </c>
      <c r="AP324" s="21">
        <v>0</v>
      </c>
      <c r="AQ324" s="21">
        <v>0</v>
      </c>
      <c r="AR324" s="21">
        <v>0</v>
      </c>
      <c r="AS324" s="21">
        <v>0</v>
      </c>
      <c r="AT324" s="21">
        <v>0</v>
      </c>
      <c r="AU324" s="21">
        <v>0</v>
      </c>
      <c r="AV324" s="21">
        <v>0</v>
      </c>
      <c r="AW324" s="21">
        <v>0</v>
      </c>
      <c r="AX324" s="21">
        <v>0</v>
      </c>
      <c r="AY324" s="21">
        <v>0</v>
      </c>
      <c r="AZ324" s="21">
        <v>0</v>
      </c>
      <c r="BA324" s="21">
        <v>0</v>
      </c>
      <c r="BB324" s="21">
        <v>0</v>
      </c>
      <c r="BC324" s="21">
        <v>0</v>
      </c>
      <c r="BD324" s="21">
        <v>0</v>
      </c>
      <c r="BE324" s="21">
        <v>0</v>
      </c>
      <c r="BF324" s="21">
        <v>0</v>
      </c>
      <c r="BG324" s="21">
        <v>0</v>
      </c>
      <c r="BH324" s="21">
        <v>0</v>
      </c>
      <c r="BI324" s="21">
        <v>0</v>
      </c>
      <c r="BJ324" s="21">
        <v>0</v>
      </c>
      <c r="BK324" s="21">
        <v>0</v>
      </c>
      <c r="BL324" s="21">
        <v>0</v>
      </c>
      <c r="BM324" s="21">
        <v>0</v>
      </c>
      <c r="BN324" s="21">
        <v>0</v>
      </c>
      <c r="BO324" s="21">
        <v>0</v>
      </c>
      <c r="BP324" s="21">
        <v>0</v>
      </c>
      <c r="BQ324" s="21">
        <v>0</v>
      </c>
      <c r="BR324" s="21">
        <v>0</v>
      </c>
      <c r="BS324" s="21">
        <v>0</v>
      </c>
      <c r="BT324" s="21">
        <v>0</v>
      </c>
      <c r="BU324" s="21">
        <v>0</v>
      </c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1">
        <v>0</v>
      </c>
      <c r="CH324" s="21">
        <v>0</v>
      </c>
      <c r="CI324" s="21">
        <v>0</v>
      </c>
      <c r="CJ324" s="21">
        <v>0</v>
      </c>
      <c r="CK324" s="21">
        <v>0</v>
      </c>
      <c r="CL324" s="21">
        <v>0</v>
      </c>
      <c r="CM324" s="21">
        <v>0</v>
      </c>
      <c r="CN324" s="21">
        <v>0</v>
      </c>
      <c r="CO324" s="21">
        <v>0</v>
      </c>
      <c r="CP324" s="21">
        <v>0</v>
      </c>
      <c r="CQ324" s="21">
        <v>0</v>
      </c>
      <c r="CR324" s="21">
        <v>0</v>
      </c>
      <c r="CS324" s="21">
        <v>0</v>
      </c>
      <c r="CT324" s="21">
        <v>0</v>
      </c>
      <c r="CU324" s="21">
        <v>0</v>
      </c>
      <c r="CV324" s="21">
        <v>0</v>
      </c>
      <c r="CW324" s="21">
        <v>0</v>
      </c>
      <c r="CX324" s="21">
        <v>0</v>
      </c>
      <c r="CY324" s="21">
        <v>0</v>
      </c>
      <c r="CZ324" s="21">
        <v>0</v>
      </c>
      <c r="DA324" s="21">
        <v>0</v>
      </c>
      <c r="DB324" s="21">
        <v>0</v>
      </c>
      <c r="DC324" s="21">
        <v>0</v>
      </c>
      <c r="DD324" s="21">
        <v>0</v>
      </c>
      <c r="DE324" s="21">
        <v>0</v>
      </c>
      <c r="DF324" s="21">
        <v>0</v>
      </c>
      <c r="DG324" s="21">
        <v>0</v>
      </c>
      <c r="DH324" s="21">
        <v>0</v>
      </c>
      <c r="DI324" s="21">
        <v>0</v>
      </c>
      <c r="DJ324" s="21">
        <v>0</v>
      </c>
      <c r="DK324" s="21">
        <v>0</v>
      </c>
      <c r="DL324" s="21">
        <v>0</v>
      </c>
      <c r="DM324" s="21">
        <v>0</v>
      </c>
      <c r="DN324" s="21">
        <v>0</v>
      </c>
      <c r="DO324" s="21">
        <v>0</v>
      </c>
      <c r="DP324" s="21">
        <v>0</v>
      </c>
      <c r="DQ324" s="21">
        <v>0</v>
      </c>
      <c r="DR324" s="21">
        <v>0</v>
      </c>
      <c r="DS324" s="21">
        <v>0</v>
      </c>
      <c r="DT324" s="21">
        <v>0</v>
      </c>
      <c r="DU324" s="21">
        <v>0</v>
      </c>
      <c r="DV324" s="21">
        <v>0</v>
      </c>
      <c r="DW324" s="21">
        <v>0</v>
      </c>
      <c r="DX324" s="21">
        <v>0</v>
      </c>
      <c r="DY324" s="21">
        <v>0</v>
      </c>
      <c r="DZ324" s="21">
        <v>0</v>
      </c>
      <c r="EA324" s="21">
        <v>0</v>
      </c>
      <c r="EB324" s="21">
        <v>0</v>
      </c>
      <c r="EC324" s="21">
        <v>0</v>
      </c>
      <c r="ED324" s="21">
        <v>0</v>
      </c>
      <c r="EE324" s="21">
        <v>0</v>
      </c>
      <c r="EF324" s="21">
        <v>0</v>
      </c>
    </row>
    <row r="325" spans="1:136" ht="14.5" x14ac:dyDescent="0.35">
      <c r="A325" s="20" t="s">
        <v>12</v>
      </c>
      <c r="B325" s="20" t="s">
        <v>161</v>
      </c>
      <c r="C325" s="20" t="s">
        <v>161</v>
      </c>
      <c r="D325" s="20" t="s">
        <v>332</v>
      </c>
      <c r="E325" s="20" t="s">
        <v>14</v>
      </c>
      <c r="F325" s="20" t="s">
        <v>91</v>
      </c>
      <c r="G325" s="21">
        <v>0</v>
      </c>
      <c r="H325" s="21">
        <v>0</v>
      </c>
      <c r="I325" s="21">
        <v>0</v>
      </c>
      <c r="J325" s="21">
        <v>0</v>
      </c>
      <c r="K325" s="21">
        <v>0</v>
      </c>
      <c r="L325" s="21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1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1">
        <v>0</v>
      </c>
      <c r="AT325" s="21">
        <v>0</v>
      </c>
      <c r="AU325" s="21">
        <v>0</v>
      </c>
      <c r="AV325" s="21">
        <v>0</v>
      </c>
      <c r="AW325" s="21">
        <v>0</v>
      </c>
      <c r="AX325" s="21">
        <v>0</v>
      </c>
      <c r="AY325" s="21">
        <v>0</v>
      </c>
      <c r="AZ325" s="21">
        <v>0</v>
      </c>
      <c r="BA325" s="21">
        <v>0</v>
      </c>
      <c r="BB325" s="21">
        <v>0</v>
      </c>
      <c r="BC325" s="21">
        <v>0</v>
      </c>
      <c r="BD325" s="21">
        <v>0</v>
      </c>
      <c r="BE325" s="21">
        <v>0</v>
      </c>
      <c r="BF325" s="21">
        <v>0</v>
      </c>
      <c r="BG325" s="21">
        <v>0</v>
      </c>
      <c r="BH325" s="21">
        <v>0</v>
      </c>
      <c r="BI325" s="21">
        <v>0</v>
      </c>
      <c r="BJ325" s="21">
        <v>0</v>
      </c>
      <c r="BK325" s="21">
        <v>0</v>
      </c>
      <c r="BL325" s="21">
        <v>0</v>
      </c>
      <c r="BM325" s="21">
        <v>0</v>
      </c>
      <c r="BN325" s="21">
        <v>0</v>
      </c>
      <c r="BO325" s="21">
        <v>0</v>
      </c>
      <c r="BP325" s="21">
        <v>0</v>
      </c>
      <c r="BQ325" s="21">
        <v>0</v>
      </c>
      <c r="BR325" s="21">
        <v>0</v>
      </c>
      <c r="BS325" s="21">
        <v>0</v>
      </c>
      <c r="BT325" s="21">
        <v>0</v>
      </c>
      <c r="BU325" s="21">
        <v>0</v>
      </c>
      <c r="BV325" s="21">
        <v>0</v>
      </c>
      <c r="BW325" s="21">
        <v>0</v>
      </c>
      <c r="BX325" s="21">
        <v>0</v>
      </c>
      <c r="BY325" s="21">
        <v>0</v>
      </c>
      <c r="BZ325" s="21">
        <v>0</v>
      </c>
      <c r="CA325" s="21">
        <v>0</v>
      </c>
      <c r="CB325" s="21">
        <v>0</v>
      </c>
      <c r="CC325" s="21">
        <v>0</v>
      </c>
      <c r="CD325" s="21">
        <v>0</v>
      </c>
      <c r="CE325" s="21">
        <v>0</v>
      </c>
      <c r="CF325" s="21">
        <v>0</v>
      </c>
      <c r="CG325" s="21">
        <v>0</v>
      </c>
      <c r="CH325" s="21">
        <v>0</v>
      </c>
      <c r="CI325" s="21">
        <v>0</v>
      </c>
      <c r="CJ325" s="21">
        <v>0</v>
      </c>
      <c r="CK325" s="21">
        <v>0</v>
      </c>
      <c r="CL325" s="21">
        <v>0</v>
      </c>
      <c r="CM325" s="21">
        <v>0</v>
      </c>
      <c r="CN325" s="21">
        <v>0</v>
      </c>
      <c r="CO325" s="21">
        <v>0</v>
      </c>
      <c r="CP325" s="21">
        <v>0</v>
      </c>
      <c r="CQ325" s="21">
        <v>0</v>
      </c>
      <c r="CR325" s="21">
        <v>0</v>
      </c>
      <c r="CS325" s="21">
        <v>0</v>
      </c>
      <c r="CT325" s="21">
        <v>0</v>
      </c>
      <c r="CU325" s="21">
        <v>0</v>
      </c>
      <c r="CV325" s="21">
        <v>0</v>
      </c>
      <c r="CW325" s="21">
        <v>0</v>
      </c>
      <c r="CX325" s="21">
        <v>0</v>
      </c>
      <c r="CY325" s="21">
        <v>0</v>
      </c>
      <c r="CZ325" s="21">
        <v>0</v>
      </c>
      <c r="DA325" s="21">
        <v>0</v>
      </c>
      <c r="DB325" s="21">
        <v>0</v>
      </c>
      <c r="DC325" s="21">
        <v>0</v>
      </c>
      <c r="DD325" s="21">
        <v>0</v>
      </c>
      <c r="DE325" s="21">
        <v>0</v>
      </c>
      <c r="DF325" s="21">
        <v>0</v>
      </c>
      <c r="DG325" s="21">
        <v>0</v>
      </c>
      <c r="DH325" s="21">
        <v>0</v>
      </c>
      <c r="DI325" s="21">
        <v>0</v>
      </c>
      <c r="DJ325" s="21">
        <v>0</v>
      </c>
      <c r="DK325" s="21">
        <v>0</v>
      </c>
      <c r="DL325" s="21">
        <v>0</v>
      </c>
      <c r="DM325" s="21">
        <v>0</v>
      </c>
      <c r="DN325" s="21">
        <v>0</v>
      </c>
      <c r="DO325" s="21">
        <v>0</v>
      </c>
      <c r="DP325" s="21">
        <v>0</v>
      </c>
      <c r="DQ325" s="21">
        <v>0</v>
      </c>
      <c r="DR325" s="21">
        <v>0</v>
      </c>
      <c r="DS325" s="21">
        <v>0</v>
      </c>
      <c r="DT325" s="21">
        <v>0</v>
      </c>
      <c r="DU325" s="21">
        <v>0</v>
      </c>
      <c r="DV325" s="21">
        <v>0</v>
      </c>
      <c r="DW325" s="21">
        <v>0</v>
      </c>
      <c r="DX325" s="21">
        <v>0</v>
      </c>
      <c r="DY325" s="21">
        <v>0</v>
      </c>
      <c r="DZ325" s="21">
        <v>0</v>
      </c>
      <c r="EA325" s="21">
        <v>0</v>
      </c>
      <c r="EB325" s="21">
        <v>0</v>
      </c>
      <c r="EC325" s="21">
        <v>0</v>
      </c>
      <c r="ED325" s="21">
        <v>0</v>
      </c>
      <c r="EE325" s="21">
        <v>0</v>
      </c>
      <c r="EF325" s="21">
        <v>0</v>
      </c>
    </row>
    <row r="326" spans="1:136" ht="14.5" x14ac:dyDescent="0.35">
      <c r="A326" s="20" t="s">
        <v>12</v>
      </c>
      <c r="B326" s="20" t="s">
        <v>161</v>
      </c>
      <c r="C326" s="20" t="s">
        <v>161</v>
      </c>
      <c r="D326" s="20" t="s">
        <v>333</v>
      </c>
      <c r="E326" s="20" t="s">
        <v>14</v>
      </c>
      <c r="F326" s="20" t="s">
        <v>91</v>
      </c>
      <c r="G326" s="21">
        <v>10</v>
      </c>
      <c r="H326" s="21">
        <v>10</v>
      </c>
      <c r="I326" s="21">
        <v>0</v>
      </c>
      <c r="J326" s="21">
        <v>10</v>
      </c>
      <c r="K326" s="21">
        <v>0</v>
      </c>
      <c r="L326" s="21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  <c r="W326" s="21">
        <v>0</v>
      </c>
      <c r="X326" s="21">
        <v>0</v>
      </c>
      <c r="Y326" s="21">
        <v>0</v>
      </c>
      <c r="Z326" s="21">
        <v>0</v>
      </c>
      <c r="AA326" s="21">
        <v>0</v>
      </c>
      <c r="AB326" s="21">
        <v>0</v>
      </c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0</v>
      </c>
      <c r="AO326" s="21">
        <v>0</v>
      </c>
      <c r="AP326" s="21">
        <v>0</v>
      </c>
      <c r="AQ326" s="21">
        <v>0</v>
      </c>
      <c r="AR326" s="21">
        <v>0</v>
      </c>
      <c r="AS326" s="21">
        <v>0</v>
      </c>
      <c r="AT326" s="21">
        <v>0</v>
      </c>
      <c r="AU326" s="21">
        <v>0</v>
      </c>
      <c r="AV326" s="21">
        <v>0</v>
      </c>
      <c r="AW326" s="21">
        <v>0</v>
      </c>
      <c r="AX326" s="21">
        <v>0</v>
      </c>
      <c r="AY326" s="21">
        <v>0</v>
      </c>
      <c r="AZ326" s="21">
        <v>0</v>
      </c>
      <c r="BA326" s="21">
        <v>0</v>
      </c>
      <c r="BB326" s="21">
        <v>0</v>
      </c>
      <c r="BC326" s="21">
        <v>0</v>
      </c>
      <c r="BD326" s="21">
        <v>0</v>
      </c>
      <c r="BE326" s="21">
        <v>0</v>
      </c>
      <c r="BF326" s="21">
        <v>0</v>
      </c>
      <c r="BG326" s="21">
        <v>0</v>
      </c>
      <c r="BH326" s="21">
        <v>0</v>
      </c>
      <c r="BI326" s="21">
        <v>0</v>
      </c>
      <c r="BJ326" s="21">
        <v>0</v>
      </c>
      <c r="BK326" s="21">
        <v>0</v>
      </c>
      <c r="BL326" s="21">
        <v>0</v>
      </c>
      <c r="BM326" s="21">
        <v>0</v>
      </c>
      <c r="BN326" s="21">
        <v>0</v>
      </c>
      <c r="BO326" s="21">
        <v>0</v>
      </c>
      <c r="BP326" s="21">
        <v>0</v>
      </c>
      <c r="BQ326" s="21">
        <v>0</v>
      </c>
      <c r="BR326" s="21">
        <v>0</v>
      </c>
      <c r="BS326" s="21">
        <v>0</v>
      </c>
      <c r="BT326" s="21">
        <v>0</v>
      </c>
      <c r="BU326" s="21">
        <v>0</v>
      </c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1">
        <v>0</v>
      </c>
      <c r="CH326" s="21">
        <v>0</v>
      </c>
      <c r="CI326" s="21">
        <v>0</v>
      </c>
      <c r="CJ326" s="21">
        <v>0</v>
      </c>
      <c r="CK326" s="21">
        <v>0</v>
      </c>
      <c r="CL326" s="21">
        <v>0</v>
      </c>
      <c r="CM326" s="21">
        <v>0</v>
      </c>
      <c r="CN326" s="21">
        <v>0</v>
      </c>
      <c r="CO326" s="21">
        <v>0</v>
      </c>
      <c r="CP326" s="21">
        <v>0</v>
      </c>
      <c r="CQ326" s="21">
        <v>0</v>
      </c>
      <c r="CR326" s="21">
        <v>0</v>
      </c>
      <c r="CS326" s="21">
        <v>0</v>
      </c>
      <c r="CT326" s="21">
        <v>0</v>
      </c>
      <c r="CU326" s="21">
        <v>0</v>
      </c>
      <c r="CV326" s="21">
        <v>0</v>
      </c>
      <c r="CW326" s="21">
        <v>0</v>
      </c>
      <c r="CX326" s="21">
        <v>0</v>
      </c>
      <c r="CY326" s="21">
        <v>0</v>
      </c>
      <c r="CZ326" s="21">
        <v>0</v>
      </c>
      <c r="DA326" s="21">
        <v>0</v>
      </c>
      <c r="DB326" s="21">
        <v>0</v>
      </c>
      <c r="DC326" s="21">
        <v>0</v>
      </c>
      <c r="DD326" s="21">
        <v>0</v>
      </c>
      <c r="DE326" s="21">
        <v>0</v>
      </c>
      <c r="DF326" s="21">
        <v>0</v>
      </c>
      <c r="DG326" s="21">
        <v>0</v>
      </c>
      <c r="DH326" s="21">
        <v>0</v>
      </c>
      <c r="DI326" s="21">
        <v>0</v>
      </c>
      <c r="DJ326" s="21">
        <v>0</v>
      </c>
      <c r="DK326" s="21">
        <v>0</v>
      </c>
      <c r="DL326" s="21">
        <v>0</v>
      </c>
      <c r="DM326" s="21">
        <v>0</v>
      </c>
      <c r="DN326" s="21">
        <v>0</v>
      </c>
      <c r="DO326" s="21">
        <v>0</v>
      </c>
      <c r="DP326" s="21">
        <v>0</v>
      </c>
      <c r="DQ326" s="21">
        <v>0</v>
      </c>
      <c r="DR326" s="21">
        <v>0</v>
      </c>
      <c r="DS326" s="21">
        <v>0</v>
      </c>
      <c r="DT326" s="21">
        <v>0</v>
      </c>
      <c r="DU326" s="21">
        <v>0</v>
      </c>
      <c r="DV326" s="21">
        <v>0</v>
      </c>
      <c r="DW326" s="21">
        <v>0</v>
      </c>
      <c r="DX326" s="21">
        <v>0</v>
      </c>
      <c r="DY326" s="21">
        <v>0</v>
      </c>
      <c r="DZ326" s="21">
        <v>0</v>
      </c>
      <c r="EA326" s="21">
        <v>0</v>
      </c>
      <c r="EB326" s="21">
        <v>0</v>
      </c>
      <c r="EC326" s="21">
        <v>0</v>
      </c>
      <c r="ED326" s="21">
        <v>0</v>
      </c>
      <c r="EE326" s="21">
        <v>0</v>
      </c>
      <c r="EF326" s="21">
        <v>0</v>
      </c>
    </row>
    <row r="327" spans="1:136" ht="14.5" x14ac:dyDescent="0.35">
      <c r="A327" s="20" t="s">
        <v>12</v>
      </c>
      <c r="B327" s="20" t="s">
        <v>104</v>
      </c>
      <c r="C327" s="20" t="s">
        <v>104</v>
      </c>
      <c r="D327" s="20" t="s">
        <v>338</v>
      </c>
      <c r="E327" s="20" t="s">
        <v>16</v>
      </c>
      <c r="F327" s="20" t="s">
        <v>77</v>
      </c>
      <c r="G327" s="21">
        <v>0</v>
      </c>
      <c r="H327" s="21">
        <v>0</v>
      </c>
      <c r="I327" s="21">
        <v>7</v>
      </c>
      <c r="J327" s="21">
        <v>-7</v>
      </c>
      <c r="K327" s="21">
        <v>0</v>
      </c>
      <c r="L327" s="21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0</v>
      </c>
      <c r="Z327" s="21">
        <v>0</v>
      </c>
      <c r="AA327" s="21">
        <v>0</v>
      </c>
      <c r="AB327" s="21">
        <v>0</v>
      </c>
      <c r="AC327" s="21">
        <v>0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1.5</v>
      </c>
      <c r="AK327" s="21">
        <v>0</v>
      </c>
      <c r="AL327" s="21">
        <v>1</v>
      </c>
      <c r="AM327" s="21">
        <v>1</v>
      </c>
      <c r="AN327" s="21">
        <v>0</v>
      </c>
      <c r="AO327" s="21">
        <v>1</v>
      </c>
      <c r="AP327" s="21">
        <v>0</v>
      </c>
      <c r="AQ327" s="21">
        <v>1</v>
      </c>
      <c r="AR327" s="21">
        <v>0</v>
      </c>
      <c r="AS327" s="21">
        <v>1.5</v>
      </c>
      <c r="AT327" s="21">
        <v>0</v>
      </c>
      <c r="AU327" s="21">
        <v>0</v>
      </c>
      <c r="AV327" s="21">
        <v>0</v>
      </c>
      <c r="AW327" s="21">
        <v>0</v>
      </c>
      <c r="AX327" s="21">
        <v>0</v>
      </c>
      <c r="AY327" s="21">
        <v>0</v>
      </c>
      <c r="AZ327" s="21">
        <v>0</v>
      </c>
      <c r="BA327" s="21">
        <v>0</v>
      </c>
      <c r="BB327" s="21">
        <v>0</v>
      </c>
      <c r="BC327" s="21">
        <v>0</v>
      </c>
      <c r="BD327" s="21">
        <v>0</v>
      </c>
      <c r="BE327" s="21">
        <v>0</v>
      </c>
      <c r="BF327" s="21">
        <v>0</v>
      </c>
      <c r="BG327" s="21">
        <v>0</v>
      </c>
      <c r="BH327" s="21">
        <v>0</v>
      </c>
      <c r="BI327" s="21">
        <v>0</v>
      </c>
      <c r="BJ327" s="21">
        <v>0</v>
      </c>
      <c r="BK327" s="21">
        <v>0</v>
      </c>
      <c r="BL327" s="21">
        <v>0</v>
      </c>
      <c r="BM327" s="21">
        <v>0</v>
      </c>
      <c r="BN327" s="21">
        <v>0</v>
      </c>
      <c r="BO327" s="21">
        <v>0</v>
      </c>
      <c r="BP327" s="21">
        <v>0</v>
      </c>
      <c r="BQ327" s="21">
        <v>0</v>
      </c>
      <c r="BR327" s="21">
        <v>0</v>
      </c>
      <c r="BS327" s="21">
        <v>0</v>
      </c>
      <c r="BT327" s="21">
        <v>0</v>
      </c>
      <c r="BU327" s="21">
        <v>0</v>
      </c>
      <c r="BV327" s="21">
        <v>0</v>
      </c>
      <c r="BW327" s="21">
        <v>0</v>
      </c>
      <c r="BX327" s="21">
        <v>0</v>
      </c>
      <c r="BY327" s="21">
        <v>0</v>
      </c>
      <c r="BZ327" s="21">
        <v>0</v>
      </c>
      <c r="CA327" s="21">
        <v>0</v>
      </c>
      <c r="CB327" s="21">
        <v>0</v>
      </c>
      <c r="CC327" s="21">
        <v>0</v>
      </c>
      <c r="CD327" s="21">
        <v>0</v>
      </c>
      <c r="CE327" s="21">
        <v>0</v>
      </c>
      <c r="CF327" s="21">
        <v>0</v>
      </c>
      <c r="CG327" s="21">
        <v>0</v>
      </c>
      <c r="CH327" s="21">
        <v>0</v>
      </c>
      <c r="CI327" s="21">
        <v>0</v>
      </c>
      <c r="CJ327" s="21">
        <v>0</v>
      </c>
      <c r="CK327" s="21">
        <v>0</v>
      </c>
      <c r="CL327" s="21">
        <v>0</v>
      </c>
      <c r="CM327" s="21">
        <v>0</v>
      </c>
      <c r="CN327" s="21">
        <v>0</v>
      </c>
      <c r="CO327" s="21">
        <v>0</v>
      </c>
      <c r="CP327" s="21">
        <v>0</v>
      </c>
      <c r="CQ327" s="21">
        <v>0</v>
      </c>
      <c r="CR327" s="21">
        <v>0</v>
      </c>
      <c r="CS327" s="21">
        <v>1.5</v>
      </c>
      <c r="CT327" s="21">
        <v>0</v>
      </c>
      <c r="CU327" s="21">
        <v>0</v>
      </c>
      <c r="CV327" s="21">
        <v>0</v>
      </c>
      <c r="CW327" s="21">
        <v>0</v>
      </c>
      <c r="CX327" s="21">
        <v>0</v>
      </c>
      <c r="CY327" s="21">
        <v>0</v>
      </c>
      <c r="CZ327" s="21">
        <v>0</v>
      </c>
      <c r="DA327" s="21">
        <v>0</v>
      </c>
      <c r="DB327" s="21">
        <v>0</v>
      </c>
      <c r="DC327" s="21">
        <v>0</v>
      </c>
      <c r="DD327" s="21">
        <v>0</v>
      </c>
      <c r="DE327" s="21">
        <v>0</v>
      </c>
      <c r="DF327" s="21">
        <v>0</v>
      </c>
      <c r="DG327" s="21">
        <v>0</v>
      </c>
      <c r="DH327" s="21">
        <v>0</v>
      </c>
      <c r="DI327" s="21">
        <v>0</v>
      </c>
      <c r="DJ327" s="21">
        <v>0</v>
      </c>
      <c r="DK327" s="21">
        <v>0</v>
      </c>
      <c r="DL327" s="21">
        <v>0</v>
      </c>
      <c r="DM327" s="21">
        <v>0</v>
      </c>
      <c r="DN327" s="21">
        <v>0</v>
      </c>
      <c r="DO327" s="21">
        <v>0</v>
      </c>
      <c r="DP327" s="21">
        <v>0</v>
      </c>
      <c r="DQ327" s="21">
        <v>0</v>
      </c>
      <c r="DR327" s="21">
        <v>0</v>
      </c>
      <c r="DS327" s="21">
        <v>0</v>
      </c>
      <c r="DT327" s="21">
        <v>0</v>
      </c>
      <c r="DU327" s="21">
        <v>0</v>
      </c>
      <c r="DV327" s="21">
        <v>0</v>
      </c>
      <c r="DW327" s="21">
        <v>0</v>
      </c>
      <c r="DX327" s="21">
        <v>0</v>
      </c>
      <c r="DY327" s="21">
        <v>0</v>
      </c>
      <c r="DZ327" s="21">
        <v>0</v>
      </c>
      <c r="EA327" s="21">
        <v>0</v>
      </c>
      <c r="EB327" s="21">
        <v>0</v>
      </c>
      <c r="EC327" s="21">
        <v>0</v>
      </c>
      <c r="ED327" s="21">
        <v>0</v>
      </c>
      <c r="EE327" s="21">
        <v>0</v>
      </c>
      <c r="EF327" s="21">
        <v>0</v>
      </c>
    </row>
    <row r="328" spans="1:136" ht="14.5" x14ac:dyDescent="0.35">
      <c r="A328" s="20" t="s">
        <v>12</v>
      </c>
      <c r="B328" s="20" t="s">
        <v>104</v>
      </c>
      <c r="C328" s="20" t="s">
        <v>104</v>
      </c>
      <c r="D328" s="20" t="s">
        <v>337</v>
      </c>
      <c r="E328" s="20" t="s">
        <v>16</v>
      </c>
      <c r="F328" s="20" t="s">
        <v>77</v>
      </c>
      <c r="G328" s="21">
        <v>1.5</v>
      </c>
      <c r="H328" s="21">
        <v>1.5</v>
      </c>
      <c r="I328" s="21">
        <v>11.5</v>
      </c>
      <c r="J328" s="21">
        <v>-10</v>
      </c>
      <c r="K328" s="21">
        <v>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>
        <v>0</v>
      </c>
      <c r="Z328" s="21">
        <v>0</v>
      </c>
      <c r="AA328" s="21">
        <v>0</v>
      </c>
      <c r="AB328" s="21">
        <v>0</v>
      </c>
      <c r="AC328" s="21">
        <v>0</v>
      </c>
      <c r="AD328" s="21">
        <v>0</v>
      </c>
      <c r="AE328" s="21">
        <v>0.5</v>
      </c>
      <c r="AF328" s="21">
        <v>0.5</v>
      </c>
      <c r="AG328" s="21">
        <v>0.5</v>
      </c>
      <c r="AH328" s="21">
        <v>4.5</v>
      </c>
      <c r="AI328" s="21">
        <v>2</v>
      </c>
      <c r="AJ328" s="21">
        <v>3.5</v>
      </c>
      <c r="AK328" s="21">
        <v>0</v>
      </c>
      <c r="AL328" s="21">
        <v>0</v>
      </c>
      <c r="AM328" s="21">
        <v>0</v>
      </c>
      <c r="AN328" s="21">
        <v>0</v>
      </c>
      <c r="AO328" s="21">
        <v>0</v>
      </c>
      <c r="AP328" s="21">
        <v>0</v>
      </c>
      <c r="AQ328" s="21">
        <v>0</v>
      </c>
      <c r="AR328" s="21">
        <v>0</v>
      </c>
      <c r="AS328" s="21">
        <v>0</v>
      </c>
      <c r="AT328" s="21">
        <v>0</v>
      </c>
      <c r="AU328" s="21">
        <v>0</v>
      </c>
      <c r="AV328" s="21">
        <v>0</v>
      </c>
      <c r="AW328" s="21">
        <v>0</v>
      </c>
      <c r="AX328" s="21">
        <v>0</v>
      </c>
      <c r="AY328" s="21">
        <v>0</v>
      </c>
      <c r="AZ328" s="21">
        <v>0</v>
      </c>
      <c r="BA328" s="21">
        <v>0</v>
      </c>
      <c r="BB328" s="21">
        <v>0</v>
      </c>
      <c r="BC328" s="21">
        <v>0</v>
      </c>
      <c r="BD328" s="21">
        <v>0</v>
      </c>
      <c r="BE328" s="21">
        <v>0</v>
      </c>
      <c r="BF328" s="21">
        <v>0</v>
      </c>
      <c r="BG328" s="21">
        <v>0</v>
      </c>
      <c r="BH328" s="21">
        <v>0</v>
      </c>
      <c r="BI328" s="21">
        <v>0</v>
      </c>
      <c r="BJ328" s="21">
        <v>0</v>
      </c>
      <c r="BK328" s="21">
        <v>0</v>
      </c>
      <c r="BL328" s="21">
        <v>0</v>
      </c>
      <c r="BM328" s="21">
        <v>0</v>
      </c>
      <c r="BN328" s="21">
        <v>0</v>
      </c>
      <c r="BO328" s="21">
        <v>0</v>
      </c>
      <c r="BP328" s="21">
        <v>0</v>
      </c>
      <c r="BQ328" s="21">
        <v>0</v>
      </c>
      <c r="BR328" s="21">
        <v>0</v>
      </c>
      <c r="BS328" s="21">
        <v>0</v>
      </c>
      <c r="BT328" s="21">
        <v>0</v>
      </c>
      <c r="BU328" s="21">
        <v>0</v>
      </c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1">
        <v>0</v>
      </c>
      <c r="CH328" s="21">
        <v>0</v>
      </c>
      <c r="CI328" s="21">
        <v>0</v>
      </c>
      <c r="CJ328" s="21">
        <v>0</v>
      </c>
      <c r="CK328" s="21">
        <v>0</v>
      </c>
      <c r="CL328" s="21">
        <v>0</v>
      </c>
      <c r="CM328" s="21">
        <v>0</v>
      </c>
      <c r="CN328" s="21">
        <v>0</v>
      </c>
      <c r="CO328" s="21">
        <v>0</v>
      </c>
      <c r="CP328" s="21">
        <v>0</v>
      </c>
      <c r="CQ328" s="21">
        <v>0</v>
      </c>
      <c r="CR328" s="21">
        <v>0</v>
      </c>
      <c r="CS328" s="21">
        <v>0</v>
      </c>
      <c r="CT328" s="21">
        <v>0</v>
      </c>
      <c r="CU328" s="21">
        <v>0</v>
      </c>
      <c r="CV328" s="21">
        <v>0</v>
      </c>
      <c r="CW328" s="21">
        <v>0</v>
      </c>
      <c r="CX328" s="21">
        <v>0</v>
      </c>
      <c r="CY328" s="21">
        <v>0</v>
      </c>
      <c r="CZ328" s="21">
        <v>0</v>
      </c>
      <c r="DA328" s="21">
        <v>0</v>
      </c>
      <c r="DB328" s="21">
        <v>0</v>
      </c>
      <c r="DC328" s="21">
        <v>0</v>
      </c>
      <c r="DD328" s="21">
        <v>0</v>
      </c>
      <c r="DE328" s="21">
        <v>0</v>
      </c>
      <c r="DF328" s="21">
        <v>0</v>
      </c>
      <c r="DG328" s="21">
        <v>0</v>
      </c>
      <c r="DH328" s="21">
        <v>0</v>
      </c>
      <c r="DI328" s="21">
        <v>0</v>
      </c>
      <c r="DJ328" s="21">
        <v>0</v>
      </c>
      <c r="DK328" s="21">
        <v>0</v>
      </c>
      <c r="DL328" s="21">
        <v>0</v>
      </c>
      <c r="DM328" s="21">
        <v>0</v>
      </c>
      <c r="DN328" s="21">
        <v>0</v>
      </c>
      <c r="DO328" s="21">
        <v>0</v>
      </c>
      <c r="DP328" s="21">
        <v>0</v>
      </c>
      <c r="DQ328" s="21">
        <v>0</v>
      </c>
      <c r="DR328" s="21">
        <v>0</v>
      </c>
      <c r="DS328" s="21">
        <v>0</v>
      </c>
      <c r="DT328" s="21">
        <v>0</v>
      </c>
      <c r="DU328" s="21">
        <v>0</v>
      </c>
      <c r="DV328" s="21">
        <v>0</v>
      </c>
      <c r="DW328" s="21">
        <v>0</v>
      </c>
      <c r="DX328" s="21">
        <v>0</v>
      </c>
      <c r="DY328" s="21">
        <v>0</v>
      </c>
      <c r="DZ328" s="21">
        <v>0</v>
      </c>
      <c r="EA328" s="21">
        <v>0</v>
      </c>
      <c r="EB328" s="21">
        <v>0</v>
      </c>
      <c r="EC328" s="21">
        <v>0</v>
      </c>
      <c r="ED328" s="21">
        <v>0</v>
      </c>
      <c r="EE328" s="21">
        <v>0</v>
      </c>
      <c r="EF328" s="21">
        <v>0</v>
      </c>
    </row>
    <row r="329" spans="1:136" ht="14.5" x14ac:dyDescent="0.35">
      <c r="A329" s="20" t="s">
        <v>12</v>
      </c>
      <c r="B329" s="20" t="s">
        <v>104</v>
      </c>
      <c r="C329" s="20" t="s">
        <v>104</v>
      </c>
      <c r="D329" s="20" t="s">
        <v>338</v>
      </c>
      <c r="E329" s="20" t="s">
        <v>16</v>
      </c>
      <c r="F329" s="20" t="s">
        <v>80</v>
      </c>
      <c r="G329" s="21">
        <v>0</v>
      </c>
      <c r="H329" s="21">
        <v>0</v>
      </c>
      <c r="I329" s="21">
        <v>181</v>
      </c>
      <c r="J329" s="21">
        <v>-181</v>
      </c>
      <c r="K329" s="21">
        <v>0</v>
      </c>
      <c r="L329" s="21">
        <v>0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>
        <v>0</v>
      </c>
      <c r="W329" s="21">
        <v>0</v>
      </c>
      <c r="X329" s="21">
        <v>0</v>
      </c>
      <c r="Y329" s="21">
        <v>0</v>
      </c>
      <c r="Z329" s="21">
        <v>0</v>
      </c>
      <c r="AA329" s="21">
        <v>0</v>
      </c>
      <c r="AB329" s="21">
        <v>0</v>
      </c>
      <c r="AC329" s="21">
        <v>0</v>
      </c>
      <c r="AD329" s="21">
        <v>0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0</v>
      </c>
      <c r="AN329" s="21">
        <v>0</v>
      </c>
      <c r="AO329" s="21">
        <v>0</v>
      </c>
      <c r="AP329" s="21">
        <v>0</v>
      </c>
      <c r="AQ329" s="21">
        <v>0</v>
      </c>
      <c r="AR329" s="21">
        <v>0</v>
      </c>
      <c r="AS329" s="21">
        <v>0</v>
      </c>
      <c r="AT329" s="21">
        <v>0</v>
      </c>
      <c r="AU329" s="21">
        <v>0</v>
      </c>
      <c r="AV329" s="21">
        <v>0</v>
      </c>
      <c r="AW329" s="21">
        <v>0</v>
      </c>
      <c r="AX329" s="21">
        <v>0</v>
      </c>
      <c r="AY329" s="21">
        <v>0</v>
      </c>
      <c r="AZ329" s="21">
        <v>0</v>
      </c>
      <c r="BA329" s="21">
        <v>0</v>
      </c>
      <c r="BB329" s="21">
        <v>0</v>
      </c>
      <c r="BC329" s="21">
        <v>0</v>
      </c>
      <c r="BD329" s="21">
        <v>0</v>
      </c>
      <c r="BE329" s="21">
        <v>0</v>
      </c>
      <c r="BF329" s="21">
        <v>0</v>
      </c>
      <c r="BG329" s="21">
        <v>0</v>
      </c>
      <c r="BH329" s="21">
        <v>0</v>
      </c>
      <c r="BI329" s="21">
        <v>0</v>
      </c>
      <c r="BJ329" s="21">
        <v>0</v>
      </c>
      <c r="BK329" s="21">
        <v>0</v>
      </c>
      <c r="BL329" s="21">
        <v>0</v>
      </c>
      <c r="BM329" s="21">
        <v>0</v>
      </c>
      <c r="BN329" s="21">
        <v>0</v>
      </c>
      <c r="BO329" s="21">
        <v>0</v>
      </c>
      <c r="BP329" s="21">
        <v>0</v>
      </c>
      <c r="BQ329" s="21">
        <v>0</v>
      </c>
      <c r="BR329" s="21">
        <v>0</v>
      </c>
      <c r="BS329" s="21">
        <v>0</v>
      </c>
      <c r="BT329" s="21">
        <v>0</v>
      </c>
      <c r="BU329" s="21">
        <v>0</v>
      </c>
      <c r="BV329" s="21">
        <v>0</v>
      </c>
      <c r="BW329" s="21">
        <v>0</v>
      </c>
      <c r="BX329" s="21">
        <v>0</v>
      </c>
      <c r="BY329" s="21">
        <v>0</v>
      </c>
      <c r="BZ329" s="21">
        <v>0</v>
      </c>
      <c r="CA329" s="21">
        <v>0</v>
      </c>
      <c r="CB329" s="21">
        <v>0</v>
      </c>
      <c r="CC329" s="21">
        <v>0</v>
      </c>
      <c r="CD329" s="21">
        <v>0</v>
      </c>
      <c r="CE329" s="21">
        <v>0</v>
      </c>
      <c r="CF329" s="21">
        <v>0</v>
      </c>
      <c r="CG329" s="21">
        <v>0</v>
      </c>
      <c r="CH329" s="21">
        <v>0</v>
      </c>
      <c r="CI329" s="21">
        <v>0</v>
      </c>
      <c r="CJ329" s="21">
        <v>0</v>
      </c>
      <c r="CK329" s="21">
        <v>0</v>
      </c>
      <c r="CL329" s="21">
        <v>0</v>
      </c>
      <c r="CM329" s="21">
        <v>0</v>
      </c>
      <c r="CN329" s="21">
        <v>0</v>
      </c>
      <c r="CO329" s="21">
        <v>0</v>
      </c>
      <c r="CP329" s="21">
        <v>0</v>
      </c>
      <c r="CQ329" s="21">
        <v>0</v>
      </c>
      <c r="CR329" s="21">
        <v>0</v>
      </c>
      <c r="CS329" s="21">
        <v>0</v>
      </c>
      <c r="CT329" s="21">
        <v>6</v>
      </c>
      <c r="CU329" s="21">
        <v>8</v>
      </c>
      <c r="CV329" s="21">
        <v>8</v>
      </c>
      <c r="CW329" s="21">
        <v>5</v>
      </c>
      <c r="CX329" s="21">
        <v>2</v>
      </c>
      <c r="CY329" s="21">
        <v>2</v>
      </c>
      <c r="CZ329" s="21">
        <v>4</v>
      </c>
      <c r="DA329" s="21">
        <v>4</v>
      </c>
      <c r="DB329" s="21">
        <v>4</v>
      </c>
      <c r="DC329" s="21">
        <v>7</v>
      </c>
      <c r="DD329" s="21">
        <v>5</v>
      </c>
      <c r="DE329" s="21">
        <v>4</v>
      </c>
      <c r="DF329" s="21">
        <v>2</v>
      </c>
      <c r="DG329" s="21">
        <v>3</v>
      </c>
      <c r="DH329" s="21">
        <v>5</v>
      </c>
      <c r="DI329" s="21">
        <v>0</v>
      </c>
      <c r="DJ329" s="21">
        <v>0</v>
      </c>
      <c r="DK329" s="21">
        <v>10</v>
      </c>
      <c r="DL329" s="21">
        <v>10</v>
      </c>
      <c r="DM329" s="21">
        <v>12</v>
      </c>
      <c r="DN329" s="21">
        <v>15</v>
      </c>
      <c r="DO329" s="21">
        <v>20</v>
      </c>
      <c r="DP329" s="21">
        <v>20</v>
      </c>
      <c r="DQ329" s="21">
        <v>15</v>
      </c>
      <c r="DR329" s="21">
        <v>10</v>
      </c>
      <c r="DS329" s="21">
        <v>0</v>
      </c>
      <c r="DT329" s="21">
        <v>0</v>
      </c>
      <c r="DU329" s="21">
        <v>0</v>
      </c>
      <c r="DV329" s="21">
        <v>0</v>
      </c>
      <c r="DW329" s="21">
        <v>0</v>
      </c>
      <c r="DX329" s="21">
        <v>0</v>
      </c>
      <c r="DY329" s="21">
        <v>0</v>
      </c>
      <c r="DZ329" s="21">
        <v>0</v>
      </c>
      <c r="EA329" s="21">
        <v>0</v>
      </c>
      <c r="EB329" s="21">
        <v>0</v>
      </c>
      <c r="EC329" s="21">
        <v>0</v>
      </c>
      <c r="ED329" s="21">
        <v>0</v>
      </c>
      <c r="EE329" s="21">
        <v>0</v>
      </c>
      <c r="EF329" s="21">
        <v>0</v>
      </c>
    </row>
    <row r="330" spans="1:136" ht="14.5" x14ac:dyDescent="0.35">
      <c r="A330" s="20" t="s">
        <v>12</v>
      </c>
      <c r="B330" s="20" t="s">
        <v>104</v>
      </c>
      <c r="C330" s="20" t="s">
        <v>104</v>
      </c>
      <c r="D330" s="20" t="s">
        <v>337</v>
      </c>
      <c r="E330" s="20" t="s">
        <v>16</v>
      </c>
      <c r="F330" s="20" t="s">
        <v>80</v>
      </c>
      <c r="G330" s="21">
        <v>4</v>
      </c>
      <c r="H330" s="21">
        <v>185</v>
      </c>
      <c r="I330" s="21">
        <v>0</v>
      </c>
      <c r="J330" s="21">
        <v>185</v>
      </c>
      <c r="K330" s="21">
        <v>0</v>
      </c>
      <c r="L330" s="21">
        <v>0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0</v>
      </c>
      <c r="Z330" s="21">
        <v>0</v>
      </c>
      <c r="AA330" s="21">
        <v>0</v>
      </c>
      <c r="AB330" s="21">
        <v>0</v>
      </c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0</v>
      </c>
      <c r="AN330" s="21">
        <v>0</v>
      </c>
      <c r="AO330" s="21">
        <v>0</v>
      </c>
      <c r="AP330" s="21">
        <v>0</v>
      </c>
      <c r="AQ330" s="21">
        <v>0</v>
      </c>
      <c r="AR330" s="21">
        <v>0</v>
      </c>
      <c r="AS330" s="21">
        <v>0</v>
      </c>
      <c r="AT330" s="21">
        <v>0</v>
      </c>
      <c r="AU330" s="21">
        <v>0</v>
      </c>
      <c r="AV330" s="21">
        <v>0</v>
      </c>
      <c r="AW330" s="21">
        <v>0</v>
      </c>
      <c r="AX330" s="21">
        <v>0</v>
      </c>
      <c r="AY330" s="21">
        <v>0</v>
      </c>
      <c r="AZ330" s="21">
        <v>0</v>
      </c>
      <c r="BA330" s="21">
        <v>0</v>
      </c>
      <c r="BB330" s="21">
        <v>0</v>
      </c>
      <c r="BC330" s="21">
        <v>0</v>
      </c>
      <c r="BD330" s="21">
        <v>0</v>
      </c>
      <c r="BE330" s="21">
        <v>0</v>
      </c>
      <c r="BF330" s="21">
        <v>0</v>
      </c>
      <c r="BG330" s="21">
        <v>0</v>
      </c>
      <c r="BH330" s="21">
        <v>0</v>
      </c>
      <c r="BI330" s="21">
        <v>0</v>
      </c>
      <c r="BJ330" s="21">
        <v>0</v>
      </c>
      <c r="BK330" s="21">
        <v>0</v>
      </c>
      <c r="BL330" s="21">
        <v>0</v>
      </c>
      <c r="BM330" s="21">
        <v>0</v>
      </c>
      <c r="BN330" s="21">
        <v>0</v>
      </c>
      <c r="BO330" s="21">
        <v>0</v>
      </c>
      <c r="BP330" s="21">
        <v>0</v>
      </c>
      <c r="BQ330" s="21">
        <v>0</v>
      </c>
      <c r="BR330" s="21">
        <v>0</v>
      </c>
      <c r="BS330" s="21">
        <v>0</v>
      </c>
      <c r="BT330" s="21">
        <v>0</v>
      </c>
      <c r="BU330" s="21">
        <v>0</v>
      </c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1">
        <v>0</v>
      </c>
      <c r="CH330" s="21">
        <v>0</v>
      </c>
      <c r="CI330" s="21">
        <v>0</v>
      </c>
      <c r="CJ330" s="21">
        <v>0</v>
      </c>
      <c r="CK330" s="21">
        <v>0</v>
      </c>
      <c r="CL330" s="21">
        <v>0</v>
      </c>
      <c r="CM330" s="21">
        <v>0</v>
      </c>
      <c r="CN330" s="21">
        <v>0</v>
      </c>
      <c r="CO330" s="21">
        <v>0</v>
      </c>
      <c r="CP330" s="21">
        <v>0</v>
      </c>
      <c r="CQ330" s="21">
        <v>0</v>
      </c>
      <c r="CR330" s="21">
        <v>0</v>
      </c>
      <c r="CS330" s="21">
        <v>0</v>
      </c>
      <c r="CT330" s="21">
        <v>0</v>
      </c>
      <c r="CU330" s="21">
        <v>0</v>
      </c>
      <c r="CV330" s="21">
        <v>0</v>
      </c>
      <c r="CW330" s="21">
        <v>0</v>
      </c>
      <c r="CX330" s="21">
        <v>0</v>
      </c>
      <c r="CY330" s="21">
        <v>0</v>
      </c>
      <c r="CZ330" s="21">
        <v>0</v>
      </c>
      <c r="DA330" s="21">
        <v>0</v>
      </c>
      <c r="DB330" s="21">
        <v>0</v>
      </c>
      <c r="DC330" s="21">
        <v>0</v>
      </c>
      <c r="DD330" s="21">
        <v>0</v>
      </c>
      <c r="DE330" s="21">
        <v>0</v>
      </c>
      <c r="DF330" s="21">
        <v>0</v>
      </c>
      <c r="DG330" s="21">
        <v>0</v>
      </c>
      <c r="DH330" s="21">
        <v>0</v>
      </c>
      <c r="DI330" s="21">
        <v>0</v>
      </c>
      <c r="DJ330" s="21">
        <v>0</v>
      </c>
      <c r="DK330" s="21">
        <v>0</v>
      </c>
      <c r="DL330" s="21">
        <v>0</v>
      </c>
      <c r="DM330" s="21">
        <v>0</v>
      </c>
      <c r="DN330" s="21">
        <v>0</v>
      </c>
      <c r="DO330" s="21">
        <v>0</v>
      </c>
      <c r="DP330" s="21">
        <v>0</v>
      </c>
      <c r="DQ330" s="21">
        <v>0</v>
      </c>
      <c r="DR330" s="21">
        <v>0</v>
      </c>
      <c r="DS330" s="21">
        <v>0</v>
      </c>
      <c r="DT330" s="21">
        <v>0</v>
      </c>
      <c r="DU330" s="21">
        <v>0</v>
      </c>
      <c r="DV330" s="21">
        <v>0</v>
      </c>
      <c r="DW330" s="21">
        <v>0</v>
      </c>
      <c r="DX330" s="21">
        <v>0</v>
      </c>
      <c r="DY330" s="21">
        <v>0</v>
      </c>
      <c r="DZ330" s="21">
        <v>0</v>
      </c>
      <c r="EA330" s="21">
        <v>0</v>
      </c>
      <c r="EB330" s="21">
        <v>0</v>
      </c>
      <c r="EC330" s="21">
        <v>0</v>
      </c>
      <c r="ED330" s="21">
        <v>0</v>
      </c>
      <c r="EE330" s="21">
        <v>0</v>
      </c>
      <c r="EF330" s="21">
        <v>0</v>
      </c>
    </row>
    <row r="331" spans="1:136" ht="14.5" x14ac:dyDescent="0.35">
      <c r="A331" s="20" t="s">
        <v>12</v>
      </c>
      <c r="B331" s="20" t="s">
        <v>104</v>
      </c>
      <c r="C331" s="20" t="s">
        <v>104</v>
      </c>
      <c r="D331" s="20" t="s">
        <v>338</v>
      </c>
      <c r="E331" s="20" t="s">
        <v>16</v>
      </c>
      <c r="F331" s="20" t="s">
        <v>88</v>
      </c>
      <c r="G331" s="21">
        <v>0</v>
      </c>
      <c r="H331" s="21">
        <v>0</v>
      </c>
      <c r="I331" s="21">
        <v>0</v>
      </c>
      <c r="J331" s="21">
        <v>0</v>
      </c>
      <c r="K331" s="21">
        <v>0</v>
      </c>
      <c r="L331" s="21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>
        <v>0</v>
      </c>
      <c r="W331" s="21">
        <v>0</v>
      </c>
      <c r="X331" s="21">
        <v>0</v>
      </c>
      <c r="Y331" s="21">
        <v>0</v>
      </c>
      <c r="Z331" s="21">
        <v>0</v>
      </c>
      <c r="AA331" s="21">
        <v>0</v>
      </c>
      <c r="AB331" s="21">
        <v>0</v>
      </c>
      <c r="AC331" s="21">
        <v>0</v>
      </c>
      <c r="AD331" s="21">
        <v>0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0</v>
      </c>
      <c r="AL331" s="21">
        <v>0</v>
      </c>
      <c r="AM331" s="21">
        <v>0</v>
      </c>
      <c r="AN331" s="21">
        <v>0</v>
      </c>
      <c r="AO331" s="21">
        <v>0</v>
      </c>
      <c r="AP331" s="21">
        <v>0</v>
      </c>
      <c r="AQ331" s="21">
        <v>0</v>
      </c>
      <c r="AR331" s="21">
        <v>0</v>
      </c>
      <c r="AS331" s="21">
        <v>0</v>
      </c>
      <c r="AT331" s="21">
        <v>0</v>
      </c>
      <c r="AU331" s="21">
        <v>0</v>
      </c>
      <c r="AV331" s="21">
        <v>0</v>
      </c>
      <c r="AW331" s="21">
        <v>0</v>
      </c>
      <c r="AX331" s="21">
        <v>0</v>
      </c>
      <c r="AY331" s="21">
        <v>0</v>
      </c>
      <c r="AZ331" s="21">
        <v>0</v>
      </c>
      <c r="BA331" s="21">
        <v>0</v>
      </c>
      <c r="BB331" s="21">
        <v>0</v>
      </c>
      <c r="BC331" s="21">
        <v>0</v>
      </c>
      <c r="BD331" s="21">
        <v>0</v>
      </c>
      <c r="BE331" s="21">
        <v>0</v>
      </c>
      <c r="BF331" s="21">
        <v>0</v>
      </c>
      <c r="BG331" s="21">
        <v>0</v>
      </c>
      <c r="BH331" s="21">
        <v>0</v>
      </c>
      <c r="BI331" s="21">
        <v>0</v>
      </c>
      <c r="BJ331" s="21">
        <v>0</v>
      </c>
      <c r="BK331" s="21">
        <v>0</v>
      </c>
      <c r="BL331" s="21">
        <v>0</v>
      </c>
      <c r="BM331" s="21">
        <v>0</v>
      </c>
      <c r="BN331" s="21">
        <v>0</v>
      </c>
      <c r="BO331" s="21">
        <v>0</v>
      </c>
      <c r="BP331" s="21">
        <v>0</v>
      </c>
      <c r="BQ331" s="21">
        <v>0</v>
      </c>
      <c r="BR331" s="21">
        <v>0</v>
      </c>
      <c r="BS331" s="21">
        <v>0</v>
      </c>
      <c r="BT331" s="21">
        <v>0</v>
      </c>
      <c r="BU331" s="21">
        <v>0</v>
      </c>
      <c r="BV331" s="21">
        <v>0</v>
      </c>
      <c r="BW331" s="21">
        <v>0</v>
      </c>
      <c r="BX331" s="21">
        <v>0</v>
      </c>
      <c r="BY331" s="21">
        <v>0</v>
      </c>
      <c r="BZ331" s="21">
        <v>0</v>
      </c>
      <c r="CA331" s="21">
        <v>0</v>
      </c>
      <c r="CB331" s="21">
        <v>0</v>
      </c>
      <c r="CC331" s="21">
        <v>0</v>
      </c>
      <c r="CD331" s="21">
        <v>0</v>
      </c>
      <c r="CE331" s="21">
        <v>0</v>
      </c>
      <c r="CF331" s="21">
        <v>0</v>
      </c>
      <c r="CG331" s="21">
        <v>0</v>
      </c>
      <c r="CH331" s="21">
        <v>0</v>
      </c>
      <c r="CI331" s="21">
        <v>0</v>
      </c>
      <c r="CJ331" s="21">
        <v>0</v>
      </c>
      <c r="CK331" s="21">
        <v>0</v>
      </c>
      <c r="CL331" s="21">
        <v>0</v>
      </c>
      <c r="CM331" s="21">
        <v>0</v>
      </c>
      <c r="CN331" s="21">
        <v>0</v>
      </c>
      <c r="CO331" s="21">
        <v>0</v>
      </c>
      <c r="CP331" s="21">
        <v>0</v>
      </c>
      <c r="CQ331" s="21">
        <v>0</v>
      </c>
      <c r="CR331" s="21">
        <v>0</v>
      </c>
      <c r="CS331" s="21">
        <v>0</v>
      </c>
      <c r="CT331" s="21">
        <v>0</v>
      </c>
      <c r="CU331" s="21">
        <v>0</v>
      </c>
      <c r="CV331" s="21">
        <v>0</v>
      </c>
      <c r="CW331" s="21">
        <v>0</v>
      </c>
      <c r="CX331" s="21">
        <v>0</v>
      </c>
      <c r="CY331" s="21">
        <v>0</v>
      </c>
      <c r="CZ331" s="21">
        <v>0</v>
      </c>
      <c r="DA331" s="21">
        <v>0</v>
      </c>
      <c r="DB331" s="21">
        <v>0</v>
      </c>
      <c r="DC331" s="21">
        <v>0</v>
      </c>
      <c r="DD331" s="21">
        <v>0</v>
      </c>
      <c r="DE331" s="21">
        <v>0</v>
      </c>
      <c r="DF331" s="21">
        <v>0</v>
      </c>
      <c r="DG331" s="21">
        <v>0</v>
      </c>
      <c r="DH331" s="21">
        <v>0</v>
      </c>
      <c r="DI331" s="21">
        <v>0</v>
      </c>
      <c r="DJ331" s="21">
        <v>0</v>
      </c>
      <c r="DK331" s="21">
        <v>0</v>
      </c>
      <c r="DL331" s="21">
        <v>0</v>
      </c>
      <c r="DM331" s="21">
        <v>0</v>
      </c>
      <c r="DN331" s="21">
        <v>0</v>
      </c>
      <c r="DO331" s="21">
        <v>0</v>
      </c>
      <c r="DP331" s="21">
        <v>0</v>
      </c>
      <c r="DQ331" s="21">
        <v>0</v>
      </c>
      <c r="DR331" s="21">
        <v>0</v>
      </c>
      <c r="DS331" s="21">
        <v>0</v>
      </c>
      <c r="DT331" s="21">
        <v>0</v>
      </c>
      <c r="DU331" s="21">
        <v>0</v>
      </c>
      <c r="DV331" s="21">
        <v>0</v>
      </c>
      <c r="DW331" s="21">
        <v>0</v>
      </c>
      <c r="DX331" s="21">
        <v>0</v>
      </c>
      <c r="DY331" s="21">
        <v>0</v>
      </c>
      <c r="DZ331" s="21">
        <v>0</v>
      </c>
      <c r="EA331" s="21">
        <v>0</v>
      </c>
      <c r="EB331" s="21">
        <v>0</v>
      </c>
      <c r="EC331" s="21">
        <v>0</v>
      </c>
      <c r="ED331" s="21">
        <v>0</v>
      </c>
      <c r="EE331" s="21">
        <v>0</v>
      </c>
      <c r="EF331" s="21">
        <v>0</v>
      </c>
    </row>
    <row r="332" spans="1:136" ht="14.5" x14ac:dyDescent="0.35">
      <c r="A332" s="20" t="s">
        <v>12</v>
      </c>
      <c r="B332" s="20" t="s">
        <v>104</v>
      </c>
      <c r="C332" s="20" t="s">
        <v>104</v>
      </c>
      <c r="D332" s="20" t="s">
        <v>337</v>
      </c>
      <c r="E332" s="20" t="s">
        <v>16</v>
      </c>
      <c r="F332" s="20" t="s">
        <v>88</v>
      </c>
      <c r="G332" s="21">
        <v>10</v>
      </c>
      <c r="H332" s="21">
        <v>10</v>
      </c>
      <c r="I332" s="21">
        <v>0</v>
      </c>
      <c r="J332" s="21">
        <v>10</v>
      </c>
      <c r="K332" s="21">
        <v>0</v>
      </c>
      <c r="L332" s="21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1">
        <v>0</v>
      </c>
      <c r="AO332" s="21">
        <v>0</v>
      </c>
      <c r="AP332" s="21">
        <v>0</v>
      </c>
      <c r="AQ332" s="21">
        <v>0</v>
      </c>
      <c r="AR332" s="21">
        <v>0</v>
      </c>
      <c r="AS332" s="21">
        <v>0</v>
      </c>
      <c r="AT332" s="21">
        <v>0</v>
      </c>
      <c r="AU332" s="21">
        <v>0</v>
      </c>
      <c r="AV332" s="21">
        <v>0</v>
      </c>
      <c r="AW332" s="21">
        <v>0</v>
      </c>
      <c r="AX332" s="21">
        <v>0</v>
      </c>
      <c r="AY332" s="21">
        <v>0</v>
      </c>
      <c r="AZ332" s="21">
        <v>0</v>
      </c>
      <c r="BA332" s="21">
        <v>0</v>
      </c>
      <c r="BB332" s="21">
        <v>0</v>
      </c>
      <c r="BC332" s="21">
        <v>0</v>
      </c>
      <c r="BD332" s="21">
        <v>0</v>
      </c>
      <c r="BE332" s="21">
        <v>0</v>
      </c>
      <c r="BF332" s="21">
        <v>0</v>
      </c>
      <c r="BG332" s="21">
        <v>0</v>
      </c>
      <c r="BH332" s="21">
        <v>0</v>
      </c>
      <c r="BI332" s="21">
        <v>0</v>
      </c>
      <c r="BJ332" s="21">
        <v>0</v>
      </c>
      <c r="BK332" s="21">
        <v>0</v>
      </c>
      <c r="BL332" s="21">
        <v>0</v>
      </c>
      <c r="BM332" s="21">
        <v>0</v>
      </c>
      <c r="BN332" s="21">
        <v>0</v>
      </c>
      <c r="BO332" s="21">
        <v>0</v>
      </c>
      <c r="BP332" s="21">
        <v>0</v>
      </c>
      <c r="BQ332" s="21">
        <v>0</v>
      </c>
      <c r="BR332" s="21">
        <v>0</v>
      </c>
      <c r="BS332" s="21">
        <v>0</v>
      </c>
      <c r="BT332" s="21">
        <v>0</v>
      </c>
      <c r="BU332" s="21">
        <v>0</v>
      </c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1">
        <v>0</v>
      </c>
      <c r="CH332" s="21">
        <v>0</v>
      </c>
      <c r="CI332" s="21">
        <v>0</v>
      </c>
      <c r="CJ332" s="21">
        <v>0</v>
      </c>
      <c r="CK332" s="21">
        <v>0</v>
      </c>
      <c r="CL332" s="21">
        <v>0</v>
      </c>
      <c r="CM332" s="21">
        <v>0</v>
      </c>
      <c r="CN332" s="21">
        <v>0</v>
      </c>
      <c r="CO332" s="21">
        <v>0</v>
      </c>
      <c r="CP332" s="21">
        <v>0</v>
      </c>
      <c r="CQ332" s="21">
        <v>0</v>
      </c>
      <c r="CR332" s="21">
        <v>0</v>
      </c>
      <c r="CS332" s="21">
        <v>0</v>
      </c>
      <c r="CT332" s="21">
        <v>0</v>
      </c>
      <c r="CU332" s="21">
        <v>0</v>
      </c>
      <c r="CV332" s="21">
        <v>0</v>
      </c>
      <c r="CW332" s="21">
        <v>0</v>
      </c>
      <c r="CX332" s="21">
        <v>0</v>
      </c>
      <c r="CY332" s="21">
        <v>0</v>
      </c>
      <c r="CZ332" s="21">
        <v>0</v>
      </c>
      <c r="DA332" s="21">
        <v>0</v>
      </c>
      <c r="DB332" s="21">
        <v>0</v>
      </c>
      <c r="DC332" s="21">
        <v>0</v>
      </c>
      <c r="DD332" s="21">
        <v>0</v>
      </c>
      <c r="DE332" s="21">
        <v>0</v>
      </c>
      <c r="DF332" s="21">
        <v>0</v>
      </c>
      <c r="DG332" s="21">
        <v>0</v>
      </c>
      <c r="DH332" s="21">
        <v>0</v>
      </c>
      <c r="DI332" s="21">
        <v>0</v>
      </c>
      <c r="DJ332" s="21">
        <v>0</v>
      </c>
      <c r="DK332" s="21">
        <v>0</v>
      </c>
      <c r="DL332" s="21">
        <v>0</v>
      </c>
      <c r="DM332" s="21">
        <v>0</v>
      </c>
      <c r="DN332" s="21">
        <v>0</v>
      </c>
      <c r="DO332" s="21">
        <v>0</v>
      </c>
      <c r="DP332" s="21">
        <v>0</v>
      </c>
      <c r="DQ332" s="21">
        <v>0</v>
      </c>
      <c r="DR332" s="21">
        <v>0</v>
      </c>
      <c r="DS332" s="21">
        <v>0</v>
      </c>
      <c r="DT332" s="21">
        <v>0</v>
      </c>
      <c r="DU332" s="21">
        <v>0</v>
      </c>
      <c r="DV332" s="21">
        <v>0</v>
      </c>
      <c r="DW332" s="21">
        <v>0</v>
      </c>
      <c r="DX332" s="21">
        <v>0</v>
      </c>
      <c r="DY332" s="21">
        <v>0</v>
      </c>
      <c r="DZ332" s="21">
        <v>0</v>
      </c>
      <c r="EA332" s="21">
        <v>0</v>
      </c>
      <c r="EB332" s="21">
        <v>0</v>
      </c>
      <c r="EC332" s="21">
        <v>0</v>
      </c>
      <c r="ED332" s="21">
        <v>0</v>
      </c>
      <c r="EE332" s="21">
        <v>0</v>
      </c>
      <c r="EF332" s="21">
        <v>0</v>
      </c>
    </row>
    <row r="333" spans="1:136" ht="14.5" x14ac:dyDescent="0.35">
      <c r="A333" s="20" t="s">
        <v>12</v>
      </c>
      <c r="B333" s="20" t="s">
        <v>104</v>
      </c>
      <c r="C333" s="20" t="s">
        <v>104</v>
      </c>
      <c r="D333" s="20" t="s">
        <v>338</v>
      </c>
      <c r="E333" s="20" t="s">
        <v>16</v>
      </c>
      <c r="F333" s="20" t="s">
        <v>103</v>
      </c>
      <c r="G333" s="21">
        <v>0</v>
      </c>
      <c r="H333" s="21">
        <v>0</v>
      </c>
      <c r="I333" s="21">
        <v>50</v>
      </c>
      <c r="J333" s="21">
        <v>-50</v>
      </c>
      <c r="K333" s="21">
        <v>0</v>
      </c>
      <c r="L333" s="21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0</v>
      </c>
      <c r="AN333" s="21">
        <v>0</v>
      </c>
      <c r="AO333" s="21">
        <v>0</v>
      </c>
      <c r="AP333" s="21">
        <v>0</v>
      </c>
      <c r="AQ333" s="21">
        <v>0</v>
      </c>
      <c r="AR333" s="21">
        <v>0</v>
      </c>
      <c r="AS333" s="21">
        <v>0</v>
      </c>
      <c r="AT333" s="21">
        <v>0</v>
      </c>
      <c r="AU333" s="21">
        <v>0</v>
      </c>
      <c r="AV333" s="21">
        <v>0</v>
      </c>
      <c r="AW333" s="21">
        <v>0</v>
      </c>
      <c r="AX333" s="21">
        <v>0</v>
      </c>
      <c r="AY333" s="21">
        <v>0</v>
      </c>
      <c r="AZ333" s="21">
        <v>0</v>
      </c>
      <c r="BA333" s="21">
        <v>0</v>
      </c>
      <c r="BB333" s="21">
        <v>0</v>
      </c>
      <c r="BC333" s="21">
        <v>0</v>
      </c>
      <c r="BD333" s="21">
        <v>0</v>
      </c>
      <c r="BE333" s="21">
        <v>0</v>
      </c>
      <c r="BF333" s="21">
        <v>0</v>
      </c>
      <c r="BG333" s="21">
        <v>0</v>
      </c>
      <c r="BH333" s="21">
        <v>0</v>
      </c>
      <c r="BI333" s="21">
        <v>0</v>
      </c>
      <c r="BJ333" s="21">
        <v>0</v>
      </c>
      <c r="BK333" s="21">
        <v>0</v>
      </c>
      <c r="BL333" s="21">
        <v>0</v>
      </c>
      <c r="BM333" s="21">
        <v>0</v>
      </c>
      <c r="BN333" s="21">
        <v>0</v>
      </c>
      <c r="BO333" s="21">
        <v>0</v>
      </c>
      <c r="BP333" s="21">
        <v>0</v>
      </c>
      <c r="BQ333" s="21">
        <v>0</v>
      </c>
      <c r="BR333" s="21">
        <v>0</v>
      </c>
      <c r="BS333" s="21">
        <v>0</v>
      </c>
      <c r="BT333" s="21">
        <v>0</v>
      </c>
      <c r="BU333" s="21">
        <v>0</v>
      </c>
      <c r="BV333" s="21">
        <v>0</v>
      </c>
      <c r="BW333" s="21">
        <v>0</v>
      </c>
      <c r="BX333" s="21">
        <v>0</v>
      </c>
      <c r="BY333" s="21">
        <v>0</v>
      </c>
      <c r="BZ333" s="21">
        <v>0</v>
      </c>
      <c r="CA333" s="21">
        <v>0</v>
      </c>
      <c r="CB333" s="21">
        <v>0</v>
      </c>
      <c r="CC333" s="21">
        <v>0</v>
      </c>
      <c r="CD333" s="21">
        <v>0</v>
      </c>
      <c r="CE333" s="21">
        <v>0</v>
      </c>
      <c r="CF333" s="21">
        <v>0</v>
      </c>
      <c r="CG333" s="21">
        <v>0</v>
      </c>
      <c r="CH333" s="21">
        <v>0</v>
      </c>
      <c r="CI333" s="21">
        <v>0</v>
      </c>
      <c r="CJ333" s="21">
        <v>0</v>
      </c>
      <c r="CK333" s="21">
        <v>0</v>
      </c>
      <c r="CL333" s="21">
        <v>0</v>
      </c>
      <c r="CM333" s="21">
        <v>0</v>
      </c>
      <c r="CN333" s="21">
        <v>0</v>
      </c>
      <c r="CO333" s="21">
        <v>0</v>
      </c>
      <c r="CP333" s="21">
        <v>0</v>
      </c>
      <c r="CQ333" s="21">
        <v>0</v>
      </c>
      <c r="CR333" s="21">
        <v>0</v>
      </c>
      <c r="CS333" s="21">
        <v>0</v>
      </c>
      <c r="CT333" s="21">
        <v>0</v>
      </c>
      <c r="CU333" s="21">
        <v>0</v>
      </c>
      <c r="CV333" s="21">
        <v>0</v>
      </c>
      <c r="CW333" s="21">
        <v>0</v>
      </c>
      <c r="CX333" s="21">
        <v>0</v>
      </c>
      <c r="CY333" s="21">
        <v>0</v>
      </c>
      <c r="CZ333" s="21">
        <v>0</v>
      </c>
      <c r="DA333" s="21">
        <v>0</v>
      </c>
      <c r="DB333" s="21">
        <v>0</v>
      </c>
      <c r="DC333" s="21">
        <v>0</v>
      </c>
      <c r="DD333" s="21">
        <v>0</v>
      </c>
      <c r="DE333" s="21">
        <v>0</v>
      </c>
      <c r="DF333" s="21">
        <v>0</v>
      </c>
      <c r="DG333" s="21">
        <v>0</v>
      </c>
      <c r="DH333" s="21">
        <v>0</v>
      </c>
      <c r="DI333" s="21">
        <v>0</v>
      </c>
      <c r="DJ333" s="21">
        <v>0</v>
      </c>
      <c r="DK333" s="21">
        <v>0</v>
      </c>
      <c r="DL333" s="21">
        <v>0</v>
      </c>
      <c r="DM333" s="21">
        <v>5</v>
      </c>
      <c r="DN333" s="21">
        <v>10</v>
      </c>
      <c r="DO333" s="21">
        <v>10</v>
      </c>
      <c r="DP333" s="21">
        <v>10</v>
      </c>
      <c r="DQ333" s="21">
        <v>15</v>
      </c>
      <c r="DR333" s="21">
        <v>0</v>
      </c>
      <c r="DS333" s="21">
        <v>0</v>
      </c>
      <c r="DT333" s="21">
        <v>0</v>
      </c>
      <c r="DU333" s="21">
        <v>0</v>
      </c>
      <c r="DV333" s="21">
        <v>0</v>
      </c>
      <c r="DW333" s="21">
        <v>0</v>
      </c>
      <c r="DX333" s="21">
        <v>0</v>
      </c>
      <c r="DY333" s="21">
        <v>0</v>
      </c>
      <c r="DZ333" s="21">
        <v>0</v>
      </c>
      <c r="EA333" s="21">
        <v>0</v>
      </c>
      <c r="EB333" s="21">
        <v>0</v>
      </c>
      <c r="EC333" s="21">
        <v>0</v>
      </c>
      <c r="ED333" s="21">
        <v>0</v>
      </c>
      <c r="EE333" s="21">
        <v>0</v>
      </c>
      <c r="EF333" s="21">
        <v>0</v>
      </c>
    </row>
    <row r="334" spans="1:136" ht="14.5" x14ac:dyDescent="0.35">
      <c r="A334" s="20" t="s">
        <v>12</v>
      </c>
      <c r="B334" s="20" t="s">
        <v>132</v>
      </c>
      <c r="C334" s="20" t="s">
        <v>132</v>
      </c>
      <c r="D334" s="20" t="s">
        <v>334</v>
      </c>
      <c r="E334" s="20" t="s">
        <v>10</v>
      </c>
      <c r="F334" s="20" t="s">
        <v>78</v>
      </c>
      <c r="G334" s="21">
        <v>0</v>
      </c>
      <c r="H334" s="21">
        <v>0</v>
      </c>
      <c r="I334" s="21">
        <v>8</v>
      </c>
      <c r="J334" s="21">
        <v>-8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21">
        <v>0</v>
      </c>
      <c r="AB334" s="21">
        <v>0</v>
      </c>
      <c r="AC334" s="21">
        <v>0</v>
      </c>
      <c r="AD334" s="21">
        <v>0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2</v>
      </c>
      <c r="AK334" s="21">
        <v>0</v>
      </c>
      <c r="AL334" s="21">
        <v>0</v>
      </c>
      <c r="AM334" s="21">
        <v>0</v>
      </c>
      <c r="AN334" s="21">
        <v>0</v>
      </c>
      <c r="AO334" s="21">
        <v>0</v>
      </c>
      <c r="AP334" s="21">
        <v>3</v>
      </c>
      <c r="AQ334" s="21">
        <v>3</v>
      </c>
      <c r="AR334" s="21">
        <v>0</v>
      </c>
      <c r="AS334" s="21">
        <v>0</v>
      </c>
      <c r="AT334" s="21">
        <v>0</v>
      </c>
      <c r="AU334" s="21">
        <v>0</v>
      </c>
      <c r="AV334" s="21">
        <v>0</v>
      </c>
      <c r="AW334" s="21">
        <v>0</v>
      </c>
      <c r="AX334" s="21">
        <v>0</v>
      </c>
      <c r="AY334" s="21">
        <v>0</v>
      </c>
      <c r="AZ334" s="21">
        <v>0</v>
      </c>
      <c r="BA334" s="21">
        <v>0</v>
      </c>
      <c r="BB334" s="21">
        <v>0</v>
      </c>
      <c r="BC334" s="21">
        <v>0</v>
      </c>
      <c r="BD334" s="21">
        <v>0</v>
      </c>
      <c r="BE334" s="21">
        <v>0</v>
      </c>
      <c r="BF334" s="21">
        <v>0</v>
      </c>
      <c r="BG334" s="21">
        <v>0</v>
      </c>
      <c r="BH334" s="21">
        <v>0</v>
      </c>
      <c r="BI334" s="21">
        <v>0</v>
      </c>
      <c r="BJ334" s="21">
        <v>0</v>
      </c>
      <c r="BK334" s="21">
        <v>0</v>
      </c>
      <c r="BL334" s="21">
        <v>0</v>
      </c>
      <c r="BM334" s="21">
        <v>0</v>
      </c>
      <c r="BN334" s="21">
        <v>0</v>
      </c>
      <c r="BO334" s="21">
        <v>0</v>
      </c>
      <c r="BP334" s="21">
        <v>0</v>
      </c>
      <c r="BQ334" s="21">
        <v>0</v>
      </c>
      <c r="BR334" s="21">
        <v>0</v>
      </c>
      <c r="BS334" s="21">
        <v>0</v>
      </c>
      <c r="BT334" s="21">
        <v>0</v>
      </c>
      <c r="BU334" s="21">
        <v>0</v>
      </c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1">
        <v>0</v>
      </c>
      <c r="CH334" s="21">
        <v>0</v>
      </c>
      <c r="CI334" s="21">
        <v>0</v>
      </c>
      <c r="CJ334" s="21">
        <v>0</v>
      </c>
      <c r="CK334" s="21">
        <v>0</v>
      </c>
      <c r="CL334" s="21">
        <v>0</v>
      </c>
      <c r="CM334" s="21">
        <v>0</v>
      </c>
      <c r="CN334" s="21">
        <v>0</v>
      </c>
      <c r="CO334" s="21">
        <v>0</v>
      </c>
      <c r="CP334" s="21">
        <v>0</v>
      </c>
      <c r="CQ334" s="21">
        <v>0</v>
      </c>
      <c r="CR334" s="21">
        <v>0</v>
      </c>
      <c r="CS334" s="21">
        <v>0</v>
      </c>
      <c r="CT334" s="21">
        <v>0</v>
      </c>
      <c r="CU334" s="21">
        <v>0</v>
      </c>
      <c r="CV334" s="21">
        <v>0</v>
      </c>
      <c r="CW334" s="21">
        <v>0</v>
      </c>
      <c r="CX334" s="21">
        <v>0</v>
      </c>
      <c r="CY334" s="21">
        <v>0</v>
      </c>
      <c r="CZ334" s="21">
        <v>0</v>
      </c>
      <c r="DA334" s="21">
        <v>0</v>
      </c>
      <c r="DB334" s="21">
        <v>0</v>
      </c>
      <c r="DC334" s="21">
        <v>0</v>
      </c>
      <c r="DD334" s="21">
        <v>0</v>
      </c>
      <c r="DE334" s="21">
        <v>0</v>
      </c>
      <c r="DF334" s="21">
        <v>0</v>
      </c>
      <c r="DG334" s="21">
        <v>0</v>
      </c>
      <c r="DH334" s="21">
        <v>0</v>
      </c>
      <c r="DI334" s="21">
        <v>0</v>
      </c>
      <c r="DJ334" s="21">
        <v>0</v>
      </c>
      <c r="DK334" s="21">
        <v>0</v>
      </c>
      <c r="DL334" s="21">
        <v>0</v>
      </c>
      <c r="DM334" s="21">
        <v>0</v>
      </c>
      <c r="DN334" s="21">
        <v>0</v>
      </c>
      <c r="DO334" s="21">
        <v>0</v>
      </c>
      <c r="DP334" s="21">
        <v>0</v>
      </c>
      <c r="DQ334" s="21">
        <v>0</v>
      </c>
      <c r="DR334" s="21">
        <v>0</v>
      </c>
      <c r="DS334" s="21">
        <v>0</v>
      </c>
      <c r="DT334" s="21">
        <v>0</v>
      </c>
      <c r="DU334" s="21">
        <v>0</v>
      </c>
      <c r="DV334" s="21">
        <v>0</v>
      </c>
      <c r="DW334" s="21">
        <v>0</v>
      </c>
      <c r="DX334" s="21">
        <v>0</v>
      </c>
      <c r="DY334" s="21">
        <v>0</v>
      </c>
      <c r="DZ334" s="21">
        <v>0</v>
      </c>
      <c r="EA334" s="21">
        <v>0</v>
      </c>
      <c r="EB334" s="21">
        <v>0</v>
      </c>
      <c r="EC334" s="21">
        <v>0</v>
      </c>
      <c r="ED334" s="21">
        <v>0</v>
      </c>
      <c r="EE334" s="21">
        <v>0</v>
      </c>
      <c r="EF334" s="21">
        <v>0</v>
      </c>
    </row>
    <row r="335" spans="1:136" ht="14.5" x14ac:dyDescent="0.35">
      <c r="A335" s="20" t="s">
        <v>12</v>
      </c>
      <c r="B335" s="20" t="s">
        <v>132</v>
      </c>
      <c r="C335" s="20" t="s">
        <v>132</v>
      </c>
      <c r="D335" s="20" t="s">
        <v>335</v>
      </c>
      <c r="E335" s="20" t="s">
        <v>10</v>
      </c>
      <c r="F335" s="20" t="s">
        <v>100</v>
      </c>
      <c r="G335" s="21">
        <v>0.5</v>
      </c>
      <c r="H335" s="21">
        <v>0.5</v>
      </c>
      <c r="I335" s="21">
        <v>0.5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21">
        <v>0</v>
      </c>
      <c r="AB335" s="21">
        <v>0.5</v>
      </c>
      <c r="AC335" s="21">
        <v>0</v>
      </c>
      <c r="AD335" s="21">
        <v>0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0</v>
      </c>
      <c r="AN335" s="21">
        <v>0</v>
      </c>
      <c r="AO335" s="21">
        <v>0</v>
      </c>
      <c r="AP335" s="21">
        <v>0</v>
      </c>
      <c r="AQ335" s="21">
        <v>0</v>
      </c>
      <c r="AR335" s="21">
        <v>0</v>
      </c>
      <c r="AS335" s="21">
        <v>0</v>
      </c>
      <c r="AT335" s="21">
        <v>0</v>
      </c>
      <c r="AU335" s="21">
        <v>0</v>
      </c>
      <c r="AV335" s="21">
        <v>0</v>
      </c>
      <c r="AW335" s="21">
        <v>0</v>
      </c>
      <c r="AX335" s="21">
        <v>0</v>
      </c>
      <c r="AY335" s="21">
        <v>0</v>
      </c>
      <c r="AZ335" s="21">
        <v>0</v>
      </c>
      <c r="BA335" s="21">
        <v>0</v>
      </c>
      <c r="BB335" s="21">
        <v>0</v>
      </c>
      <c r="BC335" s="21">
        <v>0</v>
      </c>
      <c r="BD335" s="21">
        <v>0</v>
      </c>
      <c r="BE335" s="21">
        <v>0</v>
      </c>
      <c r="BF335" s="21">
        <v>0</v>
      </c>
      <c r="BG335" s="21">
        <v>0</v>
      </c>
      <c r="BH335" s="21">
        <v>0</v>
      </c>
      <c r="BI335" s="21">
        <v>0</v>
      </c>
      <c r="BJ335" s="21">
        <v>0</v>
      </c>
      <c r="BK335" s="21">
        <v>0</v>
      </c>
      <c r="BL335" s="21">
        <v>0</v>
      </c>
      <c r="BM335" s="21">
        <v>0</v>
      </c>
      <c r="BN335" s="21">
        <v>0</v>
      </c>
      <c r="BO335" s="21">
        <v>0</v>
      </c>
      <c r="BP335" s="21">
        <v>0</v>
      </c>
      <c r="BQ335" s="21">
        <v>0</v>
      </c>
      <c r="BR335" s="21">
        <v>0</v>
      </c>
      <c r="BS335" s="21">
        <v>0</v>
      </c>
      <c r="BT335" s="21">
        <v>0</v>
      </c>
      <c r="BU335" s="21">
        <v>0</v>
      </c>
      <c r="BV335" s="21">
        <v>0</v>
      </c>
      <c r="BW335" s="21">
        <v>0</v>
      </c>
      <c r="BX335" s="21">
        <v>0</v>
      </c>
      <c r="BY335" s="21">
        <v>0</v>
      </c>
      <c r="BZ335" s="21">
        <v>0</v>
      </c>
      <c r="CA335" s="21">
        <v>0</v>
      </c>
      <c r="CB335" s="21">
        <v>0</v>
      </c>
      <c r="CC335" s="21">
        <v>0</v>
      </c>
      <c r="CD335" s="21">
        <v>0</v>
      </c>
      <c r="CE335" s="21">
        <v>0</v>
      </c>
      <c r="CF335" s="21">
        <v>0</v>
      </c>
      <c r="CG335" s="21">
        <v>0</v>
      </c>
      <c r="CH335" s="21">
        <v>0</v>
      </c>
      <c r="CI335" s="21">
        <v>0</v>
      </c>
      <c r="CJ335" s="21">
        <v>0</v>
      </c>
      <c r="CK335" s="21">
        <v>0</v>
      </c>
      <c r="CL335" s="21">
        <v>0</v>
      </c>
      <c r="CM335" s="21">
        <v>0</v>
      </c>
      <c r="CN335" s="21">
        <v>0</v>
      </c>
      <c r="CO335" s="21">
        <v>0</v>
      </c>
      <c r="CP335" s="21">
        <v>0</v>
      </c>
      <c r="CQ335" s="21">
        <v>0</v>
      </c>
      <c r="CR335" s="21">
        <v>0</v>
      </c>
      <c r="CS335" s="21">
        <v>0</v>
      </c>
      <c r="CT335" s="21">
        <v>0</v>
      </c>
      <c r="CU335" s="21">
        <v>0</v>
      </c>
      <c r="CV335" s="21">
        <v>0</v>
      </c>
      <c r="CW335" s="21">
        <v>0</v>
      </c>
      <c r="CX335" s="21">
        <v>0</v>
      </c>
      <c r="CY335" s="21">
        <v>0</v>
      </c>
      <c r="CZ335" s="21">
        <v>0</v>
      </c>
      <c r="DA335" s="21">
        <v>0</v>
      </c>
      <c r="DB335" s="21">
        <v>0</v>
      </c>
      <c r="DC335" s="21">
        <v>0</v>
      </c>
      <c r="DD335" s="21">
        <v>0</v>
      </c>
      <c r="DE335" s="21">
        <v>0</v>
      </c>
      <c r="DF335" s="21">
        <v>0</v>
      </c>
      <c r="DG335" s="21">
        <v>0</v>
      </c>
      <c r="DH335" s="21">
        <v>0</v>
      </c>
      <c r="DI335" s="21">
        <v>0</v>
      </c>
      <c r="DJ335" s="21">
        <v>0</v>
      </c>
      <c r="DK335" s="21">
        <v>0</v>
      </c>
      <c r="DL335" s="21">
        <v>0</v>
      </c>
      <c r="DM335" s="21">
        <v>0</v>
      </c>
      <c r="DN335" s="21">
        <v>0</v>
      </c>
      <c r="DO335" s="21">
        <v>0</v>
      </c>
      <c r="DP335" s="21">
        <v>0</v>
      </c>
      <c r="DQ335" s="21">
        <v>0</v>
      </c>
      <c r="DR335" s="21">
        <v>0</v>
      </c>
      <c r="DS335" s="21">
        <v>0</v>
      </c>
      <c r="DT335" s="21">
        <v>0</v>
      </c>
      <c r="DU335" s="21">
        <v>0</v>
      </c>
      <c r="DV335" s="21">
        <v>0</v>
      </c>
      <c r="DW335" s="21">
        <v>0</v>
      </c>
      <c r="DX335" s="21">
        <v>0</v>
      </c>
      <c r="DY335" s="21">
        <v>0</v>
      </c>
      <c r="DZ335" s="21">
        <v>0</v>
      </c>
      <c r="EA335" s="21">
        <v>0</v>
      </c>
      <c r="EB335" s="21">
        <v>0</v>
      </c>
      <c r="EC335" s="21">
        <v>0</v>
      </c>
      <c r="ED335" s="21">
        <v>0</v>
      </c>
      <c r="EE335" s="21">
        <v>0</v>
      </c>
      <c r="EF335" s="21">
        <v>0</v>
      </c>
    </row>
    <row r="336" spans="1:136" ht="14.5" x14ac:dyDescent="0.35">
      <c r="A336" s="20" t="s">
        <v>12</v>
      </c>
      <c r="B336" s="20" t="s">
        <v>132</v>
      </c>
      <c r="C336" s="20" t="s">
        <v>132</v>
      </c>
      <c r="D336" s="20" t="s">
        <v>334</v>
      </c>
      <c r="E336" s="20" t="s">
        <v>10</v>
      </c>
      <c r="F336" s="20" t="s">
        <v>100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>
        <v>0</v>
      </c>
      <c r="Z336" s="21">
        <v>0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0</v>
      </c>
      <c r="AM336" s="21">
        <v>0</v>
      </c>
      <c r="AN336" s="21">
        <v>0</v>
      </c>
      <c r="AO336" s="21">
        <v>0</v>
      </c>
      <c r="AP336" s="21">
        <v>0</v>
      </c>
      <c r="AQ336" s="21">
        <v>0</v>
      </c>
      <c r="AR336" s="21">
        <v>0</v>
      </c>
      <c r="AS336" s="21">
        <v>0</v>
      </c>
      <c r="AT336" s="21">
        <v>0</v>
      </c>
      <c r="AU336" s="21">
        <v>0</v>
      </c>
      <c r="AV336" s="21">
        <v>0</v>
      </c>
      <c r="AW336" s="21">
        <v>0</v>
      </c>
      <c r="AX336" s="21">
        <v>0</v>
      </c>
      <c r="AY336" s="21">
        <v>0</v>
      </c>
      <c r="AZ336" s="21">
        <v>0</v>
      </c>
      <c r="BA336" s="21">
        <v>0</v>
      </c>
      <c r="BB336" s="21">
        <v>0</v>
      </c>
      <c r="BC336" s="21">
        <v>0</v>
      </c>
      <c r="BD336" s="21">
        <v>0</v>
      </c>
      <c r="BE336" s="21">
        <v>0</v>
      </c>
      <c r="BF336" s="21">
        <v>0</v>
      </c>
      <c r="BG336" s="21">
        <v>0</v>
      </c>
      <c r="BH336" s="21">
        <v>0</v>
      </c>
      <c r="BI336" s="21">
        <v>0</v>
      </c>
      <c r="BJ336" s="21">
        <v>0</v>
      </c>
      <c r="BK336" s="21">
        <v>0</v>
      </c>
      <c r="BL336" s="21">
        <v>0</v>
      </c>
      <c r="BM336" s="21">
        <v>0</v>
      </c>
      <c r="BN336" s="21">
        <v>0</v>
      </c>
      <c r="BO336" s="21">
        <v>0</v>
      </c>
      <c r="BP336" s="21">
        <v>0</v>
      </c>
      <c r="BQ336" s="21">
        <v>0</v>
      </c>
      <c r="BR336" s="21">
        <v>0</v>
      </c>
      <c r="BS336" s="21">
        <v>0</v>
      </c>
      <c r="BT336" s="21">
        <v>0</v>
      </c>
      <c r="BU336" s="21">
        <v>0</v>
      </c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1">
        <v>0</v>
      </c>
      <c r="CH336" s="21">
        <v>0</v>
      </c>
      <c r="CI336" s="21">
        <v>0</v>
      </c>
      <c r="CJ336" s="21">
        <v>0</v>
      </c>
      <c r="CK336" s="21">
        <v>0</v>
      </c>
      <c r="CL336" s="21">
        <v>0</v>
      </c>
      <c r="CM336" s="21">
        <v>0</v>
      </c>
      <c r="CN336" s="21">
        <v>0</v>
      </c>
      <c r="CO336" s="21">
        <v>0</v>
      </c>
      <c r="CP336" s="21">
        <v>0</v>
      </c>
      <c r="CQ336" s="21">
        <v>0</v>
      </c>
      <c r="CR336" s="21">
        <v>0</v>
      </c>
      <c r="CS336" s="21">
        <v>0</v>
      </c>
      <c r="CT336" s="21">
        <v>0</v>
      </c>
      <c r="CU336" s="21">
        <v>0</v>
      </c>
      <c r="CV336" s="21">
        <v>0</v>
      </c>
      <c r="CW336" s="21">
        <v>0</v>
      </c>
      <c r="CX336" s="21">
        <v>0</v>
      </c>
      <c r="CY336" s="21">
        <v>0</v>
      </c>
      <c r="CZ336" s="21">
        <v>0</v>
      </c>
      <c r="DA336" s="21">
        <v>0</v>
      </c>
      <c r="DB336" s="21">
        <v>0</v>
      </c>
      <c r="DC336" s="21">
        <v>0</v>
      </c>
      <c r="DD336" s="21">
        <v>0</v>
      </c>
      <c r="DE336" s="21">
        <v>0</v>
      </c>
      <c r="DF336" s="21">
        <v>0</v>
      </c>
      <c r="DG336" s="21">
        <v>0</v>
      </c>
      <c r="DH336" s="21">
        <v>0</v>
      </c>
      <c r="DI336" s="21">
        <v>0</v>
      </c>
      <c r="DJ336" s="21">
        <v>0</v>
      </c>
      <c r="DK336" s="21">
        <v>0</v>
      </c>
      <c r="DL336" s="21">
        <v>0</v>
      </c>
      <c r="DM336" s="21">
        <v>0</v>
      </c>
      <c r="DN336" s="21">
        <v>0</v>
      </c>
      <c r="DO336" s="21">
        <v>0</v>
      </c>
      <c r="DP336" s="21">
        <v>0</v>
      </c>
      <c r="DQ336" s="21">
        <v>0</v>
      </c>
      <c r="DR336" s="21">
        <v>0</v>
      </c>
      <c r="DS336" s="21">
        <v>0</v>
      </c>
      <c r="DT336" s="21">
        <v>0</v>
      </c>
      <c r="DU336" s="21">
        <v>0</v>
      </c>
      <c r="DV336" s="21">
        <v>0</v>
      </c>
      <c r="DW336" s="21">
        <v>0</v>
      </c>
      <c r="DX336" s="21">
        <v>0</v>
      </c>
      <c r="DY336" s="21">
        <v>0</v>
      </c>
      <c r="DZ336" s="21">
        <v>0</v>
      </c>
      <c r="EA336" s="21">
        <v>0</v>
      </c>
      <c r="EB336" s="21">
        <v>0</v>
      </c>
      <c r="EC336" s="21">
        <v>0</v>
      </c>
      <c r="ED336" s="21">
        <v>0</v>
      </c>
      <c r="EE336" s="21">
        <v>0</v>
      </c>
      <c r="EF336" s="21">
        <v>0</v>
      </c>
    </row>
    <row r="337" spans="1:136" ht="14.5" x14ac:dyDescent="0.35">
      <c r="A337" s="20" t="s">
        <v>12</v>
      </c>
      <c r="B337" s="20" t="s">
        <v>132</v>
      </c>
      <c r="C337" s="20" t="s">
        <v>132</v>
      </c>
      <c r="D337" s="20" t="s">
        <v>335</v>
      </c>
      <c r="E337" s="20" t="s">
        <v>10</v>
      </c>
      <c r="F337" s="20" t="s">
        <v>87</v>
      </c>
      <c r="G337" s="21">
        <v>11.5</v>
      </c>
      <c r="H337" s="21">
        <v>11.5</v>
      </c>
      <c r="I337" s="21">
        <v>11.5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0</v>
      </c>
      <c r="AA337" s="21">
        <v>0</v>
      </c>
      <c r="AB337" s="21">
        <v>11.5</v>
      </c>
      <c r="AC337" s="21">
        <v>0</v>
      </c>
      <c r="AD337" s="21">
        <v>0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0</v>
      </c>
      <c r="AN337" s="21">
        <v>0</v>
      </c>
      <c r="AO337" s="21">
        <v>0</v>
      </c>
      <c r="AP337" s="21">
        <v>0</v>
      </c>
      <c r="AQ337" s="21">
        <v>0</v>
      </c>
      <c r="AR337" s="21">
        <v>0</v>
      </c>
      <c r="AS337" s="21">
        <v>0</v>
      </c>
      <c r="AT337" s="21">
        <v>0</v>
      </c>
      <c r="AU337" s="21">
        <v>0</v>
      </c>
      <c r="AV337" s="21">
        <v>0</v>
      </c>
      <c r="AW337" s="21">
        <v>0</v>
      </c>
      <c r="AX337" s="21">
        <v>0</v>
      </c>
      <c r="AY337" s="21">
        <v>0</v>
      </c>
      <c r="AZ337" s="21">
        <v>0</v>
      </c>
      <c r="BA337" s="21">
        <v>0</v>
      </c>
      <c r="BB337" s="21">
        <v>0</v>
      </c>
      <c r="BC337" s="21">
        <v>0</v>
      </c>
      <c r="BD337" s="21">
        <v>0</v>
      </c>
      <c r="BE337" s="21">
        <v>0</v>
      </c>
      <c r="BF337" s="21">
        <v>0</v>
      </c>
      <c r="BG337" s="21">
        <v>0</v>
      </c>
      <c r="BH337" s="21">
        <v>0</v>
      </c>
      <c r="BI337" s="21">
        <v>0</v>
      </c>
      <c r="BJ337" s="21">
        <v>0</v>
      </c>
      <c r="BK337" s="21">
        <v>0</v>
      </c>
      <c r="BL337" s="21">
        <v>0</v>
      </c>
      <c r="BM337" s="21">
        <v>0</v>
      </c>
      <c r="BN337" s="21">
        <v>0</v>
      </c>
      <c r="BO337" s="21">
        <v>0</v>
      </c>
      <c r="BP337" s="21">
        <v>0</v>
      </c>
      <c r="BQ337" s="21">
        <v>0</v>
      </c>
      <c r="BR337" s="21">
        <v>0</v>
      </c>
      <c r="BS337" s="21">
        <v>0</v>
      </c>
      <c r="BT337" s="21">
        <v>0</v>
      </c>
      <c r="BU337" s="21">
        <v>0</v>
      </c>
      <c r="BV337" s="21">
        <v>0</v>
      </c>
      <c r="BW337" s="21">
        <v>0</v>
      </c>
      <c r="BX337" s="21">
        <v>0</v>
      </c>
      <c r="BY337" s="21">
        <v>0</v>
      </c>
      <c r="BZ337" s="21">
        <v>0</v>
      </c>
      <c r="CA337" s="21">
        <v>0</v>
      </c>
      <c r="CB337" s="21">
        <v>0</v>
      </c>
      <c r="CC337" s="21">
        <v>0</v>
      </c>
      <c r="CD337" s="21">
        <v>0</v>
      </c>
      <c r="CE337" s="21">
        <v>0</v>
      </c>
      <c r="CF337" s="21">
        <v>0</v>
      </c>
      <c r="CG337" s="21">
        <v>0</v>
      </c>
      <c r="CH337" s="21">
        <v>0</v>
      </c>
      <c r="CI337" s="21">
        <v>0</v>
      </c>
      <c r="CJ337" s="21">
        <v>0</v>
      </c>
      <c r="CK337" s="21">
        <v>0</v>
      </c>
      <c r="CL337" s="21">
        <v>0</v>
      </c>
      <c r="CM337" s="21">
        <v>0</v>
      </c>
      <c r="CN337" s="21">
        <v>0</v>
      </c>
      <c r="CO337" s="21">
        <v>0</v>
      </c>
      <c r="CP337" s="21">
        <v>0</v>
      </c>
      <c r="CQ337" s="21">
        <v>0</v>
      </c>
      <c r="CR337" s="21">
        <v>0</v>
      </c>
      <c r="CS337" s="21">
        <v>0</v>
      </c>
      <c r="CT337" s="21">
        <v>0</v>
      </c>
      <c r="CU337" s="21">
        <v>0</v>
      </c>
      <c r="CV337" s="21">
        <v>0</v>
      </c>
      <c r="CW337" s="21">
        <v>0</v>
      </c>
      <c r="CX337" s="21">
        <v>0</v>
      </c>
      <c r="CY337" s="21">
        <v>0</v>
      </c>
      <c r="CZ337" s="21">
        <v>0</v>
      </c>
      <c r="DA337" s="21">
        <v>0</v>
      </c>
      <c r="DB337" s="21">
        <v>0</v>
      </c>
      <c r="DC337" s="21">
        <v>0</v>
      </c>
      <c r="DD337" s="21">
        <v>0</v>
      </c>
      <c r="DE337" s="21">
        <v>0</v>
      </c>
      <c r="DF337" s="21">
        <v>0</v>
      </c>
      <c r="DG337" s="21">
        <v>0</v>
      </c>
      <c r="DH337" s="21">
        <v>0</v>
      </c>
      <c r="DI337" s="21">
        <v>0</v>
      </c>
      <c r="DJ337" s="21">
        <v>0</v>
      </c>
      <c r="DK337" s="21">
        <v>0</v>
      </c>
      <c r="DL337" s="21">
        <v>0</v>
      </c>
      <c r="DM337" s="21">
        <v>0</v>
      </c>
      <c r="DN337" s="21">
        <v>0</v>
      </c>
      <c r="DO337" s="21">
        <v>0</v>
      </c>
      <c r="DP337" s="21">
        <v>0</v>
      </c>
      <c r="DQ337" s="21">
        <v>0</v>
      </c>
      <c r="DR337" s="21">
        <v>0</v>
      </c>
      <c r="DS337" s="21">
        <v>0</v>
      </c>
      <c r="DT337" s="21">
        <v>0</v>
      </c>
      <c r="DU337" s="21">
        <v>0</v>
      </c>
      <c r="DV337" s="21">
        <v>0</v>
      </c>
      <c r="DW337" s="21">
        <v>0</v>
      </c>
      <c r="DX337" s="21">
        <v>0</v>
      </c>
      <c r="DY337" s="21">
        <v>0</v>
      </c>
      <c r="DZ337" s="21">
        <v>0</v>
      </c>
      <c r="EA337" s="21">
        <v>0</v>
      </c>
      <c r="EB337" s="21">
        <v>0</v>
      </c>
      <c r="EC337" s="21">
        <v>0</v>
      </c>
      <c r="ED337" s="21">
        <v>0</v>
      </c>
      <c r="EE337" s="21">
        <v>0</v>
      </c>
      <c r="EF337" s="21">
        <v>0</v>
      </c>
    </row>
    <row r="338" spans="1:136" ht="14.5" x14ac:dyDescent="0.35">
      <c r="A338" s="20" t="s">
        <v>12</v>
      </c>
      <c r="B338" s="20" t="s">
        <v>132</v>
      </c>
      <c r="C338" s="20" t="s">
        <v>132</v>
      </c>
      <c r="D338" s="20" t="s">
        <v>334</v>
      </c>
      <c r="E338" s="20" t="s">
        <v>10</v>
      </c>
      <c r="F338" s="20" t="s">
        <v>87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0</v>
      </c>
      <c r="AO338" s="21">
        <v>0</v>
      </c>
      <c r="AP338" s="21">
        <v>0</v>
      </c>
      <c r="AQ338" s="21">
        <v>0</v>
      </c>
      <c r="AR338" s="21">
        <v>0</v>
      </c>
      <c r="AS338" s="21">
        <v>0</v>
      </c>
      <c r="AT338" s="21">
        <v>0</v>
      </c>
      <c r="AU338" s="21">
        <v>0</v>
      </c>
      <c r="AV338" s="21">
        <v>0</v>
      </c>
      <c r="AW338" s="21">
        <v>0</v>
      </c>
      <c r="AX338" s="21">
        <v>0</v>
      </c>
      <c r="AY338" s="21">
        <v>0</v>
      </c>
      <c r="AZ338" s="21">
        <v>0</v>
      </c>
      <c r="BA338" s="21">
        <v>0</v>
      </c>
      <c r="BB338" s="21">
        <v>0</v>
      </c>
      <c r="BC338" s="21">
        <v>0</v>
      </c>
      <c r="BD338" s="21">
        <v>0</v>
      </c>
      <c r="BE338" s="21">
        <v>0</v>
      </c>
      <c r="BF338" s="21">
        <v>0</v>
      </c>
      <c r="BG338" s="21">
        <v>0</v>
      </c>
      <c r="BH338" s="21">
        <v>0</v>
      </c>
      <c r="BI338" s="21">
        <v>0</v>
      </c>
      <c r="BJ338" s="21">
        <v>0</v>
      </c>
      <c r="BK338" s="21">
        <v>0</v>
      </c>
      <c r="BL338" s="21">
        <v>0</v>
      </c>
      <c r="BM338" s="21">
        <v>0</v>
      </c>
      <c r="BN338" s="21">
        <v>0</v>
      </c>
      <c r="BO338" s="21">
        <v>0</v>
      </c>
      <c r="BP338" s="21">
        <v>0</v>
      </c>
      <c r="BQ338" s="21">
        <v>0</v>
      </c>
      <c r="BR338" s="21">
        <v>0</v>
      </c>
      <c r="BS338" s="21">
        <v>0</v>
      </c>
      <c r="BT338" s="21">
        <v>0</v>
      </c>
      <c r="BU338" s="21">
        <v>0</v>
      </c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1">
        <v>0</v>
      </c>
      <c r="CH338" s="21">
        <v>0</v>
      </c>
      <c r="CI338" s="21">
        <v>0</v>
      </c>
      <c r="CJ338" s="21">
        <v>0</v>
      </c>
      <c r="CK338" s="21">
        <v>0</v>
      </c>
      <c r="CL338" s="21">
        <v>0</v>
      </c>
      <c r="CM338" s="21">
        <v>0</v>
      </c>
      <c r="CN338" s="21">
        <v>0</v>
      </c>
      <c r="CO338" s="21">
        <v>0</v>
      </c>
      <c r="CP338" s="21">
        <v>0</v>
      </c>
      <c r="CQ338" s="21">
        <v>0</v>
      </c>
      <c r="CR338" s="21">
        <v>0</v>
      </c>
      <c r="CS338" s="21">
        <v>0</v>
      </c>
      <c r="CT338" s="21">
        <v>0</v>
      </c>
      <c r="CU338" s="21">
        <v>0</v>
      </c>
      <c r="CV338" s="21">
        <v>0</v>
      </c>
      <c r="CW338" s="21">
        <v>0</v>
      </c>
      <c r="CX338" s="21">
        <v>0</v>
      </c>
      <c r="CY338" s="21">
        <v>0</v>
      </c>
      <c r="CZ338" s="21">
        <v>0</v>
      </c>
      <c r="DA338" s="21">
        <v>0</v>
      </c>
      <c r="DB338" s="21">
        <v>0</v>
      </c>
      <c r="DC338" s="21">
        <v>0</v>
      </c>
      <c r="DD338" s="21">
        <v>0</v>
      </c>
      <c r="DE338" s="21">
        <v>0</v>
      </c>
      <c r="DF338" s="21">
        <v>0</v>
      </c>
      <c r="DG338" s="21">
        <v>0</v>
      </c>
      <c r="DH338" s="21">
        <v>0</v>
      </c>
      <c r="DI338" s="21">
        <v>0</v>
      </c>
      <c r="DJ338" s="21">
        <v>0</v>
      </c>
      <c r="DK338" s="21">
        <v>0</v>
      </c>
      <c r="DL338" s="21">
        <v>0</v>
      </c>
      <c r="DM338" s="21">
        <v>0</v>
      </c>
      <c r="DN338" s="21">
        <v>0</v>
      </c>
      <c r="DO338" s="21">
        <v>0</v>
      </c>
      <c r="DP338" s="21">
        <v>0</v>
      </c>
      <c r="DQ338" s="21">
        <v>0</v>
      </c>
      <c r="DR338" s="21">
        <v>0</v>
      </c>
      <c r="DS338" s="21">
        <v>0</v>
      </c>
      <c r="DT338" s="21">
        <v>0</v>
      </c>
      <c r="DU338" s="21">
        <v>0</v>
      </c>
      <c r="DV338" s="21">
        <v>0</v>
      </c>
      <c r="DW338" s="21">
        <v>0</v>
      </c>
      <c r="DX338" s="21">
        <v>0</v>
      </c>
      <c r="DY338" s="21">
        <v>0</v>
      </c>
      <c r="DZ338" s="21">
        <v>0</v>
      </c>
      <c r="EA338" s="21">
        <v>0</v>
      </c>
      <c r="EB338" s="21">
        <v>0</v>
      </c>
      <c r="EC338" s="21">
        <v>0</v>
      </c>
      <c r="ED338" s="21">
        <v>0</v>
      </c>
      <c r="EE338" s="21">
        <v>0</v>
      </c>
      <c r="EF338" s="21">
        <v>0</v>
      </c>
    </row>
    <row r="339" spans="1:136" ht="14.5" x14ac:dyDescent="0.35">
      <c r="A339" s="20" t="s">
        <v>12</v>
      </c>
      <c r="B339" s="20" t="s">
        <v>132</v>
      </c>
      <c r="C339" s="20" t="s">
        <v>132</v>
      </c>
      <c r="D339" s="20" t="s">
        <v>335</v>
      </c>
      <c r="E339" s="20" t="s">
        <v>10</v>
      </c>
      <c r="F339" s="20" t="s">
        <v>88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0</v>
      </c>
      <c r="AL339" s="21">
        <v>0</v>
      </c>
      <c r="AM339" s="21">
        <v>0</v>
      </c>
      <c r="AN339" s="21">
        <v>0</v>
      </c>
      <c r="AO339" s="21">
        <v>0</v>
      </c>
      <c r="AP339" s="21">
        <v>0</v>
      </c>
      <c r="AQ339" s="21">
        <v>0</v>
      </c>
      <c r="AR339" s="21">
        <v>0</v>
      </c>
      <c r="AS339" s="21">
        <v>0</v>
      </c>
      <c r="AT339" s="21">
        <v>0</v>
      </c>
      <c r="AU339" s="21">
        <v>0</v>
      </c>
      <c r="AV339" s="21">
        <v>0</v>
      </c>
      <c r="AW339" s="21">
        <v>0</v>
      </c>
      <c r="AX339" s="21">
        <v>0</v>
      </c>
      <c r="AY339" s="21">
        <v>0</v>
      </c>
      <c r="AZ339" s="21">
        <v>0</v>
      </c>
      <c r="BA339" s="21">
        <v>0</v>
      </c>
      <c r="BB339" s="21">
        <v>0</v>
      </c>
      <c r="BC339" s="21">
        <v>0</v>
      </c>
      <c r="BD339" s="21">
        <v>0</v>
      </c>
      <c r="BE339" s="21">
        <v>0</v>
      </c>
      <c r="BF339" s="21">
        <v>0</v>
      </c>
      <c r="BG339" s="21">
        <v>0</v>
      </c>
      <c r="BH339" s="21">
        <v>0</v>
      </c>
      <c r="BI339" s="21">
        <v>0</v>
      </c>
      <c r="BJ339" s="21">
        <v>0</v>
      </c>
      <c r="BK339" s="21">
        <v>0</v>
      </c>
      <c r="BL339" s="21">
        <v>0</v>
      </c>
      <c r="BM339" s="21">
        <v>0</v>
      </c>
      <c r="BN339" s="21">
        <v>0</v>
      </c>
      <c r="BO339" s="21">
        <v>0</v>
      </c>
      <c r="BP339" s="21">
        <v>0</v>
      </c>
      <c r="BQ339" s="21">
        <v>0</v>
      </c>
      <c r="BR339" s="21">
        <v>0</v>
      </c>
      <c r="BS339" s="21">
        <v>0</v>
      </c>
      <c r="BT339" s="21">
        <v>0</v>
      </c>
      <c r="BU339" s="21">
        <v>0</v>
      </c>
      <c r="BV339" s="21">
        <v>0</v>
      </c>
      <c r="BW339" s="21">
        <v>0</v>
      </c>
      <c r="BX339" s="21">
        <v>0</v>
      </c>
      <c r="BY339" s="21">
        <v>0</v>
      </c>
      <c r="BZ339" s="21">
        <v>0</v>
      </c>
      <c r="CA339" s="21">
        <v>0</v>
      </c>
      <c r="CB339" s="21">
        <v>0</v>
      </c>
      <c r="CC339" s="21">
        <v>0</v>
      </c>
      <c r="CD339" s="21">
        <v>0</v>
      </c>
      <c r="CE339" s="21">
        <v>0</v>
      </c>
      <c r="CF339" s="21">
        <v>0</v>
      </c>
      <c r="CG339" s="21">
        <v>0</v>
      </c>
      <c r="CH339" s="21">
        <v>0</v>
      </c>
      <c r="CI339" s="21">
        <v>0</v>
      </c>
      <c r="CJ339" s="21">
        <v>0</v>
      </c>
      <c r="CK339" s="21">
        <v>0</v>
      </c>
      <c r="CL339" s="21">
        <v>0</v>
      </c>
      <c r="CM339" s="21">
        <v>0</v>
      </c>
      <c r="CN339" s="21">
        <v>0</v>
      </c>
      <c r="CO339" s="21">
        <v>0</v>
      </c>
      <c r="CP339" s="21">
        <v>0</v>
      </c>
      <c r="CQ339" s="21">
        <v>0</v>
      </c>
      <c r="CR339" s="21">
        <v>0</v>
      </c>
      <c r="CS339" s="21">
        <v>0</v>
      </c>
      <c r="CT339" s="21">
        <v>0</v>
      </c>
      <c r="CU339" s="21">
        <v>0</v>
      </c>
      <c r="CV339" s="21">
        <v>0</v>
      </c>
      <c r="CW339" s="21">
        <v>0</v>
      </c>
      <c r="CX339" s="21">
        <v>0</v>
      </c>
      <c r="CY339" s="21">
        <v>0</v>
      </c>
      <c r="CZ339" s="21">
        <v>0</v>
      </c>
      <c r="DA339" s="21">
        <v>0</v>
      </c>
      <c r="DB339" s="21">
        <v>0</v>
      </c>
      <c r="DC339" s="21">
        <v>0</v>
      </c>
      <c r="DD339" s="21">
        <v>0</v>
      </c>
      <c r="DE339" s="21">
        <v>0</v>
      </c>
      <c r="DF339" s="21">
        <v>0</v>
      </c>
      <c r="DG339" s="21">
        <v>0</v>
      </c>
      <c r="DH339" s="21">
        <v>0</v>
      </c>
      <c r="DI339" s="21">
        <v>0</v>
      </c>
      <c r="DJ339" s="21">
        <v>0</v>
      </c>
      <c r="DK339" s="21">
        <v>0</v>
      </c>
      <c r="DL339" s="21">
        <v>0</v>
      </c>
      <c r="DM339" s="21">
        <v>0</v>
      </c>
      <c r="DN339" s="21">
        <v>0</v>
      </c>
      <c r="DO339" s="21">
        <v>0</v>
      </c>
      <c r="DP339" s="21">
        <v>0</v>
      </c>
      <c r="DQ339" s="21">
        <v>0</v>
      </c>
      <c r="DR339" s="21">
        <v>0</v>
      </c>
      <c r="DS339" s="21">
        <v>0</v>
      </c>
      <c r="DT339" s="21">
        <v>0</v>
      </c>
      <c r="DU339" s="21">
        <v>0</v>
      </c>
      <c r="DV339" s="21">
        <v>0</v>
      </c>
      <c r="DW339" s="21">
        <v>0</v>
      </c>
      <c r="DX339" s="21">
        <v>0</v>
      </c>
      <c r="DY339" s="21">
        <v>0</v>
      </c>
      <c r="DZ339" s="21">
        <v>0</v>
      </c>
      <c r="EA339" s="21">
        <v>0</v>
      </c>
      <c r="EB339" s="21">
        <v>0</v>
      </c>
      <c r="EC339" s="21">
        <v>0</v>
      </c>
      <c r="ED339" s="21">
        <v>0</v>
      </c>
      <c r="EE339" s="21">
        <v>0</v>
      </c>
      <c r="EF339" s="21">
        <v>0</v>
      </c>
    </row>
    <row r="340" spans="1:136" ht="14.5" x14ac:dyDescent="0.35">
      <c r="A340" s="20" t="s">
        <v>12</v>
      </c>
      <c r="B340" s="20" t="s">
        <v>132</v>
      </c>
      <c r="C340" s="20" t="s">
        <v>132</v>
      </c>
      <c r="D340" s="20" t="s">
        <v>334</v>
      </c>
      <c r="E340" s="20" t="s">
        <v>10</v>
      </c>
      <c r="F340" s="20" t="s">
        <v>88</v>
      </c>
      <c r="G340" s="21">
        <v>0</v>
      </c>
      <c r="H340" s="21">
        <v>0</v>
      </c>
      <c r="I340" s="21">
        <v>16</v>
      </c>
      <c r="J340" s="21">
        <v>-16</v>
      </c>
      <c r="K340" s="21">
        <v>0</v>
      </c>
      <c r="L340" s="21">
        <v>0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10</v>
      </c>
      <c r="AN340" s="21">
        <v>2</v>
      </c>
      <c r="AO340" s="21">
        <v>4</v>
      </c>
      <c r="AP340" s="21">
        <v>0</v>
      </c>
      <c r="AQ340" s="21">
        <v>0</v>
      </c>
      <c r="AR340" s="21">
        <v>0</v>
      </c>
      <c r="AS340" s="21">
        <v>0</v>
      </c>
      <c r="AT340" s="21">
        <v>0</v>
      </c>
      <c r="AU340" s="21">
        <v>0</v>
      </c>
      <c r="AV340" s="21">
        <v>0</v>
      </c>
      <c r="AW340" s="21">
        <v>0</v>
      </c>
      <c r="AX340" s="21">
        <v>0</v>
      </c>
      <c r="AY340" s="21">
        <v>0</v>
      </c>
      <c r="AZ340" s="21">
        <v>0</v>
      </c>
      <c r="BA340" s="21">
        <v>0</v>
      </c>
      <c r="BB340" s="21">
        <v>0</v>
      </c>
      <c r="BC340" s="21">
        <v>0</v>
      </c>
      <c r="BD340" s="21">
        <v>0</v>
      </c>
      <c r="BE340" s="21">
        <v>0</v>
      </c>
      <c r="BF340" s="21">
        <v>0</v>
      </c>
      <c r="BG340" s="21">
        <v>0</v>
      </c>
      <c r="BH340" s="21">
        <v>0</v>
      </c>
      <c r="BI340" s="21">
        <v>0</v>
      </c>
      <c r="BJ340" s="21">
        <v>0</v>
      </c>
      <c r="BK340" s="21">
        <v>0</v>
      </c>
      <c r="BL340" s="21">
        <v>0</v>
      </c>
      <c r="BM340" s="21">
        <v>0</v>
      </c>
      <c r="BN340" s="21">
        <v>0</v>
      </c>
      <c r="BO340" s="21">
        <v>0</v>
      </c>
      <c r="BP340" s="21">
        <v>0</v>
      </c>
      <c r="BQ340" s="21">
        <v>0</v>
      </c>
      <c r="BR340" s="21">
        <v>0</v>
      </c>
      <c r="BS340" s="21">
        <v>0</v>
      </c>
      <c r="BT340" s="21">
        <v>0</v>
      </c>
      <c r="BU340" s="21">
        <v>0</v>
      </c>
      <c r="BV340" s="21">
        <v>0</v>
      </c>
      <c r="BW340" s="21">
        <v>0</v>
      </c>
      <c r="BX340" s="21">
        <v>0</v>
      </c>
      <c r="BY340" s="21">
        <v>0</v>
      </c>
      <c r="BZ340" s="21">
        <v>0</v>
      </c>
      <c r="CA340" s="21">
        <v>0</v>
      </c>
      <c r="CB340" s="21">
        <v>0</v>
      </c>
      <c r="CC340" s="21">
        <v>0</v>
      </c>
      <c r="CD340" s="21">
        <v>0</v>
      </c>
      <c r="CE340" s="21">
        <v>0</v>
      </c>
      <c r="CF340" s="21">
        <v>0</v>
      </c>
      <c r="CG340" s="21">
        <v>0</v>
      </c>
      <c r="CH340" s="21">
        <v>0</v>
      </c>
      <c r="CI340" s="21">
        <v>0</v>
      </c>
      <c r="CJ340" s="21">
        <v>0</v>
      </c>
      <c r="CK340" s="21">
        <v>0</v>
      </c>
      <c r="CL340" s="21">
        <v>0</v>
      </c>
      <c r="CM340" s="21">
        <v>0</v>
      </c>
      <c r="CN340" s="21">
        <v>0</v>
      </c>
      <c r="CO340" s="21">
        <v>0</v>
      </c>
      <c r="CP340" s="21">
        <v>0</v>
      </c>
      <c r="CQ340" s="21">
        <v>0</v>
      </c>
      <c r="CR340" s="21">
        <v>0</v>
      </c>
      <c r="CS340" s="21">
        <v>0</v>
      </c>
      <c r="CT340" s="21">
        <v>0</v>
      </c>
      <c r="CU340" s="21">
        <v>0</v>
      </c>
      <c r="CV340" s="21">
        <v>0</v>
      </c>
      <c r="CW340" s="21">
        <v>0</v>
      </c>
      <c r="CX340" s="21">
        <v>0</v>
      </c>
      <c r="CY340" s="21">
        <v>0</v>
      </c>
      <c r="CZ340" s="21">
        <v>0</v>
      </c>
      <c r="DA340" s="21">
        <v>0</v>
      </c>
      <c r="DB340" s="21">
        <v>0</v>
      </c>
      <c r="DC340" s="21">
        <v>0</v>
      </c>
      <c r="DD340" s="21">
        <v>0</v>
      </c>
      <c r="DE340" s="21">
        <v>0</v>
      </c>
      <c r="DF340" s="21">
        <v>0</v>
      </c>
      <c r="DG340" s="21">
        <v>0</v>
      </c>
      <c r="DH340" s="21">
        <v>0</v>
      </c>
      <c r="DI340" s="21">
        <v>0</v>
      </c>
      <c r="DJ340" s="21">
        <v>0</v>
      </c>
      <c r="DK340" s="21">
        <v>0</v>
      </c>
      <c r="DL340" s="21">
        <v>0</v>
      </c>
      <c r="DM340" s="21">
        <v>0</v>
      </c>
      <c r="DN340" s="21">
        <v>0</v>
      </c>
      <c r="DO340" s="21">
        <v>0</v>
      </c>
      <c r="DP340" s="21">
        <v>0</v>
      </c>
      <c r="DQ340" s="21">
        <v>0</v>
      </c>
      <c r="DR340" s="21">
        <v>0</v>
      </c>
      <c r="DS340" s="21">
        <v>0</v>
      </c>
      <c r="DT340" s="21">
        <v>0</v>
      </c>
      <c r="DU340" s="21">
        <v>0</v>
      </c>
      <c r="DV340" s="21">
        <v>0</v>
      </c>
      <c r="DW340" s="21">
        <v>0</v>
      </c>
      <c r="DX340" s="21">
        <v>0</v>
      </c>
      <c r="DY340" s="21">
        <v>0</v>
      </c>
      <c r="DZ340" s="21">
        <v>0</v>
      </c>
      <c r="EA340" s="21">
        <v>0</v>
      </c>
      <c r="EB340" s="21">
        <v>0</v>
      </c>
      <c r="EC340" s="21">
        <v>0</v>
      </c>
      <c r="ED340" s="21">
        <v>0</v>
      </c>
      <c r="EE340" s="21">
        <v>0</v>
      </c>
      <c r="EF340" s="21">
        <v>0</v>
      </c>
    </row>
    <row r="341" spans="1:136" ht="14.5" x14ac:dyDescent="0.35">
      <c r="A341" s="20" t="s">
        <v>12</v>
      </c>
      <c r="B341" s="20" t="s">
        <v>132</v>
      </c>
      <c r="C341" s="20" t="s">
        <v>132</v>
      </c>
      <c r="D341" s="20" t="s">
        <v>334</v>
      </c>
      <c r="E341" s="20" t="s">
        <v>10</v>
      </c>
      <c r="F341" s="20" t="s">
        <v>40</v>
      </c>
      <c r="G341" s="21">
        <v>0</v>
      </c>
      <c r="H341" s="21">
        <v>0</v>
      </c>
      <c r="I341" s="21">
        <v>28.5</v>
      </c>
      <c r="J341" s="21">
        <v>-28.5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2</v>
      </c>
      <c r="AK341" s="21">
        <v>0</v>
      </c>
      <c r="AL341" s="21">
        <v>0</v>
      </c>
      <c r="AM341" s="21">
        <v>0</v>
      </c>
      <c r="AN341" s="21">
        <v>0</v>
      </c>
      <c r="AO341" s="21">
        <v>0</v>
      </c>
      <c r="AP341" s="21">
        <v>0</v>
      </c>
      <c r="AQ341" s="21">
        <v>2</v>
      </c>
      <c r="AR341" s="21">
        <v>0</v>
      </c>
      <c r="AS341" s="21">
        <v>0</v>
      </c>
      <c r="AT341" s="21">
        <v>0</v>
      </c>
      <c r="AU341" s="21">
        <v>0</v>
      </c>
      <c r="AV341" s="21">
        <v>0</v>
      </c>
      <c r="AW341" s="21">
        <v>0</v>
      </c>
      <c r="AX341" s="21">
        <v>0</v>
      </c>
      <c r="AY341" s="21">
        <v>0</v>
      </c>
      <c r="AZ341" s="21">
        <v>0</v>
      </c>
      <c r="BA341" s="21">
        <v>0</v>
      </c>
      <c r="BB341" s="21">
        <v>0</v>
      </c>
      <c r="BC341" s="21">
        <v>0</v>
      </c>
      <c r="BD341" s="21">
        <v>0</v>
      </c>
      <c r="BE341" s="21">
        <v>0</v>
      </c>
      <c r="BF341" s="21">
        <v>0</v>
      </c>
      <c r="BG341" s="21">
        <v>0</v>
      </c>
      <c r="BH341" s="21">
        <v>0</v>
      </c>
      <c r="BI341" s="21">
        <v>0</v>
      </c>
      <c r="BJ341" s="21">
        <v>0</v>
      </c>
      <c r="BK341" s="21">
        <v>0</v>
      </c>
      <c r="BL341" s="21">
        <v>0</v>
      </c>
      <c r="BM341" s="21">
        <v>0</v>
      </c>
      <c r="BN341" s="21">
        <v>0</v>
      </c>
      <c r="BO341" s="21">
        <v>0</v>
      </c>
      <c r="BP341" s="21">
        <v>0</v>
      </c>
      <c r="BQ341" s="21">
        <v>0</v>
      </c>
      <c r="BR341" s="21">
        <v>0</v>
      </c>
      <c r="BS341" s="21">
        <v>0</v>
      </c>
      <c r="BT341" s="21">
        <v>0</v>
      </c>
      <c r="BU341" s="21">
        <v>0</v>
      </c>
      <c r="BV341" s="21">
        <v>0</v>
      </c>
      <c r="BW341" s="21">
        <v>0</v>
      </c>
      <c r="BX341" s="21">
        <v>0</v>
      </c>
      <c r="BY341" s="21">
        <v>0</v>
      </c>
      <c r="BZ341" s="21">
        <v>0</v>
      </c>
      <c r="CA341" s="21">
        <v>0</v>
      </c>
      <c r="CB341" s="21">
        <v>0</v>
      </c>
      <c r="CC341" s="21">
        <v>0</v>
      </c>
      <c r="CD341" s="21">
        <v>0</v>
      </c>
      <c r="CE341" s="21">
        <v>0</v>
      </c>
      <c r="CF341" s="21">
        <v>0</v>
      </c>
      <c r="CG341" s="21">
        <v>0</v>
      </c>
      <c r="CH341" s="21">
        <v>0</v>
      </c>
      <c r="CI341" s="21">
        <v>0</v>
      </c>
      <c r="CJ341" s="21">
        <v>0</v>
      </c>
      <c r="CK341" s="21">
        <v>0</v>
      </c>
      <c r="CL341" s="21">
        <v>0</v>
      </c>
      <c r="CM341" s="21">
        <v>0</v>
      </c>
      <c r="CN341" s="21">
        <v>0</v>
      </c>
      <c r="CO341" s="21">
        <v>0</v>
      </c>
      <c r="CP341" s="21">
        <v>0</v>
      </c>
      <c r="CQ341" s="21">
        <v>0</v>
      </c>
      <c r="CR341" s="21">
        <v>0</v>
      </c>
      <c r="CS341" s="21">
        <v>0</v>
      </c>
      <c r="CT341" s="21">
        <v>0</v>
      </c>
      <c r="CU341" s="21">
        <v>0</v>
      </c>
      <c r="CV341" s="21">
        <v>0</v>
      </c>
      <c r="CW341" s="21">
        <v>0</v>
      </c>
      <c r="CX341" s="21">
        <v>0</v>
      </c>
      <c r="CY341" s="21">
        <v>0</v>
      </c>
      <c r="CZ341" s="21">
        <v>0</v>
      </c>
      <c r="DA341" s="21">
        <v>0</v>
      </c>
      <c r="DB341" s="21">
        <v>0</v>
      </c>
      <c r="DC341" s="21">
        <v>0</v>
      </c>
      <c r="DD341" s="21">
        <v>0</v>
      </c>
      <c r="DE341" s="21">
        <v>0</v>
      </c>
      <c r="DF341" s="21">
        <v>0</v>
      </c>
      <c r="DG341" s="21">
        <v>0</v>
      </c>
      <c r="DH341" s="21">
        <v>0</v>
      </c>
      <c r="DI341" s="21">
        <v>0</v>
      </c>
      <c r="DJ341" s="21">
        <v>0</v>
      </c>
      <c r="DK341" s="21">
        <v>0</v>
      </c>
      <c r="DL341" s="21">
        <v>0</v>
      </c>
      <c r="DM341" s="21">
        <v>0</v>
      </c>
      <c r="DN341" s="21">
        <v>0</v>
      </c>
      <c r="DO341" s="21">
        <v>3</v>
      </c>
      <c r="DP341" s="21">
        <v>7.5</v>
      </c>
      <c r="DQ341" s="21">
        <v>14</v>
      </c>
      <c r="DR341" s="21">
        <v>0</v>
      </c>
      <c r="DS341" s="21">
        <v>0</v>
      </c>
      <c r="DT341" s="21">
        <v>0</v>
      </c>
      <c r="DU341" s="21">
        <v>0</v>
      </c>
      <c r="DV341" s="21">
        <v>0</v>
      </c>
      <c r="DW341" s="21">
        <v>0</v>
      </c>
      <c r="DX341" s="21">
        <v>0</v>
      </c>
      <c r="DY341" s="21">
        <v>0</v>
      </c>
      <c r="DZ341" s="21">
        <v>0</v>
      </c>
      <c r="EA341" s="21">
        <v>0</v>
      </c>
      <c r="EB341" s="21">
        <v>0</v>
      </c>
      <c r="EC341" s="21">
        <v>0</v>
      </c>
      <c r="ED341" s="21">
        <v>0</v>
      </c>
      <c r="EE341" s="21">
        <v>0</v>
      </c>
      <c r="EF341" s="21">
        <v>0</v>
      </c>
    </row>
    <row r="342" spans="1:136" ht="14.5" x14ac:dyDescent="0.35">
      <c r="A342" s="20" t="s">
        <v>12</v>
      </c>
      <c r="B342" s="20" t="s">
        <v>132</v>
      </c>
      <c r="C342" s="20" t="s">
        <v>132</v>
      </c>
      <c r="D342" s="20" t="s">
        <v>335</v>
      </c>
      <c r="E342" s="20" t="s">
        <v>10</v>
      </c>
      <c r="F342" s="20" t="s">
        <v>101</v>
      </c>
      <c r="G342" s="21">
        <v>23</v>
      </c>
      <c r="H342" s="21">
        <v>23</v>
      </c>
      <c r="I342" s="21">
        <v>23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21">
        <v>0</v>
      </c>
      <c r="AB342" s="21">
        <v>3</v>
      </c>
      <c r="AC342" s="21">
        <v>13</v>
      </c>
      <c r="AD342" s="21">
        <v>6</v>
      </c>
      <c r="AE342" s="21">
        <v>0</v>
      </c>
      <c r="AF342" s="21">
        <v>1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21">
        <v>0</v>
      </c>
      <c r="AO342" s="21">
        <v>0</v>
      </c>
      <c r="AP342" s="21">
        <v>0</v>
      </c>
      <c r="AQ342" s="21">
        <v>0</v>
      </c>
      <c r="AR342" s="21">
        <v>0</v>
      </c>
      <c r="AS342" s="21">
        <v>0</v>
      </c>
      <c r="AT342" s="21">
        <v>0</v>
      </c>
      <c r="AU342" s="21">
        <v>0</v>
      </c>
      <c r="AV342" s="21">
        <v>0</v>
      </c>
      <c r="AW342" s="21">
        <v>0</v>
      </c>
      <c r="AX342" s="21">
        <v>0</v>
      </c>
      <c r="AY342" s="21">
        <v>0</v>
      </c>
      <c r="AZ342" s="21">
        <v>0</v>
      </c>
      <c r="BA342" s="21">
        <v>0</v>
      </c>
      <c r="BB342" s="21">
        <v>0</v>
      </c>
      <c r="BC342" s="21">
        <v>0</v>
      </c>
      <c r="BD342" s="21">
        <v>0</v>
      </c>
      <c r="BE342" s="21">
        <v>0</v>
      </c>
      <c r="BF342" s="21">
        <v>0</v>
      </c>
      <c r="BG342" s="21">
        <v>0</v>
      </c>
      <c r="BH342" s="21">
        <v>0</v>
      </c>
      <c r="BI342" s="21">
        <v>0</v>
      </c>
      <c r="BJ342" s="21">
        <v>0</v>
      </c>
      <c r="BK342" s="21">
        <v>0</v>
      </c>
      <c r="BL342" s="21">
        <v>0</v>
      </c>
      <c r="BM342" s="21">
        <v>0</v>
      </c>
      <c r="BN342" s="21">
        <v>0</v>
      </c>
      <c r="BO342" s="21">
        <v>0</v>
      </c>
      <c r="BP342" s="21">
        <v>0</v>
      </c>
      <c r="BQ342" s="21">
        <v>0</v>
      </c>
      <c r="BR342" s="21">
        <v>0</v>
      </c>
      <c r="BS342" s="21">
        <v>0</v>
      </c>
      <c r="BT342" s="21">
        <v>0</v>
      </c>
      <c r="BU342" s="21">
        <v>0</v>
      </c>
      <c r="BV342" s="21">
        <v>0</v>
      </c>
      <c r="BW342" s="21">
        <v>0</v>
      </c>
      <c r="BX342" s="21">
        <v>0</v>
      </c>
      <c r="BY342" s="21">
        <v>0</v>
      </c>
      <c r="BZ342" s="21">
        <v>0</v>
      </c>
      <c r="CA342" s="21">
        <v>0</v>
      </c>
      <c r="CB342" s="21">
        <v>0</v>
      </c>
      <c r="CC342" s="21">
        <v>0</v>
      </c>
      <c r="CD342" s="21">
        <v>0</v>
      </c>
      <c r="CE342" s="21">
        <v>0</v>
      </c>
      <c r="CF342" s="21">
        <v>0</v>
      </c>
      <c r="CG342" s="21">
        <v>0</v>
      </c>
      <c r="CH342" s="21">
        <v>0</v>
      </c>
      <c r="CI342" s="21">
        <v>0</v>
      </c>
      <c r="CJ342" s="21">
        <v>0</v>
      </c>
      <c r="CK342" s="21">
        <v>0</v>
      </c>
      <c r="CL342" s="21">
        <v>0</v>
      </c>
      <c r="CM342" s="21">
        <v>0</v>
      </c>
      <c r="CN342" s="21">
        <v>0</v>
      </c>
      <c r="CO342" s="21">
        <v>0</v>
      </c>
      <c r="CP342" s="21">
        <v>0</v>
      </c>
      <c r="CQ342" s="21">
        <v>0</v>
      </c>
      <c r="CR342" s="21">
        <v>0</v>
      </c>
      <c r="CS342" s="21">
        <v>0</v>
      </c>
      <c r="CT342" s="21">
        <v>0</v>
      </c>
      <c r="CU342" s="21">
        <v>0</v>
      </c>
      <c r="CV342" s="21">
        <v>0</v>
      </c>
      <c r="CW342" s="21">
        <v>0</v>
      </c>
      <c r="CX342" s="21">
        <v>0</v>
      </c>
      <c r="CY342" s="21">
        <v>0</v>
      </c>
      <c r="CZ342" s="21">
        <v>0</v>
      </c>
      <c r="DA342" s="21">
        <v>0</v>
      </c>
      <c r="DB342" s="21">
        <v>0</v>
      </c>
      <c r="DC342" s="21">
        <v>0</v>
      </c>
      <c r="DD342" s="21">
        <v>0</v>
      </c>
      <c r="DE342" s="21">
        <v>0</v>
      </c>
      <c r="DF342" s="21">
        <v>0</v>
      </c>
      <c r="DG342" s="21">
        <v>0</v>
      </c>
      <c r="DH342" s="21">
        <v>0</v>
      </c>
      <c r="DI342" s="21">
        <v>0</v>
      </c>
      <c r="DJ342" s="21">
        <v>0</v>
      </c>
      <c r="DK342" s="21">
        <v>0</v>
      </c>
      <c r="DL342" s="21">
        <v>0</v>
      </c>
      <c r="DM342" s="21">
        <v>0</v>
      </c>
      <c r="DN342" s="21">
        <v>0</v>
      </c>
      <c r="DO342" s="21">
        <v>0</v>
      </c>
      <c r="DP342" s="21">
        <v>0</v>
      </c>
      <c r="DQ342" s="21">
        <v>0</v>
      </c>
      <c r="DR342" s="21">
        <v>0</v>
      </c>
      <c r="DS342" s="21">
        <v>0</v>
      </c>
      <c r="DT342" s="21">
        <v>0</v>
      </c>
      <c r="DU342" s="21">
        <v>0</v>
      </c>
      <c r="DV342" s="21">
        <v>0</v>
      </c>
      <c r="DW342" s="21">
        <v>0</v>
      </c>
      <c r="DX342" s="21">
        <v>0</v>
      </c>
      <c r="DY342" s="21">
        <v>0</v>
      </c>
      <c r="DZ342" s="21">
        <v>0</v>
      </c>
      <c r="EA342" s="21">
        <v>0</v>
      </c>
      <c r="EB342" s="21">
        <v>0</v>
      </c>
      <c r="EC342" s="21">
        <v>0</v>
      </c>
      <c r="ED342" s="21">
        <v>0</v>
      </c>
      <c r="EE342" s="21">
        <v>0</v>
      </c>
      <c r="EF342" s="21">
        <v>0</v>
      </c>
    </row>
    <row r="343" spans="1:136" ht="14.5" x14ac:dyDescent="0.35">
      <c r="A343" s="20" t="s">
        <v>12</v>
      </c>
      <c r="B343" s="20" t="s">
        <v>132</v>
      </c>
      <c r="C343" s="20" t="s">
        <v>132</v>
      </c>
      <c r="D343" s="20" t="s">
        <v>334</v>
      </c>
      <c r="E343" s="20" t="s">
        <v>10</v>
      </c>
      <c r="F343" s="20" t="s">
        <v>101</v>
      </c>
      <c r="G343" s="21">
        <v>0</v>
      </c>
      <c r="H343" s="21">
        <v>0</v>
      </c>
      <c r="I343" s="21">
        <v>197.5</v>
      </c>
      <c r="J343" s="21">
        <v>-197.5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  <c r="W343" s="21">
        <v>0</v>
      </c>
      <c r="X343" s="21">
        <v>0</v>
      </c>
      <c r="Y343" s="21">
        <v>0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4.5</v>
      </c>
      <c r="AK343" s="21">
        <v>0</v>
      </c>
      <c r="AL343" s="21">
        <v>4</v>
      </c>
      <c r="AM343" s="21">
        <v>0</v>
      </c>
      <c r="AN343" s="21">
        <v>0</v>
      </c>
      <c r="AO343" s="21">
        <v>6.5</v>
      </c>
      <c r="AP343" s="21">
        <v>11.5</v>
      </c>
      <c r="AQ343" s="21">
        <v>20</v>
      </c>
      <c r="AR343" s="21">
        <v>3</v>
      </c>
      <c r="AS343" s="21">
        <v>0</v>
      </c>
      <c r="AT343" s="21">
        <v>0</v>
      </c>
      <c r="AU343" s="21">
        <v>0</v>
      </c>
      <c r="AV343" s="21">
        <v>0</v>
      </c>
      <c r="AW343" s="21">
        <v>0</v>
      </c>
      <c r="AX343" s="21">
        <v>0</v>
      </c>
      <c r="AY343" s="21">
        <v>0</v>
      </c>
      <c r="AZ343" s="21">
        <v>0</v>
      </c>
      <c r="BA343" s="21">
        <v>0</v>
      </c>
      <c r="BB343" s="21">
        <v>0</v>
      </c>
      <c r="BC343" s="21">
        <v>0</v>
      </c>
      <c r="BD343" s="21">
        <v>0</v>
      </c>
      <c r="BE343" s="21">
        <v>0</v>
      </c>
      <c r="BF343" s="21">
        <v>0</v>
      </c>
      <c r="BG343" s="21">
        <v>0</v>
      </c>
      <c r="BH343" s="21">
        <v>0</v>
      </c>
      <c r="BI343" s="21">
        <v>0</v>
      </c>
      <c r="BJ343" s="21">
        <v>0</v>
      </c>
      <c r="BK343" s="21">
        <v>0</v>
      </c>
      <c r="BL343" s="21">
        <v>0</v>
      </c>
      <c r="BM343" s="21">
        <v>0</v>
      </c>
      <c r="BN343" s="21">
        <v>0</v>
      </c>
      <c r="BO343" s="21">
        <v>0</v>
      </c>
      <c r="BP343" s="21">
        <v>0</v>
      </c>
      <c r="BQ343" s="21">
        <v>0</v>
      </c>
      <c r="BR343" s="21">
        <v>0</v>
      </c>
      <c r="BS343" s="21">
        <v>0</v>
      </c>
      <c r="BT343" s="21">
        <v>0</v>
      </c>
      <c r="BU343" s="21">
        <v>0</v>
      </c>
      <c r="BV343" s="21">
        <v>0</v>
      </c>
      <c r="BW343" s="21">
        <v>0</v>
      </c>
      <c r="BX343" s="21">
        <v>0</v>
      </c>
      <c r="BY343" s="21">
        <v>0</v>
      </c>
      <c r="BZ343" s="21">
        <v>0</v>
      </c>
      <c r="CA343" s="21">
        <v>0</v>
      </c>
      <c r="CB343" s="21">
        <v>0</v>
      </c>
      <c r="CC343" s="21">
        <v>0</v>
      </c>
      <c r="CD343" s="21">
        <v>0</v>
      </c>
      <c r="CE343" s="21">
        <v>0</v>
      </c>
      <c r="CF343" s="21">
        <v>0</v>
      </c>
      <c r="CG343" s="21">
        <v>0</v>
      </c>
      <c r="CH343" s="21">
        <v>0</v>
      </c>
      <c r="CI343" s="21">
        <v>0</v>
      </c>
      <c r="CJ343" s="21">
        <v>0</v>
      </c>
      <c r="CK343" s="21">
        <v>0</v>
      </c>
      <c r="CL343" s="21">
        <v>0</v>
      </c>
      <c r="CM343" s="21">
        <v>0</v>
      </c>
      <c r="CN343" s="21">
        <v>0</v>
      </c>
      <c r="CO343" s="21">
        <v>0</v>
      </c>
      <c r="CP343" s="21">
        <v>0</v>
      </c>
      <c r="CQ343" s="21">
        <v>0</v>
      </c>
      <c r="CR343" s="21">
        <v>0</v>
      </c>
      <c r="CS343" s="21">
        <v>6</v>
      </c>
      <c r="CT343" s="21">
        <v>0</v>
      </c>
      <c r="CU343" s="21">
        <v>0</v>
      </c>
      <c r="CV343" s="21">
        <v>6</v>
      </c>
      <c r="CW343" s="21">
        <v>6</v>
      </c>
      <c r="CX343" s="21">
        <v>0</v>
      </c>
      <c r="CY343" s="21">
        <v>0</v>
      </c>
      <c r="CZ343" s="21">
        <v>6</v>
      </c>
      <c r="DA343" s="21">
        <v>6</v>
      </c>
      <c r="DB343" s="21">
        <v>6</v>
      </c>
      <c r="DC343" s="21">
        <v>6</v>
      </c>
      <c r="DD343" s="21">
        <v>8</v>
      </c>
      <c r="DE343" s="21">
        <v>0</v>
      </c>
      <c r="DF343" s="21">
        <v>8</v>
      </c>
      <c r="DG343" s="21">
        <v>8</v>
      </c>
      <c r="DH343" s="21">
        <v>8</v>
      </c>
      <c r="DI343" s="21">
        <v>0</v>
      </c>
      <c r="DJ343" s="21">
        <v>0</v>
      </c>
      <c r="DK343" s="21">
        <v>12</v>
      </c>
      <c r="DL343" s="21">
        <v>12</v>
      </c>
      <c r="DM343" s="21">
        <v>12</v>
      </c>
      <c r="DN343" s="21">
        <v>12</v>
      </c>
      <c r="DO343" s="21">
        <v>10</v>
      </c>
      <c r="DP343" s="21">
        <v>8</v>
      </c>
      <c r="DQ343" s="21">
        <v>8</v>
      </c>
      <c r="DR343" s="21">
        <v>0</v>
      </c>
      <c r="DS343" s="21">
        <v>0</v>
      </c>
      <c r="DT343" s="21">
        <v>0</v>
      </c>
      <c r="DU343" s="21">
        <v>0</v>
      </c>
      <c r="DV343" s="21">
        <v>0</v>
      </c>
      <c r="DW343" s="21">
        <v>0</v>
      </c>
      <c r="DX343" s="21">
        <v>0</v>
      </c>
      <c r="DY343" s="21">
        <v>0</v>
      </c>
      <c r="DZ343" s="21">
        <v>0</v>
      </c>
      <c r="EA343" s="21">
        <v>0</v>
      </c>
      <c r="EB343" s="21">
        <v>0</v>
      </c>
      <c r="EC343" s="21">
        <v>0</v>
      </c>
      <c r="ED343" s="21">
        <v>0</v>
      </c>
      <c r="EE343" s="21">
        <v>0</v>
      </c>
      <c r="EF343" s="21">
        <v>0</v>
      </c>
    </row>
    <row r="344" spans="1:136" ht="14.5" x14ac:dyDescent="0.35">
      <c r="A344" s="20" t="s">
        <v>12</v>
      </c>
      <c r="B344" s="20" t="s">
        <v>132</v>
      </c>
      <c r="C344" s="20" t="s">
        <v>132</v>
      </c>
      <c r="D344" s="20" t="s">
        <v>334</v>
      </c>
      <c r="E344" s="20" t="s">
        <v>10</v>
      </c>
      <c r="F344" s="20" t="s">
        <v>81</v>
      </c>
      <c r="G344" s="21">
        <v>64</v>
      </c>
      <c r="H344" s="21">
        <v>312</v>
      </c>
      <c r="I344" s="21">
        <v>288</v>
      </c>
      <c r="J344" s="21">
        <v>24</v>
      </c>
      <c r="K344" s="21">
        <v>0</v>
      </c>
      <c r="L344" s="21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0</v>
      </c>
      <c r="AO344" s="21">
        <v>0</v>
      </c>
      <c r="AP344" s="21">
        <v>0</v>
      </c>
      <c r="AQ344" s="21">
        <v>0</v>
      </c>
      <c r="AR344" s="21">
        <v>3</v>
      </c>
      <c r="AS344" s="21">
        <v>0</v>
      </c>
      <c r="AT344" s="21">
        <v>0</v>
      </c>
      <c r="AU344" s="21">
        <v>0</v>
      </c>
      <c r="AV344" s="21">
        <v>0</v>
      </c>
      <c r="AW344" s="21">
        <v>0</v>
      </c>
      <c r="AX344" s="21">
        <v>0</v>
      </c>
      <c r="AY344" s="21">
        <v>0</v>
      </c>
      <c r="AZ344" s="21">
        <v>0</v>
      </c>
      <c r="BA344" s="21">
        <v>0</v>
      </c>
      <c r="BB344" s="21">
        <v>0</v>
      </c>
      <c r="BC344" s="21">
        <v>0</v>
      </c>
      <c r="BD344" s="21">
        <v>0</v>
      </c>
      <c r="BE344" s="21">
        <v>0</v>
      </c>
      <c r="BF344" s="21">
        <v>0</v>
      </c>
      <c r="BG344" s="21">
        <v>0</v>
      </c>
      <c r="BH344" s="21">
        <v>0</v>
      </c>
      <c r="BI344" s="21">
        <v>0</v>
      </c>
      <c r="BJ344" s="21">
        <v>0</v>
      </c>
      <c r="BK344" s="21">
        <v>0</v>
      </c>
      <c r="BL344" s="21">
        <v>0</v>
      </c>
      <c r="BM344" s="21">
        <v>0</v>
      </c>
      <c r="BN344" s="21">
        <v>0</v>
      </c>
      <c r="BO344" s="21">
        <v>0</v>
      </c>
      <c r="BP344" s="21">
        <v>0</v>
      </c>
      <c r="BQ344" s="21">
        <v>0</v>
      </c>
      <c r="BR344" s="21">
        <v>0</v>
      </c>
      <c r="BS344" s="21">
        <v>0</v>
      </c>
      <c r="BT344" s="21">
        <v>0</v>
      </c>
      <c r="BU344" s="21">
        <v>0</v>
      </c>
      <c r="BV344" s="21">
        <v>0</v>
      </c>
      <c r="BW344" s="21">
        <v>0</v>
      </c>
      <c r="BX344" s="21">
        <v>0</v>
      </c>
      <c r="BY344" s="21">
        <v>0</v>
      </c>
      <c r="BZ344" s="21">
        <v>0</v>
      </c>
      <c r="CA344" s="21">
        <v>0</v>
      </c>
      <c r="CB344" s="21">
        <v>0</v>
      </c>
      <c r="CC344" s="21">
        <v>0</v>
      </c>
      <c r="CD344" s="21">
        <v>0</v>
      </c>
      <c r="CE344" s="21">
        <v>0</v>
      </c>
      <c r="CF344" s="21">
        <v>0</v>
      </c>
      <c r="CG344" s="21">
        <v>0</v>
      </c>
      <c r="CH344" s="21">
        <v>0</v>
      </c>
      <c r="CI344" s="21">
        <v>0</v>
      </c>
      <c r="CJ344" s="21">
        <v>0</v>
      </c>
      <c r="CK344" s="21">
        <v>0</v>
      </c>
      <c r="CL344" s="21">
        <v>0</v>
      </c>
      <c r="CM344" s="21">
        <v>0</v>
      </c>
      <c r="CN344" s="21">
        <v>0</v>
      </c>
      <c r="CO344" s="21">
        <v>0</v>
      </c>
      <c r="CP344" s="21">
        <v>0</v>
      </c>
      <c r="CQ344" s="21">
        <v>0</v>
      </c>
      <c r="CR344" s="21">
        <v>0</v>
      </c>
      <c r="CS344" s="21">
        <v>10</v>
      </c>
      <c r="CT344" s="21">
        <v>20</v>
      </c>
      <c r="CU344" s="21">
        <v>20</v>
      </c>
      <c r="CV344" s="21">
        <v>10</v>
      </c>
      <c r="CW344" s="21">
        <v>5</v>
      </c>
      <c r="CX344" s="21">
        <v>5</v>
      </c>
      <c r="CY344" s="21">
        <v>5</v>
      </c>
      <c r="CZ344" s="21">
        <v>5</v>
      </c>
      <c r="DA344" s="21">
        <v>20</v>
      </c>
      <c r="DB344" s="21">
        <v>20</v>
      </c>
      <c r="DC344" s="21">
        <v>20</v>
      </c>
      <c r="DD344" s="21">
        <v>20</v>
      </c>
      <c r="DE344" s="21">
        <v>10</v>
      </c>
      <c r="DF344" s="21">
        <v>10</v>
      </c>
      <c r="DG344" s="21">
        <v>10</v>
      </c>
      <c r="DH344" s="21">
        <v>10</v>
      </c>
      <c r="DI344" s="21">
        <v>0</v>
      </c>
      <c r="DJ344" s="21">
        <v>0</v>
      </c>
      <c r="DK344" s="21">
        <v>20</v>
      </c>
      <c r="DL344" s="21">
        <v>20</v>
      </c>
      <c r="DM344" s="21">
        <v>15</v>
      </c>
      <c r="DN344" s="21">
        <v>15</v>
      </c>
      <c r="DO344" s="21">
        <v>15</v>
      </c>
      <c r="DP344" s="21">
        <v>0</v>
      </c>
      <c r="DQ344" s="21">
        <v>0</v>
      </c>
      <c r="DR344" s="21">
        <v>0</v>
      </c>
      <c r="DS344" s="21">
        <v>0</v>
      </c>
      <c r="DT344" s="21">
        <v>0</v>
      </c>
      <c r="DU344" s="21">
        <v>0</v>
      </c>
      <c r="DV344" s="21">
        <v>0</v>
      </c>
      <c r="DW344" s="21">
        <v>0</v>
      </c>
      <c r="DX344" s="21">
        <v>0</v>
      </c>
      <c r="DY344" s="21">
        <v>0</v>
      </c>
      <c r="DZ344" s="21">
        <v>0</v>
      </c>
      <c r="EA344" s="21">
        <v>0</v>
      </c>
      <c r="EB344" s="21">
        <v>0</v>
      </c>
      <c r="EC344" s="21">
        <v>0</v>
      </c>
      <c r="ED344" s="21">
        <v>0</v>
      </c>
      <c r="EE344" s="21">
        <v>0</v>
      </c>
      <c r="EF344" s="21">
        <v>0</v>
      </c>
    </row>
    <row r="345" spans="1:136" ht="14.5" x14ac:dyDescent="0.35">
      <c r="A345" s="20" t="s">
        <v>12</v>
      </c>
      <c r="B345" s="20" t="s">
        <v>132</v>
      </c>
      <c r="C345" s="20" t="s">
        <v>132</v>
      </c>
      <c r="D345" s="20" t="s">
        <v>335</v>
      </c>
      <c r="E345" s="20" t="s">
        <v>10</v>
      </c>
      <c r="F345" s="20" t="s">
        <v>98</v>
      </c>
      <c r="G345" s="21">
        <v>13</v>
      </c>
      <c r="H345" s="21">
        <v>26</v>
      </c>
      <c r="I345" s="21">
        <v>0</v>
      </c>
      <c r="J345" s="21">
        <v>26</v>
      </c>
      <c r="K345" s="21">
        <v>0</v>
      </c>
      <c r="L345" s="21">
        <v>0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0</v>
      </c>
      <c r="Z345" s="21">
        <v>0</v>
      </c>
      <c r="AA345" s="21">
        <v>0</v>
      </c>
      <c r="AB345" s="21">
        <v>0</v>
      </c>
      <c r="AC345" s="21">
        <v>0</v>
      </c>
      <c r="AD345" s="21">
        <v>0</v>
      </c>
      <c r="AE345" s="21">
        <v>0</v>
      </c>
      <c r="AF345" s="21">
        <v>0</v>
      </c>
      <c r="AG345" s="21">
        <v>0</v>
      </c>
      <c r="AH345" s="21">
        <v>0</v>
      </c>
      <c r="AI345" s="21">
        <v>0</v>
      </c>
      <c r="AJ345" s="21">
        <v>0</v>
      </c>
      <c r="AK345" s="21">
        <v>0</v>
      </c>
      <c r="AL345" s="21">
        <v>0</v>
      </c>
      <c r="AM345" s="21">
        <v>0</v>
      </c>
      <c r="AN345" s="21">
        <v>0</v>
      </c>
      <c r="AO345" s="21">
        <v>0</v>
      </c>
      <c r="AP345" s="21">
        <v>0</v>
      </c>
      <c r="AQ345" s="21">
        <v>0</v>
      </c>
      <c r="AR345" s="21">
        <v>0</v>
      </c>
      <c r="AS345" s="21">
        <v>0</v>
      </c>
      <c r="AT345" s="21">
        <v>0</v>
      </c>
      <c r="AU345" s="21">
        <v>0</v>
      </c>
      <c r="AV345" s="21">
        <v>0</v>
      </c>
      <c r="AW345" s="21">
        <v>0</v>
      </c>
      <c r="AX345" s="21">
        <v>0</v>
      </c>
      <c r="AY345" s="21">
        <v>0</v>
      </c>
      <c r="AZ345" s="21">
        <v>0</v>
      </c>
      <c r="BA345" s="21">
        <v>0</v>
      </c>
      <c r="BB345" s="21">
        <v>0</v>
      </c>
      <c r="BC345" s="21">
        <v>0</v>
      </c>
      <c r="BD345" s="21">
        <v>0</v>
      </c>
      <c r="BE345" s="21">
        <v>0</v>
      </c>
      <c r="BF345" s="21">
        <v>0</v>
      </c>
      <c r="BG345" s="21">
        <v>0</v>
      </c>
      <c r="BH345" s="21">
        <v>0</v>
      </c>
      <c r="BI345" s="21">
        <v>0</v>
      </c>
      <c r="BJ345" s="21">
        <v>0</v>
      </c>
      <c r="BK345" s="21">
        <v>0</v>
      </c>
      <c r="BL345" s="21">
        <v>0</v>
      </c>
      <c r="BM345" s="21">
        <v>0</v>
      </c>
      <c r="BN345" s="21">
        <v>0</v>
      </c>
      <c r="BO345" s="21">
        <v>0</v>
      </c>
      <c r="BP345" s="21">
        <v>0</v>
      </c>
      <c r="BQ345" s="21">
        <v>0</v>
      </c>
      <c r="BR345" s="21">
        <v>0</v>
      </c>
      <c r="BS345" s="21">
        <v>0</v>
      </c>
      <c r="BT345" s="21">
        <v>0</v>
      </c>
      <c r="BU345" s="21">
        <v>0</v>
      </c>
      <c r="BV345" s="21">
        <v>0</v>
      </c>
      <c r="BW345" s="21">
        <v>0</v>
      </c>
      <c r="BX345" s="21">
        <v>0</v>
      </c>
      <c r="BY345" s="21">
        <v>0</v>
      </c>
      <c r="BZ345" s="21">
        <v>0</v>
      </c>
      <c r="CA345" s="21">
        <v>0</v>
      </c>
      <c r="CB345" s="21">
        <v>0</v>
      </c>
      <c r="CC345" s="21">
        <v>0</v>
      </c>
      <c r="CD345" s="21">
        <v>0</v>
      </c>
      <c r="CE345" s="21">
        <v>0</v>
      </c>
      <c r="CF345" s="21">
        <v>0</v>
      </c>
      <c r="CG345" s="21">
        <v>0</v>
      </c>
      <c r="CH345" s="21">
        <v>0</v>
      </c>
      <c r="CI345" s="21">
        <v>0</v>
      </c>
      <c r="CJ345" s="21">
        <v>0</v>
      </c>
      <c r="CK345" s="21">
        <v>0</v>
      </c>
      <c r="CL345" s="21">
        <v>0</v>
      </c>
      <c r="CM345" s="21">
        <v>0</v>
      </c>
      <c r="CN345" s="21">
        <v>0</v>
      </c>
      <c r="CO345" s="21">
        <v>0</v>
      </c>
      <c r="CP345" s="21">
        <v>0</v>
      </c>
      <c r="CQ345" s="21">
        <v>0</v>
      </c>
      <c r="CR345" s="21">
        <v>0</v>
      </c>
      <c r="CS345" s="21">
        <v>0</v>
      </c>
      <c r="CT345" s="21">
        <v>0</v>
      </c>
      <c r="CU345" s="21">
        <v>0</v>
      </c>
      <c r="CV345" s="21">
        <v>0</v>
      </c>
      <c r="CW345" s="21">
        <v>0</v>
      </c>
      <c r="CX345" s="21">
        <v>0</v>
      </c>
      <c r="CY345" s="21">
        <v>0</v>
      </c>
      <c r="CZ345" s="21">
        <v>0</v>
      </c>
      <c r="DA345" s="21">
        <v>0</v>
      </c>
      <c r="DB345" s="21">
        <v>0</v>
      </c>
      <c r="DC345" s="21">
        <v>0</v>
      </c>
      <c r="DD345" s="21">
        <v>0</v>
      </c>
      <c r="DE345" s="21">
        <v>0</v>
      </c>
      <c r="DF345" s="21">
        <v>0</v>
      </c>
      <c r="DG345" s="21">
        <v>0</v>
      </c>
      <c r="DH345" s="21">
        <v>0</v>
      </c>
      <c r="DI345" s="21">
        <v>0</v>
      </c>
      <c r="DJ345" s="21">
        <v>0</v>
      </c>
      <c r="DK345" s="21">
        <v>0</v>
      </c>
      <c r="DL345" s="21">
        <v>0</v>
      </c>
      <c r="DM345" s="21">
        <v>0</v>
      </c>
      <c r="DN345" s="21">
        <v>0</v>
      </c>
      <c r="DO345" s="21">
        <v>0</v>
      </c>
      <c r="DP345" s="21">
        <v>0</v>
      </c>
      <c r="DQ345" s="21">
        <v>0</v>
      </c>
      <c r="DR345" s="21">
        <v>0</v>
      </c>
      <c r="DS345" s="21">
        <v>0</v>
      </c>
      <c r="DT345" s="21">
        <v>0</v>
      </c>
      <c r="DU345" s="21">
        <v>0</v>
      </c>
      <c r="DV345" s="21">
        <v>0</v>
      </c>
      <c r="DW345" s="21">
        <v>0</v>
      </c>
      <c r="DX345" s="21">
        <v>0</v>
      </c>
      <c r="DY345" s="21">
        <v>0</v>
      </c>
      <c r="DZ345" s="21">
        <v>0</v>
      </c>
      <c r="EA345" s="21">
        <v>0</v>
      </c>
      <c r="EB345" s="21">
        <v>0</v>
      </c>
      <c r="EC345" s="21">
        <v>0</v>
      </c>
      <c r="ED345" s="21">
        <v>0</v>
      </c>
      <c r="EE345" s="21">
        <v>0</v>
      </c>
      <c r="EF345" s="21">
        <v>0</v>
      </c>
    </row>
    <row r="346" spans="1:136" ht="14.5" x14ac:dyDescent="0.35">
      <c r="A346" s="20" t="s">
        <v>12</v>
      </c>
      <c r="B346" s="20" t="s">
        <v>132</v>
      </c>
      <c r="C346" s="20" t="s">
        <v>132</v>
      </c>
      <c r="D346" s="20" t="s">
        <v>334</v>
      </c>
      <c r="E346" s="20" t="s">
        <v>10</v>
      </c>
      <c r="F346" s="20" t="s">
        <v>98</v>
      </c>
      <c r="G346" s="21">
        <v>0</v>
      </c>
      <c r="H346" s="21">
        <v>0</v>
      </c>
      <c r="I346" s="21">
        <v>13</v>
      </c>
      <c r="J346" s="21">
        <v>-13</v>
      </c>
      <c r="K346" s="21">
        <v>0</v>
      </c>
      <c r="L346" s="21">
        <v>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21">
        <v>0</v>
      </c>
      <c r="AO346" s="21">
        <v>0</v>
      </c>
      <c r="AP346" s="21">
        <v>0</v>
      </c>
      <c r="AQ346" s="21">
        <v>0</v>
      </c>
      <c r="AR346" s="21">
        <v>0</v>
      </c>
      <c r="AS346" s="21">
        <v>0</v>
      </c>
      <c r="AT346" s="21">
        <v>0</v>
      </c>
      <c r="AU346" s="21">
        <v>0</v>
      </c>
      <c r="AV346" s="21">
        <v>0</v>
      </c>
      <c r="AW346" s="21">
        <v>0</v>
      </c>
      <c r="AX346" s="21">
        <v>0</v>
      </c>
      <c r="AY346" s="21">
        <v>0</v>
      </c>
      <c r="AZ346" s="21">
        <v>0</v>
      </c>
      <c r="BA346" s="21">
        <v>0</v>
      </c>
      <c r="BB346" s="21">
        <v>0</v>
      </c>
      <c r="BC346" s="21">
        <v>0</v>
      </c>
      <c r="BD346" s="21">
        <v>0</v>
      </c>
      <c r="BE346" s="21">
        <v>0</v>
      </c>
      <c r="BF346" s="21">
        <v>0</v>
      </c>
      <c r="BG346" s="21">
        <v>0</v>
      </c>
      <c r="BH346" s="21">
        <v>0</v>
      </c>
      <c r="BI346" s="21">
        <v>0</v>
      </c>
      <c r="BJ346" s="21">
        <v>0</v>
      </c>
      <c r="BK346" s="21">
        <v>0</v>
      </c>
      <c r="BL346" s="21">
        <v>0</v>
      </c>
      <c r="BM346" s="21">
        <v>0</v>
      </c>
      <c r="BN346" s="21">
        <v>0</v>
      </c>
      <c r="BO346" s="21">
        <v>0</v>
      </c>
      <c r="BP346" s="21">
        <v>0</v>
      </c>
      <c r="BQ346" s="21">
        <v>0</v>
      </c>
      <c r="BR346" s="21">
        <v>0</v>
      </c>
      <c r="BS346" s="21">
        <v>0</v>
      </c>
      <c r="BT346" s="21">
        <v>0</v>
      </c>
      <c r="BU346" s="21">
        <v>0</v>
      </c>
      <c r="BV346" s="21">
        <v>0</v>
      </c>
      <c r="BW346" s="21">
        <v>0</v>
      </c>
      <c r="BX346" s="21">
        <v>0</v>
      </c>
      <c r="BY346" s="21">
        <v>0</v>
      </c>
      <c r="BZ346" s="21">
        <v>0</v>
      </c>
      <c r="CA346" s="21">
        <v>0</v>
      </c>
      <c r="CB346" s="21">
        <v>0</v>
      </c>
      <c r="CC346" s="21">
        <v>0</v>
      </c>
      <c r="CD346" s="21">
        <v>0</v>
      </c>
      <c r="CE346" s="21">
        <v>0</v>
      </c>
      <c r="CF346" s="21">
        <v>0</v>
      </c>
      <c r="CG346" s="21">
        <v>0</v>
      </c>
      <c r="CH346" s="21">
        <v>0</v>
      </c>
      <c r="CI346" s="21">
        <v>0</v>
      </c>
      <c r="CJ346" s="21">
        <v>0</v>
      </c>
      <c r="CK346" s="21">
        <v>0</v>
      </c>
      <c r="CL346" s="21">
        <v>0</v>
      </c>
      <c r="CM346" s="21">
        <v>0</v>
      </c>
      <c r="CN346" s="21">
        <v>0</v>
      </c>
      <c r="CO346" s="21">
        <v>0</v>
      </c>
      <c r="CP346" s="21">
        <v>0</v>
      </c>
      <c r="CQ346" s="21">
        <v>0</v>
      </c>
      <c r="CR346" s="21">
        <v>0</v>
      </c>
      <c r="CS346" s="21">
        <v>0</v>
      </c>
      <c r="CT346" s="21">
        <v>0</v>
      </c>
      <c r="CU346" s="21">
        <v>0</v>
      </c>
      <c r="CV346" s="21">
        <v>0</v>
      </c>
      <c r="CW346" s="21">
        <v>0</v>
      </c>
      <c r="CX346" s="21">
        <v>0</v>
      </c>
      <c r="CY346" s="21">
        <v>0</v>
      </c>
      <c r="CZ346" s="21">
        <v>0</v>
      </c>
      <c r="DA346" s="21">
        <v>0</v>
      </c>
      <c r="DB346" s="21">
        <v>1.5</v>
      </c>
      <c r="DC346" s="21">
        <v>1.5</v>
      </c>
      <c r="DD346" s="21">
        <v>3</v>
      </c>
      <c r="DE346" s="21">
        <v>0</v>
      </c>
      <c r="DF346" s="21">
        <v>0</v>
      </c>
      <c r="DG346" s="21">
        <v>0</v>
      </c>
      <c r="DH346" s="21">
        <v>0</v>
      </c>
      <c r="DI346" s="21">
        <v>0</v>
      </c>
      <c r="DJ346" s="21">
        <v>0</v>
      </c>
      <c r="DK346" s="21">
        <v>0</v>
      </c>
      <c r="DL346" s="21">
        <v>0</v>
      </c>
      <c r="DM346" s="21">
        <v>0</v>
      </c>
      <c r="DN346" s="21">
        <v>0</v>
      </c>
      <c r="DO346" s="21">
        <v>1.5</v>
      </c>
      <c r="DP346" s="21">
        <v>1.5</v>
      </c>
      <c r="DQ346" s="21">
        <v>4</v>
      </c>
      <c r="DR346" s="21">
        <v>0</v>
      </c>
      <c r="DS346" s="21">
        <v>0</v>
      </c>
      <c r="DT346" s="21">
        <v>0</v>
      </c>
      <c r="DU346" s="21">
        <v>0</v>
      </c>
      <c r="DV346" s="21">
        <v>0</v>
      </c>
      <c r="DW346" s="21">
        <v>0</v>
      </c>
      <c r="DX346" s="21">
        <v>0</v>
      </c>
      <c r="DY346" s="21">
        <v>0</v>
      </c>
      <c r="DZ346" s="21">
        <v>0</v>
      </c>
      <c r="EA346" s="21">
        <v>0</v>
      </c>
      <c r="EB346" s="21">
        <v>0</v>
      </c>
      <c r="EC346" s="21">
        <v>0</v>
      </c>
      <c r="ED346" s="21">
        <v>0</v>
      </c>
      <c r="EE346" s="21">
        <v>0</v>
      </c>
      <c r="EF346" s="21">
        <v>0</v>
      </c>
    </row>
    <row r="347" spans="1:136" ht="14.5" x14ac:dyDescent="0.35">
      <c r="A347" s="20" t="s">
        <v>12</v>
      </c>
      <c r="B347" s="20" t="s">
        <v>132</v>
      </c>
      <c r="C347" s="20" t="s">
        <v>132</v>
      </c>
      <c r="D347" s="20" t="s">
        <v>334</v>
      </c>
      <c r="E347" s="20" t="s">
        <v>10</v>
      </c>
      <c r="F347" s="20" t="s">
        <v>43</v>
      </c>
      <c r="G347" s="21">
        <v>0</v>
      </c>
      <c r="H347" s="21">
        <v>0</v>
      </c>
      <c r="I347" s="21">
        <v>23</v>
      </c>
      <c r="J347" s="21">
        <v>-23</v>
      </c>
      <c r="K347" s="21">
        <v>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0</v>
      </c>
      <c r="AG347" s="21">
        <v>0</v>
      </c>
      <c r="AH347" s="21">
        <v>0</v>
      </c>
      <c r="AI347" s="21">
        <v>0</v>
      </c>
      <c r="AJ347" s="21">
        <v>2</v>
      </c>
      <c r="AK347" s="21">
        <v>0</v>
      </c>
      <c r="AL347" s="21">
        <v>0</v>
      </c>
      <c r="AM347" s="21">
        <v>0</v>
      </c>
      <c r="AN347" s="21">
        <v>0</v>
      </c>
      <c r="AO347" s="21">
        <v>0</v>
      </c>
      <c r="AP347" s="21">
        <v>0</v>
      </c>
      <c r="AQ347" s="21">
        <v>0</v>
      </c>
      <c r="AR347" s="21">
        <v>0</v>
      </c>
      <c r="AS347" s="21">
        <v>0</v>
      </c>
      <c r="AT347" s="21">
        <v>0</v>
      </c>
      <c r="AU347" s="21">
        <v>0</v>
      </c>
      <c r="AV347" s="21">
        <v>0</v>
      </c>
      <c r="AW347" s="21">
        <v>0</v>
      </c>
      <c r="AX347" s="21">
        <v>0</v>
      </c>
      <c r="AY347" s="21">
        <v>0</v>
      </c>
      <c r="AZ347" s="21">
        <v>0</v>
      </c>
      <c r="BA347" s="21">
        <v>0</v>
      </c>
      <c r="BB347" s="21">
        <v>0</v>
      </c>
      <c r="BC347" s="21">
        <v>0</v>
      </c>
      <c r="BD347" s="21">
        <v>0</v>
      </c>
      <c r="BE347" s="21">
        <v>0</v>
      </c>
      <c r="BF347" s="21">
        <v>0</v>
      </c>
      <c r="BG347" s="21">
        <v>0</v>
      </c>
      <c r="BH347" s="21">
        <v>0</v>
      </c>
      <c r="BI347" s="21">
        <v>0</v>
      </c>
      <c r="BJ347" s="21">
        <v>0</v>
      </c>
      <c r="BK347" s="21">
        <v>0</v>
      </c>
      <c r="BL347" s="21">
        <v>0</v>
      </c>
      <c r="BM347" s="21">
        <v>0</v>
      </c>
      <c r="BN347" s="21">
        <v>0</v>
      </c>
      <c r="BO347" s="21">
        <v>0</v>
      </c>
      <c r="BP347" s="21">
        <v>0</v>
      </c>
      <c r="BQ347" s="21">
        <v>0</v>
      </c>
      <c r="BR347" s="21">
        <v>0</v>
      </c>
      <c r="BS347" s="21">
        <v>0</v>
      </c>
      <c r="BT347" s="21">
        <v>0</v>
      </c>
      <c r="BU347" s="21">
        <v>0</v>
      </c>
      <c r="BV347" s="21">
        <v>0</v>
      </c>
      <c r="BW347" s="21">
        <v>0</v>
      </c>
      <c r="BX347" s="21">
        <v>0</v>
      </c>
      <c r="BY347" s="21">
        <v>0</v>
      </c>
      <c r="BZ347" s="21">
        <v>0</v>
      </c>
      <c r="CA347" s="21">
        <v>0</v>
      </c>
      <c r="CB347" s="21">
        <v>0</v>
      </c>
      <c r="CC347" s="21">
        <v>0</v>
      </c>
      <c r="CD347" s="21">
        <v>0</v>
      </c>
      <c r="CE347" s="21">
        <v>0</v>
      </c>
      <c r="CF347" s="21">
        <v>0</v>
      </c>
      <c r="CG347" s="21">
        <v>0</v>
      </c>
      <c r="CH347" s="21">
        <v>0</v>
      </c>
      <c r="CI347" s="21">
        <v>0</v>
      </c>
      <c r="CJ347" s="21">
        <v>0</v>
      </c>
      <c r="CK347" s="21">
        <v>0</v>
      </c>
      <c r="CL347" s="21">
        <v>0</v>
      </c>
      <c r="CM347" s="21">
        <v>0</v>
      </c>
      <c r="CN347" s="21">
        <v>0</v>
      </c>
      <c r="CO347" s="21">
        <v>0</v>
      </c>
      <c r="CP347" s="21">
        <v>0</v>
      </c>
      <c r="CQ347" s="21">
        <v>0</v>
      </c>
      <c r="CR347" s="21">
        <v>0</v>
      </c>
      <c r="CS347" s="21">
        <v>4</v>
      </c>
      <c r="CT347" s="21">
        <v>1</v>
      </c>
      <c r="CU347" s="21">
        <v>0</v>
      </c>
      <c r="CV347" s="21">
        <v>0</v>
      </c>
      <c r="CW347" s="21">
        <v>0</v>
      </c>
      <c r="CX347" s="21">
        <v>0</v>
      </c>
      <c r="CY347" s="21">
        <v>0</v>
      </c>
      <c r="CZ347" s="21">
        <v>0</v>
      </c>
      <c r="DA347" s="21">
        <v>0</v>
      </c>
      <c r="DB347" s="21">
        <v>0</v>
      </c>
      <c r="DC347" s="21">
        <v>1.5</v>
      </c>
      <c r="DD347" s="21">
        <v>1.5</v>
      </c>
      <c r="DE347" s="21">
        <v>3</v>
      </c>
      <c r="DF347" s="21">
        <v>1</v>
      </c>
      <c r="DG347" s="21">
        <v>0</v>
      </c>
      <c r="DH347" s="21">
        <v>0</v>
      </c>
      <c r="DI347" s="21">
        <v>0</v>
      </c>
      <c r="DJ347" s="21">
        <v>0</v>
      </c>
      <c r="DK347" s="21">
        <v>0</v>
      </c>
      <c r="DL347" s="21">
        <v>0</v>
      </c>
      <c r="DM347" s="21">
        <v>0</v>
      </c>
      <c r="DN347" s="21">
        <v>0</v>
      </c>
      <c r="DO347" s="21">
        <v>0</v>
      </c>
      <c r="DP347" s="21">
        <v>1.5</v>
      </c>
      <c r="DQ347" s="21">
        <v>1.5</v>
      </c>
      <c r="DR347" s="21">
        <v>6</v>
      </c>
      <c r="DS347" s="21">
        <v>0</v>
      </c>
      <c r="DT347" s="21">
        <v>0</v>
      </c>
      <c r="DU347" s="21">
        <v>0</v>
      </c>
      <c r="DV347" s="21">
        <v>0</v>
      </c>
      <c r="DW347" s="21">
        <v>0</v>
      </c>
      <c r="DX347" s="21">
        <v>0</v>
      </c>
      <c r="DY347" s="21">
        <v>0</v>
      </c>
      <c r="DZ347" s="21">
        <v>0</v>
      </c>
      <c r="EA347" s="21">
        <v>0</v>
      </c>
      <c r="EB347" s="21">
        <v>0</v>
      </c>
      <c r="EC347" s="21">
        <v>0</v>
      </c>
      <c r="ED347" s="21">
        <v>0</v>
      </c>
      <c r="EE347" s="21">
        <v>0</v>
      </c>
      <c r="EF347" s="21">
        <v>0</v>
      </c>
    </row>
    <row r="348" spans="1:136" ht="14.5" x14ac:dyDescent="0.35">
      <c r="A348" s="20" t="s">
        <v>12</v>
      </c>
      <c r="B348" s="20" t="s">
        <v>132</v>
      </c>
      <c r="C348" s="20" t="s">
        <v>132</v>
      </c>
      <c r="D348" s="20" t="s">
        <v>334</v>
      </c>
      <c r="E348" s="20" t="s">
        <v>10</v>
      </c>
      <c r="F348" s="20" t="s">
        <v>102</v>
      </c>
      <c r="G348" s="21">
        <v>0</v>
      </c>
      <c r="H348" s="21">
        <v>0</v>
      </c>
      <c r="I348" s="21">
        <v>2</v>
      </c>
      <c r="J348" s="21">
        <v>-2</v>
      </c>
      <c r="K348" s="21">
        <v>0</v>
      </c>
      <c r="L348" s="21">
        <v>0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1">
        <v>0</v>
      </c>
      <c r="AD348" s="21">
        <v>0</v>
      </c>
      <c r="AE348" s="21">
        <v>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0</v>
      </c>
      <c r="AO348" s="21">
        <v>0</v>
      </c>
      <c r="AP348" s="21">
        <v>1</v>
      </c>
      <c r="AQ348" s="21">
        <v>1</v>
      </c>
      <c r="AR348" s="21">
        <v>0</v>
      </c>
      <c r="AS348" s="21">
        <v>0</v>
      </c>
      <c r="AT348" s="21">
        <v>0</v>
      </c>
      <c r="AU348" s="21">
        <v>0</v>
      </c>
      <c r="AV348" s="21">
        <v>0</v>
      </c>
      <c r="AW348" s="21">
        <v>0</v>
      </c>
      <c r="AX348" s="21">
        <v>0</v>
      </c>
      <c r="AY348" s="21">
        <v>0</v>
      </c>
      <c r="AZ348" s="21">
        <v>0</v>
      </c>
      <c r="BA348" s="21">
        <v>0</v>
      </c>
      <c r="BB348" s="21">
        <v>0</v>
      </c>
      <c r="BC348" s="21">
        <v>0</v>
      </c>
      <c r="BD348" s="21">
        <v>0</v>
      </c>
      <c r="BE348" s="21">
        <v>0</v>
      </c>
      <c r="BF348" s="21">
        <v>0</v>
      </c>
      <c r="BG348" s="21">
        <v>0</v>
      </c>
      <c r="BH348" s="21">
        <v>0</v>
      </c>
      <c r="BI348" s="21">
        <v>0</v>
      </c>
      <c r="BJ348" s="21">
        <v>0</v>
      </c>
      <c r="BK348" s="21">
        <v>0</v>
      </c>
      <c r="BL348" s="21">
        <v>0</v>
      </c>
      <c r="BM348" s="21">
        <v>0</v>
      </c>
      <c r="BN348" s="21">
        <v>0</v>
      </c>
      <c r="BO348" s="21">
        <v>0</v>
      </c>
      <c r="BP348" s="21">
        <v>0</v>
      </c>
      <c r="BQ348" s="21">
        <v>0</v>
      </c>
      <c r="BR348" s="21">
        <v>0</v>
      </c>
      <c r="BS348" s="21">
        <v>0</v>
      </c>
      <c r="BT348" s="21">
        <v>0</v>
      </c>
      <c r="BU348" s="21">
        <v>0</v>
      </c>
      <c r="BV348" s="21">
        <v>0</v>
      </c>
      <c r="BW348" s="21">
        <v>0</v>
      </c>
      <c r="BX348" s="21">
        <v>0</v>
      </c>
      <c r="BY348" s="21">
        <v>0</v>
      </c>
      <c r="BZ348" s="21">
        <v>0</v>
      </c>
      <c r="CA348" s="21">
        <v>0</v>
      </c>
      <c r="CB348" s="21">
        <v>0</v>
      </c>
      <c r="CC348" s="21">
        <v>0</v>
      </c>
      <c r="CD348" s="21">
        <v>0</v>
      </c>
      <c r="CE348" s="21">
        <v>0</v>
      </c>
      <c r="CF348" s="21">
        <v>0</v>
      </c>
      <c r="CG348" s="21">
        <v>0</v>
      </c>
      <c r="CH348" s="21">
        <v>0</v>
      </c>
      <c r="CI348" s="21">
        <v>0</v>
      </c>
      <c r="CJ348" s="21">
        <v>0</v>
      </c>
      <c r="CK348" s="21">
        <v>0</v>
      </c>
      <c r="CL348" s="21">
        <v>0</v>
      </c>
      <c r="CM348" s="21">
        <v>0</v>
      </c>
      <c r="CN348" s="21">
        <v>0</v>
      </c>
      <c r="CO348" s="21">
        <v>0</v>
      </c>
      <c r="CP348" s="21">
        <v>0</v>
      </c>
      <c r="CQ348" s="21">
        <v>0</v>
      </c>
      <c r="CR348" s="21">
        <v>0</v>
      </c>
      <c r="CS348" s="21">
        <v>0</v>
      </c>
      <c r="CT348" s="21">
        <v>0</v>
      </c>
      <c r="CU348" s="21">
        <v>0</v>
      </c>
      <c r="CV348" s="21">
        <v>0</v>
      </c>
      <c r="CW348" s="21">
        <v>0</v>
      </c>
      <c r="CX348" s="21">
        <v>0</v>
      </c>
      <c r="CY348" s="21">
        <v>0</v>
      </c>
      <c r="CZ348" s="21">
        <v>0</v>
      </c>
      <c r="DA348" s="21">
        <v>0</v>
      </c>
      <c r="DB348" s="21">
        <v>0</v>
      </c>
      <c r="DC348" s="21">
        <v>0</v>
      </c>
      <c r="DD348" s="21">
        <v>0</v>
      </c>
      <c r="DE348" s="21">
        <v>0</v>
      </c>
      <c r="DF348" s="21">
        <v>0</v>
      </c>
      <c r="DG348" s="21">
        <v>0</v>
      </c>
      <c r="DH348" s="21">
        <v>0</v>
      </c>
      <c r="DI348" s="21">
        <v>0</v>
      </c>
      <c r="DJ348" s="21">
        <v>0</v>
      </c>
      <c r="DK348" s="21">
        <v>0</v>
      </c>
      <c r="DL348" s="21">
        <v>0</v>
      </c>
      <c r="DM348" s="21">
        <v>0</v>
      </c>
      <c r="DN348" s="21">
        <v>0</v>
      </c>
      <c r="DO348" s="21">
        <v>0</v>
      </c>
      <c r="DP348" s="21">
        <v>0</v>
      </c>
      <c r="DQ348" s="21">
        <v>0</v>
      </c>
      <c r="DR348" s="21">
        <v>0</v>
      </c>
      <c r="DS348" s="21">
        <v>0</v>
      </c>
      <c r="DT348" s="21">
        <v>0</v>
      </c>
      <c r="DU348" s="21">
        <v>0</v>
      </c>
      <c r="DV348" s="21">
        <v>0</v>
      </c>
      <c r="DW348" s="21">
        <v>0</v>
      </c>
      <c r="DX348" s="21">
        <v>0</v>
      </c>
      <c r="DY348" s="21">
        <v>0</v>
      </c>
      <c r="DZ348" s="21">
        <v>0</v>
      </c>
      <c r="EA348" s="21">
        <v>0</v>
      </c>
      <c r="EB348" s="21">
        <v>0</v>
      </c>
      <c r="EC348" s="21">
        <v>0</v>
      </c>
      <c r="ED348" s="21">
        <v>0</v>
      </c>
      <c r="EE348" s="21">
        <v>0</v>
      </c>
      <c r="EF348" s="21">
        <v>0</v>
      </c>
    </row>
    <row r="349" spans="1:136" ht="14.5" x14ac:dyDescent="0.35">
      <c r="A349" s="20" t="s">
        <v>12</v>
      </c>
      <c r="B349" s="20" t="s">
        <v>132</v>
      </c>
      <c r="C349" s="20" t="s">
        <v>132</v>
      </c>
      <c r="D349" s="20" t="s">
        <v>335</v>
      </c>
      <c r="E349" s="20" t="s">
        <v>10</v>
      </c>
      <c r="F349" s="20" t="s">
        <v>91</v>
      </c>
      <c r="G349" s="21">
        <v>0</v>
      </c>
      <c r="H349" s="21">
        <v>0</v>
      </c>
      <c r="I349" s="21">
        <v>0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0</v>
      </c>
      <c r="AL349" s="21">
        <v>0</v>
      </c>
      <c r="AM349" s="21">
        <v>0</v>
      </c>
      <c r="AN349" s="21">
        <v>0</v>
      </c>
      <c r="AO349" s="21">
        <v>0</v>
      </c>
      <c r="AP349" s="21">
        <v>0</v>
      </c>
      <c r="AQ349" s="21">
        <v>0</v>
      </c>
      <c r="AR349" s="21">
        <v>0</v>
      </c>
      <c r="AS349" s="21">
        <v>0</v>
      </c>
      <c r="AT349" s="21">
        <v>0</v>
      </c>
      <c r="AU349" s="21">
        <v>0</v>
      </c>
      <c r="AV349" s="21">
        <v>0</v>
      </c>
      <c r="AW349" s="21">
        <v>0</v>
      </c>
      <c r="AX349" s="21">
        <v>0</v>
      </c>
      <c r="AY349" s="21">
        <v>0</v>
      </c>
      <c r="AZ349" s="21">
        <v>0</v>
      </c>
      <c r="BA349" s="21">
        <v>0</v>
      </c>
      <c r="BB349" s="21">
        <v>0</v>
      </c>
      <c r="BC349" s="21">
        <v>0</v>
      </c>
      <c r="BD349" s="21">
        <v>0</v>
      </c>
      <c r="BE349" s="21">
        <v>0</v>
      </c>
      <c r="BF349" s="21">
        <v>0</v>
      </c>
      <c r="BG349" s="21">
        <v>0</v>
      </c>
      <c r="BH349" s="21">
        <v>0</v>
      </c>
      <c r="BI349" s="21">
        <v>0</v>
      </c>
      <c r="BJ349" s="21">
        <v>0</v>
      </c>
      <c r="BK349" s="21">
        <v>0</v>
      </c>
      <c r="BL349" s="21">
        <v>0</v>
      </c>
      <c r="BM349" s="21">
        <v>0</v>
      </c>
      <c r="BN349" s="21">
        <v>0</v>
      </c>
      <c r="BO349" s="21">
        <v>0</v>
      </c>
      <c r="BP349" s="21">
        <v>0</v>
      </c>
      <c r="BQ349" s="21">
        <v>0</v>
      </c>
      <c r="BR349" s="21">
        <v>0</v>
      </c>
      <c r="BS349" s="21">
        <v>0</v>
      </c>
      <c r="BT349" s="21">
        <v>0</v>
      </c>
      <c r="BU349" s="21">
        <v>0</v>
      </c>
      <c r="BV349" s="21">
        <v>0</v>
      </c>
      <c r="BW349" s="21">
        <v>0</v>
      </c>
      <c r="BX349" s="21">
        <v>0</v>
      </c>
      <c r="BY349" s="21">
        <v>0</v>
      </c>
      <c r="BZ349" s="21">
        <v>0</v>
      </c>
      <c r="CA349" s="21">
        <v>0</v>
      </c>
      <c r="CB349" s="21">
        <v>0</v>
      </c>
      <c r="CC349" s="21">
        <v>0</v>
      </c>
      <c r="CD349" s="21">
        <v>0</v>
      </c>
      <c r="CE349" s="21">
        <v>0</v>
      </c>
      <c r="CF349" s="21">
        <v>0</v>
      </c>
      <c r="CG349" s="21">
        <v>0</v>
      </c>
      <c r="CH349" s="21">
        <v>0</v>
      </c>
      <c r="CI349" s="21">
        <v>0</v>
      </c>
      <c r="CJ349" s="21">
        <v>0</v>
      </c>
      <c r="CK349" s="21">
        <v>0</v>
      </c>
      <c r="CL349" s="21">
        <v>0</v>
      </c>
      <c r="CM349" s="21">
        <v>0</v>
      </c>
      <c r="CN349" s="21">
        <v>0</v>
      </c>
      <c r="CO349" s="21">
        <v>0</v>
      </c>
      <c r="CP349" s="21">
        <v>0</v>
      </c>
      <c r="CQ349" s="21">
        <v>0</v>
      </c>
      <c r="CR349" s="21">
        <v>0</v>
      </c>
      <c r="CS349" s="21">
        <v>0</v>
      </c>
      <c r="CT349" s="21">
        <v>0</v>
      </c>
      <c r="CU349" s="21">
        <v>0</v>
      </c>
      <c r="CV349" s="21">
        <v>0</v>
      </c>
      <c r="CW349" s="21">
        <v>0</v>
      </c>
      <c r="CX349" s="21">
        <v>0</v>
      </c>
      <c r="CY349" s="21">
        <v>0</v>
      </c>
      <c r="CZ349" s="21">
        <v>0</v>
      </c>
      <c r="DA349" s="21">
        <v>0</v>
      </c>
      <c r="DB349" s="21">
        <v>0</v>
      </c>
      <c r="DC349" s="21">
        <v>0</v>
      </c>
      <c r="DD349" s="21">
        <v>0</v>
      </c>
      <c r="DE349" s="21">
        <v>0</v>
      </c>
      <c r="DF349" s="21">
        <v>0</v>
      </c>
      <c r="DG349" s="21">
        <v>0</v>
      </c>
      <c r="DH349" s="21">
        <v>0</v>
      </c>
      <c r="DI349" s="21">
        <v>0</v>
      </c>
      <c r="DJ349" s="21">
        <v>0</v>
      </c>
      <c r="DK349" s="21">
        <v>0</v>
      </c>
      <c r="DL349" s="21">
        <v>0</v>
      </c>
      <c r="DM349" s="21">
        <v>0</v>
      </c>
      <c r="DN349" s="21">
        <v>0</v>
      </c>
      <c r="DO349" s="21">
        <v>0</v>
      </c>
      <c r="DP349" s="21">
        <v>0</v>
      </c>
      <c r="DQ349" s="21">
        <v>0</v>
      </c>
      <c r="DR349" s="21">
        <v>0</v>
      </c>
      <c r="DS349" s="21">
        <v>0</v>
      </c>
      <c r="DT349" s="21">
        <v>0</v>
      </c>
      <c r="DU349" s="21">
        <v>0</v>
      </c>
      <c r="DV349" s="21">
        <v>0</v>
      </c>
      <c r="DW349" s="21">
        <v>0</v>
      </c>
      <c r="DX349" s="21">
        <v>0</v>
      </c>
      <c r="DY349" s="21">
        <v>0</v>
      </c>
      <c r="DZ349" s="21">
        <v>0</v>
      </c>
      <c r="EA349" s="21">
        <v>0</v>
      </c>
      <c r="EB349" s="21">
        <v>0</v>
      </c>
      <c r="EC349" s="21">
        <v>0</v>
      </c>
      <c r="ED349" s="21">
        <v>0</v>
      </c>
      <c r="EE349" s="21">
        <v>0</v>
      </c>
      <c r="EF349" s="21">
        <v>0</v>
      </c>
    </row>
    <row r="350" spans="1:136" ht="14.5" x14ac:dyDescent="0.35">
      <c r="A350" s="20" t="s">
        <v>12</v>
      </c>
      <c r="B350" s="20" t="s">
        <v>132</v>
      </c>
      <c r="C350" s="20" t="s">
        <v>132</v>
      </c>
      <c r="D350" s="20" t="s">
        <v>334</v>
      </c>
      <c r="E350" s="20" t="s">
        <v>10</v>
      </c>
      <c r="F350" s="20" t="s">
        <v>91</v>
      </c>
      <c r="G350" s="21">
        <v>0</v>
      </c>
      <c r="H350" s="21">
        <v>0</v>
      </c>
      <c r="I350" s="21">
        <v>23</v>
      </c>
      <c r="J350" s="21">
        <v>-23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1">
        <v>0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14</v>
      </c>
      <c r="AN350" s="21">
        <v>9</v>
      </c>
      <c r="AO350" s="21">
        <v>0</v>
      </c>
      <c r="AP350" s="21">
        <v>0</v>
      </c>
      <c r="AQ350" s="21">
        <v>0</v>
      </c>
      <c r="AR350" s="21">
        <v>0</v>
      </c>
      <c r="AS350" s="21">
        <v>0</v>
      </c>
      <c r="AT350" s="21">
        <v>0</v>
      </c>
      <c r="AU350" s="21">
        <v>0</v>
      </c>
      <c r="AV350" s="21">
        <v>0</v>
      </c>
      <c r="AW350" s="21">
        <v>0</v>
      </c>
      <c r="AX350" s="21">
        <v>0</v>
      </c>
      <c r="AY350" s="21">
        <v>0</v>
      </c>
      <c r="AZ350" s="21">
        <v>0</v>
      </c>
      <c r="BA350" s="21">
        <v>0</v>
      </c>
      <c r="BB350" s="21">
        <v>0</v>
      </c>
      <c r="BC350" s="21">
        <v>0</v>
      </c>
      <c r="BD350" s="21">
        <v>0</v>
      </c>
      <c r="BE350" s="21">
        <v>0</v>
      </c>
      <c r="BF350" s="21">
        <v>0</v>
      </c>
      <c r="BG350" s="21">
        <v>0</v>
      </c>
      <c r="BH350" s="21">
        <v>0</v>
      </c>
      <c r="BI350" s="21">
        <v>0</v>
      </c>
      <c r="BJ350" s="21">
        <v>0</v>
      </c>
      <c r="BK350" s="21">
        <v>0</v>
      </c>
      <c r="BL350" s="21">
        <v>0</v>
      </c>
      <c r="BM350" s="21">
        <v>0</v>
      </c>
      <c r="BN350" s="21">
        <v>0</v>
      </c>
      <c r="BO350" s="21">
        <v>0</v>
      </c>
      <c r="BP350" s="21">
        <v>0</v>
      </c>
      <c r="BQ350" s="21">
        <v>0</v>
      </c>
      <c r="BR350" s="21">
        <v>0</v>
      </c>
      <c r="BS350" s="21">
        <v>0</v>
      </c>
      <c r="BT350" s="21">
        <v>0</v>
      </c>
      <c r="BU350" s="21">
        <v>0</v>
      </c>
      <c r="BV350" s="21">
        <v>0</v>
      </c>
      <c r="BW350" s="21">
        <v>0</v>
      </c>
      <c r="BX350" s="21">
        <v>0</v>
      </c>
      <c r="BY350" s="21">
        <v>0</v>
      </c>
      <c r="BZ350" s="21">
        <v>0</v>
      </c>
      <c r="CA350" s="21">
        <v>0</v>
      </c>
      <c r="CB350" s="21">
        <v>0</v>
      </c>
      <c r="CC350" s="21">
        <v>0</v>
      </c>
      <c r="CD350" s="21">
        <v>0</v>
      </c>
      <c r="CE350" s="21">
        <v>0</v>
      </c>
      <c r="CF350" s="21">
        <v>0</v>
      </c>
      <c r="CG350" s="21">
        <v>0</v>
      </c>
      <c r="CH350" s="21">
        <v>0</v>
      </c>
      <c r="CI350" s="21">
        <v>0</v>
      </c>
      <c r="CJ350" s="21">
        <v>0</v>
      </c>
      <c r="CK350" s="21">
        <v>0</v>
      </c>
      <c r="CL350" s="21">
        <v>0</v>
      </c>
      <c r="CM350" s="21">
        <v>0</v>
      </c>
      <c r="CN350" s="21">
        <v>0</v>
      </c>
      <c r="CO350" s="21">
        <v>0</v>
      </c>
      <c r="CP350" s="21">
        <v>0</v>
      </c>
      <c r="CQ350" s="21">
        <v>0</v>
      </c>
      <c r="CR350" s="21">
        <v>0</v>
      </c>
      <c r="CS350" s="21">
        <v>0</v>
      </c>
      <c r="CT350" s="21">
        <v>0</v>
      </c>
      <c r="CU350" s="21">
        <v>0</v>
      </c>
      <c r="CV350" s="21">
        <v>0</v>
      </c>
      <c r="CW350" s="21">
        <v>0</v>
      </c>
      <c r="CX350" s="21">
        <v>0</v>
      </c>
      <c r="CY350" s="21">
        <v>0</v>
      </c>
      <c r="CZ350" s="21">
        <v>0</v>
      </c>
      <c r="DA350" s="21">
        <v>0</v>
      </c>
      <c r="DB350" s="21">
        <v>0</v>
      </c>
      <c r="DC350" s="21">
        <v>0</v>
      </c>
      <c r="DD350" s="21">
        <v>0</v>
      </c>
      <c r="DE350" s="21">
        <v>0</v>
      </c>
      <c r="DF350" s="21">
        <v>0</v>
      </c>
      <c r="DG350" s="21">
        <v>0</v>
      </c>
      <c r="DH350" s="21">
        <v>0</v>
      </c>
      <c r="DI350" s="21">
        <v>0</v>
      </c>
      <c r="DJ350" s="21">
        <v>0</v>
      </c>
      <c r="DK350" s="21">
        <v>0</v>
      </c>
      <c r="DL350" s="21">
        <v>0</v>
      </c>
      <c r="DM350" s="21">
        <v>0</v>
      </c>
      <c r="DN350" s="21">
        <v>0</v>
      </c>
      <c r="DO350" s="21">
        <v>0</v>
      </c>
      <c r="DP350" s="21">
        <v>0</v>
      </c>
      <c r="DQ350" s="21">
        <v>0</v>
      </c>
      <c r="DR350" s="21">
        <v>0</v>
      </c>
      <c r="DS350" s="21">
        <v>0</v>
      </c>
      <c r="DT350" s="21">
        <v>0</v>
      </c>
      <c r="DU350" s="21">
        <v>0</v>
      </c>
      <c r="DV350" s="21">
        <v>0</v>
      </c>
      <c r="DW350" s="21">
        <v>0</v>
      </c>
      <c r="DX350" s="21">
        <v>0</v>
      </c>
      <c r="DY350" s="21">
        <v>0</v>
      </c>
      <c r="DZ350" s="21">
        <v>0</v>
      </c>
      <c r="EA350" s="21">
        <v>0</v>
      </c>
      <c r="EB350" s="21">
        <v>0</v>
      </c>
      <c r="EC350" s="21">
        <v>0</v>
      </c>
      <c r="ED350" s="21">
        <v>0</v>
      </c>
      <c r="EE350" s="21">
        <v>0</v>
      </c>
      <c r="EF350" s="21">
        <v>0</v>
      </c>
    </row>
    <row r="351" spans="1:136" ht="14.5" x14ac:dyDescent="0.35">
      <c r="A351" s="20" t="s">
        <v>12</v>
      </c>
      <c r="B351" s="20" t="s">
        <v>133</v>
      </c>
      <c r="C351" s="20" t="s">
        <v>133</v>
      </c>
      <c r="D351" s="20" t="s">
        <v>335</v>
      </c>
      <c r="E351" s="20" t="s">
        <v>10</v>
      </c>
      <c r="F351" s="20" t="s">
        <v>87</v>
      </c>
      <c r="G351" s="21">
        <v>0</v>
      </c>
      <c r="H351" s="21">
        <v>0</v>
      </c>
      <c r="I351" s="21">
        <v>18</v>
      </c>
      <c r="J351" s="21">
        <v>-18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0</v>
      </c>
      <c r="Z351" s="21">
        <v>9</v>
      </c>
      <c r="AA351" s="21">
        <v>9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0</v>
      </c>
      <c r="AT351" s="21">
        <v>0</v>
      </c>
      <c r="AU351" s="21">
        <v>0</v>
      </c>
      <c r="AV351" s="21">
        <v>0</v>
      </c>
      <c r="AW351" s="21">
        <v>0</v>
      </c>
      <c r="AX351" s="21">
        <v>0</v>
      </c>
      <c r="AY351" s="21">
        <v>0</v>
      </c>
      <c r="AZ351" s="21">
        <v>0</v>
      </c>
      <c r="BA351" s="21">
        <v>0</v>
      </c>
      <c r="BB351" s="21">
        <v>0</v>
      </c>
      <c r="BC351" s="21">
        <v>0</v>
      </c>
      <c r="BD351" s="21">
        <v>0</v>
      </c>
      <c r="BE351" s="21">
        <v>0</v>
      </c>
      <c r="BF351" s="21">
        <v>0</v>
      </c>
      <c r="BG351" s="21">
        <v>0</v>
      </c>
      <c r="BH351" s="21">
        <v>0</v>
      </c>
      <c r="BI351" s="21">
        <v>0</v>
      </c>
      <c r="BJ351" s="21">
        <v>0</v>
      </c>
      <c r="BK351" s="21">
        <v>0</v>
      </c>
      <c r="BL351" s="21">
        <v>0</v>
      </c>
      <c r="BM351" s="21">
        <v>0</v>
      </c>
      <c r="BN351" s="21">
        <v>0</v>
      </c>
      <c r="BO351" s="21">
        <v>0</v>
      </c>
      <c r="BP351" s="21">
        <v>0</v>
      </c>
      <c r="BQ351" s="21">
        <v>0</v>
      </c>
      <c r="BR351" s="21">
        <v>0</v>
      </c>
      <c r="BS351" s="21">
        <v>0</v>
      </c>
      <c r="BT351" s="21">
        <v>0</v>
      </c>
      <c r="BU351" s="21">
        <v>0</v>
      </c>
      <c r="BV351" s="21">
        <v>0</v>
      </c>
      <c r="BW351" s="21">
        <v>0</v>
      </c>
      <c r="BX351" s="21">
        <v>0</v>
      </c>
      <c r="BY351" s="21">
        <v>0</v>
      </c>
      <c r="BZ351" s="21">
        <v>0</v>
      </c>
      <c r="CA351" s="21">
        <v>0</v>
      </c>
      <c r="CB351" s="21">
        <v>0</v>
      </c>
      <c r="CC351" s="21">
        <v>0</v>
      </c>
      <c r="CD351" s="21">
        <v>0</v>
      </c>
      <c r="CE351" s="21">
        <v>0</v>
      </c>
      <c r="CF351" s="21">
        <v>0</v>
      </c>
      <c r="CG351" s="21">
        <v>0</v>
      </c>
      <c r="CH351" s="21">
        <v>0</v>
      </c>
      <c r="CI351" s="21">
        <v>0</v>
      </c>
      <c r="CJ351" s="21">
        <v>0</v>
      </c>
      <c r="CK351" s="21">
        <v>0</v>
      </c>
      <c r="CL351" s="21">
        <v>0</v>
      </c>
      <c r="CM351" s="21">
        <v>0</v>
      </c>
      <c r="CN351" s="21">
        <v>0</v>
      </c>
      <c r="CO351" s="21">
        <v>0</v>
      </c>
      <c r="CP351" s="21">
        <v>0</v>
      </c>
      <c r="CQ351" s="21">
        <v>0</v>
      </c>
      <c r="CR351" s="21">
        <v>0</v>
      </c>
      <c r="CS351" s="21">
        <v>0</v>
      </c>
      <c r="CT351" s="21">
        <v>0</v>
      </c>
      <c r="CU351" s="21">
        <v>0</v>
      </c>
      <c r="CV351" s="21">
        <v>0</v>
      </c>
      <c r="CW351" s="21">
        <v>0</v>
      </c>
      <c r="CX351" s="21">
        <v>0</v>
      </c>
      <c r="CY351" s="21">
        <v>0</v>
      </c>
      <c r="CZ351" s="21">
        <v>0</v>
      </c>
      <c r="DA351" s="21">
        <v>0</v>
      </c>
      <c r="DB351" s="21">
        <v>0</v>
      </c>
      <c r="DC351" s="21">
        <v>0</v>
      </c>
      <c r="DD351" s="21">
        <v>0</v>
      </c>
      <c r="DE351" s="21">
        <v>0</v>
      </c>
      <c r="DF351" s="21">
        <v>0</v>
      </c>
      <c r="DG351" s="21">
        <v>0</v>
      </c>
      <c r="DH351" s="21">
        <v>0</v>
      </c>
      <c r="DI351" s="21">
        <v>0</v>
      </c>
      <c r="DJ351" s="21">
        <v>0</v>
      </c>
      <c r="DK351" s="21">
        <v>0</v>
      </c>
      <c r="DL351" s="21">
        <v>0</v>
      </c>
      <c r="DM351" s="21">
        <v>0</v>
      </c>
      <c r="DN351" s="21">
        <v>0</v>
      </c>
      <c r="DO351" s="21">
        <v>0</v>
      </c>
      <c r="DP351" s="21">
        <v>0</v>
      </c>
      <c r="DQ351" s="21">
        <v>0</v>
      </c>
      <c r="DR351" s="21">
        <v>0</v>
      </c>
      <c r="DS351" s="21">
        <v>0</v>
      </c>
      <c r="DT351" s="21">
        <v>0</v>
      </c>
      <c r="DU351" s="21">
        <v>0</v>
      </c>
      <c r="DV351" s="21">
        <v>0</v>
      </c>
      <c r="DW351" s="21">
        <v>0</v>
      </c>
      <c r="DX351" s="21">
        <v>0</v>
      </c>
      <c r="DY351" s="21">
        <v>0</v>
      </c>
      <c r="DZ351" s="21">
        <v>0</v>
      </c>
      <c r="EA351" s="21">
        <v>0</v>
      </c>
      <c r="EB351" s="21">
        <v>0</v>
      </c>
      <c r="EC351" s="21">
        <v>0</v>
      </c>
      <c r="ED351" s="21">
        <v>0</v>
      </c>
      <c r="EE351" s="21">
        <v>0</v>
      </c>
      <c r="EF351" s="21">
        <v>0</v>
      </c>
    </row>
    <row r="352" spans="1:136" ht="14.5" x14ac:dyDescent="0.35">
      <c r="A352" s="20" t="s">
        <v>12</v>
      </c>
      <c r="B352" s="20" t="s">
        <v>133</v>
      </c>
      <c r="C352" s="20" t="s">
        <v>133</v>
      </c>
      <c r="D352" s="20" t="s">
        <v>335</v>
      </c>
      <c r="E352" s="20" t="s">
        <v>10</v>
      </c>
      <c r="F352" s="20" t="s">
        <v>90</v>
      </c>
      <c r="G352" s="21">
        <v>0</v>
      </c>
      <c r="H352" s="21">
        <v>0</v>
      </c>
      <c r="I352" s="21">
        <v>18</v>
      </c>
      <c r="J352" s="21">
        <v>-18</v>
      </c>
      <c r="K352" s="21">
        <v>0</v>
      </c>
      <c r="L352" s="21">
        <v>0</v>
      </c>
      <c r="M352" s="21">
        <v>0</v>
      </c>
      <c r="N352" s="21">
        <v>0</v>
      </c>
      <c r="O352" s="21">
        <v>0</v>
      </c>
      <c r="P352" s="21">
        <v>0</v>
      </c>
      <c r="Q352" s="21">
        <v>0</v>
      </c>
      <c r="R352" s="21">
        <v>0</v>
      </c>
      <c r="S352" s="21">
        <v>0</v>
      </c>
      <c r="T352" s="21">
        <v>0</v>
      </c>
      <c r="U352" s="21">
        <v>0</v>
      </c>
      <c r="V352" s="21">
        <v>0</v>
      </c>
      <c r="W352" s="21">
        <v>0</v>
      </c>
      <c r="X352" s="21">
        <v>0</v>
      </c>
      <c r="Y352" s="21">
        <v>3</v>
      </c>
      <c r="Z352" s="21">
        <v>10</v>
      </c>
      <c r="AA352" s="21">
        <v>5</v>
      </c>
      <c r="AB352" s="21">
        <v>0</v>
      </c>
      <c r="AC352" s="21">
        <v>0</v>
      </c>
      <c r="AD352" s="21">
        <v>0</v>
      </c>
      <c r="AE352" s="21">
        <v>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0</v>
      </c>
      <c r="AO352" s="21">
        <v>0</v>
      </c>
      <c r="AP352" s="21">
        <v>0</v>
      </c>
      <c r="AQ352" s="21">
        <v>0</v>
      </c>
      <c r="AR352" s="21">
        <v>0</v>
      </c>
      <c r="AS352" s="21">
        <v>0</v>
      </c>
      <c r="AT352" s="21">
        <v>0</v>
      </c>
      <c r="AU352" s="21">
        <v>0</v>
      </c>
      <c r="AV352" s="21">
        <v>0</v>
      </c>
      <c r="AW352" s="21">
        <v>0</v>
      </c>
      <c r="AX352" s="21">
        <v>0</v>
      </c>
      <c r="AY352" s="21">
        <v>0</v>
      </c>
      <c r="AZ352" s="21">
        <v>0</v>
      </c>
      <c r="BA352" s="21">
        <v>0</v>
      </c>
      <c r="BB352" s="21">
        <v>0</v>
      </c>
      <c r="BC352" s="21">
        <v>0</v>
      </c>
      <c r="BD352" s="21">
        <v>0</v>
      </c>
      <c r="BE352" s="21">
        <v>0</v>
      </c>
      <c r="BF352" s="21">
        <v>0</v>
      </c>
      <c r="BG352" s="21">
        <v>0</v>
      </c>
      <c r="BH352" s="21">
        <v>0</v>
      </c>
      <c r="BI352" s="21">
        <v>0</v>
      </c>
      <c r="BJ352" s="21">
        <v>0</v>
      </c>
      <c r="BK352" s="21">
        <v>0</v>
      </c>
      <c r="BL352" s="21">
        <v>0</v>
      </c>
      <c r="BM352" s="21">
        <v>0</v>
      </c>
      <c r="BN352" s="21">
        <v>0</v>
      </c>
      <c r="BO352" s="21">
        <v>0</v>
      </c>
      <c r="BP352" s="21">
        <v>0</v>
      </c>
      <c r="BQ352" s="21">
        <v>0</v>
      </c>
      <c r="BR352" s="21">
        <v>0</v>
      </c>
      <c r="BS352" s="21">
        <v>0</v>
      </c>
      <c r="BT352" s="21">
        <v>0</v>
      </c>
      <c r="BU352" s="21">
        <v>0</v>
      </c>
      <c r="BV352" s="21">
        <v>0</v>
      </c>
      <c r="BW352" s="21">
        <v>0</v>
      </c>
      <c r="BX352" s="21">
        <v>0</v>
      </c>
      <c r="BY352" s="21">
        <v>0</v>
      </c>
      <c r="BZ352" s="21">
        <v>0</v>
      </c>
      <c r="CA352" s="21">
        <v>0</v>
      </c>
      <c r="CB352" s="21">
        <v>0</v>
      </c>
      <c r="CC352" s="21">
        <v>0</v>
      </c>
      <c r="CD352" s="21">
        <v>0</v>
      </c>
      <c r="CE352" s="21">
        <v>0</v>
      </c>
      <c r="CF352" s="21">
        <v>0</v>
      </c>
      <c r="CG352" s="21">
        <v>0</v>
      </c>
      <c r="CH352" s="21">
        <v>0</v>
      </c>
      <c r="CI352" s="21">
        <v>0</v>
      </c>
      <c r="CJ352" s="21">
        <v>0</v>
      </c>
      <c r="CK352" s="21">
        <v>0</v>
      </c>
      <c r="CL352" s="21">
        <v>0</v>
      </c>
      <c r="CM352" s="21">
        <v>0</v>
      </c>
      <c r="CN352" s="21">
        <v>0</v>
      </c>
      <c r="CO352" s="21">
        <v>0</v>
      </c>
      <c r="CP352" s="21">
        <v>0</v>
      </c>
      <c r="CQ352" s="21">
        <v>0</v>
      </c>
      <c r="CR352" s="21">
        <v>0</v>
      </c>
      <c r="CS352" s="21">
        <v>0</v>
      </c>
      <c r="CT352" s="21">
        <v>0</v>
      </c>
      <c r="CU352" s="21">
        <v>0</v>
      </c>
      <c r="CV352" s="21">
        <v>0</v>
      </c>
      <c r="CW352" s="21">
        <v>0</v>
      </c>
      <c r="CX352" s="21">
        <v>0</v>
      </c>
      <c r="CY352" s="21">
        <v>0</v>
      </c>
      <c r="CZ352" s="21">
        <v>0</v>
      </c>
      <c r="DA352" s="21">
        <v>0</v>
      </c>
      <c r="DB352" s="21">
        <v>0</v>
      </c>
      <c r="DC352" s="21">
        <v>0</v>
      </c>
      <c r="DD352" s="21">
        <v>0</v>
      </c>
      <c r="DE352" s="21">
        <v>0</v>
      </c>
      <c r="DF352" s="21">
        <v>0</v>
      </c>
      <c r="DG352" s="21">
        <v>0</v>
      </c>
      <c r="DH352" s="21">
        <v>0</v>
      </c>
      <c r="DI352" s="21">
        <v>0</v>
      </c>
      <c r="DJ352" s="21">
        <v>0</v>
      </c>
      <c r="DK352" s="21">
        <v>0</v>
      </c>
      <c r="DL352" s="21">
        <v>0</v>
      </c>
      <c r="DM352" s="21">
        <v>0</v>
      </c>
      <c r="DN352" s="21">
        <v>0</v>
      </c>
      <c r="DO352" s="21">
        <v>0</v>
      </c>
      <c r="DP352" s="21">
        <v>0</v>
      </c>
      <c r="DQ352" s="21">
        <v>0</v>
      </c>
      <c r="DR352" s="21">
        <v>0</v>
      </c>
      <c r="DS352" s="21">
        <v>0</v>
      </c>
      <c r="DT352" s="21">
        <v>0</v>
      </c>
      <c r="DU352" s="21">
        <v>0</v>
      </c>
      <c r="DV352" s="21">
        <v>0</v>
      </c>
      <c r="DW352" s="21">
        <v>0</v>
      </c>
      <c r="DX352" s="21">
        <v>0</v>
      </c>
      <c r="DY352" s="21">
        <v>0</v>
      </c>
      <c r="DZ352" s="21">
        <v>0</v>
      </c>
      <c r="EA352" s="21">
        <v>0</v>
      </c>
      <c r="EB352" s="21">
        <v>0</v>
      </c>
      <c r="EC352" s="21">
        <v>0</v>
      </c>
      <c r="ED352" s="21">
        <v>0</v>
      </c>
      <c r="EE352" s="21">
        <v>0</v>
      </c>
      <c r="EF352" s="21">
        <v>0</v>
      </c>
    </row>
    <row r="353" spans="1:136" ht="14.5" x14ac:dyDescent="0.35">
      <c r="A353" s="20" t="s">
        <v>12</v>
      </c>
      <c r="B353" s="20" t="s">
        <v>27</v>
      </c>
      <c r="C353" s="20" t="s">
        <v>27</v>
      </c>
      <c r="D353" s="20" t="s">
        <v>332</v>
      </c>
      <c r="E353" s="20" t="s">
        <v>14</v>
      </c>
      <c r="F353" s="20" t="s">
        <v>78</v>
      </c>
      <c r="G353" s="21">
        <v>0</v>
      </c>
      <c r="H353" s="21">
        <v>0</v>
      </c>
      <c r="I353" s="21">
        <v>8</v>
      </c>
      <c r="J353" s="21">
        <v>-8</v>
      </c>
      <c r="K353" s="21">
        <v>0</v>
      </c>
      <c r="L353" s="21">
        <v>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  <c r="W353" s="21">
        <v>0</v>
      </c>
      <c r="X353" s="21">
        <v>0</v>
      </c>
      <c r="Y353" s="21">
        <v>0</v>
      </c>
      <c r="Z353" s="21">
        <v>0</v>
      </c>
      <c r="AA353" s="21">
        <v>0</v>
      </c>
      <c r="AB353" s="21">
        <v>0</v>
      </c>
      <c r="AC353" s="21">
        <v>0</v>
      </c>
      <c r="AD353" s="21">
        <v>0</v>
      </c>
      <c r="AE353" s="21">
        <v>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1">
        <v>0</v>
      </c>
      <c r="AN353" s="21">
        <v>0</v>
      </c>
      <c r="AO353" s="21">
        <v>0</v>
      </c>
      <c r="AP353" s="21">
        <v>7</v>
      </c>
      <c r="AQ353" s="21">
        <v>0</v>
      </c>
      <c r="AR353" s="21">
        <v>0</v>
      </c>
      <c r="AS353" s="21">
        <v>0</v>
      </c>
      <c r="AT353" s="21">
        <v>0</v>
      </c>
      <c r="AU353" s="21">
        <v>0</v>
      </c>
      <c r="AV353" s="21">
        <v>0</v>
      </c>
      <c r="AW353" s="21">
        <v>0</v>
      </c>
      <c r="AX353" s="21">
        <v>0</v>
      </c>
      <c r="AY353" s="21">
        <v>0</v>
      </c>
      <c r="AZ353" s="21">
        <v>0</v>
      </c>
      <c r="BA353" s="21">
        <v>0</v>
      </c>
      <c r="BB353" s="21">
        <v>0</v>
      </c>
      <c r="BC353" s="21">
        <v>0</v>
      </c>
      <c r="BD353" s="21">
        <v>0</v>
      </c>
      <c r="BE353" s="21">
        <v>0</v>
      </c>
      <c r="BF353" s="21">
        <v>0</v>
      </c>
      <c r="BG353" s="21">
        <v>0</v>
      </c>
      <c r="BH353" s="21">
        <v>0</v>
      </c>
      <c r="BI353" s="21">
        <v>0</v>
      </c>
      <c r="BJ353" s="21">
        <v>0</v>
      </c>
      <c r="BK353" s="21">
        <v>0</v>
      </c>
      <c r="BL353" s="21">
        <v>0</v>
      </c>
      <c r="BM353" s="21">
        <v>0</v>
      </c>
      <c r="BN353" s="21">
        <v>0</v>
      </c>
      <c r="BO353" s="21">
        <v>0</v>
      </c>
      <c r="BP353" s="21">
        <v>0</v>
      </c>
      <c r="BQ353" s="21">
        <v>0</v>
      </c>
      <c r="BR353" s="21">
        <v>0</v>
      </c>
      <c r="BS353" s="21">
        <v>0</v>
      </c>
      <c r="BT353" s="21">
        <v>0</v>
      </c>
      <c r="BU353" s="21">
        <v>0</v>
      </c>
      <c r="BV353" s="21">
        <v>0</v>
      </c>
      <c r="BW353" s="21">
        <v>0</v>
      </c>
      <c r="BX353" s="21">
        <v>0</v>
      </c>
      <c r="BY353" s="21">
        <v>0</v>
      </c>
      <c r="BZ353" s="21">
        <v>0</v>
      </c>
      <c r="CA353" s="21">
        <v>0</v>
      </c>
      <c r="CB353" s="21">
        <v>0</v>
      </c>
      <c r="CC353" s="21">
        <v>0</v>
      </c>
      <c r="CD353" s="21">
        <v>0</v>
      </c>
      <c r="CE353" s="21">
        <v>0</v>
      </c>
      <c r="CF353" s="21">
        <v>0</v>
      </c>
      <c r="CG353" s="21">
        <v>0</v>
      </c>
      <c r="CH353" s="21">
        <v>0</v>
      </c>
      <c r="CI353" s="21">
        <v>0</v>
      </c>
      <c r="CJ353" s="21">
        <v>0</v>
      </c>
      <c r="CK353" s="21">
        <v>0</v>
      </c>
      <c r="CL353" s="21">
        <v>0</v>
      </c>
      <c r="CM353" s="21">
        <v>0</v>
      </c>
      <c r="CN353" s="21">
        <v>0</v>
      </c>
      <c r="CO353" s="21">
        <v>0</v>
      </c>
      <c r="CP353" s="21">
        <v>0</v>
      </c>
      <c r="CQ353" s="21">
        <v>0</v>
      </c>
      <c r="CR353" s="21">
        <v>0</v>
      </c>
      <c r="CS353" s="21">
        <v>0</v>
      </c>
      <c r="CT353" s="21">
        <v>1</v>
      </c>
      <c r="CU353" s="21">
        <v>0</v>
      </c>
      <c r="CV353" s="21">
        <v>0</v>
      </c>
      <c r="CW353" s="21">
        <v>0</v>
      </c>
      <c r="CX353" s="21">
        <v>0</v>
      </c>
      <c r="CY353" s="21">
        <v>0</v>
      </c>
      <c r="CZ353" s="21">
        <v>0</v>
      </c>
      <c r="DA353" s="21">
        <v>0</v>
      </c>
      <c r="DB353" s="21">
        <v>0</v>
      </c>
      <c r="DC353" s="21">
        <v>0</v>
      </c>
      <c r="DD353" s="21">
        <v>0</v>
      </c>
      <c r="DE353" s="21">
        <v>0</v>
      </c>
      <c r="DF353" s="21">
        <v>0</v>
      </c>
      <c r="DG353" s="21">
        <v>0</v>
      </c>
      <c r="DH353" s="21">
        <v>0</v>
      </c>
      <c r="DI353" s="21">
        <v>0</v>
      </c>
      <c r="DJ353" s="21">
        <v>0</v>
      </c>
      <c r="DK353" s="21">
        <v>0</v>
      </c>
      <c r="DL353" s="21">
        <v>0</v>
      </c>
      <c r="DM353" s="21">
        <v>0</v>
      </c>
      <c r="DN353" s="21">
        <v>0</v>
      </c>
      <c r="DO353" s="21">
        <v>0</v>
      </c>
      <c r="DP353" s="21">
        <v>0</v>
      </c>
      <c r="DQ353" s="21">
        <v>0</v>
      </c>
      <c r="DR353" s="21">
        <v>0</v>
      </c>
      <c r="DS353" s="21">
        <v>0</v>
      </c>
      <c r="DT353" s="21">
        <v>0</v>
      </c>
      <c r="DU353" s="21">
        <v>0</v>
      </c>
      <c r="DV353" s="21">
        <v>0</v>
      </c>
      <c r="DW353" s="21">
        <v>0</v>
      </c>
      <c r="DX353" s="21">
        <v>0</v>
      </c>
      <c r="DY353" s="21">
        <v>0</v>
      </c>
      <c r="DZ353" s="21">
        <v>0</v>
      </c>
      <c r="EA353" s="21">
        <v>0</v>
      </c>
      <c r="EB353" s="21">
        <v>0</v>
      </c>
      <c r="EC353" s="21">
        <v>0</v>
      </c>
      <c r="ED353" s="21">
        <v>0</v>
      </c>
      <c r="EE353" s="21">
        <v>0</v>
      </c>
      <c r="EF353" s="21">
        <v>0</v>
      </c>
    </row>
    <row r="354" spans="1:136" ht="14.5" x14ac:dyDescent="0.35">
      <c r="A354" s="20" t="s">
        <v>12</v>
      </c>
      <c r="B354" s="20" t="s">
        <v>27</v>
      </c>
      <c r="C354" s="20" t="s">
        <v>27</v>
      </c>
      <c r="D354" s="20" t="s">
        <v>333</v>
      </c>
      <c r="E354" s="20" t="s">
        <v>14</v>
      </c>
      <c r="F354" s="20" t="s">
        <v>78</v>
      </c>
      <c r="G354" s="21">
        <v>18.5</v>
      </c>
      <c r="H354" s="21">
        <v>19.5</v>
      </c>
      <c r="I354" s="21">
        <v>0</v>
      </c>
      <c r="J354" s="21">
        <v>19.5</v>
      </c>
      <c r="K354" s="21">
        <v>0</v>
      </c>
      <c r="L354" s="21">
        <v>0</v>
      </c>
      <c r="M354" s="21">
        <v>0</v>
      </c>
      <c r="N354" s="21">
        <v>0</v>
      </c>
      <c r="O354" s="21">
        <v>0</v>
      </c>
      <c r="P354" s="21">
        <v>0</v>
      </c>
      <c r="Q354" s="21">
        <v>0</v>
      </c>
      <c r="R354" s="21">
        <v>0</v>
      </c>
      <c r="S354" s="21">
        <v>0</v>
      </c>
      <c r="T354" s="21">
        <v>0</v>
      </c>
      <c r="U354" s="21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21">
        <v>0</v>
      </c>
      <c r="AB354" s="21">
        <v>0</v>
      </c>
      <c r="AC354" s="21">
        <v>0</v>
      </c>
      <c r="AD354" s="21">
        <v>0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0</v>
      </c>
      <c r="AN354" s="21">
        <v>0</v>
      </c>
      <c r="AO354" s="21">
        <v>0</v>
      </c>
      <c r="AP354" s="21">
        <v>0</v>
      </c>
      <c r="AQ354" s="21">
        <v>0</v>
      </c>
      <c r="AR354" s="21">
        <v>0</v>
      </c>
      <c r="AS354" s="21">
        <v>0</v>
      </c>
      <c r="AT354" s="21">
        <v>0</v>
      </c>
      <c r="AU354" s="21">
        <v>0</v>
      </c>
      <c r="AV354" s="21">
        <v>0</v>
      </c>
      <c r="AW354" s="21">
        <v>0</v>
      </c>
      <c r="AX354" s="21">
        <v>0</v>
      </c>
      <c r="AY354" s="21">
        <v>0</v>
      </c>
      <c r="AZ354" s="21">
        <v>0</v>
      </c>
      <c r="BA354" s="21">
        <v>0</v>
      </c>
      <c r="BB354" s="21">
        <v>0</v>
      </c>
      <c r="BC354" s="21">
        <v>0</v>
      </c>
      <c r="BD354" s="21">
        <v>0</v>
      </c>
      <c r="BE354" s="21">
        <v>0</v>
      </c>
      <c r="BF354" s="21">
        <v>0</v>
      </c>
      <c r="BG354" s="21">
        <v>0</v>
      </c>
      <c r="BH354" s="21">
        <v>0</v>
      </c>
      <c r="BI354" s="21">
        <v>0</v>
      </c>
      <c r="BJ354" s="21">
        <v>0</v>
      </c>
      <c r="BK354" s="21">
        <v>0</v>
      </c>
      <c r="BL354" s="21">
        <v>0</v>
      </c>
      <c r="BM354" s="21">
        <v>0</v>
      </c>
      <c r="BN354" s="21">
        <v>0</v>
      </c>
      <c r="BO354" s="21">
        <v>0</v>
      </c>
      <c r="BP354" s="21">
        <v>0</v>
      </c>
      <c r="BQ354" s="21">
        <v>0</v>
      </c>
      <c r="BR354" s="21">
        <v>0</v>
      </c>
      <c r="BS354" s="21">
        <v>0</v>
      </c>
      <c r="BT354" s="21">
        <v>0</v>
      </c>
      <c r="BU354" s="21">
        <v>0</v>
      </c>
      <c r="BV354" s="21">
        <v>0</v>
      </c>
      <c r="BW354" s="21">
        <v>0</v>
      </c>
      <c r="BX354" s="21">
        <v>0</v>
      </c>
      <c r="BY354" s="21">
        <v>0</v>
      </c>
      <c r="BZ354" s="21">
        <v>0</v>
      </c>
      <c r="CA354" s="21">
        <v>0</v>
      </c>
      <c r="CB354" s="21">
        <v>0</v>
      </c>
      <c r="CC354" s="21">
        <v>0</v>
      </c>
      <c r="CD354" s="21">
        <v>0</v>
      </c>
      <c r="CE354" s="21">
        <v>0</v>
      </c>
      <c r="CF354" s="21">
        <v>0</v>
      </c>
      <c r="CG354" s="21">
        <v>0</v>
      </c>
      <c r="CH354" s="21">
        <v>0</v>
      </c>
      <c r="CI354" s="21">
        <v>0</v>
      </c>
      <c r="CJ354" s="21">
        <v>0</v>
      </c>
      <c r="CK354" s="21">
        <v>0</v>
      </c>
      <c r="CL354" s="21">
        <v>0</v>
      </c>
      <c r="CM354" s="21">
        <v>0</v>
      </c>
      <c r="CN354" s="21">
        <v>0</v>
      </c>
      <c r="CO354" s="21">
        <v>0</v>
      </c>
      <c r="CP354" s="21">
        <v>0</v>
      </c>
      <c r="CQ354" s="21">
        <v>0</v>
      </c>
      <c r="CR354" s="21">
        <v>0</v>
      </c>
      <c r="CS354" s="21">
        <v>0</v>
      </c>
      <c r="CT354" s="21">
        <v>0</v>
      </c>
      <c r="CU354" s="21">
        <v>0</v>
      </c>
      <c r="CV354" s="21">
        <v>0</v>
      </c>
      <c r="CW354" s="21">
        <v>0</v>
      </c>
      <c r="CX354" s="21">
        <v>0</v>
      </c>
      <c r="CY354" s="21">
        <v>0</v>
      </c>
      <c r="CZ354" s="21">
        <v>0</v>
      </c>
      <c r="DA354" s="21">
        <v>0</v>
      </c>
      <c r="DB354" s="21">
        <v>0</v>
      </c>
      <c r="DC354" s="21">
        <v>0</v>
      </c>
      <c r="DD354" s="21">
        <v>0</v>
      </c>
      <c r="DE354" s="21">
        <v>0</v>
      </c>
      <c r="DF354" s="21">
        <v>0</v>
      </c>
      <c r="DG354" s="21">
        <v>0</v>
      </c>
      <c r="DH354" s="21">
        <v>0</v>
      </c>
      <c r="DI354" s="21">
        <v>0</v>
      </c>
      <c r="DJ354" s="21">
        <v>0</v>
      </c>
      <c r="DK354" s="21">
        <v>0</v>
      </c>
      <c r="DL354" s="21">
        <v>0</v>
      </c>
      <c r="DM354" s="21">
        <v>0</v>
      </c>
      <c r="DN354" s="21">
        <v>0</v>
      </c>
      <c r="DO354" s="21">
        <v>0</v>
      </c>
      <c r="DP354" s="21">
        <v>0</v>
      </c>
      <c r="DQ354" s="21">
        <v>0</v>
      </c>
      <c r="DR354" s="21">
        <v>0</v>
      </c>
      <c r="DS354" s="21">
        <v>0</v>
      </c>
      <c r="DT354" s="21">
        <v>0</v>
      </c>
      <c r="DU354" s="21">
        <v>0</v>
      </c>
      <c r="DV354" s="21">
        <v>0</v>
      </c>
      <c r="DW354" s="21">
        <v>0</v>
      </c>
      <c r="DX354" s="21">
        <v>0</v>
      </c>
      <c r="DY354" s="21">
        <v>0</v>
      </c>
      <c r="DZ354" s="21">
        <v>0</v>
      </c>
      <c r="EA354" s="21">
        <v>0</v>
      </c>
      <c r="EB354" s="21">
        <v>0</v>
      </c>
      <c r="EC354" s="21">
        <v>0</v>
      </c>
      <c r="ED354" s="21">
        <v>0</v>
      </c>
      <c r="EE354" s="21">
        <v>0</v>
      </c>
      <c r="EF354" s="21">
        <v>0</v>
      </c>
    </row>
    <row r="355" spans="1:136" ht="14.5" x14ac:dyDescent="0.35">
      <c r="A355" s="20" t="s">
        <v>12</v>
      </c>
      <c r="B355" s="20" t="s">
        <v>27</v>
      </c>
      <c r="C355" s="20" t="s">
        <v>27</v>
      </c>
      <c r="D355" s="20" t="s">
        <v>332</v>
      </c>
      <c r="E355" s="20" t="s">
        <v>14</v>
      </c>
      <c r="F355" s="20" t="s">
        <v>79</v>
      </c>
      <c r="G355" s="21">
        <v>0</v>
      </c>
      <c r="H355" s="21">
        <v>0</v>
      </c>
      <c r="I355" s="21">
        <v>209.1</v>
      </c>
      <c r="J355" s="21">
        <v>-209.1</v>
      </c>
      <c r="K355" s="21">
        <v>0</v>
      </c>
      <c r="L355" s="21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  <c r="W355" s="21">
        <v>0</v>
      </c>
      <c r="X355" s="21">
        <v>0</v>
      </c>
      <c r="Y355" s="21">
        <v>0</v>
      </c>
      <c r="Z355" s="21">
        <v>0</v>
      </c>
      <c r="AA355" s="21">
        <v>0</v>
      </c>
      <c r="AB355" s="21">
        <v>0</v>
      </c>
      <c r="AC355" s="21">
        <v>0</v>
      </c>
      <c r="AD355" s="21">
        <v>0</v>
      </c>
      <c r="AE355" s="21">
        <v>0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14</v>
      </c>
      <c r="AN355" s="21">
        <v>0</v>
      </c>
      <c r="AO355" s="21">
        <v>24</v>
      </c>
      <c r="AP355" s="21">
        <v>5</v>
      </c>
      <c r="AQ355" s="21">
        <v>0</v>
      </c>
      <c r="AR355" s="21">
        <v>0</v>
      </c>
      <c r="AS355" s="21">
        <v>0</v>
      </c>
      <c r="AT355" s="21">
        <v>0</v>
      </c>
      <c r="AU355" s="21">
        <v>0</v>
      </c>
      <c r="AV355" s="21">
        <v>0</v>
      </c>
      <c r="AW355" s="21">
        <v>0</v>
      </c>
      <c r="AX355" s="21">
        <v>0</v>
      </c>
      <c r="AY355" s="21">
        <v>0</v>
      </c>
      <c r="AZ355" s="21">
        <v>0</v>
      </c>
      <c r="BA355" s="21">
        <v>0</v>
      </c>
      <c r="BB355" s="21">
        <v>0</v>
      </c>
      <c r="BC355" s="21">
        <v>0</v>
      </c>
      <c r="BD355" s="21">
        <v>0</v>
      </c>
      <c r="BE355" s="21">
        <v>0</v>
      </c>
      <c r="BF355" s="21">
        <v>0</v>
      </c>
      <c r="BG355" s="21">
        <v>0</v>
      </c>
      <c r="BH355" s="21">
        <v>0</v>
      </c>
      <c r="BI355" s="21">
        <v>0</v>
      </c>
      <c r="BJ355" s="21">
        <v>0</v>
      </c>
      <c r="BK355" s="21">
        <v>0</v>
      </c>
      <c r="BL355" s="21">
        <v>0</v>
      </c>
      <c r="BM355" s="21">
        <v>0</v>
      </c>
      <c r="BN355" s="21">
        <v>0</v>
      </c>
      <c r="BO355" s="21">
        <v>0</v>
      </c>
      <c r="BP355" s="21">
        <v>0</v>
      </c>
      <c r="BQ355" s="21">
        <v>0</v>
      </c>
      <c r="BR355" s="21">
        <v>0</v>
      </c>
      <c r="BS355" s="21">
        <v>0</v>
      </c>
      <c r="BT355" s="21">
        <v>0</v>
      </c>
      <c r="BU355" s="21">
        <v>0</v>
      </c>
      <c r="BV355" s="21">
        <v>0</v>
      </c>
      <c r="BW355" s="21">
        <v>0</v>
      </c>
      <c r="BX355" s="21">
        <v>0</v>
      </c>
      <c r="BY355" s="21">
        <v>0</v>
      </c>
      <c r="BZ355" s="21">
        <v>0</v>
      </c>
      <c r="CA355" s="21">
        <v>0</v>
      </c>
      <c r="CB355" s="21">
        <v>0</v>
      </c>
      <c r="CC355" s="21">
        <v>0</v>
      </c>
      <c r="CD355" s="21">
        <v>0</v>
      </c>
      <c r="CE355" s="21">
        <v>0</v>
      </c>
      <c r="CF355" s="21">
        <v>0</v>
      </c>
      <c r="CG355" s="21">
        <v>0</v>
      </c>
      <c r="CH355" s="21">
        <v>0</v>
      </c>
      <c r="CI355" s="21">
        <v>0</v>
      </c>
      <c r="CJ355" s="21">
        <v>0</v>
      </c>
      <c r="CK355" s="21">
        <v>0</v>
      </c>
      <c r="CL355" s="21">
        <v>0</v>
      </c>
      <c r="CM355" s="21">
        <v>0</v>
      </c>
      <c r="CN355" s="21">
        <v>0</v>
      </c>
      <c r="CO355" s="21">
        <v>0</v>
      </c>
      <c r="CP355" s="21">
        <v>0</v>
      </c>
      <c r="CQ355" s="21">
        <v>0</v>
      </c>
      <c r="CR355" s="21">
        <v>0</v>
      </c>
      <c r="CS355" s="21">
        <v>4.8214290000000002</v>
      </c>
      <c r="CT355" s="21">
        <v>4.8214290000000002</v>
      </c>
      <c r="CU355" s="21">
        <v>4.8214290000000002</v>
      </c>
      <c r="CV355" s="21">
        <v>6</v>
      </c>
      <c r="CW355" s="21">
        <v>6</v>
      </c>
      <c r="CX355" s="21">
        <v>6</v>
      </c>
      <c r="CY355" s="21">
        <v>6</v>
      </c>
      <c r="CZ355" s="21">
        <v>6</v>
      </c>
      <c r="DA355" s="21">
        <v>6</v>
      </c>
      <c r="DB355" s="21">
        <v>6</v>
      </c>
      <c r="DC355" s="21">
        <v>6</v>
      </c>
      <c r="DD355" s="21">
        <v>6</v>
      </c>
      <c r="DE355" s="21">
        <v>6</v>
      </c>
      <c r="DF355" s="21">
        <v>6</v>
      </c>
      <c r="DG355" s="21">
        <v>6</v>
      </c>
      <c r="DH355" s="21">
        <v>6</v>
      </c>
      <c r="DI355" s="21">
        <v>4.8214290000000002</v>
      </c>
      <c r="DJ355" s="21">
        <v>4.8214290000000002</v>
      </c>
      <c r="DK355" s="21">
        <v>8</v>
      </c>
      <c r="DL355" s="21">
        <v>8</v>
      </c>
      <c r="DM355" s="21">
        <v>8</v>
      </c>
      <c r="DN355" s="21">
        <v>8</v>
      </c>
      <c r="DO355" s="21">
        <v>8</v>
      </c>
      <c r="DP355" s="21">
        <v>8</v>
      </c>
      <c r="DQ355" s="21">
        <v>8</v>
      </c>
      <c r="DR355" s="21">
        <v>8</v>
      </c>
      <c r="DS355" s="21">
        <v>0</v>
      </c>
      <c r="DT355" s="21">
        <v>0</v>
      </c>
      <c r="DU355" s="21">
        <v>0</v>
      </c>
      <c r="DV355" s="21">
        <v>0</v>
      </c>
      <c r="DW355" s="21">
        <v>0</v>
      </c>
      <c r="DX355" s="21">
        <v>0</v>
      </c>
      <c r="DY355" s="21">
        <v>0</v>
      </c>
      <c r="DZ355" s="21">
        <v>0</v>
      </c>
      <c r="EA355" s="21">
        <v>0</v>
      </c>
      <c r="EB355" s="21">
        <v>0</v>
      </c>
      <c r="EC355" s="21">
        <v>0</v>
      </c>
      <c r="ED355" s="21">
        <v>0</v>
      </c>
      <c r="EE355" s="21">
        <v>0</v>
      </c>
      <c r="EF355" s="21">
        <v>0</v>
      </c>
    </row>
    <row r="356" spans="1:136" ht="14.5" x14ac:dyDescent="0.35">
      <c r="A356" s="20" t="s">
        <v>12</v>
      </c>
      <c r="B356" s="20" t="s">
        <v>27</v>
      </c>
      <c r="C356" s="20" t="s">
        <v>27</v>
      </c>
      <c r="D356" s="20" t="s">
        <v>333</v>
      </c>
      <c r="E356" s="20" t="s">
        <v>14</v>
      </c>
      <c r="F356" s="20" t="s">
        <v>79</v>
      </c>
      <c r="G356" s="21">
        <v>85.3</v>
      </c>
      <c r="H356" s="21">
        <v>251.4</v>
      </c>
      <c r="I356" s="21">
        <v>20</v>
      </c>
      <c r="J356" s="21">
        <v>231.4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0</v>
      </c>
      <c r="X356" s="21">
        <v>0</v>
      </c>
      <c r="Y356" s="21">
        <v>0</v>
      </c>
      <c r="Z356" s="21">
        <v>0</v>
      </c>
      <c r="AA356" s="21">
        <v>0</v>
      </c>
      <c r="AB356" s="21">
        <v>0</v>
      </c>
      <c r="AC356" s="21">
        <v>0</v>
      </c>
      <c r="AD356" s="21">
        <v>0</v>
      </c>
      <c r="AE356" s="21">
        <v>5</v>
      </c>
      <c r="AF356" s="21">
        <v>15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0</v>
      </c>
      <c r="AO356" s="21">
        <v>0</v>
      </c>
      <c r="AP356" s="21">
        <v>0</v>
      </c>
      <c r="AQ356" s="21">
        <v>0</v>
      </c>
      <c r="AR356" s="21">
        <v>0</v>
      </c>
      <c r="AS356" s="21">
        <v>0</v>
      </c>
      <c r="AT356" s="21">
        <v>0</v>
      </c>
      <c r="AU356" s="21">
        <v>0</v>
      </c>
      <c r="AV356" s="21">
        <v>0</v>
      </c>
      <c r="AW356" s="21">
        <v>0</v>
      </c>
      <c r="AX356" s="21">
        <v>0</v>
      </c>
      <c r="AY356" s="21">
        <v>0</v>
      </c>
      <c r="AZ356" s="21">
        <v>0</v>
      </c>
      <c r="BA356" s="21">
        <v>0</v>
      </c>
      <c r="BB356" s="21">
        <v>0</v>
      </c>
      <c r="BC356" s="21">
        <v>0</v>
      </c>
      <c r="BD356" s="21">
        <v>0</v>
      </c>
      <c r="BE356" s="21">
        <v>0</v>
      </c>
      <c r="BF356" s="21">
        <v>0</v>
      </c>
      <c r="BG356" s="21">
        <v>0</v>
      </c>
      <c r="BH356" s="21">
        <v>0</v>
      </c>
      <c r="BI356" s="21">
        <v>0</v>
      </c>
      <c r="BJ356" s="21">
        <v>0</v>
      </c>
      <c r="BK356" s="21">
        <v>0</v>
      </c>
      <c r="BL356" s="21">
        <v>0</v>
      </c>
      <c r="BM356" s="21">
        <v>0</v>
      </c>
      <c r="BN356" s="21">
        <v>0</v>
      </c>
      <c r="BO356" s="21">
        <v>0</v>
      </c>
      <c r="BP356" s="21">
        <v>0</v>
      </c>
      <c r="BQ356" s="21">
        <v>0</v>
      </c>
      <c r="BR356" s="21">
        <v>0</v>
      </c>
      <c r="BS356" s="21">
        <v>0</v>
      </c>
      <c r="BT356" s="21">
        <v>0</v>
      </c>
      <c r="BU356" s="21">
        <v>0</v>
      </c>
      <c r="BV356" s="21">
        <v>0</v>
      </c>
      <c r="BW356" s="21">
        <v>0</v>
      </c>
      <c r="BX356" s="21">
        <v>0</v>
      </c>
      <c r="BY356" s="21">
        <v>0</v>
      </c>
      <c r="BZ356" s="21">
        <v>0</v>
      </c>
      <c r="CA356" s="21">
        <v>0</v>
      </c>
      <c r="CB356" s="21">
        <v>0</v>
      </c>
      <c r="CC356" s="21">
        <v>0</v>
      </c>
      <c r="CD356" s="21">
        <v>0</v>
      </c>
      <c r="CE356" s="21">
        <v>0</v>
      </c>
      <c r="CF356" s="21">
        <v>0</v>
      </c>
      <c r="CG356" s="21">
        <v>0</v>
      </c>
      <c r="CH356" s="21">
        <v>0</v>
      </c>
      <c r="CI356" s="21">
        <v>0</v>
      </c>
      <c r="CJ356" s="21">
        <v>0</v>
      </c>
      <c r="CK356" s="21">
        <v>0</v>
      </c>
      <c r="CL356" s="21">
        <v>0</v>
      </c>
      <c r="CM356" s="21">
        <v>0</v>
      </c>
      <c r="CN356" s="21">
        <v>0</v>
      </c>
      <c r="CO356" s="21">
        <v>0</v>
      </c>
      <c r="CP356" s="21">
        <v>0</v>
      </c>
      <c r="CQ356" s="21">
        <v>0</v>
      </c>
      <c r="CR356" s="21">
        <v>0</v>
      </c>
      <c r="CS356" s="21">
        <v>0</v>
      </c>
      <c r="CT356" s="21">
        <v>0</v>
      </c>
      <c r="CU356" s="21">
        <v>0</v>
      </c>
      <c r="CV356" s="21">
        <v>0</v>
      </c>
      <c r="CW356" s="21">
        <v>0</v>
      </c>
      <c r="CX356" s="21">
        <v>0</v>
      </c>
      <c r="CY356" s="21">
        <v>0</v>
      </c>
      <c r="CZ356" s="21">
        <v>0</v>
      </c>
      <c r="DA356" s="21">
        <v>0</v>
      </c>
      <c r="DB356" s="21">
        <v>0</v>
      </c>
      <c r="DC356" s="21">
        <v>0</v>
      </c>
      <c r="DD356" s="21">
        <v>0</v>
      </c>
      <c r="DE356" s="21">
        <v>0</v>
      </c>
      <c r="DF356" s="21">
        <v>0</v>
      </c>
      <c r="DG356" s="21">
        <v>0</v>
      </c>
      <c r="DH356" s="21">
        <v>0</v>
      </c>
      <c r="DI356" s="21">
        <v>0</v>
      </c>
      <c r="DJ356" s="21">
        <v>0</v>
      </c>
      <c r="DK356" s="21">
        <v>0</v>
      </c>
      <c r="DL356" s="21">
        <v>0</v>
      </c>
      <c r="DM356" s="21">
        <v>0</v>
      </c>
      <c r="DN356" s="21">
        <v>0</v>
      </c>
      <c r="DO356" s="21">
        <v>0</v>
      </c>
      <c r="DP356" s="21">
        <v>0</v>
      </c>
      <c r="DQ356" s="21">
        <v>0</v>
      </c>
      <c r="DR356" s="21">
        <v>0</v>
      </c>
      <c r="DS356" s="21">
        <v>0</v>
      </c>
      <c r="DT356" s="21">
        <v>0</v>
      </c>
      <c r="DU356" s="21">
        <v>0</v>
      </c>
      <c r="DV356" s="21">
        <v>0</v>
      </c>
      <c r="DW356" s="21">
        <v>0</v>
      </c>
      <c r="DX356" s="21">
        <v>0</v>
      </c>
      <c r="DY356" s="21">
        <v>0</v>
      </c>
      <c r="DZ356" s="21">
        <v>0</v>
      </c>
      <c r="EA356" s="21">
        <v>0</v>
      </c>
      <c r="EB356" s="21">
        <v>0</v>
      </c>
      <c r="EC356" s="21">
        <v>0</v>
      </c>
      <c r="ED356" s="21">
        <v>0</v>
      </c>
      <c r="EE356" s="21">
        <v>0</v>
      </c>
      <c r="EF356" s="21">
        <v>0</v>
      </c>
    </row>
    <row r="357" spans="1:136" ht="14.5" x14ac:dyDescent="0.35">
      <c r="A357" s="20" t="s">
        <v>12</v>
      </c>
      <c r="B357" s="20" t="s">
        <v>27</v>
      </c>
      <c r="C357" s="20" t="s">
        <v>27</v>
      </c>
      <c r="D357" s="20" t="s">
        <v>332</v>
      </c>
      <c r="E357" s="20" t="s">
        <v>14</v>
      </c>
      <c r="F357" s="20" t="s">
        <v>100</v>
      </c>
      <c r="G357" s="21">
        <v>0</v>
      </c>
      <c r="H357" s="21">
        <v>0</v>
      </c>
      <c r="I357" s="21">
        <v>534</v>
      </c>
      <c r="J357" s="21">
        <v>-534</v>
      </c>
      <c r="K357" s="21">
        <v>0</v>
      </c>
      <c r="L357" s="21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  <c r="W357" s="21">
        <v>0</v>
      </c>
      <c r="X357" s="21">
        <v>0</v>
      </c>
      <c r="Y357" s="21">
        <v>0</v>
      </c>
      <c r="Z357" s="21">
        <v>0</v>
      </c>
      <c r="AA357" s="21">
        <v>0</v>
      </c>
      <c r="AB357" s="21">
        <v>0</v>
      </c>
      <c r="AC357" s="21">
        <v>0</v>
      </c>
      <c r="AD357" s="21">
        <v>0</v>
      </c>
      <c r="AE357" s="21">
        <v>0</v>
      </c>
      <c r="AF357" s="21">
        <v>0</v>
      </c>
      <c r="AG357" s="21">
        <v>0</v>
      </c>
      <c r="AH357" s="21">
        <v>0</v>
      </c>
      <c r="AI357" s="21">
        <v>0</v>
      </c>
      <c r="AJ357" s="21">
        <v>20</v>
      </c>
      <c r="AK357" s="21">
        <v>21</v>
      </c>
      <c r="AL357" s="21">
        <v>37</v>
      </c>
      <c r="AM357" s="21">
        <v>15</v>
      </c>
      <c r="AN357" s="21">
        <v>0</v>
      </c>
      <c r="AO357" s="21">
        <v>0</v>
      </c>
      <c r="AP357" s="21">
        <v>0</v>
      </c>
      <c r="AQ357" s="21">
        <v>0</v>
      </c>
      <c r="AR357" s="21">
        <v>0</v>
      </c>
      <c r="AS357" s="21">
        <v>0</v>
      </c>
      <c r="AT357" s="21">
        <v>0</v>
      </c>
      <c r="AU357" s="21">
        <v>0</v>
      </c>
      <c r="AV357" s="21">
        <v>0</v>
      </c>
      <c r="AW357" s="21">
        <v>0</v>
      </c>
      <c r="AX357" s="21">
        <v>0</v>
      </c>
      <c r="AY357" s="21">
        <v>0</v>
      </c>
      <c r="AZ357" s="21">
        <v>0</v>
      </c>
      <c r="BA357" s="21">
        <v>0</v>
      </c>
      <c r="BB357" s="21">
        <v>0</v>
      </c>
      <c r="BC357" s="21">
        <v>0</v>
      </c>
      <c r="BD357" s="21">
        <v>0</v>
      </c>
      <c r="BE357" s="21">
        <v>0</v>
      </c>
      <c r="BF357" s="21">
        <v>0</v>
      </c>
      <c r="BG357" s="21">
        <v>0</v>
      </c>
      <c r="BH357" s="21">
        <v>0</v>
      </c>
      <c r="BI357" s="21">
        <v>0</v>
      </c>
      <c r="BJ357" s="21">
        <v>0</v>
      </c>
      <c r="BK357" s="21">
        <v>0</v>
      </c>
      <c r="BL357" s="21">
        <v>0</v>
      </c>
      <c r="BM357" s="21">
        <v>0</v>
      </c>
      <c r="BN357" s="21">
        <v>0</v>
      </c>
      <c r="BO357" s="21">
        <v>0</v>
      </c>
      <c r="BP357" s="21">
        <v>0</v>
      </c>
      <c r="BQ357" s="21">
        <v>0</v>
      </c>
      <c r="BR357" s="21">
        <v>0</v>
      </c>
      <c r="BS357" s="21">
        <v>0</v>
      </c>
      <c r="BT357" s="21">
        <v>0</v>
      </c>
      <c r="BU357" s="21">
        <v>0</v>
      </c>
      <c r="BV357" s="21">
        <v>0</v>
      </c>
      <c r="BW357" s="21">
        <v>0</v>
      </c>
      <c r="BX357" s="21">
        <v>0</v>
      </c>
      <c r="BY357" s="21">
        <v>0</v>
      </c>
      <c r="BZ357" s="21">
        <v>0</v>
      </c>
      <c r="CA357" s="21">
        <v>0</v>
      </c>
      <c r="CB357" s="21">
        <v>0</v>
      </c>
      <c r="CC357" s="21">
        <v>0</v>
      </c>
      <c r="CD357" s="21">
        <v>0</v>
      </c>
      <c r="CE357" s="21">
        <v>0</v>
      </c>
      <c r="CF357" s="21">
        <v>0</v>
      </c>
      <c r="CG357" s="21">
        <v>0</v>
      </c>
      <c r="CH357" s="21">
        <v>0</v>
      </c>
      <c r="CI357" s="21">
        <v>0</v>
      </c>
      <c r="CJ357" s="21">
        <v>0</v>
      </c>
      <c r="CK357" s="21">
        <v>0</v>
      </c>
      <c r="CL357" s="21">
        <v>0</v>
      </c>
      <c r="CM357" s="21">
        <v>0</v>
      </c>
      <c r="CN357" s="21">
        <v>0</v>
      </c>
      <c r="CO357" s="21">
        <v>0</v>
      </c>
      <c r="CP357" s="21">
        <v>0</v>
      </c>
      <c r="CQ357" s="21">
        <v>0</v>
      </c>
      <c r="CR357" s="21">
        <v>0</v>
      </c>
      <c r="CS357" s="21">
        <v>0</v>
      </c>
      <c r="CT357" s="21">
        <v>0</v>
      </c>
      <c r="CU357" s="21">
        <v>0</v>
      </c>
      <c r="CV357" s="21">
        <v>5</v>
      </c>
      <c r="CW357" s="21">
        <v>7</v>
      </c>
      <c r="CX357" s="21">
        <v>14</v>
      </c>
      <c r="CY357" s="21">
        <v>5</v>
      </c>
      <c r="CZ357" s="21">
        <v>0</v>
      </c>
      <c r="DA357" s="21">
        <v>0</v>
      </c>
      <c r="DB357" s="21">
        <v>4</v>
      </c>
      <c r="DC357" s="21">
        <v>29</v>
      </c>
      <c r="DD357" s="21">
        <v>40</v>
      </c>
      <c r="DE357" s="21">
        <v>40</v>
      </c>
      <c r="DF357" s="21">
        <v>24</v>
      </c>
      <c r="DG357" s="21">
        <v>25</v>
      </c>
      <c r="DH357" s="21">
        <v>5</v>
      </c>
      <c r="DI357" s="21">
        <v>5</v>
      </c>
      <c r="DJ357" s="21">
        <v>0</v>
      </c>
      <c r="DK357" s="21">
        <v>22</v>
      </c>
      <c r="DL357" s="21">
        <v>30</v>
      </c>
      <c r="DM357" s="21">
        <v>43</v>
      </c>
      <c r="DN357" s="21">
        <v>52</v>
      </c>
      <c r="DO357" s="21">
        <v>45</v>
      </c>
      <c r="DP357" s="21">
        <v>27</v>
      </c>
      <c r="DQ357" s="21">
        <v>19</v>
      </c>
      <c r="DR357" s="21">
        <v>0</v>
      </c>
      <c r="DS357" s="21">
        <v>0</v>
      </c>
      <c r="DT357" s="21">
        <v>0</v>
      </c>
      <c r="DU357" s="21">
        <v>0</v>
      </c>
      <c r="DV357" s="21">
        <v>0</v>
      </c>
      <c r="DW357" s="21">
        <v>0</v>
      </c>
      <c r="DX357" s="21">
        <v>0</v>
      </c>
      <c r="DY357" s="21">
        <v>0</v>
      </c>
      <c r="DZ357" s="21">
        <v>0</v>
      </c>
      <c r="EA357" s="21">
        <v>0</v>
      </c>
      <c r="EB357" s="21">
        <v>0</v>
      </c>
      <c r="EC357" s="21">
        <v>0</v>
      </c>
      <c r="ED357" s="21">
        <v>0</v>
      </c>
      <c r="EE357" s="21">
        <v>0</v>
      </c>
      <c r="EF357" s="21">
        <v>0</v>
      </c>
    </row>
    <row r="358" spans="1:136" ht="14.5" x14ac:dyDescent="0.35">
      <c r="A358" s="20" t="s">
        <v>12</v>
      </c>
      <c r="B358" s="20" t="s">
        <v>27</v>
      </c>
      <c r="C358" s="20" t="s">
        <v>27</v>
      </c>
      <c r="D358" s="20" t="s">
        <v>333</v>
      </c>
      <c r="E358" s="20" t="s">
        <v>14</v>
      </c>
      <c r="F358" s="20" t="s">
        <v>100</v>
      </c>
      <c r="G358" s="21">
        <v>230</v>
      </c>
      <c r="H358" s="21">
        <v>671</v>
      </c>
      <c r="I358" s="21">
        <v>171</v>
      </c>
      <c r="J358" s="21">
        <v>500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21">
        <v>0</v>
      </c>
      <c r="AB358" s="21">
        <v>11</v>
      </c>
      <c r="AC358" s="21">
        <v>11</v>
      </c>
      <c r="AD358" s="21">
        <v>27</v>
      </c>
      <c r="AE358" s="21">
        <v>20.5</v>
      </c>
      <c r="AF358" s="21">
        <v>17</v>
      </c>
      <c r="AG358" s="21">
        <v>29</v>
      </c>
      <c r="AH358" s="21">
        <v>18.5</v>
      </c>
      <c r="AI358" s="21">
        <v>26</v>
      </c>
      <c r="AJ358" s="21">
        <v>11</v>
      </c>
      <c r="AK358" s="21">
        <v>0</v>
      </c>
      <c r="AL358" s="21">
        <v>0</v>
      </c>
      <c r="AM358" s="21">
        <v>0</v>
      </c>
      <c r="AN358" s="21">
        <v>0</v>
      </c>
      <c r="AO358" s="21">
        <v>0</v>
      </c>
      <c r="AP358" s="21">
        <v>0</v>
      </c>
      <c r="AQ358" s="21">
        <v>0</v>
      </c>
      <c r="AR358" s="21">
        <v>0</v>
      </c>
      <c r="AS358" s="21">
        <v>0</v>
      </c>
      <c r="AT358" s="21">
        <v>0</v>
      </c>
      <c r="AU358" s="21">
        <v>0</v>
      </c>
      <c r="AV358" s="21">
        <v>0</v>
      </c>
      <c r="AW358" s="21">
        <v>0</v>
      </c>
      <c r="AX358" s="21">
        <v>0</v>
      </c>
      <c r="AY358" s="21">
        <v>0</v>
      </c>
      <c r="AZ358" s="21">
        <v>0</v>
      </c>
      <c r="BA358" s="21">
        <v>0</v>
      </c>
      <c r="BB358" s="21">
        <v>0</v>
      </c>
      <c r="BC358" s="21">
        <v>0</v>
      </c>
      <c r="BD358" s="21">
        <v>0</v>
      </c>
      <c r="BE358" s="21">
        <v>0</v>
      </c>
      <c r="BF358" s="21">
        <v>0</v>
      </c>
      <c r="BG358" s="21">
        <v>0</v>
      </c>
      <c r="BH358" s="21">
        <v>0</v>
      </c>
      <c r="BI358" s="21">
        <v>0</v>
      </c>
      <c r="BJ358" s="21">
        <v>0</v>
      </c>
      <c r="BK358" s="21">
        <v>0</v>
      </c>
      <c r="BL358" s="21">
        <v>0</v>
      </c>
      <c r="BM358" s="21">
        <v>0</v>
      </c>
      <c r="BN358" s="21">
        <v>0</v>
      </c>
      <c r="BO358" s="21">
        <v>0</v>
      </c>
      <c r="BP358" s="21">
        <v>0</v>
      </c>
      <c r="BQ358" s="21">
        <v>0</v>
      </c>
      <c r="BR358" s="21">
        <v>0</v>
      </c>
      <c r="BS358" s="21">
        <v>0</v>
      </c>
      <c r="BT358" s="21">
        <v>0</v>
      </c>
      <c r="BU358" s="21">
        <v>0</v>
      </c>
      <c r="BV358" s="21">
        <v>0</v>
      </c>
      <c r="BW358" s="21">
        <v>0</v>
      </c>
      <c r="BX358" s="21">
        <v>0</v>
      </c>
      <c r="BY358" s="21">
        <v>0</v>
      </c>
      <c r="BZ358" s="21">
        <v>0</v>
      </c>
      <c r="CA358" s="21">
        <v>0</v>
      </c>
      <c r="CB358" s="21">
        <v>0</v>
      </c>
      <c r="CC358" s="21">
        <v>0</v>
      </c>
      <c r="CD358" s="21">
        <v>0</v>
      </c>
      <c r="CE358" s="21">
        <v>0</v>
      </c>
      <c r="CF358" s="21">
        <v>0</v>
      </c>
      <c r="CG358" s="21">
        <v>0</v>
      </c>
      <c r="CH358" s="21">
        <v>0</v>
      </c>
      <c r="CI358" s="21">
        <v>0</v>
      </c>
      <c r="CJ358" s="21">
        <v>0</v>
      </c>
      <c r="CK358" s="21">
        <v>0</v>
      </c>
      <c r="CL358" s="21">
        <v>0</v>
      </c>
      <c r="CM358" s="21">
        <v>0</v>
      </c>
      <c r="CN358" s="21">
        <v>0</v>
      </c>
      <c r="CO358" s="21">
        <v>0</v>
      </c>
      <c r="CP358" s="21">
        <v>0</v>
      </c>
      <c r="CQ358" s="21">
        <v>0</v>
      </c>
      <c r="CR358" s="21">
        <v>0</v>
      </c>
      <c r="CS358" s="21">
        <v>0</v>
      </c>
      <c r="CT358" s="21">
        <v>0</v>
      </c>
      <c r="CU358" s="21">
        <v>0</v>
      </c>
      <c r="CV358" s="21">
        <v>0</v>
      </c>
      <c r="CW358" s="21">
        <v>0</v>
      </c>
      <c r="CX358" s="21">
        <v>0</v>
      </c>
      <c r="CY358" s="21">
        <v>0</v>
      </c>
      <c r="CZ358" s="21">
        <v>0</v>
      </c>
      <c r="DA358" s="21">
        <v>0</v>
      </c>
      <c r="DB358" s="21">
        <v>0</v>
      </c>
      <c r="DC358" s="21">
        <v>0</v>
      </c>
      <c r="DD358" s="21">
        <v>0</v>
      </c>
      <c r="DE358" s="21">
        <v>0</v>
      </c>
      <c r="DF358" s="21">
        <v>0</v>
      </c>
      <c r="DG358" s="21">
        <v>0</v>
      </c>
      <c r="DH358" s="21">
        <v>0</v>
      </c>
      <c r="DI358" s="21">
        <v>0</v>
      </c>
      <c r="DJ358" s="21">
        <v>0</v>
      </c>
      <c r="DK358" s="21">
        <v>0</v>
      </c>
      <c r="DL358" s="21">
        <v>0</v>
      </c>
      <c r="DM358" s="21">
        <v>0</v>
      </c>
      <c r="DN358" s="21">
        <v>0</v>
      </c>
      <c r="DO358" s="21">
        <v>0</v>
      </c>
      <c r="DP358" s="21">
        <v>0</v>
      </c>
      <c r="DQ358" s="21">
        <v>0</v>
      </c>
      <c r="DR358" s="21">
        <v>0</v>
      </c>
      <c r="DS358" s="21">
        <v>0</v>
      </c>
      <c r="DT358" s="21">
        <v>0</v>
      </c>
      <c r="DU358" s="21">
        <v>0</v>
      </c>
      <c r="DV358" s="21">
        <v>0</v>
      </c>
      <c r="DW358" s="21">
        <v>0</v>
      </c>
      <c r="DX358" s="21">
        <v>0</v>
      </c>
      <c r="DY358" s="21">
        <v>0</v>
      </c>
      <c r="DZ358" s="21">
        <v>0</v>
      </c>
      <c r="EA358" s="21">
        <v>0</v>
      </c>
      <c r="EB358" s="21">
        <v>0</v>
      </c>
      <c r="EC358" s="21">
        <v>0</v>
      </c>
      <c r="ED358" s="21">
        <v>0</v>
      </c>
      <c r="EE358" s="21">
        <v>0</v>
      </c>
      <c r="EF358" s="21">
        <v>0</v>
      </c>
    </row>
    <row r="359" spans="1:136" ht="14.5" x14ac:dyDescent="0.35">
      <c r="A359" s="20" t="s">
        <v>12</v>
      </c>
      <c r="B359" s="20" t="s">
        <v>27</v>
      </c>
      <c r="C359" s="20" t="s">
        <v>27</v>
      </c>
      <c r="D359" s="20" t="s">
        <v>333</v>
      </c>
      <c r="E359" s="20" t="s">
        <v>14</v>
      </c>
      <c r="F359" s="20" t="s">
        <v>87</v>
      </c>
      <c r="G359" s="21">
        <v>0</v>
      </c>
      <c r="H359" s="21">
        <v>0</v>
      </c>
      <c r="I359" s="21">
        <v>8</v>
      </c>
      <c r="J359" s="21">
        <v>-8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21">
        <v>8</v>
      </c>
      <c r="AB359" s="21">
        <v>0</v>
      </c>
      <c r="AC359" s="21">
        <v>0</v>
      </c>
      <c r="AD359" s="21">
        <v>0</v>
      </c>
      <c r="AE359" s="21">
        <v>0</v>
      </c>
      <c r="AF359" s="21">
        <v>0</v>
      </c>
      <c r="AG359" s="21">
        <v>0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0</v>
      </c>
      <c r="AN359" s="21">
        <v>0</v>
      </c>
      <c r="AO359" s="21">
        <v>0</v>
      </c>
      <c r="AP359" s="21">
        <v>0</v>
      </c>
      <c r="AQ359" s="21">
        <v>0</v>
      </c>
      <c r="AR359" s="21">
        <v>0</v>
      </c>
      <c r="AS359" s="21">
        <v>0</v>
      </c>
      <c r="AT359" s="21">
        <v>0</v>
      </c>
      <c r="AU359" s="21">
        <v>0</v>
      </c>
      <c r="AV359" s="21">
        <v>0</v>
      </c>
      <c r="AW359" s="21">
        <v>0</v>
      </c>
      <c r="AX359" s="21">
        <v>0</v>
      </c>
      <c r="AY359" s="21">
        <v>0</v>
      </c>
      <c r="AZ359" s="21">
        <v>0</v>
      </c>
      <c r="BA359" s="21">
        <v>0</v>
      </c>
      <c r="BB359" s="21">
        <v>0</v>
      </c>
      <c r="BC359" s="21">
        <v>0</v>
      </c>
      <c r="BD359" s="21">
        <v>0</v>
      </c>
      <c r="BE359" s="21">
        <v>0</v>
      </c>
      <c r="BF359" s="21">
        <v>0</v>
      </c>
      <c r="BG359" s="21">
        <v>0</v>
      </c>
      <c r="BH359" s="21">
        <v>0</v>
      </c>
      <c r="BI359" s="21">
        <v>0</v>
      </c>
      <c r="BJ359" s="21">
        <v>0</v>
      </c>
      <c r="BK359" s="21">
        <v>0</v>
      </c>
      <c r="BL359" s="21">
        <v>0</v>
      </c>
      <c r="BM359" s="21">
        <v>0</v>
      </c>
      <c r="BN359" s="21">
        <v>0</v>
      </c>
      <c r="BO359" s="21">
        <v>0</v>
      </c>
      <c r="BP359" s="21">
        <v>0</v>
      </c>
      <c r="BQ359" s="21">
        <v>0</v>
      </c>
      <c r="BR359" s="21">
        <v>0</v>
      </c>
      <c r="BS359" s="21">
        <v>0</v>
      </c>
      <c r="BT359" s="21">
        <v>0</v>
      </c>
      <c r="BU359" s="21">
        <v>0</v>
      </c>
      <c r="BV359" s="21">
        <v>0</v>
      </c>
      <c r="BW359" s="21">
        <v>0</v>
      </c>
      <c r="BX359" s="21">
        <v>0</v>
      </c>
      <c r="BY359" s="21">
        <v>0</v>
      </c>
      <c r="BZ359" s="21">
        <v>0</v>
      </c>
      <c r="CA359" s="21">
        <v>0</v>
      </c>
      <c r="CB359" s="21">
        <v>0</v>
      </c>
      <c r="CC359" s="21">
        <v>0</v>
      </c>
      <c r="CD359" s="21">
        <v>0</v>
      </c>
      <c r="CE359" s="21">
        <v>0</v>
      </c>
      <c r="CF359" s="21">
        <v>0</v>
      </c>
      <c r="CG359" s="21">
        <v>0</v>
      </c>
      <c r="CH359" s="21">
        <v>0</v>
      </c>
      <c r="CI359" s="21">
        <v>0</v>
      </c>
      <c r="CJ359" s="21">
        <v>0</v>
      </c>
      <c r="CK359" s="21">
        <v>0</v>
      </c>
      <c r="CL359" s="21">
        <v>0</v>
      </c>
      <c r="CM359" s="21">
        <v>0</v>
      </c>
      <c r="CN359" s="21">
        <v>0</v>
      </c>
      <c r="CO359" s="21">
        <v>0</v>
      </c>
      <c r="CP359" s="21">
        <v>0</v>
      </c>
      <c r="CQ359" s="21">
        <v>0</v>
      </c>
      <c r="CR359" s="21">
        <v>0</v>
      </c>
      <c r="CS359" s="21">
        <v>0</v>
      </c>
      <c r="CT359" s="21">
        <v>0</v>
      </c>
      <c r="CU359" s="21">
        <v>0</v>
      </c>
      <c r="CV359" s="21">
        <v>0</v>
      </c>
      <c r="CW359" s="21">
        <v>0</v>
      </c>
      <c r="CX359" s="21">
        <v>0</v>
      </c>
      <c r="CY359" s="21">
        <v>0</v>
      </c>
      <c r="CZ359" s="21">
        <v>0</v>
      </c>
      <c r="DA359" s="21">
        <v>0</v>
      </c>
      <c r="DB359" s="21">
        <v>0</v>
      </c>
      <c r="DC359" s="21">
        <v>0</v>
      </c>
      <c r="DD359" s="21">
        <v>0</v>
      </c>
      <c r="DE359" s="21">
        <v>0</v>
      </c>
      <c r="DF359" s="21">
        <v>0</v>
      </c>
      <c r="DG359" s="21">
        <v>0</v>
      </c>
      <c r="DH359" s="21">
        <v>0</v>
      </c>
      <c r="DI359" s="21">
        <v>0</v>
      </c>
      <c r="DJ359" s="21">
        <v>0</v>
      </c>
      <c r="DK359" s="21">
        <v>0</v>
      </c>
      <c r="DL359" s="21">
        <v>0</v>
      </c>
      <c r="DM359" s="21">
        <v>0</v>
      </c>
      <c r="DN359" s="21">
        <v>0</v>
      </c>
      <c r="DO359" s="21">
        <v>0</v>
      </c>
      <c r="DP359" s="21">
        <v>0</v>
      </c>
      <c r="DQ359" s="21">
        <v>0</v>
      </c>
      <c r="DR359" s="21">
        <v>0</v>
      </c>
      <c r="DS359" s="21">
        <v>0</v>
      </c>
      <c r="DT359" s="21">
        <v>0</v>
      </c>
      <c r="DU359" s="21">
        <v>0</v>
      </c>
      <c r="DV359" s="21">
        <v>0</v>
      </c>
      <c r="DW359" s="21">
        <v>0</v>
      </c>
      <c r="DX359" s="21">
        <v>0</v>
      </c>
      <c r="DY359" s="21">
        <v>0</v>
      </c>
      <c r="DZ359" s="21">
        <v>0</v>
      </c>
      <c r="EA359" s="21">
        <v>0</v>
      </c>
      <c r="EB359" s="21">
        <v>0</v>
      </c>
      <c r="EC359" s="21">
        <v>0</v>
      </c>
      <c r="ED359" s="21">
        <v>0</v>
      </c>
      <c r="EE359" s="21">
        <v>0</v>
      </c>
      <c r="EF359" s="21">
        <v>0</v>
      </c>
    </row>
    <row r="360" spans="1:136" ht="14.5" x14ac:dyDescent="0.35">
      <c r="A360" s="20" t="s">
        <v>12</v>
      </c>
      <c r="B360" s="20" t="s">
        <v>27</v>
      </c>
      <c r="C360" s="20" t="s">
        <v>27</v>
      </c>
      <c r="D360" s="20" t="s">
        <v>332</v>
      </c>
      <c r="E360" s="20" t="s">
        <v>14</v>
      </c>
      <c r="F360" s="20" t="s">
        <v>88</v>
      </c>
      <c r="G360" s="21">
        <v>0</v>
      </c>
      <c r="H360" s="21">
        <v>0</v>
      </c>
      <c r="I360" s="21">
        <v>22</v>
      </c>
      <c r="J360" s="21">
        <v>-22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21">
        <v>0</v>
      </c>
      <c r="AB360" s="21">
        <v>0</v>
      </c>
      <c r="AC360" s="21">
        <v>0</v>
      </c>
      <c r="AD360" s="21">
        <v>0</v>
      </c>
      <c r="AE360" s="21">
        <v>0</v>
      </c>
      <c r="AF360" s="21">
        <v>0</v>
      </c>
      <c r="AG360" s="21">
        <v>0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0</v>
      </c>
      <c r="AN360" s="21">
        <v>15</v>
      </c>
      <c r="AO360" s="21">
        <v>7</v>
      </c>
      <c r="AP360" s="21">
        <v>0</v>
      </c>
      <c r="AQ360" s="21">
        <v>0</v>
      </c>
      <c r="AR360" s="21">
        <v>0</v>
      </c>
      <c r="AS360" s="21">
        <v>0</v>
      </c>
      <c r="AT360" s="21">
        <v>0</v>
      </c>
      <c r="AU360" s="21">
        <v>0</v>
      </c>
      <c r="AV360" s="21">
        <v>0</v>
      </c>
      <c r="AW360" s="21">
        <v>0</v>
      </c>
      <c r="AX360" s="21">
        <v>0</v>
      </c>
      <c r="AY360" s="21">
        <v>0</v>
      </c>
      <c r="AZ360" s="21">
        <v>0</v>
      </c>
      <c r="BA360" s="21">
        <v>0</v>
      </c>
      <c r="BB360" s="21">
        <v>0</v>
      </c>
      <c r="BC360" s="21">
        <v>0</v>
      </c>
      <c r="BD360" s="21">
        <v>0</v>
      </c>
      <c r="BE360" s="21">
        <v>0</v>
      </c>
      <c r="BF360" s="21">
        <v>0</v>
      </c>
      <c r="BG360" s="21">
        <v>0</v>
      </c>
      <c r="BH360" s="21">
        <v>0</v>
      </c>
      <c r="BI360" s="21">
        <v>0</v>
      </c>
      <c r="BJ360" s="21">
        <v>0</v>
      </c>
      <c r="BK360" s="21">
        <v>0</v>
      </c>
      <c r="BL360" s="21">
        <v>0</v>
      </c>
      <c r="BM360" s="21">
        <v>0</v>
      </c>
      <c r="BN360" s="21">
        <v>0</v>
      </c>
      <c r="BO360" s="21">
        <v>0</v>
      </c>
      <c r="BP360" s="21">
        <v>0</v>
      </c>
      <c r="BQ360" s="21">
        <v>0</v>
      </c>
      <c r="BR360" s="21">
        <v>0</v>
      </c>
      <c r="BS360" s="21">
        <v>0</v>
      </c>
      <c r="BT360" s="21">
        <v>0</v>
      </c>
      <c r="BU360" s="21">
        <v>0</v>
      </c>
      <c r="BV360" s="21">
        <v>0</v>
      </c>
      <c r="BW360" s="21">
        <v>0</v>
      </c>
      <c r="BX360" s="21">
        <v>0</v>
      </c>
      <c r="BY360" s="21">
        <v>0</v>
      </c>
      <c r="BZ360" s="21">
        <v>0</v>
      </c>
      <c r="CA360" s="21">
        <v>0</v>
      </c>
      <c r="CB360" s="21">
        <v>0</v>
      </c>
      <c r="CC360" s="21">
        <v>0</v>
      </c>
      <c r="CD360" s="21">
        <v>0</v>
      </c>
      <c r="CE360" s="21">
        <v>0</v>
      </c>
      <c r="CF360" s="21">
        <v>0</v>
      </c>
      <c r="CG360" s="21">
        <v>0</v>
      </c>
      <c r="CH360" s="21">
        <v>0</v>
      </c>
      <c r="CI360" s="21">
        <v>0</v>
      </c>
      <c r="CJ360" s="21">
        <v>0</v>
      </c>
      <c r="CK360" s="21">
        <v>0</v>
      </c>
      <c r="CL360" s="21">
        <v>0</v>
      </c>
      <c r="CM360" s="21">
        <v>0</v>
      </c>
      <c r="CN360" s="21">
        <v>0</v>
      </c>
      <c r="CO360" s="21">
        <v>0</v>
      </c>
      <c r="CP360" s="21">
        <v>0</v>
      </c>
      <c r="CQ360" s="21">
        <v>0</v>
      </c>
      <c r="CR360" s="21">
        <v>0</v>
      </c>
      <c r="CS360" s="21">
        <v>0</v>
      </c>
      <c r="CT360" s="21">
        <v>0</v>
      </c>
      <c r="CU360" s="21">
        <v>0</v>
      </c>
      <c r="CV360" s="21">
        <v>0</v>
      </c>
      <c r="CW360" s="21">
        <v>0</v>
      </c>
      <c r="CX360" s="21">
        <v>0</v>
      </c>
      <c r="CY360" s="21">
        <v>0</v>
      </c>
      <c r="CZ360" s="21">
        <v>0</v>
      </c>
      <c r="DA360" s="21">
        <v>0</v>
      </c>
      <c r="DB360" s="21">
        <v>0</v>
      </c>
      <c r="DC360" s="21">
        <v>0</v>
      </c>
      <c r="DD360" s="21">
        <v>0</v>
      </c>
      <c r="DE360" s="21">
        <v>0</v>
      </c>
      <c r="DF360" s="21">
        <v>0</v>
      </c>
      <c r="DG360" s="21">
        <v>0</v>
      </c>
      <c r="DH360" s="21">
        <v>0</v>
      </c>
      <c r="DI360" s="21">
        <v>0</v>
      </c>
      <c r="DJ360" s="21">
        <v>0</v>
      </c>
      <c r="DK360" s="21">
        <v>0</v>
      </c>
      <c r="DL360" s="21">
        <v>0</v>
      </c>
      <c r="DM360" s="21">
        <v>0</v>
      </c>
      <c r="DN360" s="21">
        <v>0</v>
      </c>
      <c r="DO360" s="21">
        <v>0</v>
      </c>
      <c r="DP360" s="21">
        <v>0</v>
      </c>
      <c r="DQ360" s="21">
        <v>0</v>
      </c>
      <c r="DR360" s="21">
        <v>0</v>
      </c>
      <c r="DS360" s="21">
        <v>0</v>
      </c>
      <c r="DT360" s="21">
        <v>0</v>
      </c>
      <c r="DU360" s="21">
        <v>0</v>
      </c>
      <c r="DV360" s="21">
        <v>0</v>
      </c>
      <c r="DW360" s="21">
        <v>0</v>
      </c>
      <c r="DX360" s="21">
        <v>0</v>
      </c>
      <c r="DY360" s="21">
        <v>0</v>
      </c>
      <c r="DZ360" s="21">
        <v>0</v>
      </c>
      <c r="EA360" s="21">
        <v>0</v>
      </c>
      <c r="EB360" s="21">
        <v>0</v>
      </c>
      <c r="EC360" s="21">
        <v>0</v>
      </c>
      <c r="ED360" s="21">
        <v>0</v>
      </c>
      <c r="EE360" s="21">
        <v>0</v>
      </c>
      <c r="EF360" s="21">
        <v>0</v>
      </c>
    </row>
    <row r="361" spans="1:136" ht="14.5" x14ac:dyDescent="0.35">
      <c r="A361" s="20" t="s">
        <v>12</v>
      </c>
      <c r="B361" s="20" t="s">
        <v>27</v>
      </c>
      <c r="C361" s="20" t="s">
        <v>27</v>
      </c>
      <c r="D361" s="20" t="s">
        <v>333</v>
      </c>
      <c r="E361" s="20" t="s">
        <v>14</v>
      </c>
      <c r="F361" s="20" t="s">
        <v>88</v>
      </c>
      <c r="G361" s="21">
        <v>5</v>
      </c>
      <c r="H361" s="21">
        <v>5</v>
      </c>
      <c r="I361" s="21">
        <v>0</v>
      </c>
      <c r="J361" s="21">
        <v>5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21">
        <v>0</v>
      </c>
      <c r="AB361" s="21">
        <v>0</v>
      </c>
      <c r="AC361" s="21">
        <v>0</v>
      </c>
      <c r="AD361" s="21">
        <v>0</v>
      </c>
      <c r="AE361" s="21">
        <v>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0</v>
      </c>
      <c r="AN361" s="21">
        <v>0</v>
      </c>
      <c r="AO361" s="21">
        <v>0</v>
      </c>
      <c r="AP361" s="21">
        <v>0</v>
      </c>
      <c r="AQ361" s="21">
        <v>0</v>
      </c>
      <c r="AR361" s="21">
        <v>0</v>
      </c>
      <c r="AS361" s="21">
        <v>0</v>
      </c>
      <c r="AT361" s="21">
        <v>0</v>
      </c>
      <c r="AU361" s="21">
        <v>0</v>
      </c>
      <c r="AV361" s="21">
        <v>0</v>
      </c>
      <c r="AW361" s="21">
        <v>0</v>
      </c>
      <c r="AX361" s="21">
        <v>0</v>
      </c>
      <c r="AY361" s="21">
        <v>0</v>
      </c>
      <c r="AZ361" s="21">
        <v>0</v>
      </c>
      <c r="BA361" s="21">
        <v>0</v>
      </c>
      <c r="BB361" s="21">
        <v>0</v>
      </c>
      <c r="BC361" s="21">
        <v>0</v>
      </c>
      <c r="BD361" s="21">
        <v>0</v>
      </c>
      <c r="BE361" s="21">
        <v>0</v>
      </c>
      <c r="BF361" s="21">
        <v>0</v>
      </c>
      <c r="BG361" s="21">
        <v>0</v>
      </c>
      <c r="BH361" s="21">
        <v>0</v>
      </c>
      <c r="BI361" s="21">
        <v>0</v>
      </c>
      <c r="BJ361" s="21">
        <v>0</v>
      </c>
      <c r="BK361" s="21">
        <v>0</v>
      </c>
      <c r="BL361" s="21">
        <v>0</v>
      </c>
      <c r="BM361" s="21">
        <v>0</v>
      </c>
      <c r="BN361" s="21">
        <v>0</v>
      </c>
      <c r="BO361" s="21">
        <v>0</v>
      </c>
      <c r="BP361" s="21">
        <v>0</v>
      </c>
      <c r="BQ361" s="21">
        <v>0</v>
      </c>
      <c r="BR361" s="21">
        <v>0</v>
      </c>
      <c r="BS361" s="21">
        <v>0</v>
      </c>
      <c r="BT361" s="21">
        <v>0</v>
      </c>
      <c r="BU361" s="21">
        <v>0</v>
      </c>
      <c r="BV361" s="21">
        <v>0</v>
      </c>
      <c r="BW361" s="21">
        <v>0</v>
      </c>
      <c r="BX361" s="21">
        <v>0</v>
      </c>
      <c r="BY361" s="21">
        <v>0</v>
      </c>
      <c r="BZ361" s="21">
        <v>0</v>
      </c>
      <c r="CA361" s="21">
        <v>0</v>
      </c>
      <c r="CB361" s="21">
        <v>0</v>
      </c>
      <c r="CC361" s="21">
        <v>0</v>
      </c>
      <c r="CD361" s="21">
        <v>0</v>
      </c>
      <c r="CE361" s="21">
        <v>0</v>
      </c>
      <c r="CF361" s="21">
        <v>0</v>
      </c>
      <c r="CG361" s="21">
        <v>0</v>
      </c>
      <c r="CH361" s="21">
        <v>0</v>
      </c>
      <c r="CI361" s="21">
        <v>0</v>
      </c>
      <c r="CJ361" s="21">
        <v>0</v>
      </c>
      <c r="CK361" s="21">
        <v>0</v>
      </c>
      <c r="CL361" s="21">
        <v>0</v>
      </c>
      <c r="CM361" s="21">
        <v>0</v>
      </c>
      <c r="CN361" s="21">
        <v>0</v>
      </c>
      <c r="CO361" s="21">
        <v>0</v>
      </c>
      <c r="CP361" s="21">
        <v>0</v>
      </c>
      <c r="CQ361" s="21">
        <v>0</v>
      </c>
      <c r="CR361" s="21">
        <v>0</v>
      </c>
      <c r="CS361" s="21">
        <v>0</v>
      </c>
      <c r="CT361" s="21">
        <v>0</v>
      </c>
      <c r="CU361" s="21">
        <v>0</v>
      </c>
      <c r="CV361" s="21">
        <v>0</v>
      </c>
      <c r="CW361" s="21">
        <v>0</v>
      </c>
      <c r="CX361" s="21">
        <v>0</v>
      </c>
      <c r="CY361" s="21">
        <v>0</v>
      </c>
      <c r="CZ361" s="21">
        <v>0</v>
      </c>
      <c r="DA361" s="21">
        <v>0</v>
      </c>
      <c r="DB361" s="21">
        <v>0</v>
      </c>
      <c r="DC361" s="21">
        <v>0</v>
      </c>
      <c r="DD361" s="21">
        <v>0</v>
      </c>
      <c r="DE361" s="21">
        <v>0</v>
      </c>
      <c r="DF361" s="21">
        <v>0</v>
      </c>
      <c r="DG361" s="21">
        <v>0</v>
      </c>
      <c r="DH361" s="21">
        <v>0</v>
      </c>
      <c r="DI361" s="21">
        <v>0</v>
      </c>
      <c r="DJ361" s="21">
        <v>0</v>
      </c>
      <c r="DK361" s="21">
        <v>0</v>
      </c>
      <c r="DL361" s="21">
        <v>0</v>
      </c>
      <c r="DM361" s="21">
        <v>0</v>
      </c>
      <c r="DN361" s="21">
        <v>0</v>
      </c>
      <c r="DO361" s="21">
        <v>0</v>
      </c>
      <c r="DP361" s="21">
        <v>0</v>
      </c>
      <c r="DQ361" s="21">
        <v>0</v>
      </c>
      <c r="DR361" s="21">
        <v>0</v>
      </c>
      <c r="DS361" s="21">
        <v>0</v>
      </c>
      <c r="DT361" s="21">
        <v>0</v>
      </c>
      <c r="DU361" s="21">
        <v>0</v>
      </c>
      <c r="DV361" s="21">
        <v>0</v>
      </c>
      <c r="DW361" s="21">
        <v>0</v>
      </c>
      <c r="DX361" s="21">
        <v>0</v>
      </c>
      <c r="DY361" s="21">
        <v>0</v>
      </c>
      <c r="DZ361" s="21">
        <v>0</v>
      </c>
      <c r="EA361" s="21">
        <v>0</v>
      </c>
      <c r="EB361" s="21">
        <v>0</v>
      </c>
      <c r="EC361" s="21">
        <v>0</v>
      </c>
      <c r="ED361" s="21">
        <v>0</v>
      </c>
      <c r="EE361" s="21">
        <v>0</v>
      </c>
      <c r="EF361" s="21">
        <v>0</v>
      </c>
    </row>
    <row r="362" spans="1:136" ht="14.5" x14ac:dyDescent="0.35">
      <c r="A362" s="20" t="s">
        <v>12</v>
      </c>
      <c r="B362" s="20" t="s">
        <v>27</v>
      </c>
      <c r="C362" s="20" t="s">
        <v>27</v>
      </c>
      <c r="D362" s="20" t="s">
        <v>332</v>
      </c>
      <c r="E362" s="20" t="s">
        <v>14</v>
      </c>
      <c r="F362" s="20" t="s">
        <v>89</v>
      </c>
      <c r="G362" s="21">
        <v>0</v>
      </c>
      <c r="H362" s="21">
        <v>0</v>
      </c>
      <c r="I362" s="21">
        <v>15</v>
      </c>
      <c r="J362" s="21">
        <v>-15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21">
        <v>0</v>
      </c>
      <c r="AO362" s="21">
        <v>0</v>
      </c>
      <c r="AP362" s="21">
        <v>0</v>
      </c>
      <c r="AQ362" s="21">
        <v>0</v>
      </c>
      <c r="AR362" s="21">
        <v>0</v>
      </c>
      <c r="AS362" s="21">
        <v>0</v>
      </c>
      <c r="AT362" s="21">
        <v>0</v>
      </c>
      <c r="AU362" s="21">
        <v>0</v>
      </c>
      <c r="AV362" s="21">
        <v>0</v>
      </c>
      <c r="AW362" s="21">
        <v>0</v>
      </c>
      <c r="AX362" s="21">
        <v>0</v>
      </c>
      <c r="AY362" s="21">
        <v>0</v>
      </c>
      <c r="AZ362" s="21">
        <v>0</v>
      </c>
      <c r="BA362" s="21">
        <v>0</v>
      </c>
      <c r="BB362" s="21">
        <v>0</v>
      </c>
      <c r="BC362" s="21">
        <v>0</v>
      </c>
      <c r="BD362" s="21">
        <v>0</v>
      </c>
      <c r="BE362" s="21">
        <v>0</v>
      </c>
      <c r="BF362" s="21">
        <v>0</v>
      </c>
      <c r="BG362" s="21">
        <v>0</v>
      </c>
      <c r="BH362" s="21">
        <v>0</v>
      </c>
      <c r="BI362" s="21">
        <v>0</v>
      </c>
      <c r="BJ362" s="21">
        <v>0</v>
      </c>
      <c r="BK362" s="21">
        <v>0</v>
      </c>
      <c r="BL362" s="21">
        <v>0</v>
      </c>
      <c r="BM362" s="21">
        <v>0</v>
      </c>
      <c r="BN362" s="21">
        <v>0</v>
      </c>
      <c r="BO362" s="21">
        <v>0</v>
      </c>
      <c r="BP362" s="21">
        <v>0</v>
      </c>
      <c r="BQ362" s="21">
        <v>0</v>
      </c>
      <c r="BR362" s="21">
        <v>0</v>
      </c>
      <c r="BS362" s="21">
        <v>0</v>
      </c>
      <c r="BT362" s="21">
        <v>0</v>
      </c>
      <c r="BU362" s="21">
        <v>0</v>
      </c>
      <c r="BV362" s="21">
        <v>0</v>
      </c>
      <c r="BW362" s="21">
        <v>0</v>
      </c>
      <c r="BX362" s="21">
        <v>0</v>
      </c>
      <c r="BY362" s="21">
        <v>0</v>
      </c>
      <c r="BZ362" s="21">
        <v>0</v>
      </c>
      <c r="CA362" s="21">
        <v>0</v>
      </c>
      <c r="CB362" s="21">
        <v>0</v>
      </c>
      <c r="CC362" s="21">
        <v>0</v>
      </c>
      <c r="CD362" s="21">
        <v>0</v>
      </c>
      <c r="CE362" s="21">
        <v>0</v>
      </c>
      <c r="CF362" s="21">
        <v>0</v>
      </c>
      <c r="CG362" s="21">
        <v>0</v>
      </c>
      <c r="CH362" s="21">
        <v>0</v>
      </c>
      <c r="CI362" s="21">
        <v>0</v>
      </c>
      <c r="CJ362" s="21">
        <v>0</v>
      </c>
      <c r="CK362" s="21">
        <v>0</v>
      </c>
      <c r="CL362" s="21">
        <v>0</v>
      </c>
      <c r="CM362" s="21">
        <v>0</v>
      </c>
      <c r="CN362" s="21">
        <v>0</v>
      </c>
      <c r="CO362" s="21">
        <v>0</v>
      </c>
      <c r="CP362" s="21">
        <v>0</v>
      </c>
      <c r="CQ362" s="21">
        <v>0</v>
      </c>
      <c r="CR362" s="21">
        <v>0</v>
      </c>
      <c r="CS362" s="21">
        <v>0</v>
      </c>
      <c r="CT362" s="21">
        <v>0</v>
      </c>
      <c r="CU362" s="21">
        <v>0</v>
      </c>
      <c r="CV362" s="21">
        <v>0</v>
      </c>
      <c r="CW362" s="21">
        <v>0</v>
      </c>
      <c r="CX362" s="21">
        <v>0</v>
      </c>
      <c r="CY362" s="21">
        <v>0</v>
      </c>
      <c r="CZ362" s="21">
        <v>10</v>
      </c>
      <c r="DA362" s="21">
        <v>5</v>
      </c>
      <c r="DB362" s="21">
        <v>0</v>
      </c>
      <c r="DC362" s="21">
        <v>0</v>
      </c>
      <c r="DD362" s="21">
        <v>0</v>
      </c>
      <c r="DE362" s="21">
        <v>0</v>
      </c>
      <c r="DF362" s="21">
        <v>0</v>
      </c>
      <c r="DG362" s="21">
        <v>0</v>
      </c>
      <c r="DH362" s="21">
        <v>0</v>
      </c>
      <c r="DI362" s="21">
        <v>0</v>
      </c>
      <c r="DJ362" s="21">
        <v>0</v>
      </c>
      <c r="DK362" s="21">
        <v>0</v>
      </c>
      <c r="DL362" s="21">
        <v>0</v>
      </c>
      <c r="DM362" s="21">
        <v>0</v>
      </c>
      <c r="DN362" s="21">
        <v>0</v>
      </c>
      <c r="DO362" s="21">
        <v>0</v>
      </c>
      <c r="DP362" s="21">
        <v>0</v>
      </c>
      <c r="DQ362" s="21">
        <v>0</v>
      </c>
      <c r="DR362" s="21">
        <v>0</v>
      </c>
      <c r="DS362" s="21">
        <v>0</v>
      </c>
      <c r="DT362" s="21">
        <v>0</v>
      </c>
      <c r="DU362" s="21">
        <v>0</v>
      </c>
      <c r="DV362" s="21">
        <v>0</v>
      </c>
      <c r="DW362" s="21">
        <v>0</v>
      </c>
      <c r="DX362" s="21">
        <v>0</v>
      </c>
      <c r="DY362" s="21">
        <v>0</v>
      </c>
      <c r="DZ362" s="21">
        <v>0</v>
      </c>
      <c r="EA362" s="21">
        <v>0</v>
      </c>
      <c r="EB362" s="21">
        <v>0</v>
      </c>
      <c r="EC362" s="21">
        <v>0</v>
      </c>
      <c r="ED362" s="21">
        <v>0</v>
      </c>
      <c r="EE362" s="21">
        <v>0</v>
      </c>
      <c r="EF362" s="21">
        <v>0</v>
      </c>
    </row>
    <row r="363" spans="1:136" ht="14.5" x14ac:dyDescent="0.35">
      <c r="A363" s="20" t="s">
        <v>12</v>
      </c>
      <c r="B363" s="20" t="s">
        <v>27</v>
      </c>
      <c r="C363" s="20" t="s">
        <v>27</v>
      </c>
      <c r="D363" s="20" t="s">
        <v>333</v>
      </c>
      <c r="E363" s="20" t="s">
        <v>14</v>
      </c>
      <c r="F363" s="20" t="s">
        <v>89</v>
      </c>
      <c r="G363" s="21">
        <v>0</v>
      </c>
      <c r="H363" s="21">
        <v>5</v>
      </c>
      <c r="I363" s="21">
        <v>0</v>
      </c>
      <c r="J363" s="21">
        <v>5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21">
        <v>0</v>
      </c>
      <c r="AB363" s="21">
        <v>0</v>
      </c>
      <c r="AC363" s="21">
        <v>0</v>
      </c>
      <c r="AD363" s="21">
        <v>0</v>
      </c>
      <c r="AE363" s="21">
        <v>0</v>
      </c>
      <c r="AF363" s="21">
        <v>0</v>
      </c>
      <c r="AG363" s="21">
        <v>0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0</v>
      </c>
      <c r="AN363" s="21">
        <v>0</v>
      </c>
      <c r="AO363" s="21">
        <v>0</v>
      </c>
      <c r="AP363" s="21">
        <v>0</v>
      </c>
      <c r="AQ363" s="21">
        <v>0</v>
      </c>
      <c r="AR363" s="21">
        <v>0</v>
      </c>
      <c r="AS363" s="21">
        <v>0</v>
      </c>
      <c r="AT363" s="21">
        <v>0</v>
      </c>
      <c r="AU363" s="21">
        <v>0</v>
      </c>
      <c r="AV363" s="21">
        <v>0</v>
      </c>
      <c r="AW363" s="21">
        <v>0</v>
      </c>
      <c r="AX363" s="21">
        <v>0</v>
      </c>
      <c r="AY363" s="21">
        <v>0</v>
      </c>
      <c r="AZ363" s="21">
        <v>0</v>
      </c>
      <c r="BA363" s="21">
        <v>0</v>
      </c>
      <c r="BB363" s="21">
        <v>0</v>
      </c>
      <c r="BC363" s="21">
        <v>0</v>
      </c>
      <c r="BD363" s="21">
        <v>0</v>
      </c>
      <c r="BE363" s="21">
        <v>0</v>
      </c>
      <c r="BF363" s="21">
        <v>0</v>
      </c>
      <c r="BG363" s="21">
        <v>0</v>
      </c>
      <c r="BH363" s="21">
        <v>0</v>
      </c>
      <c r="BI363" s="21">
        <v>0</v>
      </c>
      <c r="BJ363" s="21">
        <v>0</v>
      </c>
      <c r="BK363" s="21">
        <v>0</v>
      </c>
      <c r="BL363" s="21">
        <v>0</v>
      </c>
      <c r="BM363" s="21">
        <v>0</v>
      </c>
      <c r="BN363" s="21">
        <v>0</v>
      </c>
      <c r="BO363" s="21">
        <v>0</v>
      </c>
      <c r="BP363" s="21">
        <v>0</v>
      </c>
      <c r="BQ363" s="21">
        <v>0</v>
      </c>
      <c r="BR363" s="21">
        <v>0</v>
      </c>
      <c r="BS363" s="21">
        <v>0</v>
      </c>
      <c r="BT363" s="21">
        <v>0</v>
      </c>
      <c r="BU363" s="21">
        <v>0</v>
      </c>
      <c r="BV363" s="21">
        <v>0</v>
      </c>
      <c r="BW363" s="21">
        <v>0</v>
      </c>
      <c r="BX363" s="21">
        <v>0</v>
      </c>
      <c r="BY363" s="21">
        <v>0</v>
      </c>
      <c r="BZ363" s="21">
        <v>0</v>
      </c>
      <c r="CA363" s="21">
        <v>0</v>
      </c>
      <c r="CB363" s="21">
        <v>0</v>
      </c>
      <c r="CC363" s="21">
        <v>0</v>
      </c>
      <c r="CD363" s="21">
        <v>0</v>
      </c>
      <c r="CE363" s="21">
        <v>0</v>
      </c>
      <c r="CF363" s="21">
        <v>0</v>
      </c>
      <c r="CG363" s="21">
        <v>0</v>
      </c>
      <c r="CH363" s="21">
        <v>0</v>
      </c>
      <c r="CI363" s="21">
        <v>0</v>
      </c>
      <c r="CJ363" s="21">
        <v>0</v>
      </c>
      <c r="CK363" s="21">
        <v>0</v>
      </c>
      <c r="CL363" s="21">
        <v>0</v>
      </c>
      <c r="CM363" s="21">
        <v>0</v>
      </c>
      <c r="CN363" s="21">
        <v>0</v>
      </c>
      <c r="CO363" s="21">
        <v>0</v>
      </c>
      <c r="CP363" s="21">
        <v>0</v>
      </c>
      <c r="CQ363" s="21">
        <v>0</v>
      </c>
      <c r="CR363" s="21">
        <v>0</v>
      </c>
      <c r="CS363" s="21">
        <v>0</v>
      </c>
      <c r="CT363" s="21">
        <v>0</v>
      </c>
      <c r="CU363" s="21">
        <v>0</v>
      </c>
      <c r="CV363" s="21">
        <v>0</v>
      </c>
      <c r="CW363" s="21">
        <v>0</v>
      </c>
      <c r="CX363" s="21">
        <v>0</v>
      </c>
      <c r="CY363" s="21">
        <v>0</v>
      </c>
      <c r="CZ363" s="21">
        <v>0</v>
      </c>
      <c r="DA363" s="21">
        <v>0</v>
      </c>
      <c r="DB363" s="21">
        <v>0</v>
      </c>
      <c r="DC363" s="21">
        <v>0</v>
      </c>
      <c r="DD363" s="21">
        <v>0</v>
      </c>
      <c r="DE363" s="21">
        <v>0</v>
      </c>
      <c r="DF363" s="21">
        <v>0</v>
      </c>
      <c r="DG363" s="21">
        <v>0</v>
      </c>
      <c r="DH363" s="21">
        <v>0</v>
      </c>
      <c r="DI363" s="21">
        <v>0</v>
      </c>
      <c r="DJ363" s="21">
        <v>0</v>
      </c>
      <c r="DK363" s="21">
        <v>0</v>
      </c>
      <c r="DL363" s="21">
        <v>0</v>
      </c>
      <c r="DM363" s="21">
        <v>0</v>
      </c>
      <c r="DN363" s="21">
        <v>0</v>
      </c>
      <c r="DO363" s="21">
        <v>0</v>
      </c>
      <c r="DP363" s="21">
        <v>0</v>
      </c>
      <c r="DQ363" s="21">
        <v>0</v>
      </c>
      <c r="DR363" s="21">
        <v>0</v>
      </c>
      <c r="DS363" s="21">
        <v>0</v>
      </c>
      <c r="DT363" s="21">
        <v>0</v>
      </c>
      <c r="DU363" s="21">
        <v>0</v>
      </c>
      <c r="DV363" s="21">
        <v>0</v>
      </c>
      <c r="DW363" s="21">
        <v>0</v>
      </c>
      <c r="DX363" s="21">
        <v>0</v>
      </c>
      <c r="DY363" s="21">
        <v>0</v>
      </c>
      <c r="DZ363" s="21">
        <v>0</v>
      </c>
      <c r="EA363" s="21">
        <v>0</v>
      </c>
      <c r="EB363" s="21">
        <v>0</v>
      </c>
      <c r="EC363" s="21">
        <v>0</v>
      </c>
      <c r="ED363" s="21">
        <v>0</v>
      </c>
      <c r="EE363" s="21">
        <v>0</v>
      </c>
      <c r="EF363" s="21">
        <v>0</v>
      </c>
    </row>
    <row r="364" spans="1:136" ht="14.5" x14ac:dyDescent="0.35">
      <c r="A364" s="20" t="s">
        <v>12</v>
      </c>
      <c r="B364" s="20" t="s">
        <v>27</v>
      </c>
      <c r="C364" s="20" t="s">
        <v>27</v>
      </c>
      <c r="D364" s="20" t="s">
        <v>332</v>
      </c>
      <c r="E364" s="20" t="s">
        <v>14</v>
      </c>
      <c r="F364" s="20" t="s">
        <v>40</v>
      </c>
      <c r="G364" s="21">
        <v>0</v>
      </c>
      <c r="H364" s="21">
        <v>0</v>
      </c>
      <c r="I364" s="21">
        <v>35</v>
      </c>
      <c r="J364" s="21">
        <v>-35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1">
        <v>0</v>
      </c>
      <c r="AB364" s="21">
        <v>0</v>
      </c>
      <c r="AC364" s="21">
        <v>0</v>
      </c>
      <c r="AD364" s="21">
        <v>0</v>
      </c>
      <c r="AE364" s="21">
        <v>0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0</v>
      </c>
      <c r="AN364" s="21">
        <v>0</v>
      </c>
      <c r="AO364" s="21">
        <v>0</v>
      </c>
      <c r="AP364" s="21">
        <v>0</v>
      </c>
      <c r="AQ364" s="21">
        <v>0</v>
      </c>
      <c r="AR364" s="21">
        <v>0</v>
      </c>
      <c r="AS364" s="21">
        <v>0</v>
      </c>
      <c r="AT364" s="21">
        <v>0</v>
      </c>
      <c r="AU364" s="21">
        <v>0</v>
      </c>
      <c r="AV364" s="21">
        <v>0</v>
      </c>
      <c r="AW364" s="21">
        <v>0</v>
      </c>
      <c r="AX364" s="21">
        <v>0</v>
      </c>
      <c r="AY364" s="21">
        <v>0</v>
      </c>
      <c r="AZ364" s="21">
        <v>0</v>
      </c>
      <c r="BA364" s="21">
        <v>0</v>
      </c>
      <c r="BB364" s="21">
        <v>0</v>
      </c>
      <c r="BC364" s="21">
        <v>0</v>
      </c>
      <c r="BD364" s="21">
        <v>0</v>
      </c>
      <c r="BE364" s="21">
        <v>0</v>
      </c>
      <c r="BF364" s="21">
        <v>0</v>
      </c>
      <c r="BG364" s="21">
        <v>0</v>
      </c>
      <c r="BH364" s="21">
        <v>0</v>
      </c>
      <c r="BI364" s="21">
        <v>0</v>
      </c>
      <c r="BJ364" s="21">
        <v>0</v>
      </c>
      <c r="BK364" s="21">
        <v>0</v>
      </c>
      <c r="BL364" s="21">
        <v>0</v>
      </c>
      <c r="BM364" s="21">
        <v>0</v>
      </c>
      <c r="BN364" s="21">
        <v>0</v>
      </c>
      <c r="BO364" s="21">
        <v>0</v>
      </c>
      <c r="BP364" s="21">
        <v>0</v>
      </c>
      <c r="BQ364" s="21">
        <v>0</v>
      </c>
      <c r="BR364" s="21">
        <v>0</v>
      </c>
      <c r="BS364" s="21">
        <v>0</v>
      </c>
      <c r="BT364" s="21">
        <v>0</v>
      </c>
      <c r="BU364" s="21">
        <v>0</v>
      </c>
      <c r="BV364" s="21">
        <v>0</v>
      </c>
      <c r="BW364" s="21">
        <v>0</v>
      </c>
      <c r="BX364" s="21">
        <v>0</v>
      </c>
      <c r="BY364" s="21">
        <v>0</v>
      </c>
      <c r="BZ364" s="21">
        <v>0</v>
      </c>
      <c r="CA364" s="21">
        <v>0</v>
      </c>
      <c r="CB364" s="21">
        <v>0</v>
      </c>
      <c r="CC364" s="21">
        <v>0</v>
      </c>
      <c r="CD364" s="21">
        <v>0</v>
      </c>
      <c r="CE364" s="21">
        <v>0</v>
      </c>
      <c r="CF364" s="21">
        <v>0</v>
      </c>
      <c r="CG364" s="21">
        <v>0</v>
      </c>
      <c r="CH364" s="21">
        <v>0</v>
      </c>
      <c r="CI364" s="21">
        <v>0</v>
      </c>
      <c r="CJ364" s="21">
        <v>0</v>
      </c>
      <c r="CK364" s="21">
        <v>0</v>
      </c>
      <c r="CL364" s="21">
        <v>0</v>
      </c>
      <c r="CM364" s="21">
        <v>0</v>
      </c>
      <c r="CN364" s="21">
        <v>0</v>
      </c>
      <c r="CO364" s="21">
        <v>0</v>
      </c>
      <c r="CP364" s="21">
        <v>0</v>
      </c>
      <c r="CQ364" s="21">
        <v>0</v>
      </c>
      <c r="CR364" s="21">
        <v>0</v>
      </c>
      <c r="CS364" s="21">
        <v>0</v>
      </c>
      <c r="CT364" s="21">
        <v>0</v>
      </c>
      <c r="CU364" s="21">
        <v>0</v>
      </c>
      <c r="CV364" s="21">
        <v>0</v>
      </c>
      <c r="CW364" s="21">
        <v>0</v>
      </c>
      <c r="CX364" s="21">
        <v>0</v>
      </c>
      <c r="CY364" s="21">
        <v>0</v>
      </c>
      <c r="CZ364" s="21">
        <v>0</v>
      </c>
      <c r="DA364" s="21">
        <v>0</v>
      </c>
      <c r="DB364" s="21">
        <v>0</v>
      </c>
      <c r="DC364" s="21">
        <v>0</v>
      </c>
      <c r="DD364" s="21">
        <v>0</v>
      </c>
      <c r="DE364" s="21">
        <v>0</v>
      </c>
      <c r="DF364" s="21">
        <v>15</v>
      </c>
      <c r="DG364" s="21">
        <v>0</v>
      </c>
      <c r="DH364" s="21">
        <v>0</v>
      </c>
      <c r="DI364" s="21">
        <v>0</v>
      </c>
      <c r="DJ364" s="21">
        <v>0</v>
      </c>
      <c r="DK364" s="21">
        <v>0</v>
      </c>
      <c r="DL364" s="21">
        <v>0</v>
      </c>
      <c r="DM364" s="21">
        <v>0</v>
      </c>
      <c r="DN364" s="21">
        <v>0</v>
      </c>
      <c r="DO364" s="21">
        <v>7</v>
      </c>
      <c r="DP364" s="21">
        <v>13</v>
      </c>
      <c r="DQ364" s="21">
        <v>0</v>
      </c>
      <c r="DR364" s="21">
        <v>0</v>
      </c>
      <c r="DS364" s="21">
        <v>0</v>
      </c>
      <c r="DT364" s="21">
        <v>0</v>
      </c>
      <c r="DU364" s="21">
        <v>0</v>
      </c>
      <c r="DV364" s="21">
        <v>0</v>
      </c>
      <c r="DW364" s="21">
        <v>0</v>
      </c>
      <c r="DX364" s="21">
        <v>0</v>
      </c>
      <c r="DY364" s="21">
        <v>0</v>
      </c>
      <c r="DZ364" s="21">
        <v>0</v>
      </c>
      <c r="EA364" s="21">
        <v>0</v>
      </c>
      <c r="EB364" s="21">
        <v>0</v>
      </c>
      <c r="EC364" s="21">
        <v>0</v>
      </c>
      <c r="ED364" s="21">
        <v>0</v>
      </c>
      <c r="EE364" s="21">
        <v>0</v>
      </c>
      <c r="EF364" s="21">
        <v>0</v>
      </c>
    </row>
    <row r="365" spans="1:136" ht="14.5" x14ac:dyDescent="0.35">
      <c r="A365" s="20" t="s">
        <v>12</v>
      </c>
      <c r="B365" s="20" t="s">
        <v>27</v>
      </c>
      <c r="C365" s="20" t="s">
        <v>27</v>
      </c>
      <c r="D365" s="20" t="s">
        <v>333</v>
      </c>
      <c r="E365" s="20" t="s">
        <v>14</v>
      </c>
      <c r="F365" s="20" t="s">
        <v>40</v>
      </c>
      <c r="G365" s="21">
        <v>0</v>
      </c>
      <c r="H365" s="21">
        <v>35</v>
      </c>
      <c r="I365" s="21">
        <v>0</v>
      </c>
      <c r="J365" s="21">
        <v>35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1">
        <v>0</v>
      </c>
      <c r="AB365" s="21">
        <v>0</v>
      </c>
      <c r="AC365" s="21">
        <v>0</v>
      </c>
      <c r="AD365" s="21">
        <v>0</v>
      </c>
      <c r="AE365" s="21">
        <v>0</v>
      </c>
      <c r="AF365" s="21">
        <v>0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0</v>
      </c>
      <c r="AM365" s="21">
        <v>0</v>
      </c>
      <c r="AN365" s="21">
        <v>0</v>
      </c>
      <c r="AO365" s="21">
        <v>0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  <c r="AU365" s="21">
        <v>0</v>
      </c>
      <c r="AV365" s="21">
        <v>0</v>
      </c>
      <c r="AW365" s="21">
        <v>0</v>
      </c>
      <c r="AX365" s="21">
        <v>0</v>
      </c>
      <c r="AY365" s="21">
        <v>0</v>
      </c>
      <c r="AZ365" s="21">
        <v>0</v>
      </c>
      <c r="BA365" s="21">
        <v>0</v>
      </c>
      <c r="BB365" s="21">
        <v>0</v>
      </c>
      <c r="BC365" s="21">
        <v>0</v>
      </c>
      <c r="BD365" s="21">
        <v>0</v>
      </c>
      <c r="BE365" s="21">
        <v>0</v>
      </c>
      <c r="BF365" s="21">
        <v>0</v>
      </c>
      <c r="BG365" s="21">
        <v>0</v>
      </c>
      <c r="BH365" s="21">
        <v>0</v>
      </c>
      <c r="BI365" s="21">
        <v>0</v>
      </c>
      <c r="BJ365" s="21">
        <v>0</v>
      </c>
      <c r="BK365" s="21">
        <v>0</v>
      </c>
      <c r="BL365" s="21">
        <v>0</v>
      </c>
      <c r="BM365" s="21">
        <v>0</v>
      </c>
      <c r="BN365" s="21">
        <v>0</v>
      </c>
      <c r="BO365" s="21">
        <v>0</v>
      </c>
      <c r="BP365" s="21">
        <v>0</v>
      </c>
      <c r="BQ365" s="21">
        <v>0</v>
      </c>
      <c r="BR365" s="21">
        <v>0</v>
      </c>
      <c r="BS365" s="21">
        <v>0</v>
      </c>
      <c r="BT365" s="21">
        <v>0</v>
      </c>
      <c r="BU365" s="21">
        <v>0</v>
      </c>
      <c r="BV365" s="21">
        <v>0</v>
      </c>
      <c r="BW365" s="21">
        <v>0</v>
      </c>
      <c r="BX365" s="21">
        <v>0</v>
      </c>
      <c r="BY365" s="21">
        <v>0</v>
      </c>
      <c r="BZ365" s="21">
        <v>0</v>
      </c>
      <c r="CA365" s="21">
        <v>0</v>
      </c>
      <c r="CB365" s="21">
        <v>0</v>
      </c>
      <c r="CC365" s="21">
        <v>0</v>
      </c>
      <c r="CD365" s="21">
        <v>0</v>
      </c>
      <c r="CE365" s="21">
        <v>0</v>
      </c>
      <c r="CF365" s="21">
        <v>0</v>
      </c>
      <c r="CG365" s="21">
        <v>0</v>
      </c>
      <c r="CH365" s="21">
        <v>0</v>
      </c>
      <c r="CI365" s="21">
        <v>0</v>
      </c>
      <c r="CJ365" s="21">
        <v>0</v>
      </c>
      <c r="CK365" s="21">
        <v>0</v>
      </c>
      <c r="CL365" s="21">
        <v>0</v>
      </c>
      <c r="CM365" s="21">
        <v>0</v>
      </c>
      <c r="CN365" s="21">
        <v>0</v>
      </c>
      <c r="CO365" s="21">
        <v>0</v>
      </c>
      <c r="CP365" s="21">
        <v>0</v>
      </c>
      <c r="CQ365" s="21">
        <v>0</v>
      </c>
      <c r="CR365" s="21">
        <v>0</v>
      </c>
      <c r="CS365" s="21">
        <v>0</v>
      </c>
      <c r="CT365" s="21">
        <v>0</v>
      </c>
      <c r="CU365" s="21">
        <v>0</v>
      </c>
      <c r="CV365" s="21">
        <v>0</v>
      </c>
      <c r="CW365" s="21">
        <v>0</v>
      </c>
      <c r="CX365" s="21">
        <v>0</v>
      </c>
      <c r="CY365" s="21">
        <v>0</v>
      </c>
      <c r="CZ365" s="21">
        <v>0</v>
      </c>
      <c r="DA365" s="21">
        <v>0</v>
      </c>
      <c r="DB365" s="21">
        <v>0</v>
      </c>
      <c r="DC365" s="21">
        <v>0</v>
      </c>
      <c r="DD365" s="21">
        <v>0</v>
      </c>
      <c r="DE365" s="21">
        <v>0</v>
      </c>
      <c r="DF365" s="21">
        <v>0</v>
      </c>
      <c r="DG365" s="21">
        <v>0</v>
      </c>
      <c r="DH365" s="21">
        <v>0</v>
      </c>
      <c r="DI365" s="21">
        <v>0</v>
      </c>
      <c r="DJ365" s="21">
        <v>0</v>
      </c>
      <c r="DK365" s="21">
        <v>0</v>
      </c>
      <c r="DL365" s="21">
        <v>0</v>
      </c>
      <c r="DM365" s="21">
        <v>0</v>
      </c>
      <c r="DN365" s="21">
        <v>0</v>
      </c>
      <c r="DO365" s="21">
        <v>0</v>
      </c>
      <c r="DP365" s="21">
        <v>0</v>
      </c>
      <c r="DQ365" s="21">
        <v>0</v>
      </c>
      <c r="DR365" s="21">
        <v>0</v>
      </c>
      <c r="DS365" s="21">
        <v>0</v>
      </c>
      <c r="DT365" s="21">
        <v>0</v>
      </c>
      <c r="DU365" s="21">
        <v>0</v>
      </c>
      <c r="DV365" s="21">
        <v>0</v>
      </c>
      <c r="DW365" s="21">
        <v>0</v>
      </c>
      <c r="DX365" s="21">
        <v>0</v>
      </c>
      <c r="DY365" s="21">
        <v>0</v>
      </c>
      <c r="DZ365" s="21">
        <v>0</v>
      </c>
      <c r="EA365" s="21">
        <v>0</v>
      </c>
      <c r="EB365" s="21">
        <v>0</v>
      </c>
      <c r="EC365" s="21">
        <v>0</v>
      </c>
      <c r="ED365" s="21">
        <v>0</v>
      </c>
      <c r="EE365" s="21">
        <v>0</v>
      </c>
      <c r="EF365" s="21">
        <v>0</v>
      </c>
    </row>
    <row r="366" spans="1:136" ht="14.5" x14ac:dyDescent="0.35">
      <c r="A366" s="20" t="s">
        <v>12</v>
      </c>
      <c r="B366" s="20" t="s">
        <v>27</v>
      </c>
      <c r="C366" s="20" t="s">
        <v>27</v>
      </c>
      <c r="D366" s="20" t="s">
        <v>333</v>
      </c>
      <c r="E366" s="20" t="s">
        <v>14</v>
      </c>
      <c r="F366" s="20" t="s">
        <v>90</v>
      </c>
      <c r="G366" s="21">
        <v>0</v>
      </c>
      <c r="H366" s="21">
        <v>0</v>
      </c>
      <c r="I366" s="21">
        <v>25</v>
      </c>
      <c r="J366" s="21">
        <v>-25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3</v>
      </c>
      <c r="Z366" s="21">
        <v>4</v>
      </c>
      <c r="AA366" s="21">
        <v>18</v>
      </c>
      <c r="AB366" s="21">
        <v>0</v>
      </c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0</v>
      </c>
      <c r="AN366" s="21">
        <v>0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  <c r="AU366" s="21">
        <v>0</v>
      </c>
      <c r="AV366" s="21">
        <v>0</v>
      </c>
      <c r="AW366" s="21">
        <v>0</v>
      </c>
      <c r="AX366" s="21">
        <v>0</v>
      </c>
      <c r="AY366" s="21">
        <v>0</v>
      </c>
      <c r="AZ366" s="21">
        <v>0</v>
      </c>
      <c r="BA366" s="21">
        <v>0</v>
      </c>
      <c r="BB366" s="21">
        <v>0</v>
      </c>
      <c r="BC366" s="21">
        <v>0</v>
      </c>
      <c r="BD366" s="21">
        <v>0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0</v>
      </c>
      <c r="BN366" s="21">
        <v>0</v>
      </c>
      <c r="BO366" s="21">
        <v>0</v>
      </c>
      <c r="BP366" s="21">
        <v>0</v>
      </c>
      <c r="BQ366" s="21">
        <v>0</v>
      </c>
      <c r="BR366" s="21">
        <v>0</v>
      </c>
      <c r="BS366" s="21">
        <v>0</v>
      </c>
      <c r="BT366" s="21">
        <v>0</v>
      </c>
      <c r="BU366" s="21">
        <v>0</v>
      </c>
      <c r="BV366" s="21">
        <v>0</v>
      </c>
      <c r="BW366" s="21">
        <v>0</v>
      </c>
      <c r="BX366" s="21">
        <v>0</v>
      </c>
      <c r="BY366" s="21">
        <v>0</v>
      </c>
      <c r="BZ366" s="21">
        <v>0</v>
      </c>
      <c r="CA366" s="21">
        <v>0</v>
      </c>
      <c r="CB366" s="21">
        <v>0</v>
      </c>
      <c r="CC366" s="21">
        <v>0</v>
      </c>
      <c r="CD366" s="21">
        <v>0</v>
      </c>
      <c r="CE366" s="21">
        <v>0</v>
      </c>
      <c r="CF366" s="21">
        <v>0</v>
      </c>
      <c r="CG366" s="21">
        <v>0</v>
      </c>
      <c r="CH366" s="21">
        <v>0</v>
      </c>
      <c r="CI366" s="21">
        <v>0</v>
      </c>
      <c r="CJ366" s="21">
        <v>0</v>
      </c>
      <c r="CK366" s="21">
        <v>0</v>
      </c>
      <c r="CL366" s="21">
        <v>0</v>
      </c>
      <c r="CM366" s="21">
        <v>0</v>
      </c>
      <c r="CN366" s="21">
        <v>0</v>
      </c>
      <c r="CO366" s="21">
        <v>0</v>
      </c>
      <c r="CP366" s="21">
        <v>0</v>
      </c>
      <c r="CQ366" s="21">
        <v>0</v>
      </c>
      <c r="CR366" s="21">
        <v>0</v>
      </c>
      <c r="CS366" s="21">
        <v>0</v>
      </c>
      <c r="CT366" s="21">
        <v>0</v>
      </c>
      <c r="CU366" s="21">
        <v>0</v>
      </c>
      <c r="CV366" s="21">
        <v>0</v>
      </c>
      <c r="CW366" s="21">
        <v>0</v>
      </c>
      <c r="CX366" s="21">
        <v>0</v>
      </c>
      <c r="CY366" s="21">
        <v>0</v>
      </c>
      <c r="CZ366" s="21">
        <v>0</v>
      </c>
      <c r="DA366" s="21">
        <v>0</v>
      </c>
      <c r="DB366" s="21">
        <v>0</v>
      </c>
      <c r="DC366" s="21">
        <v>0</v>
      </c>
      <c r="DD366" s="21">
        <v>0</v>
      </c>
      <c r="DE366" s="21">
        <v>0</v>
      </c>
      <c r="DF366" s="21">
        <v>0</v>
      </c>
      <c r="DG366" s="21">
        <v>0</v>
      </c>
      <c r="DH366" s="21">
        <v>0</v>
      </c>
      <c r="DI366" s="21">
        <v>0</v>
      </c>
      <c r="DJ366" s="21">
        <v>0</v>
      </c>
      <c r="DK366" s="21">
        <v>0</v>
      </c>
      <c r="DL366" s="21">
        <v>0</v>
      </c>
      <c r="DM366" s="21">
        <v>0</v>
      </c>
      <c r="DN366" s="21">
        <v>0</v>
      </c>
      <c r="DO366" s="21">
        <v>0</v>
      </c>
      <c r="DP366" s="21">
        <v>0</v>
      </c>
      <c r="DQ366" s="21">
        <v>0</v>
      </c>
      <c r="DR366" s="21">
        <v>0</v>
      </c>
      <c r="DS366" s="21">
        <v>0</v>
      </c>
      <c r="DT366" s="21">
        <v>0</v>
      </c>
      <c r="DU366" s="21">
        <v>0</v>
      </c>
      <c r="DV366" s="21">
        <v>0</v>
      </c>
      <c r="DW366" s="21">
        <v>0</v>
      </c>
      <c r="DX366" s="21">
        <v>0</v>
      </c>
      <c r="DY366" s="21">
        <v>0</v>
      </c>
      <c r="DZ366" s="21">
        <v>0</v>
      </c>
      <c r="EA366" s="21">
        <v>0</v>
      </c>
      <c r="EB366" s="21">
        <v>0</v>
      </c>
      <c r="EC366" s="21">
        <v>0</v>
      </c>
      <c r="ED366" s="21">
        <v>0</v>
      </c>
      <c r="EE366" s="21">
        <v>0</v>
      </c>
      <c r="EF366" s="21">
        <v>0</v>
      </c>
    </row>
    <row r="367" spans="1:136" ht="14.5" x14ac:dyDescent="0.35">
      <c r="A367" s="20" t="s">
        <v>12</v>
      </c>
      <c r="B367" s="20" t="s">
        <v>27</v>
      </c>
      <c r="C367" s="20" t="s">
        <v>27</v>
      </c>
      <c r="D367" s="20" t="s">
        <v>332</v>
      </c>
      <c r="E367" s="20" t="s">
        <v>14</v>
      </c>
      <c r="F367" s="20" t="s">
        <v>98</v>
      </c>
      <c r="G367" s="21">
        <v>0</v>
      </c>
      <c r="H367" s="21">
        <v>0</v>
      </c>
      <c r="I367" s="21">
        <v>33</v>
      </c>
      <c r="J367" s="21">
        <v>-33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0</v>
      </c>
      <c r="AN367" s="21">
        <v>0</v>
      </c>
      <c r="AO367" s="21">
        <v>0</v>
      </c>
      <c r="AP367" s="21">
        <v>22</v>
      </c>
      <c r="AQ367" s="21">
        <v>0</v>
      </c>
      <c r="AR367" s="21">
        <v>0</v>
      </c>
      <c r="AS367" s="21">
        <v>11</v>
      </c>
      <c r="AT367" s="21">
        <v>0</v>
      </c>
      <c r="AU367" s="21">
        <v>0</v>
      </c>
      <c r="AV367" s="21">
        <v>0</v>
      </c>
      <c r="AW367" s="21">
        <v>0</v>
      </c>
      <c r="AX367" s="21">
        <v>0</v>
      </c>
      <c r="AY367" s="21">
        <v>0</v>
      </c>
      <c r="AZ367" s="21">
        <v>0</v>
      </c>
      <c r="BA367" s="21">
        <v>0</v>
      </c>
      <c r="BB367" s="21">
        <v>0</v>
      </c>
      <c r="BC367" s="21">
        <v>0</v>
      </c>
      <c r="BD367" s="21">
        <v>0</v>
      </c>
      <c r="BE367" s="21">
        <v>0</v>
      </c>
      <c r="BF367" s="21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0</v>
      </c>
      <c r="BL367" s="21">
        <v>0</v>
      </c>
      <c r="BM367" s="21">
        <v>0</v>
      </c>
      <c r="BN367" s="21">
        <v>0</v>
      </c>
      <c r="BO367" s="21">
        <v>0</v>
      </c>
      <c r="BP367" s="21">
        <v>0</v>
      </c>
      <c r="BQ367" s="21">
        <v>0</v>
      </c>
      <c r="BR367" s="21">
        <v>0</v>
      </c>
      <c r="BS367" s="21">
        <v>0</v>
      </c>
      <c r="BT367" s="21">
        <v>0</v>
      </c>
      <c r="BU367" s="21">
        <v>0</v>
      </c>
      <c r="BV367" s="21">
        <v>0</v>
      </c>
      <c r="BW367" s="21">
        <v>0</v>
      </c>
      <c r="BX367" s="21">
        <v>0</v>
      </c>
      <c r="BY367" s="21">
        <v>0</v>
      </c>
      <c r="BZ367" s="21">
        <v>0</v>
      </c>
      <c r="CA367" s="21">
        <v>0</v>
      </c>
      <c r="CB367" s="21">
        <v>0</v>
      </c>
      <c r="CC367" s="21">
        <v>0</v>
      </c>
      <c r="CD367" s="21">
        <v>0</v>
      </c>
      <c r="CE367" s="21">
        <v>0</v>
      </c>
      <c r="CF367" s="21">
        <v>0</v>
      </c>
      <c r="CG367" s="21">
        <v>0</v>
      </c>
      <c r="CH367" s="21">
        <v>0</v>
      </c>
      <c r="CI367" s="21">
        <v>0</v>
      </c>
      <c r="CJ367" s="21">
        <v>0</v>
      </c>
      <c r="CK367" s="21">
        <v>0</v>
      </c>
      <c r="CL367" s="21">
        <v>0</v>
      </c>
      <c r="CM367" s="21">
        <v>0</v>
      </c>
      <c r="CN367" s="21">
        <v>0</v>
      </c>
      <c r="CO367" s="21">
        <v>0</v>
      </c>
      <c r="CP367" s="21">
        <v>0</v>
      </c>
      <c r="CQ367" s="21">
        <v>0</v>
      </c>
      <c r="CR367" s="21">
        <v>0</v>
      </c>
      <c r="CS367" s="21">
        <v>11</v>
      </c>
      <c r="CT367" s="21">
        <v>0</v>
      </c>
      <c r="CU367" s="21">
        <v>0</v>
      </c>
      <c r="CV367" s="21">
        <v>0</v>
      </c>
      <c r="CW367" s="21">
        <v>0</v>
      </c>
      <c r="CX367" s="21">
        <v>0</v>
      </c>
      <c r="CY367" s="21">
        <v>0</v>
      </c>
      <c r="CZ367" s="21">
        <v>0</v>
      </c>
      <c r="DA367" s="21">
        <v>0</v>
      </c>
      <c r="DB367" s="21">
        <v>0</v>
      </c>
      <c r="DC367" s="21">
        <v>0</v>
      </c>
      <c r="DD367" s="21">
        <v>0</v>
      </c>
      <c r="DE367" s="21">
        <v>0</v>
      </c>
      <c r="DF367" s="21">
        <v>0</v>
      </c>
      <c r="DG367" s="21">
        <v>0</v>
      </c>
      <c r="DH367" s="21">
        <v>0</v>
      </c>
      <c r="DI367" s="21">
        <v>0</v>
      </c>
      <c r="DJ367" s="21">
        <v>0</v>
      </c>
      <c r="DK367" s="21">
        <v>0</v>
      </c>
      <c r="DL367" s="21">
        <v>0</v>
      </c>
      <c r="DM367" s="21">
        <v>0</v>
      </c>
      <c r="DN367" s="21">
        <v>0</v>
      </c>
      <c r="DO367" s="21">
        <v>0</v>
      </c>
      <c r="DP367" s="21">
        <v>0</v>
      </c>
      <c r="DQ367" s="21">
        <v>0</v>
      </c>
      <c r="DR367" s="21">
        <v>0</v>
      </c>
      <c r="DS367" s="21">
        <v>0</v>
      </c>
      <c r="DT367" s="21">
        <v>0</v>
      </c>
      <c r="DU367" s="21">
        <v>0</v>
      </c>
      <c r="DV367" s="21">
        <v>0</v>
      </c>
      <c r="DW367" s="21">
        <v>0</v>
      </c>
      <c r="DX367" s="21">
        <v>0</v>
      </c>
      <c r="DY367" s="21">
        <v>0</v>
      </c>
      <c r="DZ367" s="21">
        <v>0</v>
      </c>
      <c r="EA367" s="21">
        <v>0</v>
      </c>
      <c r="EB367" s="21">
        <v>0</v>
      </c>
      <c r="EC367" s="21">
        <v>0</v>
      </c>
      <c r="ED367" s="21">
        <v>0</v>
      </c>
      <c r="EE367" s="21">
        <v>0</v>
      </c>
      <c r="EF367" s="21">
        <v>0</v>
      </c>
    </row>
    <row r="368" spans="1:136" ht="14.5" x14ac:dyDescent="0.35">
      <c r="A368" s="20" t="s">
        <v>12</v>
      </c>
      <c r="B368" s="20" t="s">
        <v>27</v>
      </c>
      <c r="C368" s="20" t="s">
        <v>27</v>
      </c>
      <c r="D368" s="20" t="s">
        <v>333</v>
      </c>
      <c r="E368" s="20" t="s">
        <v>14</v>
      </c>
      <c r="F368" s="20" t="s">
        <v>98</v>
      </c>
      <c r="G368" s="21">
        <v>41</v>
      </c>
      <c r="H368" s="21">
        <v>41</v>
      </c>
      <c r="I368" s="21">
        <v>0</v>
      </c>
      <c r="J368" s="21">
        <v>41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21">
        <v>0</v>
      </c>
      <c r="AB368" s="21">
        <v>0</v>
      </c>
      <c r="AC368" s="21">
        <v>0</v>
      </c>
      <c r="AD368" s="21">
        <v>0</v>
      </c>
      <c r="AE368" s="21">
        <v>0</v>
      </c>
      <c r="AF368" s="21">
        <v>0</v>
      </c>
      <c r="AG368" s="21">
        <v>0</v>
      </c>
      <c r="AH368" s="21">
        <v>0</v>
      </c>
      <c r="AI368" s="21">
        <v>0</v>
      </c>
      <c r="AJ368" s="21">
        <v>0</v>
      </c>
      <c r="AK368" s="21">
        <v>0</v>
      </c>
      <c r="AL368" s="21">
        <v>0</v>
      </c>
      <c r="AM368" s="21">
        <v>0</v>
      </c>
      <c r="AN368" s="21">
        <v>0</v>
      </c>
      <c r="AO368" s="21">
        <v>0</v>
      </c>
      <c r="AP368" s="21">
        <v>0</v>
      </c>
      <c r="AQ368" s="21">
        <v>0</v>
      </c>
      <c r="AR368" s="21">
        <v>0</v>
      </c>
      <c r="AS368" s="21">
        <v>0</v>
      </c>
      <c r="AT368" s="21">
        <v>0</v>
      </c>
      <c r="AU368" s="21">
        <v>0</v>
      </c>
      <c r="AV368" s="21">
        <v>0</v>
      </c>
      <c r="AW368" s="21">
        <v>0</v>
      </c>
      <c r="AX368" s="21">
        <v>0</v>
      </c>
      <c r="AY368" s="21">
        <v>0</v>
      </c>
      <c r="AZ368" s="21">
        <v>0</v>
      </c>
      <c r="BA368" s="21">
        <v>0</v>
      </c>
      <c r="BB368" s="21">
        <v>0</v>
      </c>
      <c r="BC368" s="21">
        <v>0</v>
      </c>
      <c r="BD368" s="21">
        <v>0</v>
      </c>
      <c r="BE368" s="21">
        <v>0</v>
      </c>
      <c r="BF368" s="21">
        <v>0</v>
      </c>
      <c r="BG368" s="21">
        <v>0</v>
      </c>
      <c r="BH368" s="21">
        <v>0</v>
      </c>
      <c r="BI368" s="21">
        <v>0</v>
      </c>
      <c r="BJ368" s="21">
        <v>0</v>
      </c>
      <c r="BK368" s="21">
        <v>0</v>
      </c>
      <c r="BL368" s="21">
        <v>0</v>
      </c>
      <c r="BM368" s="21">
        <v>0</v>
      </c>
      <c r="BN368" s="21">
        <v>0</v>
      </c>
      <c r="BO368" s="21">
        <v>0</v>
      </c>
      <c r="BP368" s="21">
        <v>0</v>
      </c>
      <c r="BQ368" s="21">
        <v>0</v>
      </c>
      <c r="BR368" s="21">
        <v>0</v>
      </c>
      <c r="BS368" s="21">
        <v>0</v>
      </c>
      <c r="BT368" s="21">
        <v>0</v>
      </c>
      <c r="BU368" s="21">
        <v>0</v>
      </c>
      <c r="BV368" s="21">
        <v>0</v>
      </c>
      <c r="BW368" s="21">
        <v>0</v>
      </c>
      <c r="BX368" s="21">
        <v>0</v>
      </c>
      <c r="BY368" s="21">
        <v>0</v>
      </c>
      <c r="BZ368" s="21">
        <v>0</v>
      </c>
      <c r="CA368" s="21">
        <v>0</v>
      </c>
      <c r="CB368" s="21">
        <v>0</v>
      </c>
      <c r="CC368" s="21">
        <v>0</v>
      </c>
      <c r="CD368" s="21">
        <v>0</v>
      </c>
      <c r="CE368" s="21">
        <v>0</v>
      </c>
      <c r="CF368" s="21">
        <v>0</v>
      </c>
      <c r="CG368" s="21">
        <v>0</v>
      </c>
      <c r="CH368" s="21">
        <v>0</v>
      </c>
      <c r="CI368" s="21">
        <v>0</v>
      </c>
      <c r="CJ368" s="21">
        <v>0</v>
      </c>
      <c r="CK368" s="21">
        <v>0</v>
      </c>
      <c r="CL368" s="21">
        <v>0</v>
      </c>
      <c r="CM368" s="21">
        <v>0</v>
      </c>
      <c r="CN368" s="21">
        <v>0</v>
      </c>
      <c r="CO368" s="21">
        <v>0</v>
      </c>
      <c r="CP368" s="21">
        <v>0</v>
      </c>
      <c r="CQ368" s="21">
        <v>0</v>
      </c>
      <c r="CR368" s="21">
        <v>0</v>
      </c>
      <c r="CS368" s="21">
        <v>0</v>
      </c>
      <c r="CT368" s="21">
        <v>0</v>
      </c>
      <c r="CU368" s="21">
        <v>0</v>
      </c>
      <c r="CV368" s="21">
        <v>0</v>
      </c>
      <c r="CW368" s="21">
        <v>0</v>
      </c>
      <c r="CX368" s="21">
        <v>0</v>
      </c>
      <c r="CY368" s="21">
        <v>0</v>
      </c>
      <c r="CZ368" s="21">
        <v>0</v>
      </c>
      <c r="DA368" s="21">
        <v>0</v>
      </c>
      <c r="DB368" s="21">
        <v>0</v>
      </c>
      <c r="DC368" s="21">
        <v>0</v>
      </c>
      <c r="DD368" s="21">
        <v>0</v>
      </c>
      <c r="DE368" s="21">
        <v>0</v>
      </c>
      <c r="DF368" s="21">
        <v>0</v>
      </c>
      <c r="DG368" s="21">
        <v>0</v>
      </c>
      <c r="DH368" s="21">
        <v>0</v>
      </c>
      <c r="DI368" s="21">
        <v>0</v>
      </c>
      <c r="DJ368" s="21">
        <v>0</v>
      </c>
      <c r="DK368" s="21">
        <v>0</v>
      </c>
      <c r="DL368" s="21">
        <v>0</v>
      </c>
      <c r="DM368" s="21">
        <v>0</v>
      </c>
      <c r="DN368" s="21">
        <v>0</v>
      </c>
      <c r="DO368" s="21">
        <v>0</v>
      </c>
      <c r="DP368" s="21">
        <v>0</v>
      </c>
      <c r="DQ368" s="21">
        <v>0</v>
      </c>
      <c r="DR368" s="21">
        <v>0</v>
      </c>
      <c r="DS368" s="21">
        <v>0</v>
      </c>
      <c r="DT368" s="21">
        <v>0</v>
      </c>
      <c r="DU368" s="21">
        <v>0</v>
      </c>
      <c r="DV368" s="21">
        <v>0</v>
      </c>
      <c r="DW368" s="21">
        <v>0</v>
      </c>
      <c r="DX368" s="21">
        <v>0</v>
      </c>
      <c r="DY368" s="21">
        <v>0</v>
      </c>
      <c r="DZ368" s="21">
        <v>0</v>
      </c>
      <c r="EA368" s="21">
        <v>0</v>
      </c>
      <c r="EB368" s="21">
        <v>0</v>
      </c>
      <c r="EC368" s="21">
        <v>0</v>
      </c>
      <c r="ED368" s="21">
        <v>0</v>
      </c>
      <c r="EE368" s="21">
        <v>0</v>
      </c>
      <c r="EF368" s="21">
        <v>0</v>
      </c>
    </row>
    <row r="369" spans="1:136" ht="14.5" x14ac:dyDescent="0.35">
      <c r="A369" s="20" t="s">
        <v>12</v>
      </c>
      <c r="B369" s="20" t="s">
        <v>27</v>
      </c>
      <c r="C369" s="20" t="s">
        <v>27</v>
      </c>
      <c r="D369" s="20" t="s">
        <v>333</v>
      </c>
      <c r="E369" s="20" t="s">
        <v>14</v>
      </c>
      <c r="F369" s="20" t="s">
        <v>102</v>
      </c>
      <c r="G369" s="21">
        <v>0</v>
      </c>
      <c r="H369" s="21">
        <v>0</v>
      </c>
      <c r="I369" s="21">
        <v>2</v>
      </c>
      <c r="J369" s="21">
        <v>-2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21">
        <v>2</v>
      </c>
      <c r="AB369" s="21">
        <v>0</v>
      </c>
      <c r="AC369" s="21">
        <v>0</v>
      </c>
      <c r="AD369" s="21">
        <v>0</v>
      </c>
      <c r="AE369" s="21">
        <v>0</v>
      </c>
      <c r="AF369" s="21">
        <v>0</v>
      </c>
      <c r="AG369" s="21">
        <v>0</v>
      </c>
      <c r="AH369" s="21">
        <v>0</v>
      </c>
      <c r="AI369" s="21">
        <v>0</v>
      </c>
      <c r="AJ369" s="21">
        <v>0</v>
      </c>
      <c r="AK369" s="21">
        <v>0</v>
      </c>
      <c r="AL369" s="21">
        <v>0</v>
      </c>
      <c r="AM369" s="21">
        <v>0</v>
      </c>
      <c r="AN369" s="21">
        <v>0</v>
      </c>
      <c r="AO369" s="21">
        <v>0</v>
      </c>
      <c r="AP369" s="21">
        <v>0</v>
      </c>
      <c r="AQ369" s="21">
        <v>0</v>
      </c>
      <c r="AR369" s="21">
        <v>0</v>
      </c>
      <c r="AS369" s="21">
        <v>0</v>
      </c>
      <c r="AT369" s="21">
        <v>0</v>
      </c>
      <c r="AU369" s="21">
        <v>0</v>
      </c>
      <c r="AV369" s="21">
        <v>0</v>
      </c>
      <c r="AW369" s="21">
        <v>0</v>
      </c>
      <c r="AX369" s="21">
        <v>0</v>
      </c>
      <c r="AY369" s="21">
        <v>0</v>
      </c>
      <c r="AZ369" s="21">
        <v>0</v>
      </c>
      <c r="BA369" s="21">
        <v>0</v>
      </c>
      <c r="BB369" s="21">
        <v>0</v>
      </c>
      <c r="BC369" s="21">
        <v>0</v>
      </c>
      <c r="BD369" s="21">
        <v>0</v>
      </c>
      <c r="BE369" s="21">
        <v>0</v>
      </c>
      <c r="BF369" s="21">
        <v>0</v>
      </c>
      <c r="BG369" s="21">
        <v>0</v>
      </c>
      <c r="BH369" s="21">
        <v>0</v>
      </c>
      <c r="BI369" s="21">
        <v>0</v>
      </c>
      <c r="BJ369" s="21">
        <v>0</v>
      </c>
      <c r="BK369" s="21">
        <v>0</v>
      </c>
      <c r="BL369" s="21">
        <v>0</v>
      </c>
      <c r="BM369" s="21">
        <v>0</v>
      </c>
      <c r="BN369" s="21">
        <v>0</v>
      </c>
      <c r="BO369" s="21">
        <v>0</v>
      </c>
      <c r="BP369" s="21">
        <v>0</v>
      </c>
      <c r="BQ369" s="21">
        <v>0</v>
      </c>
      <c r="BR369" s="21">
        <v>0</v>
      </c>
      <c r="BS369" s="21">
        <v>0</v>
      </c>
      <c r="BT369" s="21">
        <v>0</v>
      </c>
      <c r="BU369" s="21">
        <v>0</v>
      </c>
      <c r="BV369" s="21">
        <v>0</v>
      </c>
      <c r="BW369" s="21">
        <v>0</v>
      </c>
      <c r="BX369" s="21">
        <v>0</v>
      </c>
      <c r="BY369" s="21">
        <v>0</v>
      </c>
      <c r="BZ369" s="21">
        <v>0</v>
      </c>
      <c r="CA369" s="21">
        <v>0</v>
      </c>
      <c r="CB369" s="21">
        <v>0</v>
      </c>
      <c r="CC369" s="21">
        <v>0</v>
      </c>
      <c r="CD369" s="21">
        <v>0</v>
      </c>
      <c r="CE369" s="21">
        <v>0</v>
      </c>
      <c r="CF369" s="21">
        <v>0</v>
      </c>
      <c r="CG369" s="21">
        <v>0</v>
      </c>
      <c r="CH369" s="21">
        <v>0</v>
      </c>
      <c r="CI369" s="21">
        <v>0</v>
      </c>
      <c r="CJ369" s="21">
        <v>0</v>
      </c>
      <c r="CK369" s="21">
        <v>0</v>
      </c>
      <c r="CL369" s="21">
        <v>0</v>
      </c>
      <c r="CM369" s="21">
        <v>0</v>
      </c>
      <c r="CN369" s="21">
        <v>0</v>
      </c>
      <c r="CO369" s="21">
        <v>0</v>
      </c>
      <c r="CP369" s="21">
        <v>0</v>
      </c>
      <c r="CQ369" s="21">
        <v>0</v>
      </c>
      <c r="CR369" s="21">
        <v>0</v>
      </c>
      <c r="CS369" s="21">
        <v>0</v>
      </c>
      <c r="CT369" s="21">
        <v>0</v>
      </c>
      <c r="CU369" s="21">
        <v>0</v>
      </c>
      <c r="CV369" s="21">
        <v>0</v>
      </c>
      <c r="CW369" s="21">
        <v>0</v>
      </c>
      <c r="CX369" s="21">
        <v>0</v>
      </c>
      <c r="CY369" s="21">
        <v>0</v>
      </c>
      <c r="CZ369" s="21">
        <v>0</v>
      </c>
      <c r="DA369" s="21">
        <v>0</v>
      </c>
      <c r="DB369" s="21">
        <v>0</v>
      </c>
      <c r="DC369" s="21">
        <v>0</v>
      </c>
      <c r="DD369" s="21">
        <v>0</v>
      </c>
      <c r="DE369" s="21">
        <v>0</v>
      </c>
      <c r="DF369" s="21">
        <v>0</v>
      </c>
      <c r="DG369" s="21">
        <v>0</v>
      </c>
      <c r="DH369" s="21">
        <v>0</v>
      </c>
      <c r="DI369" s="21">
        <v>0</v>
      </c>
      <c r="DJ369" s="21">
        <v>0</v>
      </c>
      <c r="DK369" s="21">
        <v>0</v>
      </c>
      <c r="DL369" s="21">
        <v>0</v>
      </c>
      <c r="DM369" s="21">
        <v>0</v>
      </c>
      <c r="DN369" s="21">
        <v>0</v>
      </c>
      <c r="DO369" s="21">
        <v>0</v>
      </c>
      <c r="DP369" s="21">
        <v>0</v>
      </c>
      <c r="DQ369" s="21">
        <v>0</v>
      </c>
      <c r="DR369" s="21">
        <v>0</v>
      </c>
      <c r="DS369" s="21">
        <v>0</v>
      </c>
      <c r="DT369" s="21">
        <v>0</v>
      </c>
      <c r="DU369" s="21">
        <v>0</v>
      </c>
      <c r="DV369" s="21">
        <v>0</v>
      </c>
      <c r="DW369" s="21">
        <v>0</v>
      </c>
      <c r="DX369" s="21">
        <v>0</v>
      </c>
      <c r="DY369" s="21">
        <v>0</v>
      </c>
      <c r="DZ369" s="21">
        <v>0</v>
      </c>
      <c r="EA369" s="21">
        <v>0</v>
      </c>
      <c r="EB369" s="21">
        <v>0</v>
      </c>
      <c r="EC369" s="21">
        <v>0</v>
      </c>
      <c r="ED369" s="21">
        <v>0</v>
      </c>
      <c r="EE369" s="21">
        <v>0</v>
      </c>
      <c r="EF369" s="21">
        <v>0</v>
      </c>
    </row>
    <row r="370" spans="1:136" ht="14.5" x14ac:dyDescent="0.35">
      <c r="A370" s="20" t="s">
        <v>12</v>
      </c>
      <c r="B370" s="20" t="s">
        <v>27</v>
      </c>
      <c r="C370" s="20" t="s">
        <v>27</v>
      </c>
      <c r="D370" s="20" t="s">
        <v>332</v>
      </c>
      <c r="E370" s="20" t="s">
        <v>14</v>
      </c>
      <c r="F370" s="20" t="s">
        <v>91</v>
      </c>
      <c r="G370" s="21">
        <v>0</v>
      </c>
      <c r="H370" s="21">
        <v>0</v>
      </c>
      <c r="I370" s="21">
        <v>33</v>
      </c>
      <c r="J370" s="21">
        <v>-33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0</v>
      </c>
      <c r="AC370" s="21">
        <v>0</v>
      </c>
      <c r="AD370" s="21">
        <v>0</v>
      </c>
      <c r="AE370" s="21">
        <v>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2</v>
      </c>
      <c r="AM370" s="21">
        <v>8</v>
      </c>
      <c r="AN370" s="21">
        <v>23</v>
      </c>
      <c r="AO370" s="21">
        <v>0</v>
      </c>
      <c r="AP370" s="21">
        <v>0</v>
      </c>
      <c r="AQ370" s="21">
        <v>0</v>
      </c>
      <c r="AR370" s="21">
        <v>0</v>
      </c>
      <c r="AS370" s="21">
        <v>0</v>
      </c>
      <c r="AT370" s="21">
        <v>0</v>
      </c>
      <c r="AU370" s="21">
        <v>0</v>
      </c>
      <c r="AV370" s="21">
        <v>0</v>
      </c>
      <c r="AW370" s="21">
        <v>0</v>
      </c>
      <c r="AX370" s="21">
        <v>0</v>
      </c>
      <c r="AY370" s="21">
        <v>0</v>
      </c>
      <c r="AZ370" s="21">
        <v>0</v>
      </c>
      <c r="BA370" s="21">
        <v>0</v>
      </c>
      <c r="BB370" s="21">
        <v>0</v>
      </c>
      <c r="BC370" s="21">
        <v>0</v>
      </c>
      <c r="BD370" s="21">
        <v>0</v>
      </c>
      <c r="BE370" s="21">
        <v>0</v>
      </c>
      <c r="BF370" s="21">
        <v>0</v>
      </c>
      <c r="BG370" s="21">
        <v>0</v>
      </c>
      <c r="BH370" s="21">
        <v>0</v>
      </c>
      <c r="BI370" s="21">
        <v>0</v>
      </c>
      <c r="BJ370" s="21">
        <v>0</v>
      </c>
      <c r="BK370" s="21">
        <v>0</v>
      </c>
      <c r="BL370" s="21">
        <v>0</v>
      </c>
      <c r="BM370" s="21">
        <v>0</v>
      </c>
      <c r="BN370" s="21">
        <v>0</v>
      </c>
      <c r="BO370" s="21">
        <v>0</v>
      </c>
      <c r="BP370" s="21">
        <v>0</v>
      </c>
      <c r="BQ370" s="21">
        <v>0</v>
      </c>
      <c r="BR370" s="21">
        <v>0</v>
      </c>
      <c r="BS370" s="21">
        <v>0</v>
      </c>
      <c r="BT370" s="21">
        <v>0</v>
      </c>
      <c r="BU370" s="21">
        <v>0</v>
      </c>
      <c r="BV370" s="21">
        <v>0</v>
      </c>
      <c r="BW370" s="21">
        <v>0</v>
      </c>
      <c r="BX370" s="21">
        <v>0</v>
      </c>
      <c r="BY370" s="21">
        <v>0</v>
      </c>
      <c r="BZ370" s="21">
        <v>0</v>
      </c>
      <c r="CA370" s="21">
        <v>0</v>
      </c>
      <c r="CB370" s="21">
        <v>0</v>
      </c>
      <c r="CC370" s="21">
        <v>0</v>
      </c>
      <c r="CD370" s="21">
        <v>0</v>
      </c>
      <c r="CE370" s="21">
        <v>0</v>
      </c>
      <c r="CF370" s="21">
        <v>0</v>
      </c>
      <c r="CG370" s="21">
        <v>0</v>
      </c>
      <c r="CH370" s="21">
        <v>0</v>
      </c>
      <c r="CI370" s="21">
        <v>0</v>
      </c>
      <c r="CJ370" s="21">
        <v>0</v>
      </c>
      <c r="CK370" s="21">
        <v>0</v>
      </c>
      <c r="CL370" s="21">
        <v>0</v>
      </c>
      <c r="CM370" s="21">
        <v>0</v>
      </c>
      <c r="CN370" s="21">
        <v>0</v>
      </c>
      <c r="CO370" s="21">
        <v>0</v>
      </c>
      <c r="CP370" s="21">
        <v>0</v>
      </c>
      <c r="CQ370" s="21">
        <v>0</v>
      </c>
      <c r="CR370" s="21">
        <v>0</v>
      </c>
      <c r="CS370" s="21">
        <v>0</v>
      </c>
      <c r="CT370" s="21">
        <v>0</v>
      </c>
      <c r="CU370" s="21">
        <v>0</v>
      </c>
      <c r="CV370" s="21">
        <v>0</v>
      </c>
      <c r="CW370" s="21">
        <v>0</v>
      </c>
      <c r="CX370" s="21">
        <v>0</v>
      </c>
      <c r="CY370" s="21">
        <v>0</v>
      </c>
      <c r="CZ370" s="21">
        <v>0</v>
      </c>
      <c r="DA370" s="21">
        <v>0</v>
      </c>
      <c r="DB370" s="21">
        <v>0</v>
      </c>
      <c r="DC370" s="21">
        <v>0</v>
      </c>
      <c r="DD370" s="21">
        <v>0</v>
      </c>
      <c r="DE370" s="21">
        <v>0</v>
      </c>
      <c r="DF370" s="21">
        <v>0</v>
      </c>
      <c r="DG370" s="21">
        <v>0</v>
      </c>
      <c r="DH370" s="21">
        <v>0</v>
      </c>
      <c r="DI370" s="21">
        <v>0</v>
      </c>
      <c r="DJ370" s="21">
        <v>0</v>
      </c>
      <c r="DK370" s="21">
        <v>0</v>
      </c>
      <c r="DL370" s="21">
        <v>0</v>
      </c>
      <c r="DM370" s="21">
        <v>0</v>
      </c>
      <c r="DN370" s="21">
        <v>0</v>
      </c>
      <c r="DO370" s="21">
        <v>0</v>
      </c>
      <c r="DP370" s="21">
        <v>0</v>
      </c>
      <c r="DQ370" s="21">
        <v>0</v>
      </c>
      <c r="DR370" s="21">
        <v>0</v>
      </c>
      <c r="DS370" s="21">
        <v>0</v>
      </c>
      <c r="DT370" s="21">
        <v>0</v>
      </c>
      <c r="DU370" s="21">
        <v>0</v>
      </c>
      <c r="DV370" s="21">
        <v>0</v>
      </c>
      <c r="DW370" s="21">
        <v>0</v>
      </c>
      <c r="DX370" s="21">
        <v>0</v>
      </c>
      <c r="DY370" s="21">
        <v>0</v>
      </c>
      <c r="DZ370" s="21">
        <v>0</v>
      </c>
      <c r="EA370" s="21">
        <v>0</v>
      </c>
      <c r="EB370" s="21">
        <v>0</v>
      </c>
      <c r="EC370" s="21">
        <v>0</v>
      </c>
      <c r="ED370" s="21">
        <v>0</v>
      </c>
      <c r="EE370" s="21">
        <v>0</v>
      </c>
      <c r="EF370" s="21">
        <v>0</v>
      </c>
    </row>
    <row r="371" spans="1:136" ht="14.5" x14ac:dyDescent="0.35">
      <c r="A371" s="20" t="s">
        <v>12</v>
      </c>
      <c r="B371" s="20" t="s">
        <v>27</v>
      </c>
      <c r="C371" s="20" t="s">
        <v>27</v>
      </c>
      <c r="D371" s="20" t="s">
        <v>333</v>
      </c>
      <c r="E371" s="20" t="s">
        <v>14</v>
      </c>
      <c r="F371" s="20" t="s">
        <v>91</v>
      </c>
      <c r="G371" s="21">
        <v>30</v>
      </c>
      <c r="H371" s="21">
        <v>30</v>
      </c>
      <c r="I371" s="21">
        <v>0</v>
      </c>
      <c r="J371" s="21">
        <v>30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0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0</v>
      </c>
      <c r="AL371" s="21">
        <v>0</v>
      </c>
      <c r="AM371" s="21">
        <v>0</v>
      </c>
      <c r="AN371" s="21">
        <v>0</v>
      </c>
      <c r="AO371" s="21">
        <v>0</v>
      </c>
      <c r="AP371" s="21">
        <v>0</v>
      </c>
      <c r="AQ371" s="21">
        <v>0</v>
      </c>
      <c r="AR371" s="21">
        <v>0</v>
      </c>
      <c r="AS371" s="21">
        <v>0</v>
      </c>
      <c r="AT371" s="21">
        <v>0</v>
      </c>
      <c r="AU371" s="21">
        <v>0</v>
      </c>
      <c r="AV371" s="21">
        <v>0</v>
      </c>
      <c r="AW371" s="21">
        <v>0</v>
      </c>
      <c r="AX371" s="21">
        <v>0</v>
      </c>
      <c r="AY371" s="21">
        <v>0</v>
      </c>
      <c r="AZ371" s="21">
        <v>0</v>
      </c>
      <c r="BA371" s="21">
        <v>0</v>
      </c>
      <c r="BB371" s="21">
        <v>0</v>
      </c>
      <c r="BC371" s="21">
        <v>0</v>
      </c>
      <c r="BD371" s="21">
        <v>0</v>
      </c>
      <c r="BE371" s="21">
        <v>0</v>
      </c>
      <c r="BF371" s="21">
        <v>0</v>
      </c>
      <c r="BG371" s="21">
        <v>0</v>
      </c>
      <c r="BH371" s="21">
        <v>0</v>
      </c>
      <c r="BI371" s="21">
        <v>0</v>
      </c>
      <c r="BJ371" s="21">
        <v>0</v>
      </c>
      <c r="BK371" s="21">
        <v>0</v>
      </c>
      <c r="BL371" s="21">
        <v>0</v>
      </c>
      <c r="BM371" s="21">
        <v>0</v>
      </c>
      <c r="BN371" s="21">
        <v>0</v>
      </c>
      <c r="BO371" s="21">
        <v>0</v>
      </c>
      <c r="BP371" s="21">
        <v>0</v>
      </c>
      <c r="BQ371" s="21">
        <v>0</v>
      </c>
      <c r="BR371" s="21">
        <v>0</v>
      </c>
      <c r="BS371" s="21">
        <v>0</v>
      </c>
      <c r="BT371" s="21">
        <v>0</v>
      </c>
      <c r="BU371" s="21">
        <v>0</v>
      </c>
      <c r="BV371" s="21">
        <v>0</v>
      </c>
      <c r="BW371" s="21">
        <v>0</v>
      </c>
      <c r="BX371" s="21">
        <v>0</v>
      </c>
      <c r="BY371" s="21">
        <v>0</v>
      </c>
      <c r="BZ371" s="21">
        <v>0</v>
      </c>
      <c r="CA371" s="21">
        <v>0</v>
      </c>
      <c r="CB371" s="21">
        <v>0</v>
      </c>
      <c r="CC371" s="21">
        <v>0</v>
      </c>
      <c r="CD371" s="21">
        <v>0</v>
      </c>
      <c r="CE371" s="21">
        <v>0</v>
      </c>
      <c r="CF371" s="21">
        <v>0</v>
      </c>
      <c r="CG371" s="21">
        <v>0</v>
      </c>
      <c r="CH371" s="21">
        <v>0</v>
      </c>
      <c r="CI371" s="21">
        <v>0</v>
      </c>
      <c r="CJ371" s="21">
        <v>0</v>
      </c>
      <c r="CK371" s="21">
        <v>0</v>
      </c>
      <c r="CL371" s="21">
        <v>0</v>
      </c>
      <c r="CM371" s="21">
        <v>0</v>
      </c>
      <c r="CN371" s="21">
        <v>0</v>
      </c>
      <c r="CO371" s="21">
        <v>0</v>
      </c>
      <c r="CP371" s="21">
        <v>0</v>
      </c>
      <c r="CQ371" s="21">
        <v>0</v>
      </c>
      <c r="CR371" s="21">
        <v>0</v>
      </c>
      <c r="CS371" s="21">
        <v>0</v>
      </c>
      <c r="CT371" s="21">
        <v>0</v>
      </c>
      <c r="CU371" s="21">
        <v>0</v>
      </c>
      <c r="CV371" s="21">
        <v>0</v>
      </c>
      <c r="CW371" s="21">
        <v>0</v>
      </c>
      <c r="CX371" s="21">
        <v>0</v>
      </c>
      <c r="CY371" s="21">
        <v>0</v>
      </c>
      <c r="CZ371" s="21">
        <v>0</v>
      </c>
      <c r="DA371" s="21">
        <v>0</v>
      </c>
      <c r="DB371" s="21">
        <v>0</v>
      </c>
      <c r="DC371" s="21">
        <v>0</v>
      </c>
      <c r="DD371" s="21">
        <v>0</v>
      </c>
      <c r="DE371" s="21">
        <v>0</v>
      </c>
      <c r="DF371" s="21">
        <v>0</v>
      </c>
      <c r="DG371" s="21">
        <v>0</v>
      </c>
      <c r="DH371" s="21">
        <v>0</v>
      </c>
      <c r="DI371" s="21">
        <v>0</v>
      </c>
      <c r="DJ371" s="21">
        <v>0</v>
      </c>
      <c r="DK371" s="21">
        <v>0</v>
      </c>
      <c r="DL371" s="21">
        <v>0</v>
      </c>
      <c r="DM371" s="21">
        <v>0</v>
      </c>
      <c r="DN371" s="21">
        <v>0</v>
      </c>
      <c r="DO371" s="21">
        <v>0</v>
      </c>
      <c r="DP371" s="21">
        <v>0</v>
      </c>
      <c r="DQ371" s="21">
        <v>0</v>
      </c>
      <c r="DR371" s="21">
        <v>0</v>
      </c>
      <c r="DS371" s="21">
        <v>0</v>
      </c>
      <c r="DT371" s="21">
        <v>0</v>
      </c>
      <c r="DU371" s="21">
        <v>0</v>
      </c>
      <c r="DV371" s="21">
        <v>0</v>
      </c>
      <c r="DW371" s="21">
        <v>0</v>
      </c>
      <c r="DX371" s="21">
        <v>0</v>
      </c>
      <c r="DY371" s="21">
        <v>0</v>
      </c>
      <c r="DZ371" s="21">
        <v>0</v>
      </c>
      <c r="EA371" s="21">
        <v>0</v>
      </c>
      <c r="EB371" s="21">
        <v>0</v>
      </c>
      <c r="EC371" s="21">
        <v>0</v>
      </c>
      <c r="ED371" s="21">
        <v>0</v>
      </c>
      <c r="EE371" s="21">
        <v>0</v>
      </c>
      <c r="EF371" s="21">
        <v>0</v>
      </c>
    </row>
    <row r="372" spans="1:136" ht="14.5" x14ac:dyDescent="0.35">
      <c r="A372" s="20" t="s">
        <v>12</v>
      </c>
      <c r="B372" s="20" t="s">
        <v>21</v>
      </c>
      <c r="C372" s="20" t="s">
        <v>21</v>
      </c>
      <c r="D372" s="20" t="s">
        <v>332</v>
      </c>
      <c r="E372" s="20" t="s">
        <v>14</v>
      </c>
      <c r="F372" s="20" t="s">
        <v>124</v>
      </c>
      <c r="G372" s="21">
        <v>0</v>
      </c>
      <c r="H372" s="21">
        <v>0</v>
      </c>
      <c r="I372" s="21">
        <v>1.5</v>
      </c>
      <c r="J372" s="21">
        <v>-1.5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1.5</v>
      </c>
      <c r="AK372" s="21">
        <v>0</v>
      </c>
      <c r="AL372" s="21">
        <v>0</v>
      </c>
      <c r="AM372" s="21">
        <v>0</v>
      </c>
      <c r="AN372" s="21">
        <v>0</v>
      </c>
      <c r="AO372" s="21">
        <v>0</v>
      </c>
      <c r="AP372" s="21">
        <v>0</v>
      </c>
      <c r="AQ372" s="21">
        <v>0</v>
      </c>
      <c r="AR372" s="21">
        <v>0</v>
      </c>
      <c r="AS372" s="21">
        <v>0</v>
      </c>
      <c r="AT372" s="21">
        <v>0</v>
      </c>
      <c r="AU372" s="21">
        <v>0</v>
      </c>
      <c r="AV372" s="21">
        <v>0</v>
      </c>
      <c r="AW372" s="21">
        <v>0</v>
      </c>
      <c r="AX372" s="21">
        <v>0</v>
      </c>
      <c r="AY372" s="21">
        <v>0</v>
      </c>
      <c r="AZ372" s="21">
        <v>0</v>
      </c>
      <c r="BA372" s="21">
        <v>0</v>
      </c>
      <c r="BB372" s="21">
        <v>0</v>
      </c>
      <c r="BC372" s="21">
        <v>0</v>
      </c>
      <c r="BD372" s="21">
        <v>0</v>
      </c>
      <c r="BE372" s="21">
        <v>0</v>
      </c>
      <c r="BF372" s="21">
        <v>0</v>
      </c>
      <c r="BG372" s="21">
        <v>0</v>
      </c>
      <c r="BH372" s="21">
        <v>0</v>
      </c>
      <c r="BI372" s="21">
        <v>0</v>
      </c>
      <c r="BJ372" s="21">
        <v>0</v>
      </c>
      <c r="BK372" s="21">
        <v>0</v>
      </c>
      <c r="BL372" s="21">
        <v>0</v>
      </c>
      <c r="BM372" s="21">
        <v>0</v>
      </c>
      <c r="BN372" s="21">
        <v>0</v>
      </c>
      <c r="BO372" s="21">
        <v>0</v>
      </c>
      <c r="BP372" s="21">
        <v>0</v>
      </c>
      <c r="BQ372" s="21">
        <v>0</v>
      </c>
      <c r="BR372" s="21">
        <v>0</v>
      </c>
      <c r="BS372" s="21">
        <v>0</v>
      </c>
      <c r="BT372" s="21">
        <v>0</v>
      </c>
      <c r="BU372" s="21">
        <v>0</v>
      </c>
      <c r="BV372" s="21">
        <v>0</v>
      </c>
      <c r="BW372" s="21">
        <v>0</v>
      </c>
      <c r="BX372" s="21">
        <v>0</v>
      </c>
      <c r="BY372" s="21">
        <v>0</v>
      </c>
      <c r="BZ372" s="21">
        <v>0</v>
      </c>
      <c r="CA372" s="21">
        <v>0</v>
      </c>
      <c r="CB372" s="21">
        <v>0</v>
      </c>
      <c r="CC372" s="21">
        <v>0</v>
      </c>
      <c r="CD372" s="21">
        <v>0</v>
      </c>
      <c r="CE372" s="21">
        <v>0</v>
      </c>
      <c r="CF372" s="21">
        <v>0</v>
      </c>
      <c r="CG372" s="21">
        <v>0</v>
      </c>
      <c r="CH372" s="21">
        <v>0</v>
      </c>
      <c r="CI372" s="21">
        <v>0</v>
      </c>
      <c r="CJ372" s="21">
        <v>0</v>
      </c>
      <c r="CK372" s="21">
        <v>0</v>
      </c>
      <c r="CL372" s="21">
        <v>0</v>
      </c>
      <c r="CM372" s="21">
        <v>0</v>
      </c>
      <c r="CN372" s="21">
        <v>0</v>
      </c>
      <c r="CO372" s="21">
        <v>0</v>
      </c>
      <c r="CP372" s="21">
        <v>0</v>
      </c>
      <c r="CQ372" s="21">
        <v>0</v>
      </c>
      <c r="CR372" s="21">
        <v>0</v>
      </c>
      <c r="CS372" s="21">
        <v>0</v>
      </c>
      <c r="CT372" s="21">
        <v>0</v>
      </c>
      <c r="CU372" s="21">
        <v>0</v>
      </c>
      <c r="CV372" s="21">
        <v>0</v>
      </c>
      <c r="CW372" s="21">
        <v>0</v>
      </c>
      <c r="CX372" s="21">
        <v>0</v>
      </c>
      <c r="CY372" s="21">
        <v>0</v>
      </c>
      <c r="CZ372" s="21">
        <v>0</v>
      </c>
      <c r="DA372" s="21">
        <v>0</v>
      </c>
      <c r="DB372" s="21">
        <v>0</v>
      </c>
      <c r="DC372" s="21">
        <v>0</v>
      </c>
      <c r="DD372" s="21">
        <v>0</v>
      </c>
      <c r="DE372" s="21">
        <v>0</v>
      </c>
      <c r="DF372" s="21">
        <v>0</v>
      </c>
      <c r="DG372" s="21">
        <v>0</v>
      </c>
      <c r="DH372" s="21">
        <v>0</v>
      </c>
      <c r="DI372" s="21">
        <v>0</v>
      </c>
      <c r="DJ372" s="21">
        <v>0</v>
      </c>
      <c r="DK372" s="21">
        <v>0</v>
      </c>
      <c r="DL372" s="21">
        <v>0</v>
      </c>
      <c r="DM372" s="21">
        <v>0</v>
      </c>
      <c r="DN372" s="21">
        <v>0</v>
      </c>
      <c r="DO372" s="21">
        <v>0</v>
      </c>
      <c r="DP372" s="21">
        <v>0</v>
      </c>
      <c r="DQ372" s="21">
        <v>0</v>
      </c>
      <c r="DR372" s="21">
        <v>0</v>
      </c>
      <c r="DS372" s="21">
        <v>0</v>
      </c>
      <c r="DT372" s="21">
        <v>0</v>
      </c>
      <c r="DU372" s="21">
        <v>0</v>
      </c>
      <c r="DV372" s="21">
        <v>0</v>
      </c>
      <c r="DW372" s="21">
        <v>0</v>
      </c>
      <c r="DX372" s="21">
        <v>0</v>
      </c>
      <c r="DY372" s="21">
        <v>0</v>
      </c>
      <c r="DZ372" s="21">
        <v>0</v>
      </c>
      <c r="EA372" s="21">
        <v>0</v>
      </c>
      <c r="EB372" s="21">
        <v>0</v>
      </c>
      <c r="EC372" s="21">
        <v>0</v>
      </c>
      <c r="ED372" s="21">
        <v>0</v>
      </c>
      <c r="EE372" s="21">
        <v>0</v>
      </c>
      <c r="EF372" s="21">
        <v>0</v>
      </c>
    </row>
    <row r="373" spans="1:136" ht="14.5" x14ac:dyDescent="0.35">
      <c r="A373" s="20" t="s">
        <v>12</v>
      </c>
      <c r="B373" s="20" t="s">
        <v>21</v>
      </c>
      <c r="C373" s="20" t="s">
        <v>21</v>
      </c>
      <c r="D373" s="20" t="s">
        <v>333</v>
      </c>
      <c r="E373" s="20" t="s">
        <v>14</v>
      </c>
      <c r="F373" s="20" t="s">
        <v>124</v>
      </c>
      <c r="G373" s="21">
        <v>0</v>
      </c>
      <c r="H373" s="21">
        <v>0</v>
      </c>
      <c r="I373" s="21">
        <v>3.5</v>
      </c>
      <c r="J373" s="21">
        <v>-3.5</v>
      </c>
      <c r="K373" s="21">
        <v>0</v>
      </c>
      <c r="L373" s="21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1">
        <v>0</v>
      </c>
      <c r="AH373" s="21">
        <v>1.5</v>
      </c>
      <c r="AI373" s="21">
        <v>0</v>
      </c>
      <c r="AJ373" s="21">
        <v>2</v>
      </c>
      <c r="AK373" s="21">
        <v>0</v>
      </c>
      <c r="AL373" s="21">
        <v>0</v>
      </c>
      <c r="AM373" s="21">
        <v>0</v>
      </c>
      <c r="AN373" s="21">
        <v>0</v>
      </c>
      <c r="AO373" s="21">
        <v>0</v>
      </c>
      <c r="AP373" s="21">
        <v>0</v>
      </c>
      <c r="AQ373" s="21">
        <v>0</v>
      </c>
      <c r="AR373" s="21">
        <v>0</v>
      </c>
      <c r="AS373" s="21">
        <v>0</v>
      </c>
      <c r="AT373" s="21">
        <v>0</v>
      </c>
      <c r="AU373" s="21">
        <v>0</v>
      </c>
      <c r="AV373" s="21">
        <v>0</v>
      </c>
      <c r="AW373" s="21">
        <v>0</v>
      </c>
      <c r="AX373" s="21">
        <v>0</v>
      </c>
      <c r="AY373" s="21">
        <v>0</v>
      </c>
      <c r="AZ373" s="21">
        <v>0</v>
      </c>
      <c r="BA373" s="21">
        <v>0</v>
      </c>
      <c r="BB373" s="21">
        <v>0</v>
      </c>
      <c r="BC373" s="21">
        <v>0</v>
      </c>
      <c r="BD373" s="21">
        <v>0</v>
      </c>
      <c r="BE373" s="21">
        <v>0</v>
      </c>
      <c r="BF373" s="21">
        <v>0</v>
      </c>
      <c r="BG373" s="21">
        <v>0</v>
      </c>
      <c r="BH373" s="21">
        <v>0</v>
      </c>
      <c r="BI373" s="21">
        <v>0</v>
      </c>
      <c r="BJ373" s="21">
        <v>0</v>
      </c>
      <c r="BK373" s="21">
        <v>0</v>
      </c>
      <c r="BL373" s="21">
        <v>0</v>
      </c>
      <c r="BM373" s="21">
        <v>0</v>
      </c>
      <c r="BN373" s="21">
        <v>0</v>
      </c>
      <c r="BO373" s="21">
        <v>0</v>
      </c>
      <c r="BP373" s="21">
        <v>0</v>
      </c>
      <c r="BQ373" s="21">
        <v>0</v>
      </c>
      <c r="BR373" s="21">
        <v>0</v>
      </c>
      <c r="BS373" s="21">
        <v>0</v>
      </c>
      <c r="BT373" s="21">
        <v>0</v>
      </c>
      <c r="BU373" s="21">
        <v>0</v>
      </c>
      <c r="BV373" s="21">
        <v>0</v>
      </c>
      <c r="BW373" s="21">
        <v>0</v>
      </c>
      <c r="BX373" s="21">
        <v>0</v>
      </c>
      <c r="BY373" s="21">
        <v>0</v>
      </c>
      <c r="BZ373" s="21">
        <v>0</v>
      </c>
      <c r="CA373" s="21">
        <v>0</v>
      </c>
      <c r="CB373" s="21">
        <v>0</v>
      </c>
      <c r="CC373" s="21">
        <v>0</v>
      </c>
      <c r="CD373" s="21">
        <v>0</v>
      </c>
      <c r="CE373" s="21">
        <v>0</v>
      </c>
      <c r="CF373" s="21">
        <v>0</v>
      </c>
      <c r="CG373" s="21">
        <v>0</v>
      </c>
      <c r="CH373" s="21">
        <v>0</v>
      </c>
      <c r="CI373" s="21">
        <v>0</v>
      </c>
      <c r="CJ373" s="21">
        <v>0</v>
      </c>
      <c r="CK373" s="21">
        <v>0</v>
      </c>
      <c r="CL373" s="21">
        <v>0</v>
      </c>
      <c r="CM373" s="21">
        <v>0</v>
      </c>
      <c r="CN373" s="21">
        <v>0</v>
      </c>
      <c r="CO373" s="21">
        <v>0</v>
      </c>
      <c r="CP373" s="21">
        <v>0</v>
      </c>
      <c r="CQ373" s="21">
        <v>0</v>
      </c>
      <c r="CR373" s="21">
        <v>0</v>
      </c>
      <c r="CS373" s="21">
        <v>0</v>
      </c>
      <c r="CT373" s="21">
        <v>0</v>
      </c>
      <c r="CU373" s="21">
        <v>0</v>
      </c>
      <c r="CV373" s="21">
        <v>0</v>
      </c>
      <c r="CW373" s="21">
        <v>0</v>
      </c>
      <c r="CX373" s="21">
        <v>0</v>
      </c>
      <c r="CY373" s="21">
        <v>0</v>
      </c>
      <c r="CZ373" s="21">
        <v>0</v>
      </c>
      <c r="DA373" s="21">
        <v>0</v>
      </c>
      <c r="DB373" s="21">
        <v>0</v>
      </c>
      <c r="DC373" s="21">
        <v>0</v>
      </c>
      <c r="DD373" s="21">
        <v>0</v>
      </c>
      <c r="DE373" s="21">
        <v>0</v>
      </c>
      <c r="DF373" s="21">
        <v>0</v>
      </c>
      <c r="DG373" s="21">
        <v>0</v>
      </c>
      <c r="DH373" s="21">
        <v>0</v>
      </c>
      <c r="DI373" s="21">
        <v>0</v>
      </c>
      <c r="DJ373" s="21">
        <v>0</v>
      </c>
      <c r="DK373" s="21">
        <v>0</v>
      </c>
      <c r="DL373" s="21">
        <v>0</v>
      </c>
      <c r="DM373" s="21">
        <v>0</v>
      </c>
      <c r="DN373" s="21">
        <v>0</v>
      </c>
      <c r="DO373" s="21">
        <v>0</v>
      </c>
      <c r="DP373" s="21">
        <v>0</v>
      </c>
      <c r="DQ373" s="21">
        <v>0</v>
      </c>
      <c r="DR373" s="21">
        <v>0</v>
      </c>
      <c r="DS373" s="21">
        <v>0</v>
      </c>
      <c r="DT373" s="21">
        <v>0</v>
      </c>
      <c r="DU373" s="21">
        <v>0</v>
      </c>
      <c r="DV373" s="21">
        <v>0</v>
      </c>
      <c r="DW373" s="21">
        <v>0</v>
      </c>
      <c r="DX373" s="21">
        <v>0</v>
      </c>
      <c r="DY373" s="21">
        <v>0</v>
      </c>
      <c r="DZ373" s="21">
        <v>0</v>
      </c>
      <c r="EA373" s="21">
        <v>0</v>
      </c>
      <c r="EB373" s="21">
        <v>0</v>
      </c>
      <c r="EC373" s="21">
        <v>0</v>
      </c>
      <c r="ED373" s="21">
        <v>0</v>
      </c>
      <c r="EE373" s="21">
        <v>0</v>
      </c>
      <c r="EF373" s="21">
        <v>0</v>
      </c>
    </row>
    <row r="374" spans="1:136" ht="14.5" x14ac:dyDescent="0.35">
      <c r="A374" s="20" t="s">
        <v>12</v>
      </c>
      <c r="B374" s="20" t="s">
        <v>21</v>
      </c>
      <c r="C374" s="20" t="s">
        <v>21</v>
      </c>
      <c r="D374" s="20" t="s">
        <v>332</v>
      </c>
      <c r="E374" s="20" t="s">
        <v>14</v>
      </c>
      <c r="F374" s="20" t="s">
        <v>87</v>
      </c>
      <c r="G374" s="21">
        <v>0</v>
      </c>
      <c r="H374" s="21">
        <v>0</v>
      </c>
      <c r="I374" s="21">
        <v>0</v>
      </c>
      <c r="J374" s="21">
        <v>0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0</v>
      </c>
      <c r="AQ374" s="21">
        <v>0</v>
      </c>
      <c r="AR374" s="21">
        <v>0</v>
      </c>
      <c r="AS374" s="21">
        <v>0</v>
      </c>
      <c r="AT374" s="21">
        <v>0</v>
      </c>
      <c r="AU374" s="21">
        <v>0</v>
      </c>
      <c r="AV374" s="21">
        <v>0</v>
      </c>
      <c r="AW374" s="21">
        <v>0</v>
      </c>
      <c r="AX374" s="21">
        <v>0</v>
      </c>
      <c r="AY374" s="21">
        <v>0</v>
      </c>
      <c r="AZ374" s="21">
        <v>0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0</v>
      </c>
      <c r="BG374" s="21">
        <v>0</v>
      </c>
      <c r="BH374" s="21">
        <v>0</v>
      </c>
      <c r="BI374" s="21">
        <v>0</v>
      </c>
      <c r="BJ374" s="21">
        <v>0</v>
      </c>
      <c r="BK374" s="21">
        <v>0</v>
      </c>
      <c r="BL374" s="21">
        <v>0</v>
      </c>
      <c r="BM374" s="21">
        <v>0</v>
      </c>
      <c r="BN374" s="21">
        <v>0</v>
      </c>
      <c r="BO374" s="21">
        <v>0</v>
      </c>
      <c r="BP374" s="21">
        <v>0</v>
      </c>
      <c r="BQ374" s="21">
        <v>0</v>
      </c>
      <c r="BR374" s="21">
        <v>0</v>
      </c>
      <c r="BS374" s="21">
        <v>0</v>
      </c>
      <c r="BT374" s="21">
        <v>0</v>
      </c>
      <c r="BU374" s="21">
        <v>0</v>
      </c>
      <c r="BV374" s="21">
        <v>0</v>
      </c>
      <c r="BW374" s="21">
        <v>0</v>
      </c>
      <c r="BX374" s="21">
        <v>0</v>
      </c>
      <c r="BY374" s="21">
        <v>0</v>
      </c>
      <c r="BZ374" s="21">
        <v>0</v>
      </c>
      <c r="CA374" s="21">
        <v>0</v>
      </c>
      <c r="CB374" s="21">
        <v>0</v>
      </c>
      <c r="CC374" s="21">
        <v>0</v>
      </c>
      <c r="CD374" s="21">
        <v>0</v>
      </c>
      <c r="CE374" s="21">
        <v>0</v>
      </c>
      <c r="CF374" s="21">
        <v>0</v>
      </c>
      <c r="CG374" s="21">
        <v>0</v>
      </c>
      <c r="CH374" s="21">
        <v>0</v>
      </c>
      <c r="CI374" s="21">
        <v>0</v>
      </c>
      <c r="CJ374" s="21">
        <v>0</v>
      </c>
      <c r="CK374" s="21">
        <v>0</v>
      </c>
      <c r="CL374" s="21">
        <v>0</v>
      </c>
      <c r="CM374" s="21">
        <v>0</v>
      </c>
      <c r="CN374" s="21">
        <v>0</v>
      </c>
      <c r="CO374" s="21">
        <v>0</v>
      </c>
      <c r="CP374" s="21">
        <v>0</v>
      </c>
      <c r="CQ374" s="21">
        <v>0</v>
      </c>
      <c r="CR374" s="21">
        <v>0</v>
      </c>
      <c r="CS374" s="21">
        <v>0</v>
      </c>
      <c r="CT374" s="21">
        <v>0</v>
      </c>
      <c r="CU374" s="21">
        <v>0</v>
      </c>
      <c r="CV374" s="21">
        <v>0</v>
      </c>
      <c r="CW374" s="21">
        <v>0</v>
      </c>
      <c r="CX374" s="21">
        <v>0</v>
      </c>
      <c r="CY374" s="21">
        <v>0</v>
      </c>
      <c r="CZ374" s="21">
        <v>0</v>
      </c>
      <c r="DA374" s="21">
        <v>0</v>
      </c>
      <c r="DB374" s="21">
        <v>0</v>
      </c>
      <c r="DC374" s="21">
        <v>0</v>
      </c>
      <c r="DD374" s="21">
        <v>0</v>
      </c>
      <c r="DE374" s="21">
        <v>0</v>
      </c>
      <c r="DF374" s="21">
        <v>0</v>
      </c>
      <c r="DG374" s="21">
        <v>0</v>
      </c>
      <c r="DH374" s="21">
        <v>0</v>
      </c>
      <c r="DI374" s="21">
        <v>0</v>
      </c>
      <c r="DJ374" s="21">
        <v>0</v>
      </c>
      <c r="DK374" s="21">
        <v>0</v>
      </c>
      <c r="DL374" s="21">
        <v>0</v>
      </c>
      <c r="DM374" s="21">
        <v>0</v>
      </c>
      <c r="DN374" s="21">
        <v>0</v>
      </c>
      <c r="DO374" s="21">
        <v>0</v>
      </c>
      <c r="DP374" s="21">
        <v>0</v>
      </c>
      <c r="DQ374" s="21">
        <v>0</v>
      </c>
      <c r="DR374" s="21">
        <v>0</v>
      </c>
      <c r="DS374" s="21">
        <v>0</v>
      </c>
      <c r="DT374" s="21">
        <v>0</v>
      </c>
      <c r="DU374" s="21">
        <v>0</v>
      </c>
      <c r="DV374" s="21">
        <v>0</v>
      </c>
      <c r="DW374" s="21">
        <v>0</v>
      </c>
      <c r="DX374" s="21">
        <v>0</v>
      </c>
      <c r="DY374" s="21">
        <v>0</v>
      </c>
      <c r="DZ374" s="21">
        <v>0</v>
      </c>
      <c r="EA374" s="21">
        <v>0</v>
      </c>
      <c r="EB374" s="21">
        <v>0</v>
      </c>
      <c r="EC374" s="21">
        <v>0</v>
      </c>
      <c r="ED374" s="21">
        <v>0</v>
      </c>
      <c r="EE374" s="21">
        <v>0</v>
      </c>
      <c r="EF374" s="21">
        <v>0</v>
      </c>
    </row>
    <row r="375" spans="1:136" ht="14.5" x14ac:dyDescent="0.35">
      <c r="A375" s="20" t="s">
        <v>12</v>
      </c>
      <c r="B375" s="20" t="s">
        <v>21</v>
      </c>
      <c r="C375" s="20" t="s">
        <v>21</v>
      </c>
      <c r="D375" s="20" t="s">
        <v>333</v>
      </c>
      <c r="E375" s="20" t="s">
        <v>14</v>
      </c>
      <c r="F375" s="20" t="s">
        <v>87</v>
      </c>
      <c r="G375" s="21">
        <v>16</v>
      </c>
      <c r="H375" s="21">
        <v>16</v>
      </c>
      <c r="I375" s="21">
        <v>16</v>
      </c>
      <c r="J375" s="21">
        <v>0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16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>
        <v>0</v>
      </c>
      <c r="AR375" s="21">
        <v>0</v>
      </c>
      <c r="AS375" s="21">
        <v>0</v>
      </c>
      <c r="AT375" s="21">
        <v>0</v>
      </c>
      <c r="AU375" s="21">
        <v>0</v>
      </c>
      <c r="AV375" s="21">
        <v>0</v>
      </c>
      <c r="AW375" s="21">
        <v>0</v>
      </c>
      <c r="AX375" s="21">
        <v>0</v>
      </c>
      <c r="AY375" s="21">
        <v>0</v>
      </c>
      <c r="AZ375" s="21">
        <v>0</v>
      </c>
      <c r="BA375" s="21">
        <v>0</v>
      </c>
      <c r="BB375" s="21">
        <v>0</v>
      </c>
      <c r="BC375" s="21">
        <v>0</v>
      </c>
      <c r="BD375" s="21">
        <v>0</v>
      </c>
      <c r="BE375" s="21">
        <v>0</v>
      </c>
      <c r="BF375" s="21">
        <v>0</v>
      </c>
      <c r="BG375" s="21">
        <v>0</v>
      </c>
      <c r="BH375" s="21">
        <v>0</v>
      </c>
      <c r="BI375" s="21">
        <v>0</v>
      </c>
      <c r="BJ375" s="21">
        <v>0</v>
      </c>
      <c r="BK375" s="21">
        <v>0</v>
      </c>
      <c r="BL375" s="21">
        <v>0</v>
      </c>
      <c r="BM375" s="21">
        <v>0</v>
      </c>
      <c r="BN375" s="21">
        <v>0</v>
      </c>
      <c r="BO375" s="21">
        <v>0</v>
      </c>
      <c r="BP375" s="21">
        <v>0</v>
      </c>
      <c r="BQ375" s="21">
        <v>0</v>
      </c>
      <c r="BR375" s="21">
        <v>0</v>
      </c>
      <c r="BS375" s="21">
        <v>0</v>
      </c>
      <c r="BT375" s="21">
        <v>0</v>
      </c>
      <c r="BU375" s="21">
        <v>0</v>
      </c>
      <c r="BV375" s="21">
        <v>0</v>
      </c>
      <c r="BW375" s="21">
        <v>0</v>
      </c>
      <c r="BX375" s="21">
        <v>0</v>
      </c>
      <c r="BY375" s="21">
        <v>0</v>
      </c>
      <c r="BZ375" s="21">
        <v>0</v>
      </c>
      <c r="CA375" s="21">
        <v>0</v>
      </c>
      <c r="CB375" s="21">
        <v>0</v>
      </c>
      <c r="CC375" s="21">
        <v>0</v>
      </c>
      <c r="CD375" s="21">
        <v>0</v>
      </c>
      <c r="CE375" s="21">
        <v>0</v>
      </c>
      <c r="CF375" s="21">
        <v>0</v>
      </c>
      <c r="CG375" s="21">
        <v>0</v>
      </c>
      <c r="CH375" s="21">
        <v>0</v>
      </c>
      <c r="CI375" s="21">
        <v>0</v>
      </c>
      <c r="CJ375" s="21">
        <v>0</v>
      </c>
      <c r="CK375" s="21">
        <v>0</v>
      </c>
      <c r="CL375" s="21">
        <v>0</v>
      </c>
      <c r="CM375" s="21">
        <v>0</v>
      </c>
      <c r="CN375" s="21">
        <v>0</v>
      </c>
      <c r="CO375" s="21">
        <v>0</v>
      </c>
      <c r="CP375" s="21">
        <v>0</v>
      </c>
      <c r="CQ375" s="21">
        <v>0</v>
      </c>
      <c r="CR375" s="21">
        <v>0</v>
      </c>
      <c r="CS375" s="21">
        <v>0</v>
      </c>
      <c r="CT375" s="21">
        <v>0</v>
      </c>
      <c r="CU375" s="21">
        <v>0</v>
      </c>
      <c r="CV375" s="21">
        <v>0</v>
      </c>
      <c r="CW375" s="21">
        <v>0</v>
      </c>
      <c r="CX375" s="21">
        <v>0</v>
      </c>
      <c r="CY375" s="21">
        <v>0</v>
      </c>
      <c r="CZ375" s="21">
        <v>0</v>
      </c>
      <c r="DA375" s="21">
        <v>0</v>
      </c>
      <c r="DB375" s="21">
        <v>0</v>
      </c>
      <c r="DC375" s="21">
        <v>0</v>
      </c>
      <c r="DD375" s="21">
        <v>0</v>
      </c>
      <c r="DE375" s="21">
        <v>0</v>
      </c>
      <c r="DF375" s="21">
        <v>0</v>
      </c>
      <c r="DG375" s="21">
        <v>0</v>
      </c>
      <c r="DH375" s="21">
        <v>0</v>
      </c>
      <c r="DI375" s="21">
        <v>0</v>
      </c>
      <c r="DJ375" s="21">
        <v>0</v>
      </c>
      <c r="DK375" s="21">
        <v>0</v>
      </c>
      <c r="DL375" s="21">
        <v>0</v>
      </c>
      <c r="DM375" s="21">
        <v>0</v>
      </c>
      <c r="DN375" s="21">
        <v>0</v>
      </c>
      <c r="DO375" s="21">
        <v>0</v>
      </c>
      <c r="DP375" s="21">
        <v>0</v>
      </c>
      <c r="DQ375" s="21">
        <v>0</v>
      </c>
      <c r="DR375" s="21">
        <v>0</v>
      </c>
      <c r="DS375" s="21">
        <v>0</v>
      </c>
      <c r="DT375" s="21">
        <v>0</v>
      </c>
      <c r="DU375" s="21">
        <v>0</v>
      </c>
      <c r="DV375" s="21">
        <v>0</v>
      </c>
      <c r="DW375" s="21">
        <v>0</v>
      </c>
      <c r="DX375" s="21">
        <v>0</v>
      </c>
      <c r="DY375" s="21">
        <v>0</v>
      </c>
      <c r="DZ375" s="21">
        <v>0</v>
      </c>
      <c r="EA375" s="21">
        <v>0</v>
      </c>
      <c r="EB375" s="21">
        <v>0</v>
      </c>
      <c r="EC375" s="21">
        <v>0</v>
      </c>
      <c r="ED375" s="21">
        <v>0</v>
      </c>
      <c r="EE375" s="21">
        <v>0</v>
      </c>
      <c r="EF375" s="21">
        <v>0</v>
      </c>
    </row>
    <row r="376" spans="1:136" ht="14.5" x14ac:dyDescent="0.35">
      <c r="A376" s="20" t="s">
        <v>12</v>
      </c>
      <c r="B376" s="20" t="s">
        <v>21</v>
      </c>
      <c r="C376" s="20" t="s">
        <v>21</v>
      </c>
      <c r="D376" s="20" t="s">
        <v>333</v>
      </c>
      <c r="E376" s="20" t="s">
        <v>14</v>
      </c>
      <c r="F376" s="20" t="s">
        <v>87</v>
      </c>
      <c r="G376" s="21">
        <v>0</v>
      </c>
      <c r="H376" s="21">
        <v>0</v>
      </c>
      <c r="I376" s="21">
        <v>3</v>
      </c>
      <c r="J376" s="21">
        <v>-3</v>
      </c>
      <c r="K376" s="21">
        <v>0</v>
      </c>
      <c r="L376" s="21">
        <v>0</v>
      </c>
      <c r="M376" s="21">
        <v>0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3</v>
      </c>
      <c r="AB376" s="21">
        <v>0</v>
      </c>
      <c r="AC376" s="21">
        <v>0</v>
      </c>
      <c r="AD376" s="21">
        <v>0</v>
      </c>
      <c r="AE376" s="21">
        <v>0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0</v>
      </c>
      <c r="AN376" s="21">
        <v>0</v>
      </c>
      <c r="AO376" s="21">
        <v>0</v>
      </c>
      <c r="AP376" s="21">
        <v>0</v>
      </c>
      <c r="AQ376" s="21">
        <v>0</v>
      </c>
      <c r="AR376" s="21">
        <v>0</v>
      </c>
      <c r="AS376" s="21">
        <v>0</v>
      </c>
      <c r="AT376" s="21">
        <v>0</v>
      </c>
      <c r="AU376" s="21">
        <v>0</v>
      </c>
      <c r="AV376" s="21">
        <v>0</v>
      </c>
      <c r="AW376" s="21">
        <v>0</v>
      </c>
      <c r="AX376" s="21">
        <v>0</v>
      </c>
      <c r="AY376" s="21">
        <v>0</v>
      </c>
      <c r="AZ376" s="21">
        <v>0</v>
      </c>
      <c r="BA376" s="21">
        <v>0</v>
      </c>
      <c r="BB376" s="21">
        <v>0</v>
      </c>
      <c r="BC376" s="21">
        <v>0</v>
      </c>
      <c r="BD376" s="21">
        <v>0</v>
      </c>
      <c r="BE376" s="21">
        <v>0</v>
      </c>
      <c r="BF376" s="21">
        <v>0</v>
      </c>
      <c r="BG376" s="21">
        <v>0</v>
      </c>
      <c r="BH376" s="21">
        <v>0</v>
      </c>
      <c r="BI376" s="21">
        <v>0</v>
      </c>
      <c r="BJ376" s="21">
        <v>0</v>
      </c>
      <c r="BK376" s="21">
        <v>0</v>
      </c>
      <c r="BL376" s="21">
        <v>0</v>
      </c>
      <c r="BM376" s="21">
        <v>0</v>
      </c>
      <c r="BN376" s="21">
        <v>0</v>
      </c>
      <c r="BO376" s="21">
        <v>0</v>
      </c>
      <c r="BP376" s="21">
        <v>0</v>
      </c>
      <c r="BQ376" s="21">
        <v>0</v>
      </c>
      <c r="BR376" s="21">
        <v>0</v>
      </c>
      <c r="BS376" s="21">
        <v>0</v>
      </c>
      <c r="BT376" s="21">
        <v>0</v>
      </c>
      <c r="BU376" s="21">
        <v>0</v>
      </c>
      <c r="BV376" s="21">
        <v>0</v>
      </c>
      <c r="BW376" s="21">
        <v>0</v>
      </c>
      <c r="BX376" s="21">
        <v>0</v>
      </c>
      <c r="BY376" s="21">
        <v>0</v>
      </c>
      <c r="BZ376" s="21">
        <v>0</v>
      </c>
      <c r="CA376" s="21">
        <v>0</v>
      </c>
      <c r="CB376" s="21">
        <v>0</v>
      </c>
      <c r="CC376" s="21">
        <v>0</v>
      </c>
      <c r="CD376" s="21">
        <v>0</v>
      </c>
      <c r="CE376" s="21">
        <v>0</v>
      </c>
      <c r="CF376" s="21">
        <v>0</v>
      </c>
      <c r="CG376" s="21">
        <v>0</v>
      </c>
      <c r="CH376" s="21">
        <v>0</v>
      </c>
      <c r="CI376" s="21">
        <v>0</v>
      </c>
      <c r="CJ376" s="21">
        <v>0</v>
      </c>
      <c r="CK376" s="21">
        <v>0</v>
      </c>
      <c r="CL376" s="21">
        <v>0</v>
      </c>
      <c r="CM376" s="21">
        <v>0</v>
      </c>
      <c r="CN376" s="21">
        <v>0</v>
      </c>
      <c r="CO376" s="21">
        <v>0</v>
      </c>
      <c r="CP376" s="21">
        <v>0</v>
      </c>
      <c r="CQ376" s="21">
        <v>0</v>
      </c>
      <c r="CR376" s="21">
        <v>0</v>
      </c>
      <c r="CS376" s="21">
        <v>0</v>
      </c>
      <c r="CT376" s="21">
        <v>0</v>
      </c>
      <c r="CU376" s="21">
        <v>0</v>
      </c>
      <c r="CV376" s="21">
        <v>0</v>
      </c>
      <c r="CW376" s="21">
        <v>0</v>
      </c>
      <c r="CX376" s="21">
        <v>0</v>
      </c>
      <c r="CY376" s="21">
        <v>0</v>
      </c>
      <c r="CZ376" s="21">
        <v>0</v>
      </c>
      <c r="DA376" s="21">
        <v>0</v>
      </c>
      <c r="DB376" s="21">
        <v>0</v>
      </c>
      <c r="DC376" s="21">
        <v>0</v>
      </c>
      <c r="DD376" s="21">
        <v>0</v>
      </c>
      <c r="DE376" s="21">
        <v>0</v>
      </c>
      <c r="DF376" s="21">
        <v>0</v>
      </c>
      <c r="DG376" s="21">
        <v>0</v>
      </c>
      <c r="DH376" s="21">
        <v>0</v>
      </c>
      <c r="DI376" s="21">
        <v>0</v>
      </c>
      <c r="DJ376" s="21">
        <v>0</v>
      </c>
      <c r="DK376" s="21">
        <v>0</v>
      </c>
      <c r="DL376" s="21">
        <v>0</v>
      </c>
      <c r="DM376" s="21">
        <v>0</v>
      </c>
      <c r="DN376" s="21">
        <v>0</v>
      </c>
      <c r="DO376" s="21">
        <v>0</v>
      </c>
      <c r="DP376" s="21">
        <v>0</v>
      </c>
      <c r="DQ376" s="21">
        <v>0</v>
      </c>
      <c r="DR376" s="21">
        <v>0</v>
      </c>
      <c r="DS376" s="21">
        <v>0</v>
      </c>
      <c r="DT376" s="21">
        <v>0</v>
      </c>
      <c r="DU376" s="21">
        <v>0</v>
      </c>
      <c r="DV376" s="21">
        <v>0</v>
      </c>
      <c r="DW376" s="21">
        <v>0</v>
      </c>
      <c r="DX376" s="21">
        <v>0</v>
      </c>
      <c r="DY376" s="21">
        <v>0</v>
      </c>
      <c r="DZ376" s="21">
        <v>0</v>
      </c>
      <c r="EA376" s="21">
        <v>0</v>
      </c>
      <c r="EB376" s="21">
        <v>0</v>
      </c>
      <c r="EC376" s="21">
        <v>0</v>
      </c>
      <c r="ED376" s="21">
        <v>0</v>
      </c>
      <c r="EE376" s="21">
        <v>0</v>
      </c>
      <c r="EF376" s="21">
        <v>0</v>
      </c>
    </row>
    <row r="377" spans="1:136" ht="14.5" x14ac:dyDescent="0.35">
      <c r="A377" s="20" t="s">
        <v>12</v>
      </c>
      <c r="B377" s="20" t="s">
        <v>21</v>
      </c>
      <c r="C377" s="20" t="s">
        <v>21</v>
      </c>
      <c r="D377" s="20" t="s">
        <v>332</v>
      </c>
      <c r="E377" s="20" t="s">
        <v>14</v>
      </c>
      <c r="F377" s="20" t="s">
        <v>88</v>
      </c>
      <c r="G377" s="21">
        <v>0</v>
      </c>
      <c r="H377" s="21">
        <v>0</v>
      </c>
      <c r="I377" s="21">
        <v>26.5</v>
      </c>
      <c r="J377" s="21">
        <v>-26.5</v>
      </c>
      <c r="K377" s="21">
        <v>0</v>
      </c>
      <c r="L377" s="21">
        <v>0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0</v>
      </c>
      <c r="Z377" s="21">
        <v>0</v>
      </c>
      <c r="AA377" s="21">
        <v>0</v>
      </c>
      <c r="AB377" s="21">
        <v>0</v>
      </c>
      <c r="AC377" s="21">
        <v>0</v>
      </c>
      <c r="AD377" s="21">
        <v>0</v>
      </c>
      <c r="AE377" s="21">
        <v>0</v>
      </c>
      <c r="AF377" s="21">
        <v>0</v>
      </c>
      <c r="AG377" s="21">
        <v>0</v>
      </c>
      <c r="AH377" s="21">
        <v>0</v>
      </c>
      <c r="AI377" s="21">
        <v>0</v>
      </c>
      <c r="AJ377" s="21">
        <v>0</v>
      </c>
      <c r="AK377" s="21">
        <v>0</v>
      </c>
      <c r="AL377" s="21">
        <v>0</v>
      </c>
      <c r="AM377" s="21">
        <v>3</v>
      </c>
      <c r="AN377" s="21">
        <v>13.5</v>
      </c>
      <c r="AO377" s="21">
        <v>10</v>
      </c>
      <c r="AP377" s="21">
        <v>0</v>
      </c>
      <c r="AQ377" s="21">
        <v>0</v>
      </c>
      <c r="AR377" s="21">
        <v>0</v>
      </c>
      <c r="AS377" s="21">
        <v>0</v>
      </c>
      <c r="AT377" s="21">
        <v>0</v>
      </c>
      <c r="AU377" s="21">
        <v>0</v>
      </c>
      <c r="AV377" s="21">
        <v>0</v>
      </c>
      <c r="AW377" s="21">
        <v>0</v>
      </c>
      <c r="AX377" s="21">
        <v>0</v>
      </c>
      <c r="AY377" s="21">
        <v>0</v>
      </c>
      <c r="AZ377" s="21">
        <v>0</v>
      </c>
      <c r="BA377" s="21">
        <v>0</v>
      </c>
      <c r="BB377" s="21">
        <v>0</v>
      </c>
      <c r="BC377" s="21">
        <v>0</v>
      </c>
      <c r="BD377" s="21">
        <v>0</v>
      </c>
      <c r="BE377" s="21">
        <v>0</v>
      </c>
      <c r="BF377" s="21">
        <v>0</v>
      </c>
      <c r="BG377" s="21">
        <v>0</v>
      </c>
      <c r="BH377" s="21">
        <v>0</v>
      </c>
      <c r="BI377" s="21">
        <v>0</v>
      </c>
      <c r="BJ377" s="21">
        <v>0</v>
      </c>
      <c r="BK377" s="21">
        <v>0</v>
      </c>
      <c r="BL377" s="21">
        <v>0</v>
      </c>
      <c r="BM377" s="21">
        <v>0</v>
      </c>
      <c r="BN377" s="21">
        <v>0</v>
      </c>
      <c r="BO377" s="21">
        <v>0</v>
      </c>
      <c r="BP377" s="21">
        <v>0</v>
      </c>
      <c r="BQ377" s="21">
        <v>0</v>
      </c>
      <c r="BR377" s="21">
        <v>0</v>
      </c>
      <c r="BS377" s="21">
        <v>0</v>
      </c>
      <c r="BT377" s="21">
        <v>0</v>
      </c>
      <c r="BU377" s="21">
        <v>0</v>
      </c>
      <c r="BV377" s="21">
        <v>0</v>
      </c>
      <c r="BW377" s="21">
        <v>0</v>
      </c>
      <c r="BX377" s="21">
        <v>0</v>
      </c>
      <c r="BY377" s="21">
        <v>0</v>
      </c>
      <c r="BZ377" s="21">
        <v>0</v>
      </c>
      <c r="CA377" s="21">
        <v>0</v>
      </c>
      <c r="CB377" s="21">
        <v>0</v>
      </c>
      <c r="CC377" s="21">
        <v>0</v>
      </c>
      <c r="CD377" s="21">
        <v>0</v>
      </c>
      <c r="CE377" s="21">
        <v>0</v>
      </c>
      <c r="CF377" s="21">
        <v>0</v>
      </c>
      <c r="CG377" s="21">
        <v>0</v>
      </c>
      <c r="CH377" s="21">
        <v>0</v>
      </c>
      <c r="CI377" s="21">
        <v>0</v>
      </c>
      <c r="CJ377" s="21">
        <v>0</v>
      </c>
      <c r="CK377" s="21">
        <v>0</v>
      </c>
      <c r="CL377" s="21">
        <v>0</v>
      </c>
      <c r="CM377" s="21">
        <v>0</v>
      </c>
      <c r="CN377" s="21">
        <v>0</v>
      </c>
      <c r="CO377" s="21">
        <v>0</v>
      </c>
      <c r="CP377" s="21">
        <v>0</v>
      </c>
      <c r="CQ377" s="21">
        <v>0</v>
      </c>
      <c r="CR377" s="21">
        <v>0</v>
      </c>
      <c r="CS377" s="21">
        <v>0</v>
      </c>
      <c r="CT377" s="21">
        <v>0</v>
      </c>
      <c r="CU377" s="21">
        <v>0</v>
      </c>
      <c r="CV377" s="21">
        <v>0</v>
      </c>
      <c r="CW377" s="21">
        <v>0</v>
      </c>
      <c r="CX377" s="21">
        <v>0</v>
      </c>
      <c r="CY377" s="21">
        <v>0</v>
      </c>
      <c r="CZ377" s="21">
        <v>0</v>
      </c>
      <c r="DA377" s="21">
        <v>0</v>
      </c>
      <c r="DB377" s="21">
        <v>0</v>
      </c>
      <c r="DC377" s="21">
        <v>0</v>
      </c>
      <c r="DD377" s="21">
        <v>0</v>
      </c>
      <c r="DE377" s="21">
        <v>0</v>
      </c>
      <c r="DF377" s="21">
        <v>0</v>
      </c>
      <c r="DG377" s="21">
        <v>0</v>
      </c>
      <c r="DH377" s="21">
        <v>0</v>
      </c>
      <c r="DI377" s="21">
        <v>0</v>
      </c>
      <c r="DJ377" s="21">
        <v>0</v>
      </c>
      <c r="DK377" s="21">
        <v>0</v>
      </c>
      <c r="DL377" s="21">
        <v>0</v>
      </c>
      <c r="DM377" s="21">
        <v>0</v>
      </c>
      <c r="DN377" s="21">
        <v>0</v>
      </c>
      <c r="DO377" s="21">
        <v>0</v>
      </c>
      <c r="DP377" s="21">
        <v>0</v>
      </c>
      <c r="DQ377" s="21">
        <v>0</v>
      </c>
      <c r="DR377" s="21">
        <v>0</v>
      </c>
      <c r="DS377" s="21">
        <v>0</v>
      </c>
      <c r="DT377" s="21">
        <v>0</v>
      </c>
      <c r="DU377" s="21">
        <v>0</v>
      </c>
      <c r="DV377" s="21">
        <v>0</v>
      </c>
      <c r="DW377" s="21">
        <v>0</v>
      </c>
      <c r="DX377" s="21">
        <v>0</v>
      </c>
      <c r="DY377" s="21">
        <v>0</v>
      </c>
      <c r="DZ377" s="21">
        <v>0</v>
      </c>
      <c r="EA377" s="21">
        <v>0</v>
      </c>
      <c r="EB377" s="21">
        <v>0</v>
      </c>
      <c r="EC377" s="21">
        <v>0</v>
      </c>
      <c r="ED377" s="21">
        <v>0</v>
      </c>
      <c r="EE377" s="21">
        <v>0</v>
      </c>
      <c r="EF377" s="21">
        <v>0</v>
      </c>
    </row>
    <row r="378" spans="1:136" ht="14.5" x14ac:dyDescent="0.35">
      <c r="A378" s="20" t="s">
        <v>12</v>
      </c>
      <c r="B378" s="20" t="s">
        <v>21</v>
      </c>
      <c r="C378" s="20" t="s">
        <v>21</v>
      </c>
      <c r="D378" s="20" t="s">
        <v>333</v>
      </c>
      <c r="E378" s="20" t="s">
        <v>14</v>
      </c>
      <c r="F378" s="20" t="s">
        <v>88</v>
      </c>
      <c r="G378" s="21">
        <v>10</v>
      </c>
      <c r="H378" s="21">
        <v>10</v>
      </c>
      <c r="I378" s="21">
        <v>0</v>
      </c>
      <c r="J378" s="21">
        <v>10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1">
        <v>0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0</v>
      </c>
      <c r="AE378" s="21">
        <v>0</v>
      </c>
      <c r="AF378" s="21">
        <v>0</v>
      </c>
      <c r="AG378" s="21">
        <v>0</v>
      </c>
      <c r="AH378" s="21">
        <v>0</v>
      </c>
      <c r="AI378" s="21">
        <v>0</v>
      </c>
      <c r="AJ378" s="21">
        <v>0</v>
      </c>
      <c r="AK378" s="21">
        <v>0</v>
      </c>
      <c r="AL378" s="21">
        <v>0</v>
      </c>
      <c r="AM378" s="21">
        <v>0</v>
      </c>
      <c r="AN378" s="21">
        <v>0</v>
      </c>
      <c r="AO378" s="21">
        <v>0</v>
      </c>
      <c r="AP378" s="21">
        <v>0</v>
      </c>
      <c r="AQ378" s="21">
        <v>0</v>
      </c>
      <c r="AR378" s="21">
        <v>0</v>
      </c>
      <c r="AS378" s="21">
        <v>0</v>
      </c>
      <c r="AT378" s="21">
        <v>0</v>
      </c>
      <c r="AU378" s="21">
        <v>0</v>
      </c>
      <c r="AV378" s="21">
        <v>0</v>
      </c>
      <c r="AW378" s="21">
        <v>0</v>
      </c>
      <c r="AX378" s="21">
        <v>0</v>
      </c>
      <c r="AY378" s="21">
        <v>0</v>
      </c>
      <c r="AZ378" s="21">
        <v>0</v>
      </c>
      <c r="BA378" s="21">
        <v>0</v>
      </c>
      <c r="BB378" s="21">
        <v>0</v>
      </c>
      <c r="BC378" s="21">
        <v>0</v>
      </c>
      <c r="BD378" s="21">
        <v>0</v>
      </c>
      <c r="BE378" s="21">
        <v>0</v>
      </c>
      <c r="BF378" s="21">
        <v>0</v>
      </c>
      <c r="BG378" s="21">
        <v>0</v>
      </c>
      <c r="BH378" s="21">
        <v>0</v>
      </c>
      <c r="BI378" s="21">
        <v>0</v>
      </c>
      <c r="BJ378" s="21">
        <v>0</v>
      </c>
      <c r="BK378" s="21">
        <v>0</v>
      </c>
      <c r="BL378" s="21">
        <v>0</v>
      </c>
      <c r="BM378" s="21">
        <v>0</v>
      </c>
      <c r="BN378" s="21">
        <v>0</v>
      </c>
      <c r="BO378" s="21">
        <v>0</v>
      </c>
      <c r="BP378" s="21">
        <v>0</v>
      </c>
      <c r="BQ378" s="21">
        <v>0</v>
      </c>
      <c r="BR378" s="21">
        <v>0</v>
      </c>
      <c r="BS378" s="21">
        <v>0</v>
      </c>
      <c r="BT378" s="21">
        <v>0</v>
      </c>
      <c r="BU378" s="21">
        <v>0</v>
      </c>
      <c r="BV378" s="21">
        <v>0</v>
      </c>
      <c r="BW378" s="21">
        <v>0</v>
      </c>
      <c r="BX378" s="21">
        <v>0</v>
      </c>
      <c r="BY378" s="21">
        <v>0</v>
      </c>
      <c r="BZ378" s="21">
        <v>0</v>
      </c>
      <c r="CA378" s="21">
        <v>0</v>
      </c>
      <c r="CB378" s="21">
        <v>0</v>
      </c>
      <c r="CC378" s="21">
        <v>0</v>
      </c>
      <c r="CD378" s="21">
        <v>0</v>
      </c>
      <c r="CE378" s="21">
        <v>0</v>
      </c>
      <c r="CF378" s="21">
        <v>0</v>
      </c>
      <c r="CG378" s="21">
        <v>0</v>
      </c>
      <c r="CH378" s="21">
        <v>0</v>
      </c>
      <c r="CI378" s="21">
        <v>0</v>
      </c>
      <c r="CJ378" s="21">
        <v>0</v>
      </c>
      <c r="CK378" s="21">
        <v>0</v>
      </c>
      <c r="CL378" s="21">
        <v>0</v>
      </c>
      <c r="CM378" s="21">
        <v>0</v>
      </c>
      <c r="CN378" s="21">
        <v>0</v>
      </c>
      <c r="CO378" s="21">
        <v>0</v>
      </c>
      <c r="CP378" s="21">
        <v>0</v>
      </c>
      <c r="CQ378" s="21">
        <v>0</v>
      </c>
      <c r="CR378" s="21">
        <v>0</v>
      </c>
      <c r="CS378" s="21">
        <v>0</v>
      </c>
      <c r="CT378" s="21">
        <v>0</v>
      </c>
      <c r="CU378" s="21">
        <v>0</v>
      </c>
      <c r="CV378" s="21">
        <v>0</v>
      </c>
      <c r="CW378" s="21">
        <v>0</v>
      </c>
      <c r="CX378" s="21">
        <v>0</v>
      </c>
      <c r="CY378" s="21">
        <v>0</v>
      </c>
      <c r="CZ378" s="21">
        <v>0</v>
      </c>
      <c r="DA378" s="21">
        <v>0</v>
      </c>
      <c r="DB378" s="21">
        <v>0</v>
      </c>
      <c r="DC378" s="21">
        <v>0</v>
      </c>
      <c r="DD378" s="21">
        <v>0</v>
      </c>
      <c r="DE378" s="21">
        <v>0</v>
      </c>
      <c r="DF378" s="21">
        <v>0</v>
      </c>
      <c r="DG378" s="21">
        <v>0</v>
      </c>
      <c r="DH378" s="21">
        <v>0</v>
      </c>
      <c r="DI378" s="21">
        <v>0</v>
      </c>
      <c r="DJ378" s="21">
        <v>0</v>
      </c>
      <c r="DK378" s="21">
        <v>0</v>
      </c>
      <c r="DL378" s="21">
        <v>0</v>
      </c>
      <c r="DM378" s="21">
        <v>0</v>
      </c>
      <c r="DN378" s="21">
        <v>0</v>
      </c>
      <c r="DO378" s="21">
        <v>0</v>
      </c>
      <c r="DP378" s="21">
        <v>0</v>
      </c>
      <c r="DQ378" s="21">
        <v>0</v>
      </c>
      <c r="DR378" s="21">
        <v>0</v>
      </c>
      <c r="DS378" s="21">
        <v>0</v>
      </c>
      <c r="DT378" s="21">
        <v>0</v>
      </c>
      <c r="DU378" s="21">
        <v>0</v>
      </c>
      <c r="DV378" s="21">
        <v>0</v>
      </c>
      <c r="DW378" s="21">
        <v>0</v>
      </c>
      <c r="DX378" s="21">
        <v>0</v>
      </c>
      <c r="DY378" s="21">
        <v>0</v>
      </c>
      <c r="DZ378" s="21">
        <v>0</v>
      </c>
      <c r="EA378" s="21">
        <v>0</v>
      </c>
      <c r="EB378" s="21">
        <v>0</v>
      </c>
      <c r="EC378" s="21">
        <v>0</v>
      </c>
      <c r="ED378" s="21">
        <v>0</v>
      </c>
      <c r="EE378" s="21">
        <v>0</v>
      </c>
      <c r="EF378" s="21">
        <v>0</v>
      </c>
    </row>
    <row r="379" spans="1:136" ht="14.5" x14ac:dyDescent="0.35">
      <c r="A379" s="20" t="s">
        <v>12</v>
      </c>
      <c r="B379" s="20" t="s">
        <v>21</v>
      </c>
      <c r="C379" s="20" t="s">
        <v>21</v>
      </c>
      <c r="D379" s="20" t="s">
        <v>332</v>
      </c>
      <c r="E379" s="20" t="s">
        <v>14</v>
      </c>
      <c r="F379" s="20" t="s">
        <v>89</v>
      </c>
      <c r="G379" s="21">
        <v>0</v>
      </c>
      <c r="H379" s="21">
        <v>0</v>
      </c>
      <c r="I379" s="21">
        <v>10</v>
      </c>
      <c r="J379" s="21">
        <v>-10</v>
      </c>
      <c r="K379" s="21">
        <v>0</v>
      </c>
      <c r="L379" s="21">
        <v>0</v>
      </c>
      <c r="M379" s="21">
        <v>0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>
        <v>0</v>
      </c>
      <c r="T379" s="21">
        <v>0</v>
      </c>
      <c r="U379" s="21">
        <v>0</v>
      </c>
      <c r="V379" s="21">
        <v>0</v>
      </c>
      <c r="W379" s="21">
        <v>0</v>
      </c>
      <c r="X379" s="21">
        <v>0</v>
      </c>
      <c r="Y379" s="21">
        <v>0</v>
      </c>
      <c r="Z379" s="21">
        <v>0</v>
      </c>
      <c r="AA379" s="21">
        <v>0</v>
      </c>
      <c r="AB379" s="21">
        <v>0</v>
      </c>
      <c r="AC379" s="21">
        <v>0</v>
      </c>
      <c r="AD379" s="21">
        <v>0</v>
      </c>
      <c r="AE379" s="21">
        <v>0</v>
      </c>
      <c r="AF379" s="21">
        <v>0</v>
      </c>
      <c r="AG379" s="21">
        <v>0</v>
      </c>
      <c r="AH379" s="21">
        <v>0</v>
      </c>
      <c r="AI379" s="21">
        <v>0</v>
      </c>
      <c r="AJ379" s="21">
        <v>0</v>
      </c>
      <c r="AK379" s="21">
        <v>0</v>
      </c>
      <c r="AL379" s="21">
        <v>0</v>
      </c>
      <c r="AM379" s="21">
        <v>0</v>
      </c>
      <c r="AN379" s="21">
        <v>0</v>
      </c>
      <c r="AO379" s="21">
        <v>0</v>
      </c>
      <c r="AP379" s="21">
        <v>0</v>
      </c>
      <c r="AQ379" s="21">
        <v>0</v>
      </c>
      <c r="AR379" s="21">
        <v>0</v>
      </c>
      <c r="AS379" s="21">
        <v>0</v>
      </c>
      <c r="AT379" s="21">
        <v>0</v>
      </c>
      <c r="AU379" s="21">
        <v>0</v>
      </c>
      <c r="AV379" s="21">
        <v>0</v>
      </c>
      <c r="AW379" s="21">
        <v>0</v>
      </c>
      <c r="AX379" s="21">
        <v>0</v>
      </c>
      <c r="AY379" s="21">
        <v>0</v>
      </c>
      <c r="AZ379" s="21">
        <v>0</v>
      </c>
      <c r="BA379" s="21">
        <v>0</v>
      </c>
      <c r="BB379" s="21">
        <v>0</v>
      </c>
      <c r="BC379" s="21">
        <v>0</v>
      </c>
      <c r="BD379" s="21">
        <v>0</v>
      </c>
      <c r="BE379" s="21">
        <v>0</v>
      </c>
      <c r="BF379" s="21">
        <v>0</v>
      </c>
      <c r="BG379" s="21">
        <v>0</v>
      </c>
      <c r="BH379" s="21">
        <v>0</v>
      </c>
      <c r="BI379" s="21">
        <v>0</v>
      </c>
      <c r="BJ379" s="21">
        <v>0</v>
      </c>
      <c r="BK379" s="21">
        <v>0</v>
      </c>
      <c r="BL379" s="21">
        <v>0</v>
      </c>
      <c r="BM379" s="21">
        <v>0</v>
      </c>
      <c r="BN379" s="21">
        <v>0</v>
      </c>
      <c r="BO379" s="21">
        <v>0</v>
      </c>
      <c r="BP379" s="21">
        <v>0</v>
      </c>
      <c r="BQ379" s="21">
        <v>0</v>
      </c>
      <c r="BR379" s="21">
        <v>0</v>
      </c>
      <c r="BS379" s="21">
        <v>0</v>
      </c>
      <c r="BT379" s="21">
        <v>0</v>
      </c>
      <c r="BU379" s="21">
        <v>0</v>
      </c>
      <c r="BV379" s="21">
        <v>0</v>
      </c>
      <c r="BW379" s="21">
        <v>0</v>
      </c>
      <c r="BX379" s="21">
        <v>0</v>
      </c>
      <c r="BY379" s="21">
        <v>0</v>
      </c>
      <c r="BZ379" s="21">
        <v>0</v>
      </c>
      <c r="CA379" s="21">
        <v>0</v>
      </c>
      <c r="CB379" s="21">
        <v>0</v>
      </c>
      <c r="CC379" s="21">
        <v>0</v>
      </c>
      <c r="CD379" s="21">
        <v>0</v>
      </c>
      <c r="CE379" s="21">
        <v>0</v>
      </c>
      <c r="CF379" s="21">
        <v>0</v>
      </c>
      <c r="CG379" s="21">
        <v>0</v>
      </c>
      <c r="CH379" s="21">
        <v>0</v>
      </c>
      <c r="CI379" s="21">
        <v>0</v>
      </c>
      <c r="CJ379" s="21">
        <v>0</v>
      </c>
      <c r="CK379" s="21">
        <v>0</v>
      </c>
      <c r="CL379" s="21">
        <v>0</v>
      </c>
      <c r="CM379" s="21">
        <v>0</v>
      </c>
      <c r="CN379" s="21">
        <v>0</v>
      </c>
      <c r="CO379" s="21">
        <v>0</v>
      </c>
      <c r="CP379" s="21">
        <v>0</v>
      </c>
      <c r="CQ379" s="21">
        <v>0</v>
      </c>
      <c r="CR379" s="21">
        <v>0</v>
      </c>
      <c r="CS379" s="21">
        <v>0</v>
      </c>
      <c r="CT379" s="21">
        <v>0</v>
      </c>
      <c r="CU379" s="21">
        <v>0</v>
      </c>
      <c r="CV379" s="21">
        <v>0</v>
      </c>
      <c r="CW379" s="21">
        <v>0</v>
      </c>
      <c r="CX379" s="21">
        <v>0</v>
      </c>
      <c r="CY379" s="21">
        <v>0</v>
      </c>
      <c r="CZ379" s="21">
        <v>5</v>
      </c>
      <c r="DA379" s="21">
        <v>5</v>
      </c>
      <c r="DB379" s="21">
        <v>0</v>
      </c>
      <c r="DC379" s="21">
        <v>0</v>
      </c>
      <c r="DD379" s="21">
        <v>0</v>
      </c>
      <c r="DE379" s="21">
        <v>0</v>
      </c>
      <c r="DF379" s="21">
        <v>0</v>
      </c>
      <c r="DG379" s="21">
        <v>0</v>
      </c>
      <c r="DH379" s="21">
        <v>0</v>
      </c>
      <c r="DI379" s="21">
        <v>0</v>
      </c>
      <c r="DJ379" s="21">
        <v>0</v>
      </c>
      <c r="DK379" s="21">
        <v>0</v>
      </c>
      <c r="DL379" s="21">
        <v>0</v>
      </c>
      <c r="DM379" s="21">
        <v>0</v>
      </c>
      <c r="DN379" s="21">
        <v>0</v>
      </c>
      <c r="DO379" s="21">
        <v>0</v>
      </c>
      <c r="DP379" s="21">
        <v>0</v>
      </c>
      <c r="DQ379" s="21">
        <v>0</v>
      </c>
      <c r="DR379" s="21">
        <v>0</v>
      </c>
      <c r="DS379" s="21">
        <v>0</v>
      </c>
      <c r="DT379" s="21">
        <v>0</v>
      </c>
      <c r="DU379" s="21">
        <v>0</v>
      </c>
      <c r="DV379" s="21">
        <v>0</v>
      </c>
      <c r="DW379" s="21">
        <v>0</v>
      </c>
      <c r="DX379" s="21">
        <v>0</v>
      </c>
      <c r="DY379" s="21">
        <v>0</v>
      </c>
      <c r="DZ379" s="21">
        <v>0</v>
      </c>
      <c r="EA379" s="21">
        <v>0</v>
      </c>
      <c r="EB379" s="21">
        <v>0</v>
      </c>
      <c r="EC379" s="21">
        <v>0</v>
      </c>
      <c r="ED379" s="21">
        <v>0</v>
      </c>
      <c r="EE379" s="21">
        <v>0</v>
      </c>
      <c r="EF379" s="21">
        <v>0</v>
      </c>
    </row>
    <row r="380" spans="1:136" ht="14.5" x14ac:dyDescent="0.35">
      <c r="A380" s="20" t="s">
        <v>12</v>
      </c>
      <c r="B380" s="20" t="s">
        <v>21</v>
      </c>
      <c r="C380" s="20" t="s">
        <v>21</v>
      </c>
      <c r="D380" s="20" t="s">
        <v>333</v>
      </c>
      <c r="E380" s="20" t="s">
        <v>14</v>
      </c>
      <c r="F380" s="20" t="s">
        <v>89</v>
      </c>
      <c r="G380" s="21">
        <v>0</v>
      </c>
      <c r="H380" s="21">
        <v>10</v>
      </c>
      <c r="I380" s="21">
        <v>0</v>
      </c>
      <c r="J380" s="21">
        <v>10</v>
      </c>
      <c r="K380" s="21">
        <v>0</v>
      </c>
      <c r="L380" s="21">
        <v>0</v>
      </c>
      <c r="M380" s="21">
        <v>0</v>
      </c>
      <c r="N380" s="21">
        <v>0</v>
      </c>
      <c r="O380" s="21">
        <v>0</v>
      </c>
      <c r="P380" s="21">
        <v>0</v>
      </c>
      <c r="Q380" s="21">
        <v>0</v>
      </c>
      <c r="R380" s="21">
        <v>0</v>
      </c>
      <c r="S380" s="21">
        <v>0</v>
      </c>
      <c r="T380" s="21">
        <v>0</v>
      </c>
      <c r="U380" s="21">
        <v>0</v>
      </c>
      <c r="V380" s="21">
        <v>0</v>
      </c>
      <c r="W380" s="21">
        <v>0</v>
      </c>
      <c r="X380" s="21">
        <v>0</v>
      </c>
      <c r="Y380" s="21">
        <v>0</v>
      </c>
      <c r="Z380" s="21">
        <v>0</v>
      </c>
      <c r="AA380" s="21">
        <v>0</v>
      </c>
      <c r="AB380" s="21">
        <v>0</v>
      </c>
      <c r="AC380" s="21">
        <v>0</v>
      </c>
      <c r="AD380" s="21">
        <v>0</v>
      </c>
      <c r="AE380" s="21">
        <v>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0</v>
      </c>
      <c r="AN380" s="21">
        <v>0</v>
      </c>
      <c r="AO380" s="21">
        <v>0</v>
      </c>
      <c r="AP380" s="21">
        <v>0</v>
      </c>
      <c r="AQ380" s="21">
        <v>0</v>
      </c>
      <c r="AR380" s="21">
        <v>0</v>
      </c>
      <c r="AS380" s="21">
        <v>0</v>
      </c>
      <c r="AT380" s="21">
        <v>0</v>
      </c>
      <c r="AU380" s="21">
        <v>0</v>
      </c>
      <c r="AV380" s="21">
        <v>0</v>
      </c>
      <c r="AW380" s="21">
        <v>0</v>
      </c>
      <c r="AX380" s="21">
        <v>0</v>
      </c>
      <c r="AY380" s="21">
        <v>0</v>
      </c>
      <c r="AZ380" s="21">
        <v>0</v>
      </c>
      <c r="BA380" s="21">
        <v>0</v>
      </c>
      <c r="BB380" s="21">
        <v>0</v>
      </c>
      <c r="BC380" s="21">
        <v>0</v>
      </c>
      <c r="BD380" s="21">
        <v>0</v>
      </c>
      <c r="BE380" s="21">
        <v>0</v>
      </c>
      <c r="BF380" s="21">
        <v>0</v>
      </c>
      <c r="BG380" s="21">
        <v>0</v>
      </c>
      <c r="BH380" s="21">
        <v>0</v>
      </c>
      <c r="BI380" s="21">
        <v>0</v>
      </c>
      <c r="BJ380" s="21">
        <v>0</v>
      </c>
      <c r="BK380" s="21">
        <v>0</v>
      </c>
      <c r="BL380" s="21">
        <v>0</v>
      </c>
      <c r="BM380" s="21">
        <v>0</v>
      </c>
      <c r="BN380" s="21">
        <v>0</v>
      </c>
      <c r="BO380" s="21">
        <v>0</v>
      </c>
      <c r="BP380" s="21">
        <v>0</v>
      </c>
      <c r="BQ380" s="21">
        <v>0</v>
      </c>
      <c r="BR380" s="21">
        <v>0</v>
      </c>
      <c r="BS380" s="21">
        <v>0</v>
      </c>
      <c r="BT380" s="21">
        <v>0</v>
      </c>
      <c r="BU380" s="21">
        <v>0</v>
      </c>
      <c r="BV380" s="21">
        <v>0</v>
      </c>
      <c r="BW380" s="21">
        <v>0</v>
      </c>
      <c r="BX380" s="21">
        <v>0</v>
      </c>
      <c r="BY380" s="21">
        <v>0</v>
      </c>
      <c r="BZ380" s="21">
        <v>0</v>
      </c>
      <c r="CA380" s="21">
        <v>0</v>
      </c>
      <c r="CB380" s="21">
        <v>0</v>
      </c>
      <c r="CC380" s="21">
        <v>0</v>
      </c>
      <c r="CD380" s="21">
        <v>0</v>
      </c>
      <c r="CE380" s="21">
        <v>0</v>
      </c>
      <c r="CF380" s="21">
        <v>0</v>
      </c>
      <c r="CG380" s="21">
        <v>0</v>
      </c>
      <c r="CH380" s="21">
        <v>0</v>
      </c>
      <c r="CI380" s="21">
        <v>0</v>
      </c>
      <c r="CJ380" s="21">
        <v>0</v>
      </c>
      <c r="CK380" s="21">
        <v>0</v>
      </c>
      <c r="CL380" s="21">
        <v>0</v>
      </c>
      <c r="CM380" s="21">
        <v>0</v>
      </c>
      <c r="CN380" s="21">
        <v>0</v>
      </c>
      <c r="CO380" s="21">
        <v>0</v>
      </c>
      <c r="CP380" s="21">
        <v>0</v>
      </c>
      <c r="CQ380" s="21">
        <v>0</v>
      </c>
      <c r="CR380" s="21">
        <v>0</v>
      </c>
      <c r="CS380" s="21">
        <v>0</v>
      </c>
      <c r="CT380" s="21">
        <v>0</v>
      </c>
      <c r="CU380" s="21">
        <v>0</v>
      </c>
      <c r="CV380" s="21">
        <v>0</v>
      </c>
      <c r="CW380" s="21">
        <v>0</v>
      </c>
      <c r="CX380" s="21">
        <v>0</v>
      </c>
      <c r="CY380" s="21">
        <v>0</v>
      </c>
      <c r="CZ380" s="21">
        <v>0</v>
      </c>
      <c r="DA380" s="21">
        <v>0</v>
      </c>
      <c r="DB380" s="21">
        <v>0</v>
      </c>
      <c r="DC380" s="21">
        <v>0</v>
      </c>
      <c r="DD380" s="21">
        <v>0</v>
      </c>
      <c r="DE380" s="21">
        <v>0</v>
      </c>
      <c r="DF380" s="21">
        <v>0</v>
      </c>
      <c r="DG380" s="21">
        <v>0</v>
      </c>
      <c r="DH380" s="21">
        <v>0</v>
      </c>
      <c r="DI380" s="21">
        <v>0</v>
      </c>
      <c r="DJ380" s="21">
        <v>0</v>
      </c>
      <c r="DK380" s="21">
        <v>0</v>
      </c>
      <c r="DL380" s="21">
        <v>0</v>
      </c>
      <c r="DM380" s="21">
        <v>0</v>
      </c>
      <c r="DN380" s="21">
        <v>0</v>
      </c>
      <c r="DO380" s="21">
        <v>0</v>
      </c>
      <c r="DP380" s="21">
        <v>0</v>
      </c>
      <c r="DQ380" s="21">
        <v>0</v>
      </c>
      <c r="DR380" s="21">
        <v>0</v>
      </c>
      <c r="DS380" s="21">
        <v>0</v>
      </c>
      <c r="DT380" s="21">
        <v>0</v>
      </c>
      <c r="DU380" s="21">
        <v>0</v>
      </c>
      <c r="DV380" s="21">
        <v>0</v>
      </c>
      <c r="DW380" s="21">
        <v>0</v>
      </c>
      <c r="DX380" s="21">
        <v>0</v>
      </c>
      <c r="DY380" s="21">
        <v>0</v>
      </c>
      <c r="DZ380" s="21">
        <v>0</v>
      </c>
      <c r="EA380" s="21">
        <v>0</v>
      </c>
      <c r="EB380" s="21">
        <v>0</v>
      </c>
      <c r="EC380" s="21">
        <v>0</v>
      </c>
      <c r="ED380" s="21">
        <v>0</v>
      </c>
      <c r="EE380" s="21">
        <v>0</v>
      </c>
      <c r="EF380" s="21">
        <v>0</v>
      </c>
    </row>
    <row r="381" spans="1:136" ht="14.5" x14ac:dyDescent="0.35">
      <c r="A381" s="20" t="s">
        <v>12</v>
      </c>
      <c r="B381" s="20" t="s">
        <v>21</v>
      </c>
      <c r="C381" s="20" t="s">
        <v>21</v>
      </c>
      <c r="D381" s="20" t="s">
        <v>332</v>
      </c>
      <c r="E381" s="20" t="s">
        <v>14</v>
      </c>
      <c r="F381" s="20" t="s">
        <v>40</v>
      </c>
      <c r="G381" s="21">
        <v>0</v>
      </c>
      <c r="H381" s="21">
        <v>0</v>
      </c>
      <c r="I381" s="21">
        <v>50</v>
      </c>
      <c r="J381" s="21">
        <v>-50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>
        <v>0</v>
      </c>
      <c r="T381" s="21">
        <v>0</v>
      </c>
      <c r="U381" s="21">
        <v>0</v>
      </c>
      <c r="V381" s="21">
        <v>0</v>
      </c>
      <c r="W381" s="21">
        <v>0</v>
      </c>
      <c r="X381" s="21">
        <v>0</v>
      </c>
      <c r="Y381" s="21">
        <v>0</v>
      </c>
      <c r="Z381" s="21">
        <v>0</v>
      </c>
      <c r="AA381" s="21">
        <v>0</v>
      </c>
      <c r="AB381" s="21">
        <v>0</v>
      </c>
      <c r="AC381" s="21">
        <v>0</v>
      </c>
      <c r="AD381" s="21">
        <v>0</v>
      </c>
      <c r="AE381" s="21">
        <v>0</v>
      </c>
      <c r="AF381" s="21">
        <v>0</v>
      </c>
      <c r="AG381" s="21">
        <v>0</v>
      </c>
      <c r="AH381" s="21">
        <v>0</v>
      </c>
      <c r="AI381" s="21">
        <v>0</v>
      </c>
      <c r="AJ381" s="21">
        <v>0</v>
      </c>
      <c r="AK381" s="21">
        <v>0</v>
      </c>
      <c r="AL381" s="21">
        <v>0</v>
      </c>
      <c r="AM381" s="21">
        <v>0</v>
      </c>
      <c r="AN381" s="21">
        <v>0</v>
      </c>
      <c r="AO381" s="21">
        <v>0</v>
      </c>
      <c r="AP381" s="21">
        <v>0</v>
      </c>
      <c r="AQ381" s="21">
        <v>0</v>
      </c>
      <c r="AR381" s="21">
        <v>0</v>
      </c>
      <c r="AS381" s="21">
        <v>0</v>
      </c>
      <c r="AT381" s="21">
        <v>0</v>
      </c>
      <c r="AU381" s="21">
        <v>0</v>
      </c>
      <c r="AV381" s="21">
        <v>0</v>
      </c>
      <c r="AW381" s="21">
        <v>0</v>
      </c>
      <c r="AX381" s="21">
        <v>0</v>
      </c>
      <c r="AY381" s="21">
        <v>0</v>
      </c>
      <c r="AZ381" s="21">
        <v>0</v>
      </c>
      <c r="BA381" s="21">
        <v>0</v>
      </c>
      <c r="BB381" s="21">
        <v>0</v>
      </c>
      <c r="BC381" s="21">
        <v>0</v>
      </c>
      <c r="BD381" s="21">
        <v>0</v>
      </c>
      <c r="BE381" s="21">
        <v>0</v>
      </c>
      <c r="BF381" s="21">
        <v>0</v>
      </c>
      <c r="BG381" s="21">
        <v>0</v>
      </c>
      <c r="BH381" s="21">
        <v>0</v>
      </c>
      <c r="BI381" s="21">
        <v>0</v>
      </c>
      <c r="BJ381" s="21">
        <v>0</v>
      </c>
      <c r="BK381" s="21">
        <v>0</v>
      </c>
      <c r="BL381" s="21">
        <v>0</v>
      </c>
      <c r="BM381" s="21">
        <v>0</v>
      </c>
      <c r="BN381" s="21">
        <v>0</v>
      </c>
      <c r="BO381" s="21">
        <v>0</v>
      </c>
      <c r="BP381" s="21">
        <v>0</v>
      </c>
      <c r="BQ381" s="21">
        <v>0</v>
      </c>
      <c r="BR381" s="21">
        <v>0</v>
      </c>
      <c r="BS381" s="21">
        <v>0</v>
      </c>
      <c r="BT381" s="21">
        <v>0</v>
      </c>
      <c r="BU381" s="21">
        <v>0</v>
      </c>
      <c r="BV381" s="21">
        <v>0</v>
      </c>
      <c r="BW381" s="21">
        <v>0</v>
      </c>
      <c r="BX381" s="21">
        <v>0</v>
      </c>
      <c r="BY381" s="21">
        <v>0</v>
      </c>
      <c r="BZ381" s="21">
        <v>0</v>
      </c>
      <c r="CA381" s="21">
        <v>0</v>
      </c>
      <c r="CB381" s="21">
        <v>0</v>
      </c>
      <c r="CC381" s="21">
        <v>0</v>
      </c>
      <c r="CD381" s="21">
        <v>0</v>
      </c>
      <c r="CE381" s="21">
        <v>0</v>
      </c>
      <c r="CF381" s="21">
        <v>0</v>
      </c>
      <c r="CG381" s="21">
        <v>0</v>
      </c>
      <c r="CH381" s="21">
        <v>0</v>
      </c>
      <c r="CI381" s="21">
        <v>0</v>
      </c>
      <c r="CJ381" s="21">
        <v>0</v>
      </c>
      <c r="CK381" s="21">
        <v>0</v>
      </c>
      <c r="CL381" s="21">
        <v>0</v>
      </c>
      <c r="CM381" s="21">
        <v>0</v>
      </c>
      <c r="CN381" s="21">
        <v>0</v>
      </c>
      <c r="CO381" s="21">
        <v>0</v>
      </c>
      <c r="CP381" s="21">
        <v>0</v>
      </c>
      <c r="CQ381" s="21">
        <v>0</v>
      </c>
      <c r="CR381" s="21">
        <v>0</v>
      </c>
      <c r="CS381" s="21">
        <v>0</v>
      </c>
      <c r="CT381" s="21">
        <v>0</v>
      </c>
      <c r="CU381" s="21">
        <v>0</v>
      </c>
      <c r="CV381" s="21">
        <v>0</v>
      </c>
      <c r="CW381" s="21">
        <v>0</v>
      </c>
      <c r="CX381" s="21">
        <v>0</v>
      </c>
      <c r="CY381" s="21">
        <v>0</v>
      </c>
      <c r="CZ381" s="21">
        <v>0</v>
      </c>
      <c r="DA381" s="21">
        <v>0</v>
      </c>
      <c r="DB381" s="21">
        <v>0</v>
      </c>
      <c r="DC381" s="21">
        <v>0</v>
      </c>
      <c r="DD381" s="21">
        <v>0</v>
      </c>
      <c r="DE381" s="21">
        <v>0</v>
      </c>
      <c r="DF381" s="21">
        <v>0</v>
      </c>
      <c r="DG381" s="21">
        <v>0</v>
      </c>
      <c r="DH381" s="21">
        <v>0</v>
      </c>
      <c r="DI381" s="21">
        <v>0</v>
      </c>
      <c r="DJ381" s="21">
        <v>0</v>
      </c>
      <c r="DK381" s="21">
        <v>0</v>
      </c>
      <c r="DL381" s="21">
        <v>0</v>
      </c>
      <c r="DM381" s="21">
        <v>0</v>
      </c>
      <c r="DN381" s="21">
        <v>0</v>
      </c>
      <c r="DO381" s="21">
        <v>10</v>
      </c>
      <c r="DP381" s="21">
        <v>15</v>
      </c>
      <c r="DQ381" s="21">
        <v>25</v>
      </c>
      <c r="DR381" s="21">
        <v>0</v>
      </c>
      <c r="DS381" s="21">
        <v>0</v>
      </c>
      <c r="DT381" s="21">
        <v>0</v>
      </c>
      <c r="DU381" s="21">
        <v>0</v>
      </c>
      <c r="DV381" s="21">
        <v>0</v>
      </c>
      <c r="DW381" s="21">
        <v>0</v>
      </c>
      <c r="DX381" s="21">
        <v>0</v>
      </c>
      <c r="DY381" s="21">
        <v>0</v>
      </c>
      <c r="DZ381" s="21">
        <v>0</v>
      </c>
      <c r="EA381" s="21">
        <v>0</v>
      </c>
      <c r="EB381" s="21">
        <v>0</v>
      </c>
      <c r="EC381" s="21">
        <v>0</v>
      </c>
      <c r="ED381" s="21">
        <v>0</v>
      </c>
      <c r="EE381" s="21">
        <v>0</v>
      </c>
      <c r="EF381" s="21">
        <v>0</v>
      </c>
    </row>
    <row r="382" spans="1:136" ht="14.5" x14ac:dyDescent="0.35">
      <c r="A382" s="20" t="s">
        <v>12</v>
      </c>
      <c r="B382" s="20" t="s">
        <v>21</v>
      </c>
      <c r="C382" s="20" t="s">
        <v>21</v>
      </c>
      <c r="D382" s="20" t="s">
        <v>333</v>
      </c>
      <c r="E382" s="20" t="s">
        <v>14</v>
      </c>
      <c r="F382" s="20" t="s">
        <v>40</v>
      </c>
      <c r="G382" s="21">
        <v>0</v>
      </c>
      <c r="H382" s="21">
        <v>28</v>
      </c>
      <c r="I382" s="21">
        <v>0</v>
      </c>
      <c r="J382" s="21">
        <v>28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  <c r="W382" s="21">
        <v>0</v>
      </c>
      <c r="X382" s="21">
        <v>0</v>
      </c>
      <c r="Y382" s="21">
        <v>0</v>
      </c>
      <c r="Z382" s="21">
        <v>0</v>
      </c>
      <c r="AA382" s="21">
        <v>0</v>
      </c>
      <c r="AB382" s="21">
        <v>0</v>
      </c>
      <c r="AC382" s="21">
        <v>0</v>
      </c>
      <c r="AD382" s="21">
        <v>0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21">
        <v>0</v>
      </c>
      <c r="AO382" s="21">
        <v>0</v>
      </c>
      <c r="AP382" s="21">
        <v>0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0</v>
      </c>
      <c r="BB382" s="21">
        <v>0</v>
      </c>
      <c r="BC382" s="21">
        <v>0</v>
      </c>
      <c r="BD382" s="21">
        <v>0</v>
      </c>
      <c r="BE382" s="21">
        <v>0</v>
      </c>
      <c r="BF382" s="21">
        <v>0</v>
      </c>
      <c r="BG382" s="21">
        <v>0</v>
      </c>
      <c r="BH382" s="21">
        <v>0</v>
      </c>
      <c r="BI382" s="21">
        <v>0</v>
      </c>
      <c r="BJ382" s="21">
        <v>0</v>
      </c>
      <c r="BK382" s="21">
        <v>0</v>
      </c>
      <c r="BL382" s="21">
        <v>0</v>
      </c>
      <c r="BM382" s="21">
        <v>0</v>
      </c>
      <c r="BN382" s="21">
        <v>0</v>
      </c>
      <c r="BO382" s="21">
        <v>0</v>
      </c>
      <c r="BP382" s="21">
        <v>0</v>
      </c>
      <c r="BQ382" s="21">
        <v>0</v>
      </c>
      <c r="BR382" s="21">
        <v>0</v>
      </c>
      <c r="BS382" s="21">
        <v>0</v>
      </c>
      <c r="BT382" s="21">
        <v>0</v>
      </c>
      <c r="BU382" s="21">
        <v>0</v>
      </c>
      <c r="BV382" s="21">
        <v>0</v>
      </c>
      <c r="BW382" s="21">
        <v>0</v>
      </c>
      <c r="BX382" s="21">
        <v>0</v>
      </c>
      <c r="BY382" s="21">
        <v>0</v>
      </c>
      <c r="BZ382" s="21">
        <v>0</v>
      </c>
      <c r="CA382" s="21">
        <v>0</v>
      </c>
      <c r="CB382" s="21">
        <v>0</v>
      </c>
      <c r="CC382" s="21">
        <v>0</v>
      </c>
      <c r="CD382" s="21">
        <v>0</v>
      </c>
      <c r="CE382" s="21">
        <v>0</v>
      </c>
      <c r="CF382" s="21">
        <v>0</v>
      </c>
      <c r="CG382" s="21">
        <v>0</v>
      </c>
      <c r="CH382" s="21">
        <v>0</v>
      </c>
      <c r="CI382" s="21">
        <v>0</v>
      </c>
      <c r="CJ382" s="21">
        <v>0</v>
      </c>
      <c r="CK382" s="21">
        <v>0</v>
      </c>
      <c r="CL382" s="21">
        <v>0</v>
      </c>
      <c r="CM382" s="21">
        <v>0</v>
      </c>
      <c r="CN382" s="21">
        <v>0</v>
      </c>
      <c r="CO382" s="21">
        <v>0</v>
      </c>
      <c r="CP382" s="21">
        <v>0</v>
      </c>
      <c r="CQ382" s="21">
        <v>0</v>
      </c>
      <c r="CR382" s="21">
        <v>0</v>
      </c>
      <c r="CS382" s="21">
        <v>0</v>
      </c>
      <c r="CT382" s="21">
        <v>0</v>
      </c>
      <c r="CU382" s="21">
        <v>0</v>
      </c>
      <c r="CV382" s="21">
        <v>0</v>
      </c>
      <c r="CW382" s="21">
        <v>0</v>
      </c>
      <c r="CX382" s="21">
        <v>0</v>
      </c>
      <c r="CY382" s="21">
        <v>0</v>
      </c>
      <c r="CZ382" s="21">
        <v>0</v>
      </c>
      <c r="DA382" s="21">
        <v>0</v>
      </c>
      <c r="DB382" s="21">
        <v>0</v>
      </c>
      <c r="DC382" s="21">
        <v>0</v>
      </c>
      <c r="DD382" s="21">
        <v>0</v>
      </c>
      <c r="DE382" s="21">
        <v>0</v>
      </c>
      <c r="DF382" s="21">
        <v>0</v>
      </c>
      <c r="DG382" s="21">
        <v>0</v>
      </c>
      <c r="DH382" s="21">
        <v>0</v>
      </c>
      <c r="DI382" s="21">
        <v>0</v>
      </c>
      <c r="DJ382" s="21">
        <v>0</v>
      </c>
      <c r="DK382" s="21">
        <v>0</v>
      </c>
      <c r="DL382" s="21">
        <v>0</v>
      </c>
      <c r="DM382" s="21">
        <v>0</v>
      </c>
      <c r="DN382" s="21">
        <v>0</v>
      </c>
      <c r="DO382" s="21">
        <v>0</v>
      </c>
      <c r="DP382" s="21">
        <v>0</v>
      </c>
      <c r="DQ382" s="21">
        <v>0</v>
      </c>
      <c r="DR382" s="21">
        <v>0</v>
      </c>
      <c r="DS382" s="21">
        <v>0</v>
      </c>
      <c r="DT382" s="21">
        <v>0</v>
      </c>
      <c r="DU382" s="21">
        <v>0</v>
      </c>
      <c r="DV382" s="21">
        <v>0</v>
      </c>
      <c r="DW382" s="21">
        <v>0</v>
      </c>
      <c r="DX382" s="21">
        <v>0</v>
      </c>
      <c r="DY382" s="21">
        <v>0</v>
      </c>
      <c r="DZ382" s="21">
        <v>0</v>
      </c>
      <c r="EA382" s="21">
        <v>0</v>
      </c>
      <c r="EB382" s="21">
        <v>0</v>
      </c>
      <c r="EC382" s="21">
        <v>0</v>
      </c>
      <c r="ED382" s="21">
        <v>0</v>
      </c>
      <c r="EE382" s="21">
        <v>0</v>
      </c>
      <c r="EF382" s="21">
        <v>0</v>
      </c>
    </row>
    <row r="383" spans="1:136" ht="14.5" x14ac:dyDescent="0.35">
      <c r="A383" s="20" t="s">
        <v>12</v>
      </c>
      <c r="B383" s="20" t="s">
        <v>21</v>
      </c>
      <c r="C383" s="20" t="s">
        <v>21</v>
      </c>
      <c r="D383" s="20" t="s">
        <v>332</v>
      </c>
      <c r="E383" s="20" t="s">
        <v>14</v>
      </c>
      <c r="F383" s="20" t="s">
        <v>81</v>
      </c>
      <c r="G383" s="21">
        <v>0</v>
      </c>
      <c r="H383" s="21">
        <v>0</v>
      </c>
      <c r="I383" s="21">
        <v>705</v>
      </c>
      <c r="J383" s="21">
        <v>-705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  <c r="Q383" s="21">
        <v>0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  <c r="W383" s="21">
        <v>0</v>
      </c>
      <c r="X383" s="21">
        <v>0</v>
      </c>
      <c r="Y383" s="21">
        <v>0</v>
      </c>
      <c r="Z383" s="21">
        <v>0</v>
      </c>
      <c r="AA383" s="21">
        <v>0</v>
      </c>
      <c r="AB383" s="21">
        <v>0</v>
      </c>
      <c r="AC383" s="21">
        <v>0</v>
      </c>
      <c r="AD383" s="21">
        <v>0</v>
      </c>
      <c r="AE383" s="21">
        <v>0</v>
      </c>
      <c r="AF383" s="21">
        <v>0</v>
      </c>
      <c r="AG383" s="21">
        <v>0</v>
      </c>
      <c r="AH383" s="21">
        <v>0</v>
      </c>
      <c r="AI383" s="21">
        <v>0</v>
      </c>
      <c r="AJ383" s="21">
        <v>6</v>
      </c>
      <c r="AK383" s="21">
        <v>7.5</v>
      </c>
      <c r="AL383" s="21">
        <v>16</v>
      </c>
      <c r="AM383" s="21">
        <v>5.5</v>
      </c>
      <c r="AN383" s="21">
        <v>3</v>
      </c>
      <c r="AO383" s="21">
        <v>7</v>
      </c>
      <c r="AP383" s="21">
        <v>26</v>
      </c>
      <c r="AQ383" s="21">
        <v>24</v>
      </c>
      <c r="AR383" s="21">
        <v>29</v>
      </c>
      <c r="AS383" s="21">
        <v>5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0</v>
      </c>
      <c r="AZ383" s="21">
        <v>0</v>
      </c>
      <c r="BA383" s="21">
        <v>0</v>
      </c>
      <c r="BB383" s="21">
        <v>0</v>
      </c>
      <c r="BC383" s="21">
        <v>0</v>
      </c>
      <c r="BD383" s="21">
        <v>0</v>
      </c>
      <c r="BE383" s="21">
        <v>0</v>
      </c>
      <c r="BF383" s="21">
        <v>0</v>
      </c>
      <c r="BG383" s="21">
        <v>0</v>
      </c>
      <c r="BH383" s="21">
        <v>0</v>
      </c>
      <c r="BI383" s="21">
        <v>0</v>
      </c>
      <c r="BJ383" s="21">
        <v>0</v>
      </c>
      <c r="BK383" s="21">
        <v>0</v>
      </c>
      <c r="BL383" s="21">
        <v>0</v>
      </c>
      <c r="BM383" s="21">
        <v>0</v>
      </c>
      <c r="BN383" s="21">
        <v>0</v>
      </c>
      <c r="BO383" s="21">
        <v>0</v>
      </c>
      <c r="BP383" s="21">
        <v>0</v>
      </c>
      <c r="BQ383" s="21">
        <v>0</v>
      </c>
      <c r="BR383" s="21">
        <v>0</v>
      </c>
      <c r="BS383" s="21">
        <v>0</v>
      </c>
      <c r="BT383" s="21">
        <v>0</v>
      </c>
      <c r="BU383" s="21">
        <v>0</v>
      </c>
      <c r="BV383" s="21">
        <v>0</v>
      </c>
      <c r="BW383" s="21">
        <v>0</v>
      </c>
      <c r="BX383" s="21">
        <v>0</v>
      </c>
      <c r="BY383" s="21">
        <v>0</v>
      </c>
      <c r="BZ383" s="21">
        <v>0</v>
      </c>
      <c r="CA383" s="21">
        <v>0</v>
      </c>
      <c r="CB383" s="21">
        <v>0</v>
      </c>
      <c r="CC383" s="21">
        <v>0</v>
      </c>
      <c r="CD383" s="21">
        <v>0</v>
      </c>
      <c r="CE383" s="21">
        <v>0</v>
      </c>
      <c r="CF383" s="21">
        <v>0</v>
      </c>
      <c r="CG383" s="21">
        <v>0</v>
      </c>
      <c r="CH383" s="21">
        <v>0</v>
      </c>
      <c r="CI383" s="21">
        <v>0</v>
      </c>
      <c r="CJ383" s="21">
        <v>0</v>
      </c>
      <c r="CK383" s="21">
        <v>0</v>
      </c>
      <c r="CL383" s="21">
        <v>0</v>
      </c>
      <c r="CM383" s="21">
        <v>0</v>
      </c>
      <c r="CN383" s="21">
        <v>0</v>
      </c>
      <c r="CO383" s="21">
        <v>0</v>
      </c>
      <c r="CP383" s="21">
        <v>0</v>
      </c>
      <c r="CQ383" s="21">
        <v>0</v>
      </c>
      <c r="CR383" s="21">
        <v>0</v>
      </c>
      <c r="CS383" s="21">
        <v>45</v>
      </c>
      <c r="CT383" s="21">
        <v>49</v>
      </c>
      <c r="CU383" s="21">
        <v>50</v>
      </c>
      <c r="CV383" s="21">
        <v>8</v>
      </c>
      <c r="CW383" s="21">
        <v>2</v>
      </c>
      <c r="CX383" s="21">
        <v>6</v>
      </c>
      <c r="CY383" s="21">
        <v>32</v>
      </c>
      <c r="CZ383" s="21">
        <v>14</v>
      </c>
      <c r="DA383" s="21">
        <v>32</v>
      </c>
      <c r="DB383" s="21">
        <v>12</v>
      </c>
      <c r="DC383" s="21">
        <v>2</v>
      </c>
      <c r="DD383" s="21">
        <v>47</v>
      </c>
      <c r="DE383" s="21">
        <v>44</v>
      </c>
      <c r="DF383" s="21">
        <v>47</v>
      </c>
      <c r="DG383" s="21">
        <v>2</v>
      </c>
      <c r="DH383" s="21">
        <v>17</v>
      </c>
      <c r="DI383" s="21">
        <v>2</v>
      </c>
      <c r="DJ383" s="21">
        <v>0</v>
      </c>
      <c r="DK383" s="21">
        <v>25.5</v>
      </c>
      <c r="DL383" s="21">
        <v>32.5</v>
      </c>
      <c r="DM383" s="21">
        <v>22.5</v>
      </c>
      <c r="DN383" s="21">
        <v>35.5</v>
      </c>
      <c r="DO383" s="21">
        <v>19.5</v>
      </c>
      <c r="DP383" s="21">
        <v>16.5</v>
      </c>
      <c r="DQ383" s="21">
        <v>15.5</v>
      </c>
      <c r="DR383" s="21">
        <v>2.5</v>
      </c>
      <c r="DS383" s="21">
        <v>0</v>
      </c>
      <c r="DT383" s="21">
        <v>0</v>
      </c>
      <c r="DU383" s="21">
        <v>0</v>
      </c>
      <c r="DV383" s="21">
        <v>0</v>
      </c>
      <c r="DW383" s="21">
        <v>0</v>
      </c>
      <c r="DX383" s="21">
        <v>0</v>
      </c>
      <c r="DY383" s="21">
        <v>0</v>
      </c>
      <c r="DZ383" s="21">
        <v>0</v>
      </c>
      <c r="EA383" s="21">
        <v>0</v>
      </c>
      <c r="EB383" s="21">
        <v>0</v>
      </c>
      <c r="EC383" s="21">
        <v>0</v>
      </c>
      <c r="ED383" s="21">
        <v>0</v>
      </c>
      <c r="EE383" s="21">
        <v>0</v>
      </c>
      <c r="EF383" s="21">
        <v>0</v>
      </c>
    </row>
    <row r="384" spans="1:136" ht="14.5" x14ac:dyDescent="0.35">
      <c r="A384" s="20" t="s">
        <v>12</v>
      </c>
      <c r="B384" s="20" t="s">
        <v>21</v>
      </c>
      <c r="C384" s="20" t="s">
        <v>21</v>
      </c>
      <c r="D384" s="20" t="s">
        <v>333</v>
      </c>
      <c r="E384" s="20" t="s">
        <v>14</v>
      </c>
      <c r="F384" s="20" t="s">
        <v>81</v>
      </c>
      <c r="G384" s="21">
        <v>166.5</v>
      </c>
      <c r="H384" s="21">
        <v>534.5</v>
      </c>
      <c r="I384" s="21">
        <v>54.5</v>
      </c>
      <c r="J384" s="21">
        <v>480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  <c r="Q384" s="21">
        <v>0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  <c r="W384" s="21">
        <v>0</v>
      </c>
      <c r="X384" s="21">
        <v>0</v>
      </c>
      <c r="Y384" s="21">
        <v>0</v>
      </c>
      <c r="Z384" s="21">
        <v>0</v>
      </c>
      <c r="AA384" s="21">
        <v>0</v>
      </c>
      <c r="AB384" s="21">
        <v>0</v>
      </c>
      <c r="AC384" s="21">
        <v>0</v>
      </c>
      <c r="AD384" s="21">
        <v>4</v>
      </c>
      <c r="AE384" s="21">
        <v>8</v>
      </c>
      <c r="AF384" s="21">
        <v>14.5</v>
      </c>
      <c r="AG384" s="21">
        <v>0</v>
      </c>
      <c r="AH384" s="21">
        <v>6.5</v>
      </c>
      <c r="AI384" s="21">
        <v>16.5</v>
      </c>
      <c r="AJ384" s="21">
        <v>5</v>
      </c>
      <c r="AK384" s="21">
        <v>0</v>
      </c>
      <c r="AL384" s="21">
        <v>0</v>
      </c>
      <c r="AM384" s="21">
        <v>0</v>
      </c>
      <c r="AN384" s="21">
        <v>0</v>
      </c>
      <c r="AO384" s="21">
        <v>0</v>
      </c>
      <c r="AP384" s="21">
        <v>0</v>
      </c>
      <c r="AQ384" s="21">
        <v>0</v>
      </c>
      <c r="AR384" s="21">
        <v>0</v>
      </c>
      <c r="AS384" s="21">
        <v>0</v>
      </c>
      <c r="AT384" s="21">
        <v>0</v>
      </c>
      <c r="AU384" s="21">
        <v>0</v>
      </c>
      <c r="AV384" s="21">
        <v>0</v>
      </c>
      <c r="AW384" s="21">
        <v>0</v>
      </c>
      <c r="AX384" s="21">
        <v>0</v>
      </c>
      <c r="AY384" s="21">
        <v>0</v>
      </c>
      <c r="AZ384" s="21">
        <v>0</v>
      </c>
      <c r="BA384" s="21">
        <v>0</v>
      </c>
      <c r="BB384" s="21">
        <v>0</v>
      </c>
      <c r="BC384" s="21">
        <v>0</v>
      </c>
      <c r="BD384" s="21">
        <v>0</v>
      </c>
      <c r="BE384" s="21">
        <v>0</v>
      </c>
      <c r="BF384" s="21">
        <v>0</v>
      </c>
      <c r="BG384" s="21">
        <v>0</v>
      </c>
      <c r="BH384" s="21">
        <v>0</v>
      </c>
      <c r="BI384" s="21">
        <v>0</v>
      </c>
      <c r="BJ384" s="21">
        <v>0</v>
      </c>
      <c r="BK384" s="21">
        <v>0</v>
      </c>
      <c r="BL384" s="21">
        <v>0</v>
      </c>
      <c r="BM384" s="21">
        <v>0</v>
      </c>
      <c r="BN384" s="21">
        <v>0</v>
      </c>
      <c r="BO384" s="21">
        <v>0</v>
      </c>
      <c r="BP384" s="21">
        <v>0</v>
      </c>
      <c r="BQ384" s="21">
        <v>0</v>
      </c>
      <c r="BR384" s="21">
        <v>0</v>
      </c>
      <c r="BS384" s="21">
        <v>0</v>
      </c>
      <c r="BT384" s="21">
        <v>0</v>
      </c>
      <c r="BU384" s="21">
        <v>0</v>
      </c>
      <c r="BV384" s="21">
        <v>0</v>
      </c>
      <c r="BW384" s="21">
        <v>0</v>
      </c>
      <c r="BX384" s="21">
        <v>0</v>
      </c>
      <c r="BY384" s="21">
        <v>0</v>
      </c>
      <c r="BZ384" s="21">
        <v>0</v>
      </c>
      <c r="CA384" s="21">
        <v>0</v>
      </c>
      <c r="CB384" s="21">
        <v>0</v>
      </c>
      <c r="CC384" s="21">
        <v>0</v>
      </c>
      <c r="CD384" s="21">
        <v>0</v>
      </c>
      <c r="CE384" s="21">
        <v>0</v>
      </c>
      <c r="CF384" s="21">
        <v>0</v>
      </c>
      <c r="CG384" s="21">
        <v>0</v>
      </c>
      <c r="CH384" s="21">
        <v>0</v>
      </c>
      <c r="CI384" s="21">
        <v>0</v>
      </c>
      <c r="CJ384" s="21">
        <v>0</v>
      </c>
      <c r="CK384" s="21">
        <v>0</v>
      </c>
      <c r="CL384" s="21">
        <v>0</v>
      </c>
      <c r="CM384" s="21">
        <v>0</v>
      </c>
      <c r="CN384" s="21">
        <v>0</v>
      </c>
      <c r="CO384" s="21">
        <v>0</v>
      </c>
      <c r="CP384" s="21">
        <v>0</v>
      </c>
      <c r="CQ384" s="21">
        <v>0</v>
      </c>
      <c r="CR384" s="21">
        <v>0</v>
      </c>
      <c r="CS384" s="21">
        <v>0</v>
      </c>
      <c r="CT384" s="21">
        <v>0</v>
      </c>
      <c r="CU384" s="21">
        <v>0</v>
      </c>
      <c r="CV384" s="21">
        <v>0</v>
      </c>
      <c r="CW384" s="21">
        <v>0</v>
      </c>
      <c r="CX384" s="21">
        <v>0</v>
      </c>
      <c r="CY384" s="21">
        <v>0</v>
      </c>
      <c r="CZ384" s="21">
        <v>0</v>
      </c>
      <c r="DA384" s="21">
        <v>0</v>
      </c>
      <c r="DB384" s="21">
        <v>0</v>
      </c>
      <c r="DC384" s="21">
        <v>0</v>
      </c>
      <c r="DD384" s="21">
        <v>0</v>
      </c>
      <c r="DE384" s="21">
        <v>0</v>
      </c>
      <c r="DF384" s="21">
        <v>0</v>
      </c>
      <c r="DG384" s="21">
        <v>0</v>
      </c>
      <c r="DH384" s="21">
        <v>0</v>
      </c>
      <c r="DI384" s="21">
        <v>0</v>
      </c>
      <c r="DJ384" s="21">
        <v>0</v>
      </c>
      <c r="DK384" s="21">
        <v>0</v>
      </c>
      <c r="DL384" s="21">
        <v>0</v>
      </c>
      <c r="DM384" s="21">
        <v>0</v>
      </c>
      <c r="DN384" s="21">
        <v>0</v>
      </c>
      <c r="DO384" s="21">
        <v>0</v>
      </c>
      <c r="DP384" s="21">
        <v>0</v>
      </c>
      <c r="DQ384" s="21">
        <v>0</v>
      </c>
      <c r="DR384" s="21">
        <v>0</v>
      </c>
      <c r="DS384" s="21">
        <v>0</v>
      </c>
      <c r="DT384" s="21">
        <v>0</v>
      </c>
      <c r="DU384" s="21">
        <v>0</v>
      </c>
      <c r="DV384" s="21">
        <v>0</v>
      </c>
      <c r="DW384" s="21">
        <v>0</v>
      </c>
      <c r="DX384" s="21">
        <v>0</v>
      </c>
      <c r="DY384" s="21">
        <v>0</v>
      </c>
      <c r="DZ384" s="21">
        <v>0</v>
      </c>
      <c r="EA384" s="21">
        <v>0</v>
      </c>
      <c r="EB384" s="21">
        <v>0</v>
      </c>
      <c r="EC384" s="21">
        <v>0</v>
      </c>
      <c r="ED384" s="21">
        <v>0</v>
      </c>
      <c r="EE384" s="21">
        <v>0</v>
      </c>
      <c r="EF384" s="21">
        <v>0</v>
      </c>
    </row>
    <row r="385" spans="1:136" ht="14.5" x14ac:dyDescent="0.35">
      <c r="A385" s="20" t="s">
        <v>12</v>
      </c>
      <c r="B385" s="20" t="s">
        <v>21</v>
      </c>
      <c r="C385" s="20" t="s">
        <v>21</v>
      </c>
      <c r="D385" s="20" t="s">
        <v>333</v>
      </c>
      <c r="E385" s="20" t="s">
        <v>14</v>
      </c>
      <c r="F385" s="20" t="s">
        <v>81</v>
      </c>
      <c r="G385" s="21">
        <v>0</v>
      </c>
      <c r="H385" s="21">
        <v>0</v>
      </c>
      <c r="I385" s="21">
        <v>9</v>
      </c>
      <c r="J385" s="21">
        <v>-9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  <c r="W385" s="21">
        <v>0</v>
      </c>
      <c r="X385" s="21">
        <v>0</v>
      </c>
      <c r="Y385" s="21">
        <v>0</v>
      </c>
      <c r="Z385" s="21">
        <v>3</v>
      </c>
      <c r="AA385" s="21">
        <v>6</v>
      </c>
      <c r="AB385" s="21">
        <v>0</v>
      </c>
      <c r="AC385" s="21">
        <v>0</v>
      </c>
      <c r="AD385" s="21">
        <v>0</v>
      </c>
      <c r="AE385" s="21">
        <v>0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0</v>
      </c>
      <c r="AL385" s="21">
        <v>0</v>
      </c>
      <c r="AM385" s="21">
        <v>0</v>
      </c>
      <c r="AN385" s="21">
        <v>0</v>
      </c>
      <c r="AO385" s="21">
        <v>0</v>
      </c>
      <c r="AP385" s="21">
        <v>0</v>
      </c>
      <c r="AQ385" s="21">
        <v>0</v>
      </c>
      <c r="AR385" s="21">
        <v>0</v>
      </c>
      <c r="AS385" s="21">
        <v>0</v>
      </c>
      <c r="AT385" s="21">
        <v>0</v>
      </c>
      <c r="AU385" s="21">
        <v>0</v>
      </c>
      <c r="AV385" s="21">
        <v>0</v>
      </c>
      <c r="AW385" s="21">
        <v>0</v>
      </c>
      <c r="AX385" s="21">
        <v>0</v>
      </c>
      <c r="AY385" s="21">
        <v>0</v>
      </c>
      <c r="AZ385" s="21">
        <v>0</v>
      </c>
      <c r="BA385" s="21">
        <v>0</v>
      </c>
      <c r="BB385" s="21">
        <v>0</v>
      </c>
      <c r="BC385" s="21">
        <v>0</v>
      </c>
      <c r="BD385" s="21">
        <v>0</v>
      </c>
      <c r="BE385" s="21">
        <v>0</v>
      </c>
      <c r="BF385" s="21">
        <v>0</v>
      </c>
      <c r="BG385" s="21">
        <v>0</v>
      </c>
      <c r="BH385" s="21">
        <v>0</v>
      </c>
      <c r="BI385" s="21">
        <v>0</v>
      </c>
      <c r="BJ385" s="21">
        <v>0</v>
      </c>
      <c r="BK385" s="21">
        <v>0</v>
      </c>
      <c r="BL385" s="21">
        <v>0</v>
      </c>
      <c r="BM385" s="21">
        <v>0</v>
      </c>
      <c r="BN385" s="21">
        <v>0</v>
      </c>
      <c r="BO385" s="21">
        <v>0</v>
      </c>
      <c r="BP385" s="21">
        <v>0</v>
      </c>
      <c r="BQ385" s="21">
        <v>0</v>
      </c>
      <c r="BR385" s="21">
        <v>0</v>
      </c>
      <c r="BS385" s="21">
        <v>0</v>
      </c>
      <c r="BT385" s="21">
        <v>0</v>
      </c>
      <c r="BU385" s="21">
        <v>0</v>
      </c>
      <c r="BV385" s="21">
        <v>0</v>
      </c>
      <c r="BW385" s="21">
        <v>0</v>
      </c>
      <c r="BX385" s="21">
        <v>0</v>
      </c>
      <c r="BY385" s="21">
        <v>0</v>
      </c>
      <c r="BZ385" s="21">
        <v>0</v>
      </c>
      <c r="CA385" s="21">
        <v>0</v>
      </c>
      <c r="CB385" s="21">
        <v>0</v>
      </c>
      <c r="CC385" s="21">
        <v>0</v>
      </c>
      <c r="CD385" s="21">
        <v>0</v>
      </c>
      <c r="CE385" s="21">
        <v>0</v>
      </c>
      <c r="CF385" s="21">
        <v>0</v>
      </c>
      <c r="CG385" s="21">
        <v>0</v>
      </c>
      <c r="CH385" s="21">
        <v>0</v>
      </c>
      <c r="CI385" s="21">
        <v>0</v>
      </c>
      <c r="CJ385" s="21">
        <v>0</v>
      </c>
      <c r="CK385" s="21">
        <v>0</v>
      </c>
      <c r="CL385" s="21">
        <v>0</v>
      </c>
      <c r="CM385" s="21">
        <v>0</v>
      </c>
      <c r="CN385" s="21">
        <v>0</v>
      </c>
      <c r="CO385" s="21">
        <v>0</v>
      </c>
      <c r="CP385" s="21">
        <v>0</v>
      </c>
      <c r="CQ385" s="21">
        <v>0</v>
      </c>
      <c r="CR385" s="21">
        <v>0</v>
      </c>
      <c r="CS385" s="21">
        <v>0</v>
      </c>
      <c r="CT385" s="21">
        <v>0</v>
      </c>
      <c r="CU385" s="21">
        <v>0</v>
      </c>
      <c r="CV385" s="21">
        <v>0</v>
      </c>
      <c r="CW385" s="21">
        <v>0</v>
      </c>
      <c r="CX385" s="21">
        <v>0</v>
      </c>
      <c r="CY385" s="21">
        <v>0</v>
      </c>
      <c r="CZ385" s="21">
        <v>0</v>
      </c>
      <c r="DA385" s="21">
        <v>0</v>
      </c>
      <c r="DB385" s="21">
        <v>0</v>
      </c>
      <c r="DC385" s="21">
        <v>0</v>
      </c>
      <c r="DD385" s="21">
        <v>0</v>
      </c>
      <c r="DE385" s="21">
        <v>0</v>
      </c>
      <c r="DF385" s="21">
        <v>0</v>
      </c>
      <c r="DG385" s="21">
        <v>0</v>
      </c>
      <c r="DH385" s="21">
        <v>0</v>
      </c>
      <c r="DI385" s="21">
        <v>0</v>
      </c>
      <c r="DJ385" s="21">
        <v>0</v>
      </c>
      <c r="DK385" s="21">
        <v>0</v>
      </c>
      <c r="DL385" s="21">
        <v>0</v>
      </c>
      <c r="DM385" s="21">
        <v>0</v>
      </c>
      <c r="DN385" s="21">
        <v>0</v>
      </c>
      <c r="DO385" s="21">
        <v>0</v>
      </c>
      <c r="DP385" s="21">
        <v>0</v>
      </c>
      <c r="DQ385" s="21">
        <v>0</v>
      </c>
      <c r="DR385" s="21">
        <v>0</v>
      </c>
      <c r="DS385" s="21">
        <v>0</v>
      </c>
      <c r="DT385" s="21">
        <v>0</v>
      </c>
      <c r="DU385" s="21">
        <v>0</v>
      </c>
      <c r="DV385" s="21">
        <v>0</v>
      </c>
      <c r="DW385" s="21">
        <v>0</v>
      </c>
      <c r="DX385" s="21">
        <v>0</v>
      </c>
      <c r="DY385" s="21">
        <v>0</v>
      </c>
      <c r="DZ385" s="21">
        <v>0</v>
      </c>
      <c r="EA385" s="21">
        <v>0</v>
      </c>
      <c r="EB385" s="21">
        <v>0</v>
      </c>
      <c r="EC385" s="21">
        <v>0</v>
      </c>
      <c r="ED385" s="21">
        <v>0</v>
      </c>
      <c r="EE385" s="21">
        <v>0</v>
      </c>
      <c r="EF385" s="21">
        <v>0</v>
      </c>
    </row>
    <row r="386" spans="1:136" ht="14.5" x14ac:dyDescent="0.35">
      <c r="A386" s="20" t="s">
        <v>12</v>
      </c>
      <c r="B386" s="20" t="s">
        <v>21</v>
      </c>
      <c r="C386" s="20" t="s">
        <v>21</v>
      </c>
      <c r="D386" s="20" t="s">
        <v>333</v>
      </c>
      <c r="E386" s="20" t="s">
        <v>14</v>
      </c>
      <c r="F386" s="20" t="s">
        <v>90</v>
      </c>
      <c r="G386" s="21">
        <v>0</v>
      </c>
      <c r="H386" s="21">
        <v>0</v>
      </c>
      <c r="I386" s="21">
        <v>38.5</v>
      </c>
      <c r="J386" s="21">
        <v>-38.5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0</v>
      </c>
      <c r="T386" s="21">
        <v>0</v>
      </c>
      <c r="U386" s="21">
        <v>0</v>
      </c>
      <c r="V386" s="21">
        <v>0</v>
      </c>
      <c r="W386" s="21">
        <v>0</v>
      </c>
      <c r="X386" s="21">
        <v>0</v>
      </c>
      <c r="Y386" s="21">
        <v>4</v>
      </c>
      <c r="Z386" s="21">
        <v>15.5</v>
      </c>
      <c r="AA386" s="21">
        <v>19</v>
      </c>
      <c r="AB386" s="21">
        <v>0</v>
      </c>
      <c r="AC386" s="21">
        <v>0</v>
      </c>
      <c r="AD386" s="21">
        <v>0</v>
      </c>
      <c r="AE386" s="21">
        <v>0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21">
        <v>0</v>
      </c>
      <c r="AO386" s="21">
        <v>0</v>
      </c>
      <c r="AP386" s="21">
        <v>0</v>
      </c>
      <c r="AQ386" s="21">
        <v>0</v>
      </c>
      <c r="AR386" s="21">
        <v>0</v>
      </c>
      <c r="AS386" s="21">
        <v>0</v>
      </c>
      <c r="AT386" s="21">
        <v>0</v>
      </c>
      <c r="AU386" s="21">
        <v>0</v>
      </c>
      <c r="AV386" s="21">
        <v>0</v>
      </c>
      <c r="AW386" s="21">
        <v>0</v>
      </c>
      <c r="AX386" s="21">
        <v>0</v>
      </c>
      <c r="AY386" s="21">
        <v>0</v>
      </c>
      <c r="AZ386" s="21">
        <v>0</v>
      </c>
      <c r="BA386" s="21">
        <v>0</v>
      </c>
      <c r="BB386" s="21">
        <v>0</v>
      </c>
      <c r="BC386" s="21">
        <v>0</v>
      </c>
      <c r="BD386" s="21">
        <v>0</v>
      </c>
      <c r="BE386" s="21">
        <v>0</v>
      </c>
      <c r="BF386" s="21">
        <v>0</v>
      </c>
      <c r="BG386" s="21">
        <v>0</v>
      </c>
      <c r="BH386" s="21">
        <v>0</v>
      </c>
      <c r="BI386" s="21">
        <v>0</v>
      </c>
      <c r="BJ386" s="21">
        <v>0</v>
      </c>
      <c r="BK386" s="21">
        <v>0</v>
      </c>
      <c r="BL386" s="21">
        <v>0</v>
      </c>
      <c r="BM386" s="21">
        <v>0</v>
      </c>
      <c r="BN386" s="21">
        <v>0</v>
      </c>
      <c r="BO386" s="21">
        <v>0</v>
      </c>
      <c r="BP386" s="21">
        <v>0</v>
      </c>
      <c r="BQ386" s="21">
        <v>0</v>
      </c>
      <c r="BR386" s="21">
        <v>0</v>
      </c>
      <c r="BS386" s="21">
        <v>0</v>
      </c>
      <c r="BT386" s="21">
        <v>0</v>
      </c>
      <c r="BU386" s="21">
        <v>0</v>
      </c>
      <c r="BV386" s="21">
        <v>0</v>
      </c>
      <c r="BW386" s="21">
        <v>0</v>
      </c>
      <c r="BX386" s="21">
        <v>0</v>
      </c>
      <c r="BY386" s="21">
        <v>0</v>
      </c>
      <c r="BZ386" s="21">
        <v>0</v>
      </c>
      <c r="CA386" s="21">
        <v>0</v>
      </c>
      <c r="CB386" s="21">
        <v>0</v>
      </c>
      <c r="CC386" s="21">
        <v>0</v>
      </c>
      <c r="CD386" s="21">
        <v>0</v>
      </c>
      <c r="CE386" s="21">
        <v>0</v>
      </c>
      <c r="CF386" s="21">
        <v>0</v>
      </c>
      <c r="CG386" s="21">
        <v>0</v>
      </c>
      <c r="CH386" s="21">
        <v>0</v>
      </c>
      <c r="CI386" s="21">
        <v>0</v>
      </c>
      <c r="CJ386" s="21">
        <v>0</v>
      </c>
      <c r="CK386" s="21">
        <v>0</v>
      </c>
      <c r="CL386" s="21">
        <v>0</v>
      </c>
      <c r="CM386" s="21">
        <v>0</v>
      </c>
      <c r="CN386" s="21">
        <v>0</v>
      </c>
      <c r="CO386" s="21">
        <v>0</v>
      </c>
      <c r="CP386" s="21">
        <v>0</v>
      </c>
      <c r="CQ386" s="21">
        <v>0</v>
      </c>
      <c r="CR386" s="21">
        <v>0</v>
      </c>
      <c r="CS386" s="21">
        <v>0</v>
      </c>
      <c r="CT386" s="21">
        <v>0</v>
      </c>
      <c r="CU386" s="21">
        <v>0</v>
      </c>
      <c r="CV386" s="21">
        <v>0</v>
      </c>
      <c r="CW386" s="21">
        <v>0</v>
      </c>
      <c r="CX386" s="21">
        <v>0</v>
      </c>
      <c r="CY386" s="21">
        <v>0</v>
      </c>
      <c r="CZ386" s="21">
        <v>0</v>
      </c>
      <c r="DA386" s="21">
        <v>0</v>
      </c>
      <c r="DB386" s="21">
        <v>0</v>
      </c>
      <c r="DC386" s="21">
        <v>0</v>
      </c>
      <c r="DD386" s="21">
        <v>0</v>
      </c>
      <c r="DE386" s="21">
        <v>0</v>
      </c>
      <c r="DF386" s="21">
        <v>0</v>
      </c>
      <c r="DG386" s="21">
        <v>0</v>
      </c>
      <c r="DH386" s="21">
        <v>0</v>
      </c>
      <c r="DI386" s="21">
        <v>0</v>
      </c>
      <c r="DJ386" s="21">
        <v>0</v>
      </c>
      <c r="DK386" s="21">
        <v>0</v>
      </c>
      <c r="DL386" s="21">
        <v>0</v>
      </c>
      <c r="DM386" s="21">
        <v>0</v>
      </c>
      <c r="DN386" s="21">
        <v>0</v>
      </c>
      <c r="DO386" s="21">
        <v>0</v>
      </c>
      <c r="DP386" s="21">
        <v>0</v>
      </c>
      <c r="DQ386" s="21">
        <v>0</v>
      </c>
      <c r="DR386" s="21">
        <v>0</v>
      </c>
      <c r="DS386" s="21">
        <v>0</v>
      </c>
      <c r="DT386" s="21">
        <v>0</v>
      </c>
      <c r="DU386" s="21">
        <v>0</v>
      </c>
      <c r="DV386" s="21">
        <v>0</v>
      </c>
      <c r="DW386" s="21">
        <v>0</v>
      </c>
      <c r="DX386" s="21">
        <v>0</v>
      </c>
      <c r="DY386" s="21">
        <v>0</v>
      </c>
      <c r="DZ386" s="21">
        <v>0</v>
      </c>
      <c r="EA386" s="21">
        <v>0</v>
      </c>
      <c r="EB386" s="21">
        <v>0</v>
      </c>
      <c r="EC386" s="21">
        <v>0</v>
      </c>
      <c r="ED386" s="21">
        <v>0</v>
      </c>
      <c r="EE386" s="21">
        <v>0</v>
      </c>
      <c r="EF386" s="21">
        <v>0</v>
      </c>
    </row>
    <row r="387" spans="1:136" ht="14.5" x14ac:dyDescent="0.35">
      <c r="A387" s="20" t="s">
        <v>12</v>
      </c>
      <c r="B387" s="20" t="s">
        <v>21</v>
      </c>
      <c r="C387" s="20" t="s">
        <v>21</v>
      </c>
      <c r="D387" s="20" t="s">
        <v>332</v>
      </c>
      <c r="E387" s="20" t="s">
        <v>14</v>
      </c>
      <c r="F387" s="20" t="s">
        <v>43</v>
      </c>
      <c r="G387" s="21">
        <v>0</v>
      </c>
      <c r="H387" s="21">
        <v>0</v>
      </c>
      <c r="I387" s="21">
        <v>290.5</v>
      </c>
      <c r="J387" s="21">
        <v>-290.5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0</v>
      </c>
      <c r="S387" s="21">
        <v>0</v>
      </c>
      <c r="T387" s="21">
        <v>0</v>
      </c>
      <c r="U387" s="21">
        <v>0</v>
      </c>
      <c r="V387" s="21">
        <v>0</v>
      </c>
      <c r="W387" s="21">
        <v>0</v>
      </c>
      <c r="X387" s="21">
        <v>0</v>
      </c>
      <c r="Y387" s="21">
        <v>0</v>
      </c>
      <c r="Z387" s="21">
        <v>0</v>
      </c>
      <c r="AA387" s="21">
        <v>0</v>
      </c>
      <c r="AB387" s="21">
        <v>0</v>
      </c>
      <c r="AC387" s="21">
        <v>0</v>
      </c>
      <c r="AD387" s="21">
        <v>0</v>
      </c>
      <c r="AE387" s="21">
        <v>0</v>
      </c>
      <c r="AF387" s="21">
        <v>0</v>
      </c>
      <c r="AG387" s="21">
        <v>0</v>
      </c>
      <c r="AH387" s="21">
        <v>0</v>
      </c>
      <c r="AI387" s="21">
        <v>0</v>
      </c>
      <c r="AJ387" s="21">
        <v>1</v>
      </c>
      <c r="AK387" s="21">
        <v>0</v>
      </c>
      <c r="AL387" s="21">
        <v>8</v>
      </c>
      <c r="AM387" s="21">
        <v>11.5</v>
      </c>
      <c r="AN387" s="21">
        <v>3.5</v>
      </c>
      <c r="AO387" s="21">
        <v>0</v>
      </c>
      <c r="AP387" s="21">
        <v>8</v>
      </c>
      <c r="AQ387" s="21">
        <v>0.5</v>
      </c>
      <c r="AR387" s="21">
        <v>3</v>
      </c>
      <c r="AS387" s="21">
        <v>1</v>
      </c>
      <c r="AT387" s="21">
        <v>0</v>
      </c>
      <c r="AU387" s="21">
        <v>0</v>
      </c>
      <c r="AV387" s="21">
        <v>0</v>
      </c>
      <c r="AW387" s="21">
        <v>0</v>
      </c>
      <c r="AX387" s="21">
        <v>0</v>
      </c>
      <c r="AY387" s="21">
        <v>0</v>
      </c>
      <c r="AZ387" s="21">
        <v>0</v>
      </c>
      <c r="BA387" s="21">
        <v>0</v>
      </c>
      <c r="BB387" s="21">
        <v>0</v>
      </c>
      <c r="BC387" s="21">
        <v>0</v>
      </c>
      <c r="BD387" s="21">
        <v>0</v>
      </c>
      <c r="BE387" s="21">
        <v>0</v>
      </c>
      <c r="BF387" s="21">
        <v>0</v>
      </c>
      <c r="BG387" s="21">
        <v>0</v>
      </c>
      <c r="BH387" s="21">
        <v>0</v>
      </c>
      <c r="BI387" s="21">
        <v>0</v>
      </c>
      <c r="BJ387" s="21">
        <v>0</v>
      </c>
      <c r="BK387" s="21">
        <v>0</v>
      </c>
      <c r="BL387" s="21">
        <v>0</v>
      </c>
      <c r="BM387" s="21">
        <v>0</v>
      </c>
      <c r="BN387" s="21">
        <v>0</v>
      </c>
      <c r="BO387" s="21">
        <v>0</v>
      </c>
      <c r="BP387" s="21">
        <v>0</v>
      </c>
      <c r="BQ387" s="21">
        <v>0</v>
      </c>
      <c r="BR387" s="21">
        <v>0</v>
      </c>
      <c r="BS387" s="21">
        <v>0</v>
      </c>
      <c r="BT387" s="21">
        <v>0</v>
      </c>
      <c r="BU387" s="21">
        <v>0</v>
      </c>
      <c r="BV387" s="21">
        <v>0</v>
      </c>
      <c r="BW387" s="21">
        <v>0</v>
      </c>
      <c r="BX387" s="21">
        <v>0</v>
      </c>
      <c r="BY387" s="21">
        <v>0</v>
      </c>
      <c r="BZ387" s="21">
        <v>0</v>
      </c>
      <c r="CA387" s="21">
        <v>0</v>
      </c>
      <c r="CB387" s="21">
        <v>0</v>
      </c>
      <c r="CC387" s="21">
        <v>0</v>
      </c>
      <c r="CD387" s="21">
        <v>0</v>
      </c>
      <c r="CE387" s="21">
        <v>0</v>
      </c>
      <c r="CF387" s="21">
        <v>0</v>
      </c>
      <c r="CG387" s="21">
        <v>0</v>
      </c>
      <c r="CH387" s="21">
        <v>0</v>
      </c>
      <c r="CI387" s="21">
        <v>0</v>
      </c>
      <c r="CJ387" s="21">
        <v>0</v>
      </c>
      <c r="CK387" s="21">
        <v>0</v>
      </c>
      <c r="CL387" s="21">
        <v>0</v>
      </c>
      <c r="CM387" s="21">
        <v>0</v>
      </c>
      <c r="CN387" s="21">
        <v>0</v>
      </c>
      <c r="CO387" s="21">
        <v>0</v>
      </c>
      <c r="CP387" s="21">
        <v>0</v>
      </c>
      <c r="CQ387" s="21">
        <v>0</v>
      </c>
      <c r="CR387" s="21">
        <v>0</v>
      </c>
      <c r="CS387" s="21">
        <v>20</v>
      </c>
      <c r="CT387" s="21">
        <v>15</v>
      </c>
      <c r="CU387" s="21">
        <v>15</v>
      </c>
      <c r="CV387" s="21">
        <v>10</v>
      </c>
      <c r="CW387" s="21">
        <v>10</v>
      </c>
      <c r="CX387" s="21">
        <v>10</v>
      </c>
      <c r="CY387" s="21">
        <v>5</v>
      </c>
      <c r="CZ387" s="21">
        <v>5</v>
      </c>
      <c r="DA387" s="21">
        <v>5</v>
      </c>
      <c r="DB387" s="21">
        <v>10</v>
      </c>
      <c r="DC387" s="21">
        <v>20</v>
      </c>
      <c r="DD387" s="21">
        <v>20</v>
      </c>
      <c r="DE387" s="21">
        <v>20</v>
      </c>
      <c r="DF387" s="21">
        <v>20</v>
      </c>
      <c r="DG387" s="21">
        <v>20</v>
      </c>
      <c r="DH387" s="21">
        <v>20</v>
      </c>
      <c r="DI387" s="21">
        <v>15</v>
      </c>
      <c r="DJ387" s="21">
        <v>15</v>
      </c>
      <c r="DK387" s="21">
        <v>0</v>
      </c>
      <c r="DL387" s="21">
        <v>0</v>
      </c>
      <c r="DM387" s="21">
        <v>0</v>
      </c>
      <c r="DN387" s="21">
        <v>0</v>
      </c>
      <c r="DO387" s="21">
        <v>0</v>
      </c>
      <c r="DP387" s="21">
        <v>0</v>
      </c>
      <c r="DQ387" s="21">
        <v>0</v>
      </c>
      <c r="DR387" s="21">
        <v>0</v>
      </c>
      <c r="DS387" s="21">
        <v>0</v>
      </c>
      <c r="DT387" s="21">
        <v>0</v>
      </c>
      <c r="DU387" s="21">
        <v>0</v>
      </c>
      <c r="DV387" s="21">
        <v>0</v>
      </c>
      <c r="DW387" s="21">
        <v>0</v>
      </c>
      <c r="DX387" s="21">
        <v>0</v>
      </c>
      <c r="DY387" s="21">
        <v>0</v>
      </c>
      <c r="DZ387" s="21">
        <v>0</v>
      </c>
      <c r="EA387" s="21">
        <v>0</v>
      </c>
      <c r="EB387" s="21">
        <v>0</v>
      </c>
      <c r="EC387" s="21">
        <v>0</v>
      </c>
      <c r="ED387" s="21">
        <v>0</v>
      </c>
      <c r="EE387" s="21">
        <v>0</v>
      </c>
      <c r="EF387" s="21">
        <v>0</v>
      </c>
    </row>
    <row r="388" spans="1:136" ht="14.5" x14ac:dyDescent="0.35">
      <c r="A388" s="20" t="s">
        <v>12</v>
      </c>
      <c r="B388" s="20" t="s">
        <v>21</v>
      </c>
      <c r="C388" s="20" t="s">
        <v>21</v>
      </c>
      <c r="D388" s="20" t="s">
        <v>333</v>
      </c>
      <c r="E388" s="20" t="s">
        <v>14</v>
      </c>
      <c r="F388" s="20" t="s">
        <v>43</v>
      </c>
      <c r="G388" s="21">
        <v>40</v>
      </c>
      <c r="H388" s="21">
        <v>394</v>
      </c>
      <c r="I388" s="21">
        <v>14</v>
      </c>
      <c r="J388" s="21">
        <v>380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0</v>
      </c>
      <c r="S388" s="21">
        <v>0</v>
      </c>
      <c r="T388" s="21">
        <v>0</v>
      </c>
      <c r="U388" s="21">
        <v>0</v>
      </c>
      <c r="V388" s="21">
        <v>0</v>
      </c>
      <c r="W388" s="21">
        <v>0</v>
      </c>
      <c r="X388" s="21">
        <v>0</v>
      </c>
      <c r="Y388" s="21">
        <v>0</v>
      </c>
      <c r="Z388" s="21">
        <v>0</v>
      </c>
      <c r="AA388" s="21">
        <v>0</v>
      </c>
      <c r="AB388" s="21">
        <v>0</v>
      </c>
      <c r="AC388" s="21">
        <v>0</v>
      </c>
      <c r="AD388" s="21">
        <v>0</v>
      </c>
      <c r="AE388" s="21">
        <v>0</v>
      </c>
      <c r="AF388" s="21">
        <v>0</v>
      </c>
      <c r="AG388" s="21">
        <v>8</v>
      </c>
      <c r="AH388" s="21">
        <v>3</v>
      </c>
      <c r="AI388" s="21">
        <v>1</v>
      </c>
      <c r="AJ388" s="21">
        <v>2</v>
      </c>
      <c r="AK388" s="21">
        <v>0</v>
      </c>
      <c r="AL388" s="21">
        <v>0</v>
      </c>
      <c r="AM388" s="21">
        <v>0</v>
      </c>
      <c r="AN388" s="21">
        <v>0</v>
      </c>
      <c r="AO388" s="21">
        <v>0</v>
      </c>
      <c r="AP388" s="21">
        <v>0</v>
      </c>
      <c r="AQ388" s="21">
        <v>0</v>
      </c>
      <c r="AR388" s="21">
        <v>0</v>
      </c>
      <c r="AS388" s="21">
        <v>0</v>
      </c>
      <c r="AT388" s="21">
        <v>0</v>
      </c>
      <c r="AU388" s="21">
        <v>0</v>
      </c>
      <c r="AV388" s="21">
        <v>0</v>
      </c>
      <c r="AW388" s="21">
        <v>0</v>
      </c>
      <c r="AX388" s="21">
        <v>0</v>
      </c>
      <c r="AY388" s="21">
        <v>0</v>
      </c>
      <c r="AZ388" s="21">
        <v>0</v>
      </c>
      <c r="BA388" s="21">
        <v>0</v>
      </c>
      <c r="BB388" s="21">
        <v>0</v>
      </c>
      <c r="BC388" s="21">
        <v>0</v>
      </c>
      <c r="BD388" s="21">
        <v>0</v>
      </c>
      <c r="BE388" s="21">
        <v>0</v>
      </c>
      <c r="BF388" s="21">
        <v>0</v>
      </c>
      <c r="BG388" s="21">
        <v>0</v>
      </c>
      <c r="BH388" s="21">
        <v>0</v>
      </c>
      <c r="BI388" s="21">
        <v>0</v>
      </c>
      <c r="BJ388" s="21">
        <v>0</v>
      </c>
      <c r="BK388" s="21">
        <v>0</v>
      </c>
      <c r="BL388" s="21">
        <v>0</v>
      </c>
      <c r="BM388" s="21">
        <v>0</v>
      </c>
      <c r="BN388" s="21">
        <v>0</v>
      </c>
      <c r="BO388" s="21">
        <v>0</v>
      </c>
      <c r="BP388" s="21">
        <v>0</v>
      </c>
      <c r="BQ388" s="21">
        <v>0</v>
      </c>
      <c r="BR388" s="21">
        <v>0</v>
      </c>
      <c r="BS388" s="21">
        <v>0</v>
      </c>
      <c r="BT388" s="21">
        <v>0</v>
      </c>
      <c r="BU388" s="21">
        <v>0</v>
      </c>
      <c r="BV388" s="21">
        <v>0</v>
      </c>
      <c r="BW388" s="21">
        <v>0</v>
      </c>
      <c r="BX388" s="21">
        <v>0</v>
      </c>
      <c r="BY388" s="21">
        <v>0</v>
      </c>
      <c r="BZ388" s="21">
        <v>0</v>
      </c>
      <c r="CA388" s="21">
        <v>0</v>
      </c>
      <c r="CB388" s="21">
        <v>0</v>
      </c>
      <c r="CC388" s="21">
        <v>0</v>
      </c>
      <c r="CD388" s="21">
        <v>0</v>
      </c>
      <c r="CE388" s="21">
        <v>0</v>
      </c>
      <c r="CF388" s="21">
        <v>0</v>
      </c>
      <c r="CG388" s="21">
        <v>0</v>
      </c>
      <c r="CH388" s="21">
        <v>0</v>
      </c>
      <c r="CI388" s="21">
        <v>0</v>
      </c>
      <c r="CJ388" s="21">
        <v>0</v>
      </c>
      <c r="CK388" s="21">
        <v>0</v>
      </c>
      <c r="CL388" s="21">
        <v>0</v>
      </c>
      <c r="CM388" s="21">
        <v>0</v>
      </c>
      <c r="CN388" s="21">
        <v>0</v>
      </c>
      <c r="CO388" s="21">
        <v>0</v>
      </c>
      <c r="CP388" s="21">
        <v>0</v>
      </c>
      <c r="CQ388" s="21">
        <v>0</v>
      </c>
      <c r="CR388" s="21">
        <v>0</v>
      </c>
      <c r="CS388" s="21">
        <v>0</v>
      </c>
      <c r="CT388" s="21">
        <v>0</v>
      </c>
      <c r="CU388" s="21">
        <v>0</v>
      </c>
      <c r="CV388" s="21">
        <v>0</v>
      </c>
      <c r="CW388" s="21">
        <v>0</v>
      </c>
      <c r="CX388" s="21">
        <v>0</v>
      </c>
      <c r="CY388" s="21">
        <v>0</v>
      </c>
      <c r="CZ388" s="21">
        <v>0</v>
      </c>
      <c r="DA388" s="21">
        <v>0</v>
      </c>
      <c r="DB388" s="21">
        <v>0</v>
      </c>
      <c r="DC388" s="21">
        <v>0</v>
      </c>
      <c r="DD388" s="21">
        <v>0</v>
      </c>
      <c r="DE388" s="21">
        <v>0</v>
      </c>
      <c r="DF388" s="21">
        <v>0</v>
      </c>
      <c r="DG388" s="21">
        <v>0</v>
      </c>
      <c r="DH388" s="21">
        <v>0</v>
      </c>
      <c r="DI388" s="21">
        <v>0</v>
      </c>
      <c r="DJ388" s="21">
        <v>0</v>
      </c>
      <c r="DK388" s="21">
        <v>0</v>
      </c>
      <c r="DL388" s="21">
        <v>0</v>
      </c>
      <c r="DM388" s="21">
        <v>0</v>
      </c>
      <c r="DN388" s="21">
        <v>0</v>
      </c>
      <c r="DO388" s="21">
        <v>0</v>
      </c>
      <c r="DP388" s="21">
        <v>0</v>
      </c>
      <c r="DQ388" s="21">
        <v>0</v>
      </c>
      <c r="DR388" s="21">
        <v>0</v>
      </c>
      <c r="DS388" s="21">
        <v>0</v>
      </c>
      <c r="DT388" s="21">
        <v>0</v>
      </c>
      <c r="DU388" s="21">
        <v>0</v>
      </c>
      <c r="DV388" s="21">
        <v>0</v>
      </c>
      <c r="DW388" s="21">
        <v>0</v>
      </c>
      <c r="DX388" s="21">
        <v>0</v>
      </c>
      <c r="DY388" s="21">
        <v>0</v>
      </c>
      <c r="DZ388" s="21">
        <v>0</v>
      </c>
      <c r="EA388" s="21">
        <v>0</v>
      </c>
      <c r="EB388" s="21">
        <v>0</v>
      </c>
      <c r="EC388" s="21">
        <v>0</v>
      </c>
      <c r="ED388" s="21">
        <v>0</v>
      </c>
      <c r="EE388" s="21">
        <v>0</v>
      </c>
      <c r="EF388" s="21">
        <v>0</v>
      </c>
    </row>
    <row r="389" spans="1:136" ht="14.5" x14ac:dyDescent="0.35">
      <c r="A389" s="20" t="s">
        <v>12</v>
      </c>
      <c r="B389" s="20" t="s">
        <v>21</v>
      </c>
      <c r="C389" s="20" t="s">
        <v>21</v>
      </c>
      <c r="D389" s="20" t="s">
        <v>332</v>
      </c>
      <c r="E389" s="20" t="s">
        <v>14</v>
      </c>
      <c r="F389" s="20" t="s">
        <v>96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>
        <v>0</v>
      </c>
      <c r="T389" s="21">
        <v>0</v>
      </c>
      <c r="U389" s="21">
        <v>0</v>
      </c>
      <c r="V389" s="21">
        <v>0</v>
      </c>
      <c r="W389" s="21">
        <v>0</v>
      </c>
      <c r="X389" s="21">
        <v>0</v>
      </c>
      <c r="Y389" s="21">
        <v>0</v>
      </c>
      <c r="Z389" s="21">
        <v>0</v>
      </c>
      <c r="AA389" s="21">
        <v>0</v>
      </c>
      <c r="AB389" s="21">
        <v>0</v>
      </c>
      <c r="AC389" s="21">
        <v>0</v>
      </c>
      <c r="AD389" s="21">
        <v>0</v>
      </c>
      <c r="AE389" s="21">
        <v>0</v>
      </c>
      <c r="AF389" s="21">
        <v>0</v>
      </c>
      <c r="AG389" s="21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1">
        <v>0</v>
      </c>
      <c r="AN389" s="21">
        <v>0</v>
      </c>
      <c r="AO389" s="21">
        <v>0</v>
      </c>
      <c r="AP389" s="21">
        <v>0</v>
      </c>
      <c r="AQ389" s="21">
        <v>0</v>
      </c>
      <c r="AR389" s="21">
        <v>0</v>
      </c>
      <c r="AS389" s="21">
        <v>0</v>
      </c>
      <c r="AT389" s="21">
        <v>0</v>
      </c>
      <c r="AU389" s="21">
        <v>0</v>
      </c>
      <c r="AV389" s="21">
        <v>0</v>
      </c>
      <c r="AW389" s="21">
        <v>0</v>
      </c>
      <c r="AX389" s="21">
        <v>0</v>
      </c>
      <c r="AY389" s="21">
        <v>0</v>
      </c>
      <c r="AZ389" s="21">
        <v>0</v>
      </c>
      <c r="BA389" s="21">
        <v>0</v>
      </c>
      <c r="BB389" s="21">
        <v>0</v>
      </c>
      <c r="BC389" s="21">
        <v>0</v>
      </c>
      <c r="BD389" s="21">
        <v>0</v>
      </c>
      <c r="BE389" s="21">
        <v>0</v>
      </c>
      <c r="BF389" s="21">
        <v>0</v>
      </c>
      <c r="BG389" s="21">
        <v>0</v>
      </c>
      <c r="BH389" s="21">
        <v>0</v>
      </c>
      <c r="BI389" s="21">
        <v>0</v>
      </c>
      <c r="BJ389" s="21">
        <v>0</v>
      </c>
      <c r="BK389" s="21">
        <v>0</v>
      </c>
      <c r="BL389" s="21">
        <v>0</v>
      </c>
      <c r="BM389" s="21">
        <v>0</v>
      </c>
      <c r="BN389" s="21">
        <v>0</v>
      </c>
      <c r="BO389" s="21">
        <v>0</v>
      </c>
      <c r="BP389" s="21">
        <v>0</v>
      </c>
      <c r="BQ389" s="21">
        <v>0</v>
      </c>
      <c r="BR389" s="21">
        <v>0</v>
      </c>
      <c r="BS389" s="21">
        <v>0</v>
      </c>
      <c r="BT389" s="21">
        <v>0</v>
      </c>
      <c r="BU389" s="21">
        <v>0</v>
      </c>
      <c r="BV389" s="21">
        <v>0</v>
      </c>
      <c r="BW389" s="21">
        <v>0</v>
      </c>
      <c r="BX389" s="21">
        <v>0</v>
      </c>
      <c r="BY389" s="21">
        <v>0</v>
      </c>
      <c r="BZ389" s="21">
        <v>0</v>
      </c>
      <c r="CA389" s="21">
        <v>0</v>
      </c>
      <c r="CB389" s="21">
        <v>0</v>
      </c>
      <c r="CC389" s="21">
        <v>0</v>
      </c>
      <c r="CD389" s="21">
        <v>0</v>
      </c>
      <c r="CE389" s="21">
        <v>0</v>
      </c>
      <c r="CF389" s="21">
        <v>0</v>
      </c>
      <c r="CG389" s="21">
        <v>0</v>
      </c>
      <c r="CH389" s="21">
        <v>0</v>
      </c>
      <c r="CI389" s="21">
        <v>0</v>
      </c>
      <c r="CJ389" s="21">
        <v>0</v>
      </c>
      <c r="CK389" s="21">
        <v>0</v>
      </c>
      <c r="CL389" s="21">
        <v>0</v>
      </c>
      <c r="CM389" s="21">
        <v>0</v>
      </c>
      <c r="CN389" s="21">
        <v>0</v>
      </c>
      <c r="CO389" s="21">
        <v>0</v>
      </c>
      <c r="CP389" s="21">
        <v>0</v>
      </c>
      <c r="CQ389" s="21">
        <v>0</v>
      </c>
      <c r="CR389" s="21">
        <v>0</v>
      </c>
      <c r="CS389" s="21">
        <v>0</v>
      </c>
      <c r="CT389" s="21">
        <v>0</v>
      </c>
      <c r="CU389" s="21">
        <v>0</v>
      </c>
      <c r="CV389" s="21">
        <v>0</v>
      </c>
      <c r="CW389" s="21">
        <v>0</v>
      </c>
      <c r="CX389" s="21">
        <v>0</v>
      </c>
      <c r="CY389" s="21">
        <v>0</v>
      </c>
      <c r="CZ389" s="21">
        <v>0</v>
      </c>
      <c r="DA389" s="21">
        <v>0</v>
      </c>
      <c r="DB389" s="21">
        <v>0</v>
      </c>
      <c r="DC389" s="21">
        <v>0</v>
      </c>
      <c r="DD389" s="21">
        <v>0</v>
      </c>
      <c r="DE389" s="21">
        <v>0</v>
      </c>
      <c r="DF389" s="21">
        <v>0</v>
      </c>
      <c r="DG389" s="21">
        <v>0</v>
      </c>
      <c r="DH389" s="21">
        <v>0</v>
      </c>
      <c r="DI389" s="21">
        <v>0</v>
      </c>
      <c r="DJ389" s="21">
        <v>0</v>
      </c>
      <c r="DK389" s="21">
        <v>0</v>
      </c>
      <c r="DL389" s="21">
        <v>0</v>
      </c>
      <c r="DM389" s="21">
        <v>0</v>
      </c>
      <c r="DN389" s="21">
        <v>0</v>
      </c>
      <c r="DO389" s="21">
        <v>0</v>
      </c>
      <c r="DP389" s="21">
        <v>0</v>
      </c>
      <c r="DQ389" s="21">
        <v>0</v>
      </c>
      <c r="DR389" s="21">
        <v>0</v>
      </c>
      <c r="DS389" s="21">
        <v>0</v>
      </c>
      <c r="DT389" s="21">
        <v>0</v>
      </c>
      <c r="DU389" s="21">
        <v>0</v>
      </c>
      <c r="DV389" s="21">
        <v>0</v>
      </c>
      <c r="DW389" s="21">
        <v>0</v>
      </c>
      <c r="DX389" s="21">
        <v>0</v>
      </c>
      <c r="DY389" s="21">
        <v>0</v>
      </c>
      <c r="DZ389" s="21">
        <v>0</v>
      </c>
      <c r="EA389" s="21">
        <v>0</v>
      </c>
      <c r="EB389" s="21">
        <v>0</v>
      </c>
      <c r="EC389" s="21">
        <v>0</v>
      </c>
      <c r="ED389" s="21">
        <v>0</v>
      </c>
      <c r="EE389" s="21">
        <v>0</v>
      </c>
      <c r="EF389" s="21">
        <v>0</v>
      </c>
    </row>
    <row r="390" spans="1:136" ht="14.5" x14ac:dyDescent="0.35">
      <c r="A390" s="20" t="s">
        <v>12</v>
      </c>
      <c r="B390" s="20" t="s">
        <v>21</v>
      </c>
      <c r="C390" s="20" t="s">
        <v>21</v>
      </c>
      <c r="D390" s="20" t="s">
        <v>333</v>
      </c>
      <c r="E390" s="20" t="s">
        <v>14</v>
      </c>
      <c r="F390" s="20" t="s">
        <v>96</v>
      </c>
      <c r="G390" s="21">
        <v>16</v>
      </c>
      <c r="H390" s="21">
        <v>16</v>
      </c>
      <c r="I390" s="21">
        <v>16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  <c r="Q390" s="21">
        <v>0</v>
      </c>
      <c r="R390" s="21">
        <v>0</v>
      </c>
      <c r="S390" s="21">
        <v>0</v>
      </c>
      <c r="T390" s="21">
        <v>0</v>
      </c>
      <c r="U390" s="21">
        <v>0</v>
      </c>
      <c r="V390" s="21">
        <v>0</v>
      </c>
      <c r="W390" s="21">
        <v>0</v>
      </c>
      <c r="X390" s="21">
        <v>0</v>
      </c>
      <c r="Y390" s="21">
        <v>0</v>
      </c>
      <c r="Z390" s="21">
        <v>0</v>
      </c>
      <c r="AA390" s="21">
        <v>0</v>
      </c>
      <c r="AB390" s="21">
        <v>0</v>
      </c>
      <c r="AC390" s="21">
        <v>7</v>
      </c>
      <c r="AD390" s="21">
        <v>9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21">
        <v>0</v>
      </c>
      <c r="AO390" s="21">
        <v>0</v>
      </c>
      <c r="AP390" s="21">
        <v>0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1">
        <v>0</v>
      </c>
      <c r="AZ390" s="21">
        <v>0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0</v>
      </c>
      <c r="BH390" s="21">
        <v>0</v>
      </c>
      <c r="BI390" s="21">
        <v>0</v>
      </c>
      <c r="BJ390" s="21">
        <v>0</v>
      </c>
      <c r="BK390" s="21">
        <v>0</v>
      </c>
      <c r="BL390" s="21">
        <v>0</v>
      </c>
      <c r="BM390" s="21">
        <v>0</v>
      </c>
      <c r="BN390" s="21">
        <v>0</v>
      </c>
      <c r="BO390" s="21">
        <v>0</v>
      </c>
      <c r="BP390" s="21">
        <v>0</v>
      </c>
      <c r="BQ390" s="21">
        <v>0</v>
      </c>
      <c r="BR390" s="21">
        <v>0</v>
      </c>
      <c r="BS390" s="21">
        <v>0</v>
      </c>
      <c r="BT390" s="21">
        <v>0</v>
      </c>
      <c r="BU390" s="21">
        <v>0</v>
      </c>
      <c r="BV390" s="21">
        <v>0</v>
      </c>
      <c r="BW390" s="21">
        <v>0</v>
      </c>
      <c r="BX390" s="21">
        <v>0</v>
      </c>
      <c r="BY390" s="21">
        <v>0</v>
      </c>
      <c r="BZ390" s="21">
        <v>0</v>
      </c>
      <c r="CA390" s="21">
        <v>0</v>
      </c>
      <c r="CB390" s="21">
        <v>0</v>
      </c>
      <c r="CC390" s="21">
        <v>0</v>
      </c>
      <c r="CD390" s="21">
        <v>0</v>
      </c>
      <c r="CE390" s="21">
        <v>0</v>
      </c>
      <c r="CF390" s="21">
        <v>0</v>
      </c>
      <c r="CG390" s="21">
        <v>0</v>
      </c>
      <c r="CH390" s="21">
        <v>0</v>
      </c>
      <c r="CI390" s="21">
        <v>0</v>
      </c>
      <c r="CJ390" s="21">
        <v>0</v>
      </c>
      <c r="CK390" s="21">
        <v>0</v>
      </c>
      <c r="CL390" s="21">
        <v>0</v>
      </c>
      <c r="CM390" s="21">
        <v>0</v>
      </c>
      <c r="CN390" s="21">
        <v>0</v>
      </c>
      <c r="CO390" s="21">
        <v>0</v>
      </c>
      <c r="CP390" s="21">
        <v>0</v>
      </c>
      <c r="CQ390" s="21">
        <v>0</v>
      </c>
      <c r="CR390" s="21">
        <v>0</v>
      </c>
      <c r="CS390" s="21">
        <v>0</v>
      </c>
      <c r="CT390" s="21">
        <v>0</v>
      </c>
      <c r="CU390" s="21">
        <v>0</v>
      </c>
      <c r="CV390" s="21">
        <v>0</v>
      </c>
      <c r="CW390" s="21">
        <v>0</v>
      </c>
      <c r="CX390" s="21">
        <v>0</v>
      </c>
      <c r="CY390" s="21">
        <v>0</v>
      </c>
      <c r="CZ390" s="21">
        <v>0</v>
      </c>
      <c r="DA390" s="21">
        <v>0</v>
      </c>
      <c r="DB390" s="21">
        <v>0</v>
      </c>
      <c r="DC390" s="21">
        <v>0</v>
      </c>
      <c r="DD390" s="21">
        <v>0</v>
      </c>
      <c r="DE390" s="21">
        <v>0</v>
      </c>
      <c r="DF390" s="21">
        <v>0</v>
      </c>
      <c r="DG390" s="21">
        <v>0</v>
      </c>
      <c r="DH390" s="21">
        <v>0</v>
      </c>
      <c r="DI390" s="21">
        <v>0</v>
      </c>
      <c r="DJ390" s="21">
        <v>0</v>
      </c>
      <c r="DK390" s="21">
        <v>0</v>
      </c>
      <c r="DL390" s="21">
        <v>0</v>
      </c>
      <c r="DM390" s="21">
        <v>0</v>
      </c>
      <c r="DN390" s="21">
        <v>0</v>
      </c>
      <c r="DO390" s="21">
        <v>0</v>
      </c>
      <c r="DP390" s="21">
        <v>0</v>
      </c>
      <c r="DQ390" s="21">
        <v>0</v>
      </c>
      <c r="DR390" s="21">
        <v>0</v>
      </c>
      <c r="DS390" s="21">
        <v>0</v>
      </c>
      <c r="DT390" s="21">
        <v>0</v>
      </c>
      <c r="DU390" s="21">
        <v>0</v>
      </c>
      <c r="DV390" s="21">
        <v>0</v>
      </c>
      <c r="DW390" s="21">
        <v>0</v>
      </c>
      <c r="DX390" s="21">
        <v>0</v>
      </c>
      <c r="DY390" s="21">
        <v>0</v>
      </c>
      <c r="DZ390" s="21">
        <v>0</v>
      </c>
      <c r="EA390" s="21">
        <v>0</v>
      </c>
      <c r="EB390" s="21">
        <v>0</v>
      </c>
      <c r="EC390" s="21">
        <v>0</v>
      </c>
      <c r="ED390" s="21">
        <v>0</v>
      </c>
      <c r="EE390" s="21">
        <v>0</v>
      </c>
      <c r="EF390" s="21">
        <v>0</v>
      </c>
    </row>
    <row r="391" spans="1:136" ht="14.5" x14ac:dyDescent="0.35">
      <c r="A391" s="20" t="s">
        <v>12</v>
      </c>
      <c r="B391" s="20" t="s">
        <v>21</v>
      </c>
      <c r="C391" s="20" t="s">
        <v>21</v>
      </c>
      <c r="D391" s="20" t="s">
        <v>332</v>
      </c>
      <c r="E391" s="20" t="s">
        <v>14</v>
      </c>
      <c r="F391" s="20" t="s">
        <v>91</v>
      </c>
      <c r="G391" s="21">
        <v>0</v>
      </c>
      <c r="H391" s="21">
        <v>0</v>
      </c>
      <c r="I391" s="21">
        <v>29.5</v>
      </c>
      <c r="J391" s="21">
        <v>-29.5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>
        <v>0</v>
      </c>
      <c r="T391" s="21">
        <v>0</v>
      </c>
      <c r="U391" s="21">
        <v>0</v>
      </c>
      <c r="V391" s="21">
        <v>0</v>
      </c>
      <c r="W391" s="21">
        <v>0</v>
      </c>
      <c r="X391" s="21">
        <v>0</v>
      </c>
      <c r="Y391" s="21">
        <v>0</v>
      </c>
      <c r="Z391" s="21">
        <v>0</v>
      </c>
      <c r="AA391" s="21">
        <v>0</v>
      </c>
      <c r="AB391" s="21">
        <v>0</v>
      </c>
      <c r="AC391" s="21">
        <v>0</v>
      </c>
      <c r="AD391" s="21">
        <v>0</v>
      </c>
      <c r="AE391" s="21">
        <v>0</v>
      </c>
      <c r="AF391" s="21">
        <v>0</v>
      </c>
      <c r="AG391" s="21">
        <v>0</v>
      </c>
      <c r="AH391" s="21">
        <v>0</v>
      </c>
      <c r="AI391" s="21">
        <v>0</v>
      </c>
      <c r="AJ391" s="21">
        <v>0</v>
      </c>
      <c r="AK391" s="21">
        <v>2</v>
      </c>
      <c r="AL391" s="21">
        <v>1</v>
      </c>
      <c r="AM391" s="21">
        <v>12</v>
      </c>
      <c r="AN391" s="21">
        <v>12</v>
      </c>
      <c r="AO391" s="21">
        <v>2.5</v>
      </c>
      <c r="AP391" s="21">
        <v>0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1">
        <v>0</v>
      </c>
      <c r="AZ391" s="21">
        <v>0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0</v>
      </c>
      <c r="BH391" s="21">
        <v>0</v>
      </c>
      <c r="BI391" s="21">
        <v>0</v>
      </c>
      <c r="BJ391" s="21">
        <v>0</v>
      </c>
      <c r="BK391" s="21">
        <v>0</v>
      </c>
      <c r="BL391" s="21">
        <v>0</v>
      </c>
      <c r="BM391" s="21">
        <v>0</v>
      </c>
      <c r="BN391" s="21">
        <v>0</v>
      </c>
      <c r="BO391" s="21">
        <v>0</v>
      </c>
      <c r="BP391" s="21">
        <v>0</v>
      </c>
      <c r="BQ391" s="21">
        <v>0</v>
      </c>
      <c r="BR391" s="21">
        <v>0</v>
      </c>
      <c r="BS391" s="21">
        <v>0</v>
      </c>
      <c r="BT391" s="21">
        <v>0</v>
      </c>
      <c r="BU391" s="21">
        <v>0</v>
      </c>
      <c r="BV391" s="21">
        <v>0</v>
      </c>
      <c r="BW391" s="21">
        <v>0</v>
      </c>
      <c r="BX391" s="21">
        <v>0</v>
      </c>
      <c r="BY391" s="21">
        <v>0</v>
      </c>
      <c r="BZ391" s="21">
        <v>0</v>
      </c>
      <c r="CA391" s="21">
        <v>0</v>
      </c>
      <c r="CB391" s="21">
        <v>0</v>
      </c>
      <c r="CC391" s="21">
        <v>0</v>
      </c>
      <c r="CD391" s="21">
        <v>0</v>
      </c>
      <c r="CE391" s="21">
        <v>0</v>
      </c>
      <c r="CF391" s="21">
        <v>0</v>
      </c>
      <c r="CG391" s="21">
        <v>0</v>
      </c>
      <c r="CH391" s="21">
        <v>0</v>
      </c>
      <c r="CI391" s="21">
        <v>0</v>
      </c>
      <c r="CJ391" s="21">
        <v>0</v>
      </c>
      <c r="CK391" s="21">
        <v>0</v>
      </c>
      <c r="CL391" s="21">
        <v>0</v>
      </c>
      <c r="CM391" s="21">
        <v>0</v>
      </c>
      <c r="CN391" s="21">
        <v>0</v>
      </c>
      <c r="CO391" s="21">
        <v>0</v>
      </c>
      <c r="CP391" s="21">
        <v>0</v>
      </c>
      <c r="CQ391" s="21">
        <v>0</v>
      </c>
      <c r="CR391" s="21">
        <v>0</v>
      </c>
      <c r="CS391" s="21">
        <v>0</v>
      </c>
      <c r="CT391" s="21">
        <v>0</v>
      </c>
      <c r="CU391" s="21">
        <v>0</v>
      </c>
      <c r="CV391" s="21">
        <v>0</v>
      </c>
      <c r="CW391" s="21">
        <v>0</v>
      </c>
      <c r="CX391" s="21">
        <v>0</v>
      </c>
      <c r="CY391" s="21">
        <v>0</v>
      </c>
      <c r="CZ391" s="21">
        <v>0</v>
      </c>
      <c r="DA391" s="21">
        <v>0</v>
      </c>
      <c r="DB391" s="21">
        <v>0</v>
      </c>
      <c r="DC391" s="21">
        <v>0</v>
      </c>
      <c r="DD391" s="21">
        <v>0</v>
      </c>
      <c r="DE391" s="21">
        <v>0</v>
      </c>
      <c r="DF391" s="21">
        <v>0</v>
      </c>
      <c r="DG391" s="21">
        <v>0</v>
      </c>
      <c r="DH391" s="21">
        <v>0</v>
      </c>
      <c r="DI391" s="21">
        <v>0</v>
      </c>
      <c r="DJ391" s="21">
        <v>0</v>
      </c>
      <c r="DK391" s="21">
        <v>0</v>
      </c>
      <c r="DL391" s="21">
        <v>0</v>
      </c>
      <c r="DM391" s="21">
        <v>0</v>
      </c>
      <c r="DN391" s="21">
        <v>0</v>
      </c>
      <c r="DO391" s="21">
        <v>0</v>
      </c>
      <c r="DP391" s="21">
        <v>0</v>
      </c>
      <c r="DQ391" s="21">
        <v>0</v>
      </c>
      <c r="DR391" s="21">
        <v>0</v>
      </c>
      <c r="DS391" s="21">
        <v>0</v>
      </c>
      <c r="DT391" s="21">
        <v>0</v>
      </c>
      <c r="DU391" s="21">
        <v>0</v>
      </c>
      <c r="DV391" s="21">
        <v>0</v>
      </c>
      <c r="DW391" s="21">
        <v>0</v>
      </c>
      <c r="DX391" s="21">
        <v>0</v>
      </c>
      <c r="DY391" s="21">
        <v>0</v>
      </c>
      <c r="DZ391" s="21">
        <v>0</v>
      </c>
      <c r="EA391" s="21">
        <v>0</v>
      </c>
      <c r="EB391" s="21">
        <v>0</v>
      </c>
      <c r="EC391" s="21">
        <v>0</v>
      </c>
      <c r="ED391" s="21">
        <v>0</v>
      </c>
      <c r="EE391" s="21">
        <v>0</v>
      </c>
      <c r="EF391" s="21">
        <v>0</v>
      </c>
    </row>
    <row r="392" spans="1:136" ht="14.5" x14ac:dyDescent="0.35">
      <c r="A392" s="20" t="s">
        <v>12</v>
      </c>
      <c r="B392" s="20" t="s">
        <v>21</v>
      </c>
      <c r="C392" s="20" t="s">
        <v>21</v>
      </c>
      <c r="D392" s="20" t="s">
        <v>333</v>
      </c>
      <c r="E392" s="20" t="s">
        <v>14</v>
      </c>
      <c r="F392" s="20" t="s">
        <v>91</v>
      </c>
      <c r="G392" s="21">
        <v>16</v>
      </c>
      <c r="H392" s="21">
        <v>16</v>
      </c>
      <c r="I392" s="21">
        <v>0</v>
      </c>
      <c r="J392" s="21">
        <v>16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  <c r="Q392" s="21">
        <v>0</v>
      </c>
      <c r="R392" s="21">
        <v>0</v>
      </c>
      <c r="S392" s="21">
        <v>0</v>
      </c>
      <c r="T392" s="21">
        <v>0</v>
      </c>
      <c r="U392" s="21">
        <v>0</v>
      </c>
      <c r="V392" s="21">
        <v>0</v>
      </c>
      <c r="W392" s="21">
        <v>0</v>
      </c>
      <c r="X392" s="21">
        <v>0</v>
      </c>
      <c r="Y392" s="21">
        <v>0</v>
      </c>
      <c r="Z392" s="21">
        <v>0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21">
        <v>0</v>
      </c>
      <c r="AO392" s="21">
        <v>0</v>
      </c>
      <c r="AP392" s="21">
        <v>0</v>
      </c>
      <c r="AQ392" s="21">
        <v>0</v>
      </c>
      <c r="AR392" s="21">
        <v>0</v>
      </c>
      <c r="AS392" s="21">
        <v>0</v>
      </c>
      <c r="AT392" s="21">
        <v>0</v>
      </c>
      <c r="AU392" s="21">
        <v>0</v>
      </c>
      <c r="AV392" s="21">
        <v>0</v>
      </c>
      <c r="AW392" s="21">
        <v>0</v>
      </c>
      <c r="AX392" s="21">
        <v>0</v>
      </c>
      <c r="AY392" s="21">
        <v>0</v>
      </c>
      <c r="AZ392" s="21">
        <v>0</v>
      </c>
      <c r="BA392" s="21">
        <v>0</v>
      </c>
      <c r="BB392" s="21">
        <v>0</v>
      </c>
      <c r="BC392" s="21">
        <v>0</v>
      </c>
      <c r="BD392" s="21">
        <v>0</v>
      </c>
      <c r="BE392" s="21">
        <v>0</v>
      </c>
      <c r="BF392" s="21">
        <v>0</v>
      </c>
      <c r="BG392" s="21">
        <v>0</v>
      </c>
      <c r="BH392" s="21">
        <v>0</v>
      </c>
      <c r="BI392" s="21">
        <v>0</v>
      </c>
      <c r="BJ392" s="21">
        <v>0</v>
      </c>
      <c r="BK392" s="21">
        <v>0</v>
      </c>
      <c r="BL392" s="21">
        <v>0</v>
      </c>
      <c r="BM392" s="21">
        <v>0</v>
      </c>
      <c r="BN392" s="21">
        <v>0</v>
      </c>
      <c r="BO392" s="21">
        <v>0</v>
      </c>
      <c r="BP392" s="21">
        <v>0</v>
      </c>
      <c r="BQ392" s="21">
        <v>0</v>
      </c>
      <c r="BR392" s="21">
        <v>0</v>
      </c>
      <c r="BS392" s="21">
        <v>0</v>
      </c>
      <c r="BT392" s="21">
        <v>0</v>
      </c>
      <c r="BU392" s="21">
        <v>0</v>
      </c>
      <c r="BV392" s="21">
        <v>0</v>
      </c>
      <c r="BW392" s="21">
        <v>0</v>
      </c>
      <c r="BX392" s="21">
        <v>0</v>
      </c>
      <c r="BY392" s="21">
        <v>0</v>
      </c>
      <c r="BZ392" s="21">
        <v>0</v>
      </c>
      <c r="CA392" s="21">
        <v>0</v>
      </c>
      <c r="CB392" s="21">
        <v>0</v>
      </c>
      <c r="CC392" s="21">
        <v>0</v>
      </c>
      <c r="CD392" s="21">
        <v>0</v>
      </c>
      <c r="CE392" s="21">
        <v>0</v>
      </c>
      <c r="CF392" s="21">
        <v>0</v>
      </c>
      <c r="CG392" s="21">
        <v>0</v>
      </c>
      <c r="CH392" s="21">
        <v>0</v>
      </c>
      <c r="CI392" s="21">
        <v>0</v>
      </c>
      <c r="CJ392" s="21">
        <v>0</v>
      </c>
      <c r="CK392" s="21">
        <v>0</v>
      </c>
      <c r="CL392" s="21">
        <v>0</v>
      </c>
      <c r="CM392" s="21">
        <v>0</v>
      </c>
      <c r="CN392" s="21">
        <v>0</v>
      </c>
      <c r="CO392" s="21">
        <v>0</v>
      </c>
      <c r="CP392" s="21">
        <v>0</v>
      </c>
      <c r="CQ392" s="21">
        <v>0</v>
      </c>
      <c r="CR392" s="21">
        <v>0</v>
      </c>
      <c r="CS392" s="21">
        <v>0</v>
      </c>
      <c r="CT392" s="21">
        <v>0</v>
      </c>
      <c r="CU392" s="21">
        <v>0</v>
      </c>
      <c r="CV392" s="21">
        <v>0</v>
      </c>
      <c r="CW392" s="21">
        <v>0</v>
      </c>
      <c r="CX392" s="21">
        <v>0</v>
      </c>
      <c r="CY392" s="21">
        <v>0</v>
      </c>
      <c r="CZ392" s="21">
        <v>0</v>
      </c>
      <c r="DA392" s="21">
        <v>0</v>
      </c>
      <c r="DB392" s="21">
        <v>0</v>
      </c>
      <c r="DC392" s="21">
        <v>0</v>
      </c>
      <c r="DD392" s="21">
        <v>0</v>
      </c>
      <c r="DE392" s="21">
        <v>0</v>
      </c>
      <c r="DF392" s="21">
        <v>0</v>
      </c>
      <c r="DG392" s="21">
        <v>0</v>
      </c>
      <c r="DH392" s="21">
        <v>0</v>
      </c>
      <c r="DI392" s="21">
        <v>0</v>
      </c>
      <c r="DJ392" s="21">
        <v>0</v>
      </c>
      <c r="DK392" s="21">
        <v>0</v>
      </c>
      <c r="DL392" s="21">
        <v>0</v>
      </c>
      <c r="DM392" s="21">
        <v>0</v>
      </c>
      <c r="DN392" s="21">
        <v>0</v>
      </c>
      <c r="DO392" s="21">
        <v>0</v>
      </c>
      <c r="DP392" s="21">
        <v>0</v>
      </c>
      <c r="DQ392" s="21">
        <v>0</v>
      </c>
      <c r="DR392" s="21">
        <v>0</v>
      </c>
      <c r="DS392" s="21">
        <v>0</v>
      </c>
      <c r="DT392" s="21">
        <v>0</v>
      </c>
      <c r="DU392" s="21">
        <v>0</v>
      </c>
      <c r="DV392" s="21">
        <v>0</v>
      </c>
      <c r="DW392" s="21">
        <v>0</v>
      </c>
      <c r="DX392" s="21">
        <v>0</v>
      </c>
      <c r="DY392" s="21">
        <v>0</v>
      </c>
      <c r="DZ392" s="21">
        <v>0</v>
      </c>
      <c r="EA392" s="21">
        <v>0</v>
      </c>
      <c r="EB392" s="21">
        <v>0</v>
      </c>
      <c r="EC392" s="21">
        <v>0</v>
      </c>
      <c r="ED392" s="21">
        <v>0</v>
      </c>
      <c r="EE392" s="21">
        <v>0</v>
      </c>
      <c r="EF392" s="21">
        <v>0</v>
      </c>
    </row>
    <row r="393" spans="1:136" ht="14.5" x14ac:dyDescent="0.35">
      <c r="A393" s="20" t="s">
        <v>12</v>
      </c>
      <c r="B393" s="20" t="s">
        <v>21</v>
      </c>
      <c r="C393" s="20" t="s">
        <v>21</v>
      </c>
      <c r="D393" s="20" t="s">
        <v>332</v>
      </c>
      <c r="E393" s="20" t="s">
        <v>14</v>
      </c>
      <c r="F393" s="20" t="s">
        <v>92</v>
      </c>
      <c r="G393" s="21">
        <v>0</v>
      </c>
      <c r="H393" s="21">
        <v>0</v>
      </c>
      <c r="I393" s="21">
        <v>16</v>
      </c>
      <c r="J393" s="21">
        <v>-16</v>
      </c>
      <c r="K393" s="21">
        <v>0</v>
      </c>
      <c r="L393" s="21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>
        <v>0</v>
      </c>
      <c r="T393" s="21">
        <v>0</v>
      </c>
      <c r="U393" s="21">
        <v>0</v>
      </c>
      <c r="V393" s="21">
        <v>0</v>
      </c>
      <c r="W393" s="21">
        <v>0</v>
      </c>
      <c r="X393" s="21">
        <v>0</v>
      </c>
      <c r="Y393" s="21">
        <v>0</v>
      </c>
      <c r="Z393" s="21">
        <v>0</v>
      </c>
      <c r="AA393" s="21">
        <v>0</v>
      </c>
      <c r="AB393" s="21">
        <v>0</v>
      </c>
      <c r="AC393" s="21">
        <v>0</v>
      </c>
      <c r="AD393" s="21">
        <v>0</v>
      </c>
      <c r="AE393" s="21">
        <v>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0</v>
      </c>
      <c r="AO393" s="21">
        <v>0</v>
      </c>
      <c r="AP393" s="21">
        <v>0</v>
      </c>
      <c r="AQ393" s="21">
        <v>0</v>
      </c>
      <c r="AR393" s="21">
        <v>0</v>
      </c>
      <c r="AS393" s="21">
        <v>0</v>
      </c>
      <c r="AT393" s="21">
        <v>0</v>
      </c>
      <c r="AU393" s="21">
        <v>0</v>
      </c>
      <c r="AV393" s="21">
        <v>0</v>
      </c>
      <c r="AW393" s="21">
        <v>0</v>
      </c>
      <c r="AX393" s="21">
        <v>0</v>
      </c>
      <c r="AY393" s="21">
        <v>0</v>
      </c>
      <c r="AZ393" s="21">
        <v>0</v>
      </c>
      <c r="BA393" s="21">
        <v>0</v>
      </c>
      <c r="BB393" s="21">
        <v>0</v>
      </c>
      <c r="BC393" s="21">
        <v>0</v>
      </c>
      <c r="BD393" s="21">
        <v>0</v>
      </c>
      <c r="BE393" s="21">
        <v>0</v>
      </c>
      <c r="BF393" s="21">
        <v>0</v>
      </c>
      <c r="BG393" s="21">
        <v>0</v>
      </c>
      <c r="BH393" s="21">
        <v>0</v>
      </c>
      <c r="BI393" s="21">
        <v>0</v>
      </c>
      <c r="BJ393" s="21">
        <v>0</v>
      </c>
      <c r="BK393" s="21">
        <v>0</v>
      </c>
      <c r="BL393" s="21">
        <v>0</v>
      </c>
      <c r="BM393" s="21">
        <v>0</v>
      </c>
      <c r="BN393" s="21">
        <v>0</v>
      </c>
      <c r="BO393" s="21">
        <v>0</v>
      </c>
      <c r="BP393" s="21">
        <v>0</v>
      </c>
      <c r="BQ393" s="21">
        <v>0</v>
      </c>
      <c r="BR393" s="21">
        <v>0</v>
      </c>
      <c r="BS393" s="21">
        <v>0</v>
      </c>
      <c r="BT393" s="21">
        <v>0</v>
      </c>
      <c r="BU393" s="21">
        <v>0</v>
      </c>
      <c r="BV393" s="21">
        <v>0</v>
      </c>
      <c r="BW393" s="21">
        <v>0</v>
      </c>
      <c r="BX393" s="21">
        <v>0</v>
      </c>
      <c r="BY393" s="21">
        <v>0</v>
      </c>
      <c r="BZ393" s="21">
        <v>0</v>
      </c>
      <c r="CA393" s="21">
        <v>0</v>
      </c>
      <c r="CB393" s="21">
        <v>0</v>
      </c>
      <c r="CC393" s="21">
        <v>0</v>
      </c>
      <c r="CD393" s="21">
        <v>0</v>
      </c>
      <c r="CE393" s="21">
        <v>0</v>
      </c>
      <c r="CF393" s="21">
        <v>0</v>
      </c>
      <c r="CG393" s="21">
        <v>0</v>
      </c>
      <c r="CH393" s="21">
        <v>0</v>
      </c>
      <c r="CI393" s="21">
        <v>0</v>
      </c>
      <c r="CJ393" s="21">
        <v>0</v>
      </c>
      <c r="CK393" s="21">
        <v>0</v>
      </c>
      <c r="CL393" s="21">
        <v>0</v>
      </c>
      <c r="CM393" s="21">
        <v>0</v>
      </c>
      <c r="CN393" s="21">
        <v>0</v>
      </c>
      <c r="CO393" s="21">
        <v>0</v>
      </c>
      <c r="CP393" s="21">
        <v>0</v>
      </c>
      <c r="CQ393" s="21">
        <v>0</v>
      </c>
      <c r="CR393" s="21">
        <v>0</v>
      </c>
      <c r="CS393" s="21">
        <v>0</v>
      </c>
      <c r="CT393" s="21">
        <v>0</v>
      </c>
      <c r="CU393" s="21">
        <v>0</v>
      </c>
      <c r="CV393" s="21">
        <v>0</v>
      </c>
      <c r="CW393" s="21">
        <v>0</v>
      </c>
      <c r="CX393" s="21">
        <v>0</v>
      </c>
      <c r="CY393" s="21">
        <v>0</v>
      </c>
      <c r="CZ393" s="21">
        <v>12</v>
      </c>
      <c r="DA393" s="21">
        <v>4</v>
      </c>
      <c r="DB393" s="21">
        <v>0</v>
      </c>
      <c r="DC393" s="21">
        <v>0</v>
      </c>
      <c r="DD393" s="21">
        <v>0</v>
      </c>
      <c r="DE393" s="21">
        <v>0</v>
      </c>
      <c r="DF393" s="21">
        <v>0</v>
      </c>
      <c r="DG393" s="21">
        <v>0</v>
      </c>
      <c r="DH393" s="21">
        <v>0</v>
      </c>
      <c r="DI393" s="21">
        <v>0</v>
      </c>
      <c r="DJ393" s="21">
        <v>0</v>
      </c>
      <c r="DK393" s="21">
        <v>0</v>
      </c>
      <c r="DL393" s="21">
        <v>0</v>
      </c>
      <c r="DM393" s="21">
        <v>0</v>
      </c>
      <c r="DN393" s="21">
        <v>0</v>
      </c>
      <c r="DO393" s="21">
        <v>0</v>
      </c>
      <c r="DP393" s="21">
        <v>0</v>
      </c>
      <c r="DQ393" s="21">
        <v>0</v>
      </c>
      <c r="DR393" s="21">
        <v>0</v>
      </c>
      <c r="DS393" s="21">
        <v>0</v>
      </c>
      <c r="DT393" s="21">
        <v>0</v>
      </c>
      <c r="DU393" s="21">
        <v>0</v>
      </c>
      <c r="DV393" s="21">
        <v>0</v>
      </c>
      <c r="DW393" s="21">
        <v>0</v>
      </c>
      <c r="DX393" s="21">
        <v>0</v>
      </c>
      <c r="DY393" s="21">
        <v>0</v>
      </c>
      <c r="DZ393" s="21">
        <v>0</v>
      </c>
      <c r="EA393" s="21">
        <v>0</v>
      </c>
      <c r="EB393" s="21">
        <v>0</v>
      </c>
      <c r="EC393" s="21">
        <v>0</v>
      </c>
      <c r="ED393" s="21">
        <v>0</v>
      </c>
      <c r="EE393" s="21">
        <v>0</v>
      </c>
      <c r="EF393" s="21">
        <v>0</v>
      </c>
    </row>
    <row r="394" spans="1:136" ht="14.5" x14ac:dyDescent="0.35">
      <c r="A394" s="20" t="s">
        <v>12</v>
      </c>
      <c r="B394" s="20" t="s">
        <v>21</v>
      </c>
      <c r="C394" s="20" t="s">
        <v>21</v>
      </c>
      <c r="D394" s="20" t="s">
        <v>333</v>
      </c>
      <c r="E394" s="20" t="s">
        <v>14</v>
      </c>
      <c r="F394" s="20" t="s">
        <v>92</v>
      </c>
      <c r="G394" s="21">
        <v>0</v>
      </c>
      <c r="H394" s="21">
        <v>16</v>
      </c>
      <c r="I394" s="21">
        <v>0</v>
      </c>
      <c r="J394" s="21">
        <v>16</v>
      </c>
      <c r="K394" s="21">
        <v>0</v>
      </c>
      <c r="L394" s="21">
        <v>0</v>
      </c>
      <c r="M394" s="21">
        <v>0</v>
      </c>
      <c r="N394" s="21">
        <v>0</v>
      </c>
      <c r="O394" s="21">
        <v>0</v>
      </c>
      <c r="P394" s="21">
        <v>0</v>
      </c>
      <c r="Q394" s="21">
        <v>0</v>
      </c>
      <c r="R394" s="21">
        <v>0</v>
      </c>
      <c r="S394" s="21">
        <v>0</v>
      </c>
      <c r="T394" s="21">
        <v>0</v>
      </c>
      <c r="U394" s="21">
        <v>0</v>
      </c>
      <c r="V394" s="21">
        <v>0</v>
      </c>
      <c r="W394" s="21">
        <v>0</v>
      </c>
      <c r="X394" s="21">
        <v>0</v>
      </c>
      <c r="Y394" s="21">
        <v>0</v>
      </c>
      <c r="Z394" s="21">
        <v>0</v>
      </c>
      <c r="AA394" s="21">
        <v>0</v>
      </c>
      <c r="AB394" s="21">
        <v>0</v>
      </c>
      <c r="AC394" s="21">
        <v>0</v>
      </c>
      <c r="AD394" s="21">
        <v>0</v>
      </c>
      <c r="AE394" s="21">
        <v>0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0</v>
      </c>
      <c r="AL394" s="21">
        <v>0</v>
      </c>
      <c r="AM394" s="21">
        <v>0</v>
      </c>
      <c r="AN394" s="21">
        <v>0</v>
      </c>
      <c r="AO394" s="21">
        <v>0</v>
      </c>
      <c r="AP394" s="21">
        <v>0</v>
      </c>
      <c r="AQ394" s="21">
        <v>0</v>
      </c>
      <c r="AR394" s="21">
        <v>0</v>
      </c>
      <c r="AS394" s="21">
        <v>0</v>
      </c>
      <c r="AT394" s="21">
        <v>0</v>
      </c>
      <c r="AU394" s="21">
        <v>0</v>
      </c>
      <c r="AV394" s="21">
        <v>0</v>
      </c>
      <c r="AW394" s="21">
        <v>0</v>
      </c>
      <c r="AX394" s="21">
        <v>0</v>
      </c>
      <c r="AY394" s="21">
        <v>0</v>
      </c>
      <c r="AZ394" s="21">
        <v>0</v>
      </c>
      <c r="BA394" s="21">
        <v>0</v>
      </c>
      <c r="BB394" s="21">
        <v>0</v>
      </c>
      <c r="BC394" s="21">
        <v>0</v>
      </c>
      <c r="BD394" s="21">
        <v>0</v>
      </c>
      <c r="BE394" s="21">
        <v>0</v>
      </c>
      <c r="BF394" s="21">
        <v>0</v>
      </c>
      <c r="BG394" s="21">
        <v>0</v>
      </c>
      <c r="BH394" s="21">
        <v>0</v>
      </c>
      <c r="BI394" s="21">
        <v>0</v>
      </c>
      <c r="BJ394" s="21">
        <v>0</v>
      </c>
      <c r="BK394" s="21">
        <v>0</v>
      </c>
      <c r="BL394" s="21">
        <v>0</v>
      </c>
      <c r="BM394" s="21">
        <v>0</v>
      </c>
      <c r="BN394" s="21">
        <v>0</v>
      </c>
      <c r="BO394" s="21">
        <v>0</v>
      </c>
      <c r="BP394" s="21">
        <v>0</v>
      </c>
      <c r="BQ394" s="21">
        <v>0</v>
      </c>
      <c r="BR394" s="21">
        <v>0</v>
      </c>
      <c r="BS394" s="21">
        <v>0</v>
      </c>
      <c r="BT394" s="21">
        <v>0</v>
      </c>
      <c r="BU394" s="21">
        <v>0</v>
      </c>
      <c r="BV394" s="21">
        <v>0</v>
      </c>
      <c r="BW394" s="21">
        <v>0</v>
      </c>
      <c r="BX394" s="21">
        <v>0</v>
      </c>
      <c r="BY394" s="21">
        <v>0</v>
      </c>
      <c r="BZ394" s="21">
        <v>0</v>
      </c>
      <c r="CA394" s="21">
        <v>0</v>
      </c>
      <c r="CB394" s="21">
        <v>0</v>
      </c>
      <c r="CC394" s="21">
        <v>0</v>
      </c>
      <c r="CD394" s="21">
        <v>0</v>
      </c>
      <c r="CE394" s="21">
        <v>0</v>
      </c>
      <c r="CF394" s="21">
        <v>0</v>
      </c>
      <c r="CG394" s="21">
        <v>0</v>
      </c>
      <c r="CH394" s="21">
        <v>0</v>
      </c>
      <c r="CI394" s="21">
        <v>0</v>
      </c>
      <c r="CJ394" s="21">
        <v>0</v>
      </c>
      <c r="CK394" s="21">
        <v>0</v>
      </c>
      <c r="CL394" s="21">
        <v>0</v>
      </c>
      <c r="CM394" s="21">
        <v>0</v>
      </c>
      <c r="CN394" s="21">
        <v>0</v>
      </c>
      <c r="CO394" s="21">
        <v>0</v>
      </c>
      <c r="CP394" s="21">
        <v>0</v>
      </c>
      <c r="CQ394" s="21">
        <v>0</v>
      </c>
      <c r="CR394" s="21">
        <v>0</v>
      </c>
      <c r="CS394" s="21">
        <v>0</v>
      </c>
      <c r="CT394" s="21">
        <v>0</v>
      </c>
      <c r="CU394" s="21">
        <v>0</v>
      </c>
      <c r="CV394" s="21">
        <v>0</v>
      </c>
      <c r="CW394" s="21">
        <v>0</v>
      </c>
      <c r="CX394" s="21">
        <v>0</v>
      </c>
      <c r="CY394" s="21">
        <v>0</v>
      </c>
      <c r="CZ394" s="21">
        <v>0</v>
      </c>
      <c r="DA394" s="21">
        <v>0</v>
      </c>
      <c r="DB394" s="21">
        <v>0</v>
      </c>
      <c r="DC394" s="21">
        <v>0</v>
      </c>
      <c r="DD394" s="21">
        <v>0</v>
      </c>
      <c r="DE394" s="21">
        <v>0</v>
      </c>
      <c r="DF394" s="21">
        <v>0</v>
      </c>
      <c r="DG394" s="21">
        <v>0</v>
      </c>
      <c r="DH394" s="21">
        <v>0</v>
      </c>
      <c r="DI394" s="21">
        <v>0</v>
      </c>
      <c r="DJ394" s="21">
        <v>0</v>
      </c>
      <c r="DK394" s="21">
        <v>0</v>
      </c>
      <c r="DL394" s="21">
        <v>0</v>
      </c>
      <c r="DM394" s="21">
        <v>0</v>
      </c>
      <c r="DN394" s="21">
        <v>0</v>
      </c>
      <c r="DO394" s="21">
        <v>0</v>
      </c>
      <c r="DP394" s="21">
        <v>0</v>
      </c>
      <c r="DQ394" s="21">
        <v>0</v>
      </c>
      <c r="DR394" s="21">
        <v>0</v>
      </c>
      <c r="DS394" s="21">
        <v>0</v>
      </c>
      <c r="DT394" s="21">
        <v>0</v>
      </c>
      <c r="DU394" s="21">
        <v>0</v>
      </c>
      <c r="DV394" s="21">
        <v>0</v>
      </c>
      <c r="DW394" s="21">
        <v>0</v>
      </c>
      <c r="DX394" s="21">
        <v>0</v>
      </c>
      <c r="DY394" s="21">
        <v>0</v>
      </c>
      <c r="DZ394" s="21">
        <v>0</v>
      </c>
      <c r="EA394" s="21">
        <v>0</v>
      </c>
      <c r="EB394" s="21">
        <v>0</v>
      </c>
      <c r="EC394" s="21">
        <v>0</v>
      </c>
      <c r="ED394" s="21">
        <v>0</v>
      </c>
      <c r="EE394" s="21">
        <v>0</v>
      </c>
      <c r="EF394" s="21">
        <v>0</v>
      </c>
    </row>
    <row r="395" spans="1:136" ht="14.5" x14ac:dyDescent="0.35">
      <c r="A395" s="20" t="s">
        <v>12</v>
      </c>
      <c r="B395" s="20" t="s">
        <v>21</v>
      </c>
      <c r="C395" s="20" t="s">
        <v>21</v>
      </c>
      <c r="D395" s="20" t="s">
        <v>332</v>
      </c>
      <c r="E395" s="20" t="s">
        <v>14</v>
      </c>
      <c r="F395" s="20" t="s">
        <v>83</v>
      </c>
      <c r="G395" s="21">
        <v>0</v>
      </c>
      <c r="H395" s="21">
        <v>0</v>
      </c>
      <c r="I395" s="21">
        <v>26</v>
      </c>
      <c r="J395" s="21">
        <v>-26</v>
      </c>
      <c r="K395" s="21">
        <v>0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>
        <v>0</v>
      </c>
      <c r="T395" s="21">
        <v>0</v>
      </c>
      <c r="U395" s="21">
        <v>0</v>
      </c>
      <c r="V395" s="21">
        <v>0</v>
      </c>
      <c r="W395" s="21">
        <v>0</v>
      </c>
      <c r="X395" s="21">
        <v>0</v>
      </c>
      <c r="Y395" s="21">
        <v>0</v>
      </c>
      <c r="Z395" s="21">
        <v>0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3</v>
      </c>
      <c r="AL395" s="21">
        <v>8.5</v>
      </c>
      <c r="AM395" s="21">
        <v>2</v>
      </c>
      <c r="AN395" s="21">
        <v>0</v>
      </c>
      <c r="AO395" s="21">
        <v>12.5</v>
      </c>
      <c r="AP395" s="21">
        <v>0</v>
      </c>
      <c r="AQ395" s="21">
        <v>0</v>
      </c>
      <c r="AR395" s="21">
        <v>0</v>
      </c>
      <c r="AS395" s="21">
        <v>0</v>
      </c>
      <c r="AT395" s="21">
        <v>0</v>
      </c>
      <c r="AU395" s="21">
        <v>0</v>
      </c>
      <c r="AV395" s="21">
        <v>0</v>
      </c>
      <c r="AW395" s="21">
        <v>0</v>
      </c>
      <c r="AX395" s="21">
        <v>0</v>
      </c>
      <c r="AY395" s="21">
        <v>0</v>
      </c>
      <c r="AZ395" s="21">
        <v>0</v>
      </c>
      <c r="BA395" s="21">
        <v>0</v>
      </c>
      <c r="BB395" s="21">
        <v>0</v>
      </c>
      <c r="BC395" s="21">
        <v>0</v>
      </c>
      <c r="BD395" s="21">
        <v>0</v>
      </c>
      <c r="BE395" s="21">
        <v>0</v>
      </c>
      <c r="BF395" s="21">
        <v>0</v>
      </c>
      <c r="BG395" s="21">
        <v>0</v>
      </c>
      <c r="BH395" s="21">
        <v>0</v>
      </c>
      <c r="BI395" s="21">
        <v>0</v>
      </c>
      <c r="BJ395" s="21">
        <v>0</v>
      </c>
      <c r="BK395" s="21">
        <v>0</v>
      </c>
      <c r="BL395" s="21">
        <v>0</v>
      </c>
      <c r="BM395" s="21">
        <v>0</v>
      </c>
      <c r="BN395" s="21">
        <v>0</v>
      </c>
      <c r="BO395" s="21">
        <v>0</v>
      </c>
      <c r="BP395" s="21">
        <v>0</v>
      </c>
      <c r="BQ395" s="21">
        <v>0</v>
      </c>
      <c r="BR395" s="21">
        <v>0</v>
      </c>
      <c r="BS395" s="21">
        <v>0</v>
      </c>
      <c r="BT395" s="21">
        <v>0</v>
      </c>
      <c r="BU395" s="21">
        <v>0</v>
      </c>
      <c r="BV395" s="21">
        <v>0</v>
      </c>
      <c r="BW395" s="21">
        <v>0</v>
      </c>
      <c r="BX395" s="21">
        <v>0</v>
      </c>
      <c r="BY395" s="21">
        <v>0</v>
      </c>
      <c r="BZ395" s="21">
        <v>0</v>
      </c>
      <c r="CA395" s="21">
        <v>0</v>
      </c>
      <c r="CB395" s="21">
        <v>0</v>
      </c>
      <c r="CC395" s="21">
        <v>0</v>
      </c>
      <c r="CD395" s="21">
        <v>0</v>
      </c>
      <c r="CE395" s="21">
        <v>0</v>
      </c>
      <c r="CF395" s="21">
        <v>0</v>
      </c>
      <c r="CG395" s="21">
        <v>0</v>
      </c>
      <c r="CH395" s="21">
        <v>0</v>
      </c>
      <c r="CI395" s="21">
        <v>0</v>
      </c>
      <c r="CJ395" s="21">
        <v>0</v>
      </c>
      <c r="CK395" s="21">
        <v>0</v>
      </c>
      <c r="CL395" s="21">
        <v>0</v>
      </c>
      <c r="CM395" s="21">
        <v>0</v>
      </c>
      <c r="CN395" s="21">
        <v>0</v>
      </c>
      <c r="CO395" s="21">
        <v>0</v>
      </c>
      <c r="CP395" s="21">
        <v>0</v>
      </c>
      <c r="CQ395" s="21">
        <v>0</v>
      </c>
      <c r="CR395" s="21">
        <v>0</v>
      </c>
      <c r="CS395" s="21">
        <v>0</v>
      </c>
      <c r="CT395" s="21">
        <v>0</v>
      </c>
      <c r="CU395" s="21">
        <v>0</v>
      </c>
      <c r="CV395" s="21">
        <v>0</v>
      </c>
      <c r="CW395" s="21">
        <v>0</v>
      </c>
      <c r="CX395" s="21">
        <v>0</v>
      </c>
      <c r="CY395" s="21">
        <v>0</v>
      </c>
      <c r="CZ395" s="21">
        <v>0</v>
      </c>
      <c r="DA395" s="21">
        <v>0</v>
      </c>
      <c r="DB395" s="21">
        <v>0</v>
      </c>
      <c r="DC395" s="21">
        <v>0</v>
      </c>
      <c r="DD395" s="21">
        <v>0</v>
      </c>
      <c r="DE395" s="21">
        <v>0</v>
      </c>
      <c r="DF395" s="21">
        <v>0</v>
      </c>
      <c r="DG395" s="21">
        <v>0</v>
      </c>
      <c r="DH395" s="21">
        <v>0</v>
      </c>
      <c r="DI395" s="21">
        <v>0</v>
      </c>
      <c r="DJ395" s="21">
        <v>0</v>
      </c>
      <c r="DK395" s="21">
        <v>0</v>
      </c>
      <c r="DL395" s="21">
        <v>0</v>
      </c>
      <c r="DM395" s="21">
        <v>0</v>
      </c>
      <c r="DN395" s="21">
        <v>0</v>
      </c>
      <c r="DO395" s="21">
        <v>0</v>
      </c>
      <c r="DP395" s="21">
        <v>0</v>
      </c>
      <c r="DQ395" s="21">
        <v>0</v>
      </c>
      <c r="DR395" s="21">
        <v>0</v>
      </c>
      <c r="DS395" s="21">
        <v>0</v>
      </c>
      <c r="DT395" s="21">
        <v>0</v>
      </c>
      <c r="DU395" s="21">
        <v>0</v>
      </c>
      <c r="DV395" s="21">
        <v>0</v>
      </c>
      <c r="DW395" s="21">
        <v>0</v>
      </c>
      <c r="DX395" s="21">
        <v>0</v>
      </c>
      <c r="DY395" s="21">
        <v>0</v>
      </c>
      <c r="DZ395" s="21">
        <v>0</v>
      </c>
      <c r="EA395" s="21">
        <v>0</v>
      </c>
      <c r="EB395" s="21">
        <v>0</v>
      </c>
      <c r="EC395" s="21">
        <v>0</v>
      </c>
      <c r="ED395" s="21">
        <v>0</v>
      </c>
      <c r="EE395" s="21">
        <v>0</v>
      </c>
      <c r="EF395" s="21">
        <v>0</v>
      </c>
    </row>
    <row r="396" spans="1:136" ht="14.5" x14ac:dyDescent="0.35">
      <c r="A396" s="20" t="s">
        <v>12</v>
      </c>
      <c r="B396" s="20" t="s">
        <v>21</v>
      </c>
      <c r="C396" s="20" t="s">
        <v>21</v>
      </c>
      <c r="D396" s="20" t="s">
        <v>333</v>
      </c>
      <c r="E396" s="20" t="s">
        <v>14</v>
      </c>
      <c r="F396" s="20" t="s">
        <v>83</v>
      </c>
      <c r="G396" s="21">
        <v>1</v>
      </c>
      <c r="H396" s="21">
        <v>1</v>
      </c>
      <c r="I396" s="21">
        <v>1</v>
      </c>
      <c r="J396" s="21">
        <v>0</v>
      </c>
      <c r="K396" s="21">
        <v>0</v>
      </c>
      <c r="L396" s="21">
        <v>0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>
        <v>0</v>
      </c>
      <c r="T396" s="21">
        <v>0</v>
      </c>
      <c r="U396" s="21">
        <v>0</v>
      </c>
      <c r="V396" s="21">
        <v>0</v>
      </c>
      <c r="W396" s="21">
        <v>0</v>
      </c>
      <c r="X396" s="21">
        <v>0</v>
      </c>
      <c r="Y396" s="21">
        <v>0</v>
      </c>
      <c r="Z396" s="21">
        <v>0</v>
      </c>
      <c r="AA396" s="21">
        <v>0</v>
      </c>
      <c r="AB396" s="21">
        <v>0</v>
      </c>
      <c r="AC396" s="21">
        <v>0</v>
      </c>
      <c r="AD396" s="21">
        <v>1</v>
      </c>
      <c r="AE396" s="21">
        <v>0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0</v>
      </c>
      <c r="AL396" s="21">
        <v>0</v>
      </c>
      <c r="AM396" s="21">
        <v>0</v>
      </c>
      <c r="AN396" s="21">
        <v>0</v>
      </c>
      <c r="AO396" s="21">
        <v>0</v>
      </c>
      <c r="AP396" s="21">
        <v>0</v>
      </c>
      <c r="AQ396" s="21">
        <v>0</v>
      </c>
      <c r="AR396" s="21">
        <v>0</v>
      </c>
      <c r="AS396" s="21">
        <v>0</v>
      </c>
      <c r="AT396" s="21">
        <v>0</v>
      </c>
      <c r="AU396" s="21">
        <v>0</v>
      </c>
      <c r="AV396" s="21">
        <v>0</v>
      </c>
      <c r="AW396" s="21">
        <v>0</v>
      </c>
      <c r="AX396" s="21">
        <v>0</v>
      </c>
      <c r="AY396" s="21">
        <v>0</v>
      </c>
      <c r="AZ396" s="21">
        <v>0</v>
      </c>
      <c r="BA396" s="21">
        <v>0</v>
      </c>
      <c r="BB396" s="21">
        <v>0</v>
      </c>
      <c r="BC396" s="21">
        <v>0</v>
      </c>
      <c r="BD396" s="21">
        <v>0</v>
      </c>
      <c r="BE396" s="21">
        <v>0</v>
      </c>
      <c r="BF396" s="21">
        <v>0</v>
      </c>
      <c r="BG396" s="21">
        <v>0</v>
      </c>
      <c r="BH396" s="21">
        <v>0</v>
      </c>
      <c r="BI396" s="21">
        <v>0</v>
      </c>
      <c r="BJ396" s="21">
        <v>0</v>
      </c>
      <c r="BK396" s="21">
        <v>0</v>
      </c>
      <c r="BL396" s="21">
        <v>0</v>
      </c>
      <c r="BM396" s="21">
        <v>0</v>
      </c>
      <c r="BN396" s="21">
        <v>0</v>
      </c>
      <c r="BO396" s="21">
        <v>0</v>
      </c>
      <c r="BP396" s="21">
        <v>0</v>
      </c>
      <c r="BQ396" s="21">
        <v>0</v>
      </c>
      <c r="BR396" s="21">
        <v>0</v>
      </c>
      <c r="BS396" s="21">
        <v>0</v>
      </c>
      <c r="BT396" s="21">
        <v>0</v>
      </c>
      <c r="BU396" s="21">
        <v>0</v>
      </c>
      <c r="BV396" s="21">
        <v>0</v>
      </c>
      <c r="BW396" s="21">
        <v>0</v>
      </c>
      <c r="BX396" s="21">
        <v>0</v>
      </c>
      <c r="BY396" s="21">
        <v>0</v>
      </c>
      <c r="BZ396" s="21">
        <v>0</v>
      </c>
      <c r="CA396" s="21">
        <v>0</v>
      </c>
      <c r="CB396" s="21">
        <v>0</v>
      </c>
      <c r="CC396" s="21">
        <v>0</v>
      </c>
      <c r="CD396" s="21">
        <v>0</v>
      </c>
      <c r="CE396" s="21">
        <v>0</v>
      </c>
      <c r="CF396" s="21">
        <v>0</v>
      </c>
      <c r="CG396" s="21">
        <v>0</v>
      </c>
      <c r="CH396" s="21">
        <v>0</v>
      </c>
      <c r="CI396" s="21">
        <v>0</v>
      </c>
      <c r="CJ396" s="21">
        <v>0</v>
      </c>
      <c r="CK396" s="21">
        <v>0</v>
      </c>
      <c r="CL396" s="21">
        <v>0</v>
      </c>
      <c r="CM396" s="21">
        <v>0</v>
      </c>
      <c r="CN396" s="21">
        <v>0</v>
      </c>
      <c r="CO396" s="21">
        <v>0</v>
      </c>
      <c r="CP396" s="21">
        <v>0</v>
      </c>
      <c r="CQ396" s="21">
        <v>0</v>
      </c>
      <c r="CR396" s="21">
        <v>0</v>
      </c>
      <c r="CS396" s="21">
        <v>0</v>
      </c>
      <c r="CT396" s="21">
        <v>0</v>
      </c>
      <c r="CU396" s="21">
        <v>0</v>
      </c>
      <c r="CV396" s="21">
        <v>0</v>
      </c>
      <c r="CW396" s="21">
        <v>0</v>
      </c>
      <c r="CX396" s="21">
        <v>0</v>
      </c>
      <c r="CY396" s="21">
        <v>0</v>
      </c>
      <c r="CZ396" s="21">
        <v>0</v>
      </c>
      <c r="DA396" s="21">
        <v>0</v>
      </c>
      <c r="DB396" s="21">
        <v>0</v>
      </c>
      <c r="DC396" s="21">
        <v>0</v>
      </c>
      <c r="DD396" s="21">
        <v>0</v>
      </c>
      <c r="DE396" s="21">
        <v>0</v>
      </c>
      <c r="DF396" s="21">
        <v>0</v>
      </c>
      <c r="DG396" s="21">
        <v>0</v>
      </c>
      <c r="DH396" s="21">
        <v>0</v>
      </c>
      <c r="DI396" s="21">
        <v>0</v>
      </c>
      <c r="DJ396" s="21">
        <v>0</v>
      </c>
      <c r="DK396" s="21">
        <v>0</v>
      </c>
      <c r="DL396" s="21">
        <v>0</v>
      </c>
      <c r="DM396" s="21">
        <v>0</v>
      </c>
      <c r="DN396" s="21">
        <v>0</v>
      </c>
      <c r="DO396" s="21">
        <v>0</v>
      </c>
      <c r="DP396" s="21">
        <v>0</v>
      </c>
      <c r="DQ396" s="21">
        <v>0</v>
      </c>
      <c r="DR396" s="21">
        <v>0</v>
      </c>
      <c r="DS396" s="21">
        <v>0</v>
      </c>
      <c r="DT396" s="21">
        <v>0</v>
      </c>
      <c r="DU396" s="21">
        <v>0</v>
      </c>
      <c r="DV396" s="21">
        <v>0</v>
      </c>
      <c r="DW396" s="21">
        <v>0</v>
      </c>
      <c r="DX396" s="21">
        <v>0</v>
      </c>
      <c r="DY396" s="21">
        <v>0</v>
      </c>
      <c r="DZ396" s="21">
        <v>0</v>
      </c>
      <c r="EA396" s="21">
        <v>0</v>
      </c>
      <c r="EB396" s="21">
        <v>0</v>
      </c>
      <c r="EC396" s="21">
        <v>0</v>
      </c>
      <c r="ED396" s="21">
        <v>0</v>
      </c>
      <c r="EE396" s="21">
        <v>0</v>
      </c>
      <c r="EF396" s="21">
        <v>0</v>
      </c>
    </row>
    <row r="397" spans="1:136" ht="14.5" x14ac:dyDescent="0.35">
      <c r="A397" s="20" t="s">
        <v>12</v>
      </c>
      <c r="B397" s="20" t="s">
        <v>30</v>
      </c>
      <c r="C397" s="20" t="s">
        <v>30</v>
      </c>
      <c r="D397" s="20" t="s">
        <v>332</v>
      </c>
      <c r="E397" s="20" t="s">
        <v>14</v>
      </c>
      <c r="F397" s="20" t="s">
        <v>79</v>
      </c>
      <c r="G397" s="21">
        <v>0</v>
      </c>
      <c r="H397" s="21">
        <v>0</v>
      </c>
      <c r="I397" s="21">
        <v>0</v>
      </c>
      <c r="J397" s="21">
        <v>0</v>
      </c>
      <c r="K397" s="21">
        <v>0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0</v>
      </c>
      <c r="T397" s="21">
        <v>0</v>
      </c>
      <c r="U397" s="21">
        <v>0</v>
      </c>
      <c r="V397" s="21">
        <v>0</v>
      </c>
      <c r="W397" s="21">
        <v>0</v>
      </c>
      <c r="X397" s="21">
        <v>0</v>
      </c>
      <c r="Y397" s="21">
        <v>0</v>
      </c>
      <c r="Z397" s="21">
        <v>0</v>
      </c>
      <c r="AA397" s="21">
        <v>0</v>
      </c>
      <c r="AB397" s="21">
        <v>0</v>
      </c>
      <c r="AC397" s="21">
        <v>0</v>
      </c>
      <c r="AD397" s="21">
        <v>0</v>
      </c>
      <c r="AE397" s="21">
        <v>0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0</v>
      </c>
      <c r="AL397" s="21">
        <v>0</v>
      </c>
      <c r="AM397" s="21">
        <v>0</v>
      </c>
      <c r="AN397" s="21">
        <v>0</v>
      </c>
      <c r="AO397" s="21">
        <v>0</v>
      </c>
      <c r="AP397" s="21">
        <v>0</v>
      </c>
      <c r="AQ397" s="21">
        <v>0</v>
      </c>
      <c r="AR397" s="21">
        <v>0</v>
      </c>
      <c r="AS397" s="21">
        <v>0</v>
      </c>
      <c r="AT397" s="21">
        <v>0</v>
      </c>
      <c r="AU397" s="21">
        <v>0</v>
      </c>
      <c r="AV397" s="21">
        <v>0</v>
      </c>
      <c r="AW397" s="21">
        <v>0</v>
      </c>
      <c r="AX397" s="21">
        <v>0</v>
      </c>
      <c r="AY397" s="21">
        <v>0</v>
      </c>
      <c r="AZ397" s="21">
        <v>0</v>
      </c>
      <c r="BA397" s="21">
        <v>0</v>
      </c>
      <c r="BB397" s="21">
        <v>0</v>
      </c>
      <c r="BC397" s="21">
        <v>0</v>
      </c>
      <c r="BD397" s="21">
        <v>0</v>
      </c>
      <c r="BE397" s="21">
        <v>0</v>
      </c>
      <c r="BF397" s="21">
        <v>0</v>
      </c>
      <c r="BG397" s="21">
        <v>0</v>
      </c>
      <c r="BH397" s="21">
        <v>0</v>
      </c>
      <c r="BI397" s="21">
        <v>0</v>
      </c>
      <c r="BJ397" s="21">
        <v>0</v>
      </c>
      <c r="BK397" s="21">
        <v>0</v>
      </c>
      <c r="BL397" s="21">
        <v>0</v>
      </c>
      <c r="BM397" s="21">
        <v>0</v>
      </c>
      <c r="BN397" s="21">
        <v>0</v>
      </c>
      <c r="BO397" s="21">
        <v>0</v>
      </c>
      <c r="BP397" s="21">
        <v>0</v>
      </c>
      <c r="BQ397" s="21">
        <v>0</v>
      </c>
      <c r="BR397" s="21">
        <v>0</v>
      </c>
      <c r="BS397" s="21">
        <v>0</v>
      </c>
      <c r="BT397" s="21">
        <v>0</v>
      </c>
      <c r="BU397" s="21">
        <v>0</v>
      </c>
      <c r="BV397" s="21">
        <v>0</v>
      </c>
      <c r="BW397" s="21">
        <v>0</v>
      </c>
      <c r="BX397" s="21">
        <v>0</v>
      </c>
      <c r="BY397" s="21">
        <v>0</v>
      </c>
      <c r="BZ397" s="21">
        <v>0</v>
      </c>
      <c r="CA397" s="21">
        <v>0</v>
      </c>
      <c r="CB397" s="21">
        <v>0</v>
      </c>
      <c r="CC397" s="21">
        <v>0</v>
      </c>
      <c r="CD397" s="21">
        <v>0</v>
      </c>
      <c r="CE397" s="21">
        <v>0</v>
      </c>
      <c r="CF397" s="21">
        <v>0</v>
      </c>
      <c r="CG397" s="21">
        <v>0</v>
      </c>
      <c r="CH397" s="21">
        <v>0</v>
      </c>
      <c r="CI397" s="21">
        <v>0</v>
      </c>
      <c r="CJ397" s="21">
        <v>0</v>
      </c>
      <c r="CK397" s="21">
        <v>0</v>
      </c>
      <c r="CL397" s="21">
        <v>0</v>
      </c>
      <c r="CM397" s="21">
        <v>0</v>
      </c>
      <c r="CN397" s="21">
        <v>0</v>
      </c>
      <c r="CO397" s="21">
        <v>0</v>
      </c>
      <c r="CP397" s="21">
        <v>0</v>
      </c>
      <c r="CQ397" s="21">
        <v>0</v>
      </c>
      <c r="CR397" s="21">
        <v>0</v>
      </c>
      <c r="CS397" s="21">
        <v>0</v>
      </c>
      <c r="CT397" s="21">
        <v>0</v>
      </c>
      <c r="CU397" s="21">
        <v>0</v>
      </c>
      <c r="CV397" s="21">
        <v>0</v>
      </c>
      <c r="CW397" s="21">
        <v>0</v>
      </c>
      <c r="CX397" s="21">
        <v>0</v>
      </c>
      <c r="CY397" s="21">
        <v>0</v>
      </c>
      <c r="CZ397" s="21">
        <v>0</v>
      </c>
      <c r="DA397" s="21">
        <v>0</v>
      </c>
      <c r="DB397" s="21">
        <v>0</v>
      </c>
      <c r="DC397" s="21">
        <v>0</v>
      </c>
      <c r="DD397" s="21">
        <v>0</v>
      </c>
      <c r="DE397" s="21">
        <v>0</v>
      </c>
      <c r="DF397" s="21">
        <v>0</v>
      </c>
      <c r="DG397" s="21">
        <v>0</v>
      </c>
      <c r="DH397" s="21">
        <v>0</v>
      </c>
      <c r="DI397" s="21">
        <v>0</v>
      </c>
      <c r="DJ397" s="21">
        <v>0</v>
      </c>
      <c r="DK397" s="21">
        <v>0</v>
      </c>
      <c r="DL397" s="21">
        <v>0</v>
      </c>
      <c r="DM397" s="21">
        <v>0</v>
      </c>
      <c r="DN397" s="21">
        <v>0</v>
      </c>
      <c r="DO397" s="21">
        <v>0</v>
      </c>
      <c r="DP397" s="21">
        <v>0</v>
      </c>
      <c r="DQ397" s="21">
        <v>0</v>
      </c>
      <c r="DR397" s="21">
        <v>0</v>
      </c>
      <c r="DS397" s="21">
        <v>0</v>
      </c>
      <c r="DT397" s="21">
        <v>0</v>
      </c>
      <c r="DU397" s="21">
        <v>0</v>
      </c>
      <c r="DV397" s="21">
        <v>0</v>
      </c>
      <c r="DW397" s="21">
        <v>0</v>
      </c>
      <c r="DX397" s="21">
        <v>0</v>
      </c>
      <c r="DY397" s="21">
        <v>0</v>
      </c>
      <c r="DZ397" s="21">
        <v>0</v>
      </c>
      <c r="EA397" s="21">
        <v>0</v>
      </c>
      <c r="EB397" s="21">
        <v>0</v>
      </c>
      <c r="EC397" s="21">
        <v>0</v>
      </c>
      <c r="ED397" s="21">
        <v>0</v>
      </c>
      <c r="EE397" s="21">
        <v>0</v>
      </c>
      <c r="EF397" s="21">
        <v>0</v>
      </c>
    </row>
    <row r="398" spans="1:136" ht="14.5" x14ac:dyDescent="0.35">
      <c r="A398" s="20" t="s">
        <v>12</v>
      </c>
      <c r="B398" s="20" t="s">
        <v>30</v>
      </c>
      <c r="C398" s="20" t="s">
        <v>30</v>
      </c>
      <c r="D398" s="20" t="s">
        <v>333</v>
      </c>
      <c r="E398" s="20" t="s">
        <v>14</v>
      </c>
      <c r="F398" s="20" t="s">
        <v>79</v>
      </c>
      <c r="G398" s="21">
        <v>14</v>
      </c>
      <c r="H398" s="21">
        <v>14</v>
      </c>
      <c r="I398" s="21">
        <v>14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  <c r="W398" s="21">
        <v>0</v>
      </c>
      <c r="X398" s="21">
        <v>0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>
        <v>0</v>
      </c>
      <c r="AE398" s="21">
        <v>0</v>
      </c>
      <c r="AF398" s="21">
        <v>14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21">
        <v>0</v>
      </c>
      <c r="AO398" s="21">
        <v>0</v>
      </c>
      <c r="AP398" s="21">
        <v>0</v>
      </c>
      <c r="AQ398" s="21">
        <v>0</v>
      </c>
      <c r="AR398" s="21">
        <v>0</v>
      </c>
      <c r="AS398" s="21">
        <v>0</v>
      </c>
      <c r="AT398" s="21">
        <v>0</v>
      </c>
      <c r="AU398" s="21">
        <v>0</v>
      </c>
      <c r="AV398" s="21">
        <v>0</v>
      </c>
      <c r="AW398" s="21">
        <v>0</v>
      </c>
      <c r="AX398" s="21">
        <v>0</v>
      </c>
      <c r="AY398" s="21">
        <v>0</v>
      </c>
      <c r="AZ398" s="21">
        <v>0</v>
      </c>
      <c r="BA398" s="21">
        <v>0</v>
      </c>
      <c r="BB398" s="21">
        <v>0</v>
      </c>
      <c r="BC398" s="21">
        <v>0</v>
      </c>
      <c r="BD398" s="21">
        <v>0</v>
      </c>
      <c r="BE398" s="21">
        <v>0</v>
      </c>
      <c r="BF398" s="21">
        <v>0</v>
      </c>
      <c r="BG398" s="21">
        <v>0</v>
      </c>
      <c r="BH398" s="21">
        <v>0</v>
      </c>
      <c r="BI398" s="21">
        <v>0</v>
      </c>
      <c r="BJ398" s="21">
        <v>0</v>
      </c>
      <c r="BK398" s="21">
        <v>0</v>
      </c>
      <c r="BL398" s="21">
        <v>0</v>
      </c>
      <c r="BM398" s="21">
        <v>0</v>
      </c>
      <c r="BN398" s="21">
        <v>0</v>
      </c>
      <c r="BO398" s="21">
        <v>0</v>
      </c>
      <c r="BP398" s="21">
        <v>0</v>
      </c>
      <c r="BQ398" s="21">
        <v>0</v>
      </c>
      <c r="BR398" s="21">
        <v>0</v>
      </c>
      <c r="BS398" s="21">
        <v>0</v>
      </c>
      <c r="BT398" s="21">
        <v>0</v>
      </c>
      <c r="BU398" s="21">
        <v>0</v>
      </c>
      <c r="BV398" s="21">
        <v>0</v>
      </c>
      <c r="BW398" s="21">
        <v>0</v>
      </c>
      <c r="BX398" s="21">
        <v>0</v>
      </c>
      <c r="BY398" s="21">
        <v>0</v>
      </c>
      <c r="BZ398" s="21">
        <v>0</v>
      </c>
      <c r="CA398" s="21">
        <v>0</v>
      </c>
      <c r="CB398" s="21">
        <v>0</v>
      </c>
      <c r="CC398" s="21">
        <v>0</v>
      </c>
      <c r="CD398" s="21">
        <v>0</v>
      </c>
      <c r="CE398" s="21">
        <v>0</v>
      </c>
      <c r="CF398" s="21">
        <v>0</v>
      </c>
      <c r="CG398" s="21">
        <v>0</v>
      </c>
      <c r="CH398" s="21">
        <v>0</v>
      </c>
      <c r="CI398" s="21">
        <v>0</v>
      </c>
      <c r="CJ398" s="21">
        <v>0</v>
      </c>
      <c r="CK398" s="21">
        <v>0</v>
      </c>
      <c r="CL398" s="21">
        <v>0</v>
      </c>
      <c r="CM398" s="21">
        <v>0</v>
      </c>
      <c r="CN398" s="21">
        <v>0</v>
      </c>
      <c r="CO398" s="21">
        <v>0</v>
      </c>
      <c r="CP398" s="21">
        <v>0</v>
      </c>
      <c r="CQ398" s="21">
        <v>0</v>
      </c>
      <c r="CR398" s="21">
        <v>0</v>
      </c>
      <c r="CS398" s="21">
        <v>0</v>
      </c>
      <c r="CT398" s="21">
        <v>0</v>
      </c>
      <c r="CU398" s="21">
        <v>0</v>
      </c>
      <c r="CV398" s="21">
        <v>0</v>
      </c>
      <c r="CW398" s="21">
        <v>0</v>
      </c>
      <c r="CX398" s="21">
        <v>0</v>
      </c>
      <c r="CY398" s="21">
        <v>0</v>
      </c>
      <c r="CZ398" s="21">
        <v>0</v>
      </c>
      <c r="DA398" s="21">
        <v>0</v>
      </c>
      <c r="DB398" s="21">
        <v>0</v>
      </c>
      <c r="DC398" s="21">
        <v>0</v>
      </c>
      <c r="DD398" s="21">
        <v>0</v>
      </c>
      <c r="DE398" s="21">
        <v>0</v>
      </c>
      <c r="DF398" s="21">
        <v>0</v>
      </c>
      <c r="DG398" s="21">
        <v>0</v>
      </c>
      <c r="DH398" s="21">
        <v>0</v>
      </c>
      <c r="DI398" s="21">
        <v>0</v>
      </c>
      <c r="DJ398" s="21">
        <v>0</v>
      </c>
      <c r="DK398" s="21">
        <v>0</v>
      </c>
      <c r="DL398" s="21">
        <v>0</v>
      </c>
      <c r="DM398" s="21">
        <v>0</v>
      </c>
      <c r="DN398" s="21">
        <v>0</v>
      </c>
      <c r="DO398" s="21">
        <v>0</v>
      </c>
      <c r="DP398" s="21">
        <v>0</v>
      </c>
      <c r="DQ398" s="21">
        <v>0</v>
      </c>
      <c r="DR398" s="21">
        <v>0</v>
      </c>
      <c r="DS398" s="21">
        <v>0</v>
      </c>
      <c r="DT398" s="21">
        <v>0</v>
      </c>
      <c r="DU398" s="21">
        <v>0</v>
      </c>
      <c r="DV398" s="21">
        <v>0</v>
      </c>
      <c r="DW398" s="21">
        <v>0</v>
      </c>
      <c r="DX398" s="21">
        <v>0</v>
      </c>
      <c r="DY398" s="21">
        <v>0</v>
      </c>
      <c r="DZ398" s="21">
        <v>0</v>
      </c>
      <c r="EA398" s="21">
        <v>0</v>
      </c>
      <c r="EB398" s="21">
        <v>0</v>
      </c>
      <c r="EC398" s="21">
        <v>0</v>
      </c>
      <c r="ED398" s="21">
        <v>0</v>
      </c>
      <c r="EE398" s="21">
        <v>0</v>
      </c>
      <c r="EF398" s="21">
        <v>0</v>
      </c>
    </row>
    <row r="399" spans="1:136" ht="14.5" x14ac:dyDescent="0.35">
      <c r="A399" s="20" t="s">
        <v>12</v>
      </c>
      <c r="B399" s="20" t="s">
        <v>30</v>
      </c>
      <c r="C399" s="20" t="s">
        <v>30</v>
      </c>
      <c r="D399" s="20" t="s">
        <v>332</v>
      </c>
      <c r="E399" s="20" t="s">
        <v>14</v>
      </c>
      <c r="F399" s="20" t="s">
        <v>124</v>
      </c>
      <c r="G399" s="21">
        <v>0</v>
      </c>
      <c r="H399" s="21">
        <v>0</v>
      </c>
      <c r="I399" s="21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  <c r="W399" s="21">
        <v>0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0</v>
      </c>
      <c r="AL399" s="21">
        <v>0</v>
      </c>
      <c r="AM399" s="21">
        <v>0</v>
      </c>
      <c r="AN399" s="21">
        <v>0</v>
      </c>
      <c r="AO399" s="21">
        <v>0</v>
      </c>
      <c r="AP399" s="21">
        <v>0</v>
      </c>
      <c r="AQ399" s="21">
        <v>0</v>
      </c>
      <c r="AR399" s="21">
        <v>0</v>
      </c>
      <c r="AS399" s="21">
        <v>0</v>
      </c>
      <c r="AT399" s="21">
        <v>0</v>
      </c>
      <c r="AU399" s="21">
        <v>0</v>
      </c>
      <c r="AV399" s="21">
        <v>0</v>
      </c>
      <c r="AW399" s="21">
        <v>0</v>
      </c>
      <c r="AX399" s="21">
        <v>0</v>
      </c>
      <c r="AY399" s="21">
        <v>0</v>
      </c>
      <c r="AZ399" s="21">
        <v>0</v>
      </c>
      <c r="BA399" s="21">
        <v>0</v>
      </c>
      <c r="BB399" s="21">
        <v>0</v>
      </c>
      <c r="BC399" s="21">
        <v>0</v>
      </c>
      <c r="BD399" s="21">
        <v>0</v>
      </c>
      <c r="BE399" s="21">
        <v>0</v>
      </c>
      <c r="BF399" s="21">
        <v>0</v>
      </c>
      <c r="BG399" s="21">
        <v>0</v>
      </c>
      <c r="BH399" s="21">
        <v>0</v>
      </c>
      <c r="BI399" s="21">
        <v>0</v>
      </c>
      <c r="BJ399" s="21">
        <v>0</v>
      </c>
      <c r="BK399" s="21">
        <v>0</v>
      </c>
      <c r="BL399" s="21">
        <v>0</v>
      </c>
      <c r="BM399" s="21">
        <v>0</v>
      </c>
      <c r="BN399" s="21">
        <v>0</v>
      </c>
      <c r="BO399" s="21">
        <v>0</v>
      </c>
      <c r="BP399" s="21">
        <v>0</v>
      </c>
      <c r="BQ399" s="21">
        <v>0</v>
      </c>
      <c r="BR399" s="21">
        <v>0</v>
      </c>
      <c r="BS399" s="21">
        <v>0</v>
      </c>
      <c r="BT399" s="21">
        <v>0</v>
      </c>
      <c r="BU399" s="21">
        <v>0</v>
      </c>
      <c r="BV399" s="21">
        <v>0</v>
      </c>
      <c r="BW399" s="21">
        <v>0</v>
      </c>
      <c r="BX399" s="21">
        <v>0</v>
      </c>
      <c r="BY399" s="21">
        <v>0</v>
      </c>
      <c r="BZ399" s="21">
        <v>0</v>
      </c>
      <c r="CA399" s="21">
        <v>0</v>
      </c>
      <c r="CB399" s="21">
        <v>0</v>
      </c>
      <c r="CC399" s="21">
        <v>0</v>
      </c>
      <c r="CD399" s="21">
        <v>0</v>
      </c>
      <c r="CE399" s="21">
        <v>0</v>
      </c>
      <c r="CF399" s="21">
        <v>0</v>
      </c>
      <c r="CG399" s="21">
        <v>0</v>
      </c>
      <c r="CH399" s="21">
        <v>0</v>
      </c>
      <c r="CI399" s="21">
        <v>0</v>
      </c>
      <c r="CJ399" s="21">
        <v>0</v>
      </c>
      <c r="CK399" s="21">
        <v>0</v>
      </c>
      <c r="CL399" s="21">
        <v>0</v>
      </c>
      <c r="CM399" s="21">
        <v>0</v>
      </c>
      <c r="CN399" s="21">
        <v>0</v>
      </c>
      <c r="CO399" s="21">
        <v>0</v>
      </c>
      <c r="CP399" s="21">
        <v>0</v>
      </c>
      <c r="CQ399" s="21">
        <v>0</v>
      </c>
      <c r="CR399" s="21">
        <v>0</v>
      </c>
      <c r="CS399" s="21">
        <v>0</v>
      </c>
      <c r="CT399" s="21">
        <v>0</v>
      </c>
      <c r="CU399" s="21">
        <v>0</v>
      </c>
      <c r="CV399" s="21">
        <v>0</v>
      </c>
      <c r="CW399" s="21">
        <v>0</v>
      </c>
      <c r="CX399" s="21">
        <v>0</v>
      </c>
      <c r="CY399" s="21">
        <v>0</v>
      </c>
      <c r="CZ399" s="21">
        <v>0</v>
      </c>
      <c r="DA399" s="21">
        <v>0</v>
      </c>
      <c r="DB399" s="21">
        <v>0</v>
      </c>
      <c r="DC399" s="21">
        <v>0</v>
      </c>
      <c r="DD399" s="21">
        <v>0</v>
      </c>
      <c r="DE399" s="21">
        <v>0</v>
      </c>
      <c r="DF399" s="21">
        <v>0</v>
      </c>
      <c r="DG399" s="21">
        <v>0</v>
      </c>
      <c r="DH399" s="21">
        <v>0</v>
      </c>
      <c r="DI399" s="21">
        <v>0</v>
      </c>
      <c r="DJ399" s="21">
        <v>0</v>
      </c>
      <c r="DK399" s="21">
        <v>0</v>
      </c>
      <c r="DL399" s="21">
        <v>0</v>
      </c>
      <c r="DM399" s="21">
        <v>0</v>
      </c>
      <c r="DN399" s="21">
        <v>0</v>
      </c>
      <c r="DO399" s="21">
        <v>0</v>
      </c>
      <c r="DP399" s="21">
        <v>0</v>
      </c>
      <c r="DQ399" s="21">
        <v>0</v>
      </c>
      <c r="DR399" s="21">
        <v>0</v>
      </c>
      <c r="DS399" s="21">
        <v>0</v>
      </c>
      <c r="DT399" s="21">
        <v>0</v>
      </c>
      <c r="DU399" s="21">
        <v>0</v>
      </c>
      <c r="DV399" s="21">
        <v>0</v>
      </c>
      <c r="DW399" s="21">
        <v>0</v>
      </c>
      <c r="DX399" s="21">
        <v>0</v>
      </c>
      <c r="DY399" s="21">
        <v>0</v>
      </c>
      <c r="DZ399" s="21">
        <v>0</v>
      </c>
      <c r="EA399" s="21">
        <v>0</v>
      </c>
      <c r="EB399" s="21">
        <v>0</v>
      </c>
      <c r="EC399" s="21">
        <v>0</v>
      </c>
      <c r="ED399" s="21">
        <v>0</v>
      </c>
      <c r="EE399" s="21">
        <v>0</v>
      </c>
      <c r="EF399" s="21">
        <v>0</v>
      </c>
    </row>
    <row r="400" spans="1:136" ht="14.5" x14ac:dyDescent="0.35">
      <c r="A400" s="20" t="s">
        <v>12</v>
      </c>
      <c r="B400" s="20" t="s">
        <v>30</v>
      </c>
      <c r="C400" s="20" t="s">
        <v>30</v>
      </c>
      <c r="D400" s="20" t="s">
        <v>333</v>
      </c>
      <c r="E400" s="20" t="s">
        <v>14</v>
      </c>
      <c r="F400" s="20" t="s">
        <v>124</v>
      </c>
      <c r="G400" s="21">
        <v>6</v>
      </c>
      <c r="H400" s="21">
        <v>6</v>
      </c>
      <c r="I400" s="21">
        <v>6</v>
      </c>
      <c r="J400" s="21">
        <v>0</v>
      </c>
      <c r="K400" s="21">
        <v>0</v>
      </c>
      <c r="L400" s="21">
        <v>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  <c r="W400" s="21">
        <v>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6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0</v>
      </c>
      <c r="AO400" s="21">
        <v>0</v>
      </c>
      <c r="AP400" s="21">
        <v>0</v>
      </c>
      <c r="AQ400" s="21">
        <v>0</v>
      </c>
      <c r="AR400" s="21">
        <v>0</v>
      </c>
      <c r="AS400" s="21">
        <v>0</v>
      </c>
      <c r="AT400" s="21">
        <v>0</v>
      </c>
      <c r="AU400" s="21">
        <v>0</v>
      </c>
      <c r="AV400" s="21">
        <v>0</v>
      </c>
      <c r="AW400" s="21">
        <v>0</v>
      </c>
      <c r="AX400" s="21">
        <v>0</v>
      </c>
      <c r="AY400" s="21">
        <v>0</v>
      </c>
      <c r="AZ400" s="21">
        <v>0</v>
      </c>
      <c r="BA400" s="21">
        <v>0</v>
      </c>
      <c r="BB400" s="21">
        <v>0</v>
      </c>
      <c r="BC400" s="21">
        <v>0</v>
      </c>
      <c r="BD400" s="21">
        <v>0</v>
      </c>
      <c r="BE400" s="21">
        <v>0</v>
      </c>
      <c r="BF400" s="21">
        <v>0</v>
      </c>
      <c r="BG400" s="21">
        <v>0</v>
      </c>
      <c r="BH400" s="21">
        <v>0</v>
      </c>
      <c r="BI400" s="21">
        <v>0</v>
      </c>
      <c r="BJ400" s="21">
        <v>0</v>
      </c>
      <c r="BK400" s="21">
        <v>0</v>
      </c>
      <c r="BL400" s="21">
        <v>0</v>
      </c>
      <c r="BM400" s="21">
        <v>0</v>
      </c>
      <c r="BN400" s="21">
        <v>0</v>
      </c>
      <c r="BO400" s="21">
        <v>0</v>
      </c>
      <c r="BP400" s="21">
        <v>0</v>
      </c>
      <c r="BQ400" s="21">
        <v>0</v>
      </c>
      <c r="BR400" s="21">
        <v>0</v>
      </c>
      <c r="BS400" s="21">
        <v>0</v>
      </c>
      <c r="BT400" s="21">
        <v>0</v>
      </c>
      <c r="BU400" s="21">
        <v>0</v>
      </c>
      <c r="BV400" s="21">
        <v>0</v>
      </c>
      <c r="BW400" s="21">
        <v>0</v>
      </c>
      <c r="BX400" s="21">
        <v>0</v>
      </c>
      <c r="BY400" s="21">
        <v>0</v>
      </c>
      <c r="BZ400" s="21">
        <v>0</v>
      </c>
      <c r="CA400" s="21">
        <v>0</v>
      </c>
      <c r="CB400" s="21">
        <v>0</v>
      </c>
      <c r="CC400" s="21">
        <v>0</v>
      </c>
      <c r="CD400" s="21">
        <v>0</v>
      </c>
      <c r="CE400" s="21">
        <v>0</v>
      </c>
      <c r="CF400" s="21">
        <v>0</v>
      </c>
      <c r="CG400" s="21">
        <v>0</v>
      </c>
      <c r="CH400" s="21">
        <v>0</v>
      </c>
      <c r="CI400" s="21">
        <v>0</v>
      </c>
      <c r="CJ400" s="21">
        <v>0</v>
      </c>
      <c r="CK400" s="21">
        <v>0</v>
      </c>
      <c r="CL400" s="21">
        <v>0</v>
      </c>
      <c r="CM400" s="21">
        <v>0</v>
      </c>
      <c r="CN400" s="21">
        <v>0</v>
      </c>
      <c r="CO400" s="21">
        <v>0</v>
      </c>
      <c r="CP400" s="21">
        <v>0</v>
      </c>
      <c r="CQ400" s="21">
        <v>0</v>
      </c>
      <c r="CR400" s="21">
        <v>0</v>
      </c>
      <c r="CS400" s="21">
        <v>0</v>
      </c>
      <c r="CT400" s="21">
        <v>0</v>
      </c>
      <c r="CU400" s="21">
        <v>0</v>
      </c>
      <c r="CV400" s="21">
        <v>0</v>
      </c>
      <c r="CW400" s="21">
        <v>0</v>
      </c>
      <c r="CX400" s="21">
        <v>0</v>
      </c>
      <c r="CY400" s="21">
        <v>0</v>
      </c>
      <c r="CZ400" s="21">
        <v>0</v>
      </c>
      <c r="DA400" s="21">
        <v>0</v>
      </c>
      <c r="DB400" s="21">
        <v>0</v>
      </c>
      <c r="DC400" s="21">
        <v>0</v>
      </c>
      <c r="DD400" s="21">
        <v>0</v>
      </c>
      <c r="DE400" s="21">
        <v>0</v>
      </c>
      <c r="DF400" s="21">
        <v>0</v>
      </c>
      <c r="DG400" s="21">
        <v>0</v>
      </c>
      <c r="DH400" s="21">
        <v>0</v>
      </c>
      <c r="DI400" s="21">
        <v>0</v>
      </c>
      <c r="DJ400" s="21">
        <v>0</v>
      </c>
      <c r="DK400" s="21">
        <v>0</v>
      </c>
      <c r="DL400" s="21">
        <v>0</v>
      </c>
      <c r="DM400" s="21">
        <v>0</v>
      </c>
      <c r="DN400" s="21">
        <v>0</v>
      </c>
      <c r="DO400" s="21">
        <v>0</v>
      </c>
      <c r="DP400" s="21">
        <v>0</v>
      </c>
      <c r="DQ400" s="21">
        <v>0</v>
      </c>
      <c r="DR400" s="21">
        <v>0</v>
      </c>
      <c r="DS400" s="21">
        <v>0</v>
      </c>
      <c r="DT400" s="21">
        <v>0</v>
      </c>
      <c r="DU400" s="21">
        <v>0</v>
      </c>
      <c r="DV400" s="21">
        <v>0</v>
      </c>
      <c r="DW400" s="21">
        <v>0</v>
      </c>
      <c r="DX400" s="21">
        <v>0</v>
      </c>
      <c r="DY400" s="21">
        <v>0</v>
      </c>
      <c r="DZ400" s="21">
        <v>0</v>
      </c>
      <c r="EA400" s="21">
        <v>0</v>
      </c>
      <c r="EB400" s="21">
        <v>0</v>
      </c>
      <c r="EC400" s="21">
        <v>0</v>
      </c>
      <c r="ED400" s="21">
        <v>0</v>
      </c>
      <c r="EE400" s="21">
        <v>0</v>
      </c>
      <c r="EF400" s="21">
        <v>0</v>
      </c>
    </row>
    <row r="401" spans="1:136" ht="14.5" x14ac:dyDescent="0.35">
      <c r="A401" s="20" t="s">
        <v>12</v>
      </c>
      <c r="B401" s="20" t="s">
        <v>30</v>
      </c>
      <c r="C401" s="20" t="s">
        <v>30</v>
      </c>
      <c r="D401" s="20" t="s">
        <v>332</v>
      </c>
      <c r="E401" s="20" t="s">
        <v>14</v>
      </c>
      <c r="F401" s="20" t="s">
        <v>88</v>
      </c>
      <c r="G401" s="21">
        <v>0</v>
      </c>
      <c r="H401" s="21">
        <v>0</v>
      </c>
      <c r="I401" s="21">
        <v>2</v>
      </c>
      <c r="J401" s="21">
        <v>-2</v>
      </c>
      <c r="K401" s="21">
        <v>0</v>
      </c>
      <c r="L401" s="21">
        <v>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0</v>
      </c>
      <c r="X401" s="21">
        <v>0</v>
      </c>
      <c r="Y401" s="21">
        <v>0</v>
      </c>
      <c r="Z401" s="21">
        <v>0</v>
      </c>
      <c r="AA401" s="21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2</v>
      </c>
      <c r="AN401" s="21">
        <v>0</v>
      </c>
      <c r="AO401" s="21">
        <v>0</v>
      </c>
      <c r="AP401" s="21">
        <v>0</v>
      </c>
      <c r="AQ401" s="21">
        <v>0</v>
      </c>
      <c r="AR401" s="21">
        <v>0</v>
      </c>
      <c r="AS401" s="21">
        <v>0</v>
      </c>
      <c r="AT401" s="21">
        <v>0</v>
      </c>
      <c r="AU401" s="21">
        <v>0</v>
      </c>
      <c r="AV401" s="21">
        <v>0</v>
      </c>
      <c r="AW401" s="21">
        <v>0</v>
      </c>
      <c r="AX401" s="21">
        <v>0</v>
      </c>
      <c r="AY401" s="21">
        <v>0</v>
      </c>
      <c r="AZ401" s="21">
        <v>0</v>
      </c>
      <c r="BA401" s="21">
        <v>0</v>
      </c>
      <c r="BB401" s="21">
        <v>0</v>
      </c>
      <c r="BC401" s="21">
        <v>0</v>
      </c>
      <c r="BD401" s="21">
        <v>0</v>
      </c>
      <c r="BE401" s="21">
        <v>0</v>
      </c>
      <c r="BF401" s="21">
        <v>0</v>
      </c>
      <c r="BG401" s="21">
        <v>0</v>
      </c>
      <c r="BH401" s="21">
        <v>0</v>
      </c>
      <c r="BI401" s="21">
        <v>0</v>
      </c>
      <c r="BJ401" s="21">
        <v>0</v>
      </c>
      <c r="BK401" s="21">
        <v>0</v>
      </c>
      <c r="BL401" s="21">
        <v>0</v>
      </c>
      <c r="BM401" s="21">
        <v>0</v>
      </c>
      <c r="BN401" s="21">
        <v>0</v>
      </c>
      <c r="BO401" s="21">
        <v>0</v>
      </c>
      <c r="BP401" s="21">
        <v>0</v>
      </c>
      <c r="BQ401" s="21">
        <v>0</v>
      </c>
      <c r="BR401" s="21">
        <v>0</v>
      </c>
      <c r="BS401" s="21">
        <v>0</v>
      </c>
      <c r="BT401" s="21">
        <v>0</v>
      </c>
      <c r="BU401" s="21">
        <v>0</v>
      </c>
      <c r="BV401" s="21">
        <v>0</v>
      </c>
      <c r="BW401" s="21">
        <v>0</v>
      </c>
      <c r="BX401" s="21">
        <v>0</v>
      </c>
      <c r="BY401" s="21">
        <v>0</v>
      </c>
      <c r="BZ401" s="21">
        <v>0</v>
      </c>
      <c r="CA401" s="21">
        <v>0</v>
      </c>
      <c r="CB401" s="21">
        <v>0</v>
      </c>
      <c r="CC401" s="21">
        <v>0</v>
      </c>
      <c r="CD401" s="21">
        <v>0</v>
      </c>
      <c r="CE401" s="21">
        <v>0</v>
      </c>
      <c r="CF401" s="21">
        <v>0</v>
      </c>
      <c r="CG401" s="21">
        <v>0</v>
      </c>
      <c r="CH401" s="21">
        <v>0</v>
      </c>
      <c r="CI401" s="21">
        <v>0</v>
      </c>
      <c r="CJ401" s="21">
        <v>0</v>
      </c>
      <c r="CK401" s="21">
        <v>0</v>
      </c>
      <c r="CL401" s="21">
        <v>0</v>
      </c>
      <c r="CM401" s="21">
        <v>0</v>
      </c>
      <c r="CN401" s="21">
        <v>0</v>
      </c>
      <c r="CO401" s="21">
        <v>0</v>
      </c>
      <c r="CP401" s="21">
        <v>0</v>
      </c>
      <c r="CQ401" s="21">
        <v>0</v>
      </c>
      <c r="CR401" s="21">
        <v>0</v>
      </c>
      <c r="CS401" s="21">
        <v>0</v>
      </c>
      <c r="CT401" s="21">
        <v>0</v>
      </c>
      <c r="CU401" s="21">
        <v>0</v>
      </c>
      <c r="CV401" s="21">
        <v>0</v>
      </c>
      <c r="CW401" s="21">
        <v>0</v>
      </c>
      <c r="CX401" s="21">
        <v>0</v>
      </c>
      <c r="CY401" s="21">
        <v>0</v>
      </c>
      <c r="CZ401" s="21">
        <v>0</v>
      </c>
      <c r="DA401" s="21">
        <v>0</v>
      </c>
      <c r="DB401" s="21">
        <v>0</v>
      </c>
      <c r="DC401" s="21">
        <v>0</v>
      </c>
      <c r="DD401" s="21">
        <v>0</v>
      </c>
      <c r="DE401" s="21">
        <v>0</v>
      </c>
      <c r="DF401" s="21">
        <v>0</v>
      </c>
      <c r="DG401" s="21">
        <v>0</v>
      </c>
      <c r="DH401" s="21">
        <v>0</v>
      </c>
      <c r="DI401" s="21">
        <v>0</v>
      </c>
      <c r="DJ401" s="21">
        <v>0</v>
      </c>
      <c r="DK401" s="21">
        <v>0</v>
      </c>
      <c r="DL401" s="21">
        <v>0</v>
      </c>
      <c r="DM401" s="21">
        <v>0</v>
      </c>
      <c r="DN401" s="21">
        <v>0</v>
      </c>
      <c r="DO401" s="21">
        <v>0</v>
      </c>
      <c r="DP401" s="21">
        <v>0</v>
      </c>
      <c r="DQ401" s="21">
        <v>0</v>
      </c>
      <c r="DR401" s="21">
        <v>0</v>
      </c>
      <c r="DS401" s="21">
        <v>0</v>
      </c>
      <c r="DT401" s="21">
        <v>0</v>
      </c>
      <c r="DU401" s="21">
        <v>0</v>
      </c>
      <c r="DV401" s="21">
        <v>0</v>
      </c>
      <c r="DW401" s="21">
        <v>0</v>
      </c>
      <c r="DX401" s="21">
        <v>0</v>
      </c>
      <c r="DY401" s="21">
        <v>0</v>
      </c>
      <c r="DZ401" s="21">
        <v>0</v>
      </c>
      <c r="EA401" s="21">
        <v>0</v>
      </c>
      <c r="EB401" s="21">
        <v>0</v>
      </c>
      <c r="EC401" s="21">
        <v>0</v>
      </c>
      <c r="ED401" s="21">
        <v>0</v>
      </c>
      <c r="EE401" s="21">
        <v>0</v>
      </c>
      <c r="EF401" s="21">
        <v>0</v>
      </c>
    </row>
    <row r="402" spans="1:136" ht="14.5" x14ac:dyDescent="0.35">
      <c r="A402" s="20" t="s">
        <v>12</v>
      </c>
      <c r="B402" s="20" t="s">
        <v>30</v>
      </c>
      <c r="C402" s="20" t="s">
        <v>30</v>
      </c>
      <c r="D402" s="20" t="s">
        <v>332</v>
      </c>
      <c r="E402" s="20" t="s">
        <v>14</v>
      </c>
      <c r="F402" s="20" t="s">
        <v>81</v>
      </c>
      <c r="G402" s="21">
        <v>0</v>
      </c>
      <c r="H402" s="21">
        <v>0</v>
      </c>
      <c r="I402" s="21">
        <v>381</v>
      </c>
      <c r="J402" s="21">
        <v>-381</v>
      </c>
      <c r="K402" s="21">
        <v>0</v>
      </c>
      <c r="L402" s="21">
        <v>0</v>
      </c>
      <c r="M402" s="21">
        <v>0</v>
      </c>
      <c r="N402" s="21">
        <v>0</v>
      </c>
      <c r="O402" s="21">
        <v>0</v>
      </c>
      <c r="P402" s="21">
        <v>0</v>
      </c>
      <c r="Q402" s="21">
        <v>0</v>
      </c>
      <c r="R402" s="21">
        <v>0</v>
      </c>
      <c r="S402" s="21">
        <v>0</v>
      </c>
      <c r="T402" s="21">
        <v>0</v>
      </c>
      <c r="U402" s="21">
        <v>0</v>
      </c>
      <c r="V402" s="21">
        <v>0</v>
      </c>
      <c r="W402" s="21">
        <v>0</v>
      </c>
      <c r="X402" s="21">
        <v>0</v>
      </c>
      <c r="Y402" s="21">
        <v>0</v>
      </c>
      <c r="Z402" s="21">
        <v>0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10</v>
      </c>
      <c r="AK402" s="21">
        <v>14</v>
      </c>
      <c r="AL402" s="21">
        <v>14</v>
      </c>
      <c r="AM402" s="21">
        <v>15</v>
      </c>
      <c r="AN402" s="21">
        <v>9</v>
      </c>
      <c r="AO402" s="21">
        <v>0</v>
      </c>
      <c r="AP402" s="21">
        <v>23</v>
      </c>
      <c r="AQ402" s="21">
        <v>25</v>
      </c>
      <c r="AR402" s="21">
        <v>37</v>
      </c>
      <c r="AS402" s="21">
        <v>5</v>
      </c>
      <c r="AT402" s="21">
        <v>0</v>
      </c>
      <c r="AU402" s="21">
        <v>0</v>
      </c>
      <c r="AV402" s="21">
        <v>0</v>
      </c>
      <c r="AW402" s="21">
        <v>0</v>
      </c>
      <c r="AX402" s="21">
        <v>0</v>
      </c>
      <c r="AY402" s="21">
        <v>0</v>
      </c>
      <c r="AZ402" s="21">
        <v>0</v>
      </c>
      <c r="BA402" s="21">
        <v>0</v>
      </c>
      <c r="BB402" s="21">
        <v>0</v>
      </c>
      <c r="BC402" s="21">
        <v>0</v>
      </c>
      <c r="BD402" s="21">
        <v>0</v>
      </c>
      <c r="BE402" s="21">
        <v>0</v>
      </c>
      <c r="BF402" s="21">
        <v>0</v>
      </c>
      <c r="BG402" s="21">
        <v>0</v>
      </c>
      <c r="BH402" s="21">
        <v>0</v>
      </c>
      <c r="BI402" s="21">
        <v>0</v>
      </c>
      <c r="BJ402" s="21">
        <v>0</v>
      </c>
      <c r="BK402" s="21">
        <v>0</v>
      </c>
      <c r="BL402" s="21">
        <v>0</v>
      </c>
      <c r="BM402" s="21">
        <v>0</v>
      </c>
      <c r="BN402" s="21">
        <v>0</v>
      </c>
      <c r="BO402" s="21">
        <v>0</v>
      </c>
      <c r="BP402" s="21">
        <v>0</v>
      </c>
      <c r="BQ402" s="21">
        <v>0</v>
      </c>
      <c r="BR402" s="21">
        <v>0</v>
      </c>
      <c r="BS402" s="21">
        <v>0</v>
      </c>
      <c r="BT402" s="21">
        <v>0</v>
      </c>
      <c r="BU402" s="21">
        <v>0</v>
      </c>
      <c r="BV402" s="21">
        <v>0</v>
      </c>
      <c r="BW402" s="21">
        <v>0</v>
      </c>
      <c r="BX402" s="21">
        <v>0</v>
      </c>
      <c r="BY402" s="21">
        <v>0</v>
      </c>
      <c r="BZ402" s="21">
        <v>0</v>
      </c>
      <c r="CA402" s="21">
        <v>0</v>
      </c>
      <c r="CB402" s="21">
        <v>0</v>
      </c>
      <c r="CC402" s="21">
        <v>0</v>
      </c>
      <c r="CD402" s="21">
        <v>0</v>
      </c>
      <c r="CE402" s="21">
        <v>0</v>
      </c>
      <c r="CF402" s="21">
        <v>0</v>
      </c>
      <c r="CG402" s="21">
        <v>0</v>
      </c>
      <c r="CH402" s="21">
        <v>0</v>
      </c>
      <c r="CI402" s="21">
        <v>0</v>
      </c>
      <c r="CJ402" s="21">
        <v>0</v>
      </c>
      <c r="CK402" s="21">
        <v>0</v>
      </c>
      <c r="CL402" s="21">
        <v>0</v>
      </c>
      <c r="CM402" s="21">
        <v>0</v>
      </c>
      <c r="CN402" s="21">
        <v>0</v>
      </c>
      <c r="CO402" s="21">
        <v>0</v>
      </c>
      <c r="CP402" s="21">
        <v>0</v>
      </c>
      <c r="CQ402" s="21">
        <v>0</v>
      </c>
      <c r="CR402" s="21">
        <v>0</v>
      </c>
      <c r="CS402" s="21">
        <v>5</v>
      </c>
      <c r="CT402" s="21">
        <v>2</v>
      </c>
      <c r="CU402" s="21">
        <v>14</v>
      </c>
      <c r="CV402" s="21">
        <v>2</v>
      </c>
      <c r="CW402" s="21">
        <v>2</v>
      </c>
      <c r="CX402" s="21">
        <v>9</v>
      </c>
      <c r="CY402" s="21">
        <v>40</v>
      </c>
      <c r="CZ402" s="21">
        <v>14</v>
      </c>
      <c r="DA402" s="21">
        <v>2</v>
      </c>
      <c r="DB402" s="21">
        <v>2</v>
      </c>
      <c r="DC402" s="21">
        <v>2</v>
      </c>
      <c r="DD402" s="21">
        <v>2</v>
      </c>
      <c r="DE402" s="21">
        <v>2</v>
      </c>
      <c r="DF402" s="21">
        <v>2</v>
      </c>
      <c r="DG402" s="21">
        <v>2</v>
      </c>
      <c r="DH402" s="21">
        <v>14</v>
      </c>
      <c r="DI402" s="21">
        <v>2</v>
      </c>
      <c r="DJ402" s="21">
        <v>0</v>
      </c>
      <c r="DK402" s="21">
        <v>9</v>
      </c>
      <c r="DL402" s="21">
        <v>40</v>
      </c>
      <c r="DM402" s="21">
        <v>12</v>
      </c>
      <c r="DN402" s="21">
        <v>4</v>
      </c>
      <c r="DO402" s="21">
        <v>25</v>
      </c>
      <c r="DP402" s="21">
        <v>14</v>
      </c>
      <c r="DQ402" s="21">
        <v>10</v>
      </c>
      <c r="DR402" s="21">
        <v>2</v>
      </c>
      <c r="DS402" s="21">
        <v>0</v>
      </c>
      <c r="DT402" s="21">
        <v>0</v>
      </c>
      <c r="DU402" s="21">
        <v>0</v>
      </c>
      <c r="DV402" s="21">
        <v>0</v>
      </c>
      <c r="DW402" s="21">
        <v>0</v>
      </c>
      <c r="DX402" s="21">
        <v>0</v>
      </c>
      <c r="DY402" s="21">
        <v>0</v>
      </c>
      <c r="DZ402" s="21">
        <v>0</v>
      </c>
      <c r="EA402" s="21">
        <v>0</v>
      </c>
      <c r="EB402" s="21">
        <v>0</v>
      </c>
      <c r="EC402" s="21">
        <v>0</v>
      </c>
      <c r="ED402" s="21">
        <v>0</v>
      </c>
      <c r="EE402" s="21">
        <v>0</v>
      </c>
      <c r="EF402" s="21">
        <v>0</v>
      </c>
    </row>
    <row r="403" spans="1:136" ht="14.5" x14ac:dyDescent="0.35">
      <c r="A403" s="20" t="s">
        <v>12</v>
      </c>
      <c r="B403" s="20" t="s">
        <v>30</v>
      </c>
      <c r="C403" s="20" t="s">
        <v>30</v>
      </c>
      <c r="D403" s="20" t="s">
        <v>333</v>
      </c>
      <c r="E403" s="20" t="s">
        <v>14</v>
      </c>
      <c r="F403" s="20" t="s">
        <v>81</v>
      </c>
      <c r="G403" s="21">
        <v>150.5</v>
      </c>
      <c r="H403" s="21">
        <v>518.5</v>
      </c>
      <c r="I403" s="21">
        <v>15.5</v>
      </c>
      <c r="J403" s="21">
        <v>503</v>
      </c>
      <c r="K403" s="21">
        <v>0</v>
      </c>
      <c r="L403" s="21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  <c r="W403" s="21">
        <v>0</v>
      </c>
      <c r="X403" s="21">
        <v>0</v>
      </c>
      <c r="Y403" s="21">
        <v>0</v>
      </c>
      <c r="Z403" s="21">
        <v>0</v>
      </c>
      <c r="AA403" s="21">
        <v>0</v>
      </c>
      <c r="AB403" s="21">
        <v>0</v>
      </c>
      <c r="AC403" s="21">
        <v>0</v>
      </c>
      <c r="AD403" s="21">
        <v>0</v>
      </c>
      <c r="AE403" s="21">
        <v>3</v>
      </c>
      <c r="AF403" s="21">
        <v>2.5</v>
      </c>
      <c r="AG403" s="21">
        <v>5</v>
      </c>
      <c r="AH403" s="21">
        <v>3</v>
      </c>
      <c r="AI403" s="21">
        <v>2</v>
      </c>
      <c r="AJ403" s="21">
        <v>0</v>
      </c>
      <c r="AK403" s="21">
        <v>0</v>
      </c>
      <c r="AL403" s="21">
        <v>0</v>
      </c>
      <c r="AM403" s="21">
        <v>0</v>
      </c>
      <c r="AN403" s="21">
        <v>0</v>
      </c>
      <c r="AO403" s="21">
        <v>0</v>
      </c>
      <c r="AP403" s="21">
        <v>0</v>
      </c>
      <c r="AQ403" s="21">
        <v>0</v>
      </c>
      <c r="AR403" s="21">
        <v>0</v>
      </c>
      <c r="AS403" s="21">
        <v>0</v>
      </c>
      <c r="AT403" s="21">
        <v>0</v>
      </c>
      <c r="AU403" s="21">
        <v>0</v>
      </c>
      <c r="AV403" s="21">
        <v>0</v>
      </c>
      <c r="AW403" s="21">
        <v>0</v>
      </c>
      <c r="AX403" s="21">
        <v>0</v>
      </c>
      <c r="AY403" s="21">
        <v>0</v>
      </c>
      <c r="AZ403" s="21">
        <v>0</v>
      </c>
      <c r="BA403" s="21">
        <v>0</v>
      </c>
      <c r="BB403" s="21">
        <v>0</v>
      </c>
      <c r="BC403" s="21">
        <v>0</v>
      </c>
      <c r="BD403" s="21">
        <v>0</v>
      </c>
      <c r="BE403" s="21">
        <v>0</v>
      </c>
      <c r="BF403" s="21">
        <v>0</v>
      </c>
      <c r="BG403" s="21">
        <v>0</v>
      </c>
      <c r="BH403" s="21">
        <v>0</v>
      </c>
      <c r="BI403" s="21">
        <v>0</v>
      </c>
      <c r="BJ403" s="21">
        <v>0</v>
      </c>
      <c r="BK403" s="21">
        <v>0</v>
      </c>
      <c r="BL403" s="21">
        <v>0</v>
      </c>
      <c r="BM403" s="21">
        <v>0</v>
      </c>
      <c r="BN403" s="21">
        <v>0</v>
      </c>
      <c r="BO403" s="21">
        <v>0</v>
      </c>
      <c r="BP403" s="21">
        <v>0</v>
      </c>
      <c r="BQ403" s="21">
        <v>0</v>
      </c>
      <c r="BR403" s="21">
        <v>0</v>
      </c>
      <c r="BS403" s="21">
        <v>0</v>
      </c>
      <c r="BT403" s="21">
        <v>0</v>
      </c>
      <c r="BU403" s="21">
        <v>0</v>
      </c>
      <c r="BV403" s="21">
        <v>0</v>
      </c>
      <c r="BW403" s="21">
        <v>0</v>
      </c>
      <c r="BX403" s="21">
        <v>0</v>
      </c>
      <c r="BY403" s="21">
        <v>0</v>
      </c>
      <c r="BZ403" s="21">
        <v>0</v>
      </c>
      <c r="CA403" s="21">
        <v>0</v>
      </c>
      <c r="CB403" s="21">
        <v>0</v>
      </c>
      <c r="CC403" s="21">
        <v>0</v>
      </c>
      <c r="CD403" s="21">
        <v>0</v>
      </c>
      <c r="CE403" s="21">
        <v>0</v>
      </c>
      <c r="CF403" s="21">
        <v>0</v>
      </c>
      <c r="CG403" s="21">
        <v>0</v>
      </c>
      <c r="CH403" s="21">
        <v>0</v>
      </c>
      <c r="CI403" s="21">
        <v>0</v>
      </c>
      <c r="CJ403" s="21">
        <v>0</v>
      </c>
      <c r="CK403" s="21">
        <v>0</v>
      </c>
      <c r="CL403" s="21">
        <v>0</v>
      </c>
      <c r="CM403" s="21">
        <v>0</v>
      </c>
      <c r="CN403" s="21">
        <v>0</v>
      </c>
      <c r="CO403" s="21">
        <v>0</v>
      </c>
      <c r="CP403" s="21">
        <v>0</v>
      </c>
      <c r="CQ403" s="21">
        <v>0</v>
      </c>
      <c r="CR403" s="21">
        <v>0</v>
      </c>
      <c r="CS403" s="21">
        <v>0</v>
      </c>
      <c r="CT403" s="21">
        <v>0</v>
      </c>
      <c r="CU403" s="21">
        <v>0</v>
      </c>
      <c r="CV403" s="21">
        <v>0</v>
      </c>
      <c r="CW403" s="21">
        <v>0</v>
      </c>
      <c r="CX403" s="21">
        <v>0</v>
      </c>
      <c r="CY403" s="21">
        <v>0</v>
      </c>
      <c r="CZ403" s="21">
        <v>0</v>
      </c>
      <c r="DA403" s="21">
        <v>0</v>
      </c>
      <c r="DB403" s="21">
        <v>0</v>
      </c>
      <c r="DC403" s="21">
        <v>0</v>
      </c>
      <c r="DD403" s="21">
        <v>0</v>
      </c>
      <c r="DE403" s="21">
        <v>0</v>
      </c>
      <c r="DF403" s="21">
        <v>0</v>
      </c>
      <c r="DG403" s="21">
        <v>0</v>
      </c>
      <c r="DH403" s="21">
        <v>0</v>
      </c>
      <c r="DI403" s="21">
        <v>0</v>
      </c>
      <c r="DJ403" s="21">
        <v>0</v>
      </c>
      <c r="DK403" s="21">
        <v>0</v>
      </c>
      <c r="DL403" s="21">
        <v>0</v>
      </c>
      <c r="DM403" s="21">
        <v>0</v>
      </c>
      <c r="DN403" s="21">
        <v>0</v>
      </c>
      <c r="DO403" s="21">
        <v>0</v>
      </c>
      <c r="DP403" s="21">
        <v>0</v>
      </c>
      <c r="DQ403" s="21">
        <v>0</v>
      </c>
      <c r="DR403" s="21">
        <v>0</v>
      </c>
      <c r="DS403" s="21">
        <v>0</v>
      </c>
      <c r="DT403" s="21">
        <v>0</v>
      </c>
      <c r="DU403" s="21">
        <v>0</v>
      </c>
      <c r="DV403" s="21">
        <v>0</v>
      </c>
      <c r="DW403" s="21">
        <v>0</v>
      </c>
      <c r="DX403" s="21">
        <v>0</v>
      </c>
      <c r="DY403" s="21">
        <v>0</v>
      </c>
      <c r="DZ403" s="21">
        <v>0</v>
      </c>
      <c r="EA403" s="21">
        <v>0</v>
      </c>
      <c r="EB403" s="21">
        <v>0</v>
      </c>
      <c r="EC403" s="21">
        <v>0</v>
      </c>
      <c r="ED403" s="21">
        <v>0</v>
      </c>
      <c r="EE403" s="21">
        <v>0</v>
      </c>
      <c r="EF403" s="21">
        <v>0</v>
      </c>
    </row>
    <row r="404" spans="1:136" ht="14.5" x14ac:dyDescent="0.35">
      <c r="A404" s="20" t="s">
        <v>12</v>
      </c>
      <c r="B404" s="20" t="s">
        <v>30</v>
      </c>
      <c r="C404" s="20" t="s">
        <v>30</v>
      </c>
      <c r="D404" s="20" t="s">
        <v>332</v>
      </c>
      <c r="E404" s="20" t="s">
        <v>14</v>
      </c>
      <c r="F404" s="20" t="s">
        <v>98</v>
      </c>
      <c r="G404" s="21">
        <v>0</v>
      </c>
      <c r="H404" s="21">
        <v>0</v>
      </c>
      <c r="I404" s="21">
        <v>73.5</v>
      </c>
      <c r="J404" s="21">
        <v>-73.5</v>
      </c>
      <c r="K404" s="21">
        <v>0</v>
      </c>
      <c r="L404" s="21">
        <v>0</v>
      </c>
      <c r="M404" s="21">
        <v>0</v>
      </c>
      <c r="N404" s="21">
        <v>0</v>
      </c>
      <c r="O404" s="21">
        <v>0</v>
      </c>
      <c r="P404" s="21">
        <v>0</v>
      </c>
      <c r="Q404" s="21">
        <v>0</v>
      </c>
      <c r="R404" s="21">
        <v>0</v>
      </c>
      <c r="S404" s="21">
        <v>0</v>
      </c>
      <c r="T404" s="21">
        <v>0</v>
      </c>
      <c r="U404" s="21">
        <v>0</v>
      </c>
      <c r="V404" s="21">
        <v>0</v>
      </c>
      <c r="W404" s="21">
        <v>0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8</v>
      </c>
      <c r="AK404" s="21">
        <v>6</v>
      </c>
      <c r="AL404" s="21">
        <v>13</v>
      </c>
      <c r="AM404" s="21">
        <v>5</v>
      </c>
      <c r="AN404" s="21">
        <v>0</v>
      </c>
      <c r="AO404" s="21">
        <v>0</v>
      </c>
      <c r="AP404" s="21">
        <v>0</v>
      </c>
      <c r="AQ404" s="21">
        <v>0</v>
      </c>
      <c r="AR404" s="21">
        <v>2.5</v>
      </c>
      <c r="AS404" s="21">
        <v>3</v>
      </c>
      <c r="AT404" s="21">
        <v>0</v>
      </c>
      <c r="AU404" s="21">
        <v>0</v>
      </c>
      <c r="AV404" s="21">
        <v>0</v>
      </c>
      <c r="AW404" s="21">
        <v>0</v>
      </c>
      <c r="AX404" s="21">
        <v>0</v>
      </c>
      <c r="AY404" s="21">
        <v>0</v>
      </c>
      <c r="AZ404" s="21">
        <v>0</v>
      </c>
      <c r="BA404" s="21">
        <v>0</v>
      </c>
      <c r="BB404" s="21">
        <v>0</v>
      </c>
      <c r="BC404" s="21">
        <v>0</v>
      </c>
      <c r="BD404" s="21">
        <v>0</v>
      </c>
      <c r="BE404" s="21">
        <v>0</v>
      </c>
      <c r="BF404" s="21">
        <v>0</v>
      </c>
      <c r="BG404" s="21">
        <v>0</v>
      </c>
      <c r="BH404" s="21">
        <v>0</v>
      </c>
      <c r="BI404" s="21">
        <v>0</v>
      </c>
      <c r="BJ404" s="21">
        <v>0</v>
      </c>
      <c r="BK404" s="21">
        <v>0</v>
      </c>
      <c r="BL404" s="21">
        <v>0</v>
      </c>
      <c r="BM404" s="21">
        <v>0</v>
      </c>
      <c r="BN404" s="21">
        <v>0</v>
      </c>
      <c r="BO404" s="21">
        <v>0</v>
      </c>
      <c r="BP404" s="21">
        <v>0</v>
      </c>
      <c r="BQ404" s="21">
        <v>0</v>
      </c>
      <c r="BR404" s="21">
        <v>0</v>
      </c>
      <c r="BS404" s="21">
        <v>0</v>
      </c>
      <c r="BT404" s="21">
        <v>0</v>
      </c>
      <c r="BU404" s="21">
        <v>0</v>
      </c>
      <c r="BV404" s="21">
        <v>0</v>
      </c>
      <c r="BW404" s="21">
        <v>0</v>
      </c>
      <c r="BX404" s="21">
        <v>0</v>
      </c>
      <c r="BY404" s="21">
        <v>0</v>
      </c>
      <c r="BZ404" s="21">
        <v>0</v>
      </c>
      <c r="CA404" s="21">
        <v>0</v>
      </c>
      <c r="CB404" s="21">
        <v>0</v>
      </c>
      <c r="CC404" s="21">
        <v>0</v>
      </c>
      <c r="CD404" s="21">
        <v>0</v>
      </c>
      <c r="CE404" s="21">
        <v>0</v>
      </c>
      <c r="CF404" s="21">
        <v>0</v>
      </c>
      <c r="CG404" s="21">
        <v>0</v>
      </c>
      <c r="CH404" s="21">
        <v>0</v>
      </c>
      <c r="CI404" s="21">
        <v>0</v>
      </c>
      <c r="CJ404" s="21">
        <v>0</v>
      </c>
      <c r="CK404" s="21">
        <v>0</v>
      </c>
      <c r="CL404" s="21">
        <v>0</v>
      </c>
      <c r="CM404" s="21">
        <v>0</v>
      </c>
      <c r="CN404" s="21">
        <v>0</v>
      </c>
      <c r="CO404" s="21">
        <v>0</v>
      </c>
      <c r="CP404" s="21">
        <v>0</v>
      </c>
      <c r="CQ404" s="21">
        <v>0</v>
      </c>
      <c r="CR404" s="21">
        <v>0</v>
      </c>
      <c r="CS404" s="21">
        <v>10</v>
      </c>
      <c r="CT404" s="21">
        <v>12</v>
      </c>
      <c r="CU404" s="21">
        <v>10</v>
      </c>
      <c r="CV404" s="21">
        <v>7</v>
      </c>
      <c r="CW404" s="21">
        <v>0</v>
      </c>
      <c r="CX404" s="21">
        <v>0</v>
      </c>
      <c r="CY404" s="21">
        <v>0</v>
      </c>
      <c r="CZ404" s="21">
        <v>0</v>
      </c>
      <c r="DA404" s="21">
        <v>0</v>
      </c>
      <c r="DB404" s="21">
        <v>0</v>
      </c>
      <c r="DC404" s="21">
        <v>0</v>
      </c>
      <c r="DD404" s="21">
        <v>0</v>
      </c>
      <c r="DE404" s="21">
        <v>0</v>
      </c>
      <c r="DF404" s="21">
        <v>0</v>
      </c>
      <c r="DG404" s="21">
        <v>0</v>
      </c>
      <c r="DH404" s="21">
        <v>0</v>
      </c>
      <c r="DI404" s="21">
        <v>0</v>
      </c>
      <c r="DJ404" s="21">
        <v>0</v>
      </c>
      <c r="DK404" s="21">
        <v>0</v>
      </c>
      <c r="DL404" s="21">
        <v>0</v>
      </c>
      <c r="DM404" s="21">
        <v>0</v>
      </c>
      <c r="DN404" s="21">
        <v>0</v>
      </c>
      <c r="DO404" s="21">
        <v>0</v>
      </c>
      <c r="DP404" s="21">
        <v>0</v>
      </c>
      <c r="DQ404" s="21">
        <v>0</v>
      </c>
      <c r="DR404" s="21">
        <v>0</v>
      </c>
      <c r="DS404" s="21">
        <v>0</v>
      </c>
      <c r="DT404" s="21">
        <v>0</v>
      </c>
      <c r="DU404" s="21">
        <v>0</v>
      </c>
      <c r="DV404" s="21">
        <v>0</v>
      </c>
      <c r="DW404" s="21">
        <v>0</v>
      </c>
      <c r="DX404" s="21">
        <v>0</v>
      </c>
      <c r="DY404" s="21">
        <v>0</v>
      </c>
      <c r="DZ404" s="21">
        <v>0</v>
      </c>
      <c r="EA404" s="21">
        <v>0</v>
      </c>
      <c r="EB404" s="21">
        <v>0</v>
      </c>
      <c r="EC404" s="21">
        <v>0</v>
      </c>
      <c r="ED404" s="21">
        <v>0</v>
      </c>
      <c r="EE404" s="21">
        <v>0</v>
      </c>
      <c r="EF404" s="21">
        <v>0</v>
      </c>
    </row>
    <row r="405" spans="1:136" ht="14.5" x14ac:dyDescent="0.35">
      <c r="A405" s="20" t="s">
        <v>12</v>
      </c>
      <c r="B405" s="20" t="s">
        <v>30</v>
      </c>
      <c r="C405" s="20" t="s">
        <v>30</v>
      </c>
      <c r="D405" s="20" t="s">
        <v>333</v>
      </c>
      <c r="E405" s="20" t="s">
        <v>14</v>
      </c>
      <c r="F405" s="20" t="s">
        <v>98</v>
      </c>
      <c r="G405" s="21">
        <v>162</v>
      </c>
      <c r="H405" s="21">
        <v>200</v>
      </c>
      <c r="I405" s="21">
        <v>59</v>
      </c>
      <c r="J405" s="21">
        <v>141</v>
      </c>
      <c r="K405" s="21">
        <v>0</v>
      </c>
      <c r="L405" s="21">
        <v>0</v>
      </c>
      <c r="M405" s="21">
        <v>0</v>
      </c>
      <c r="N405" s="21">
        <v>0</v>
      </c>
      <c r="O405" s="21">
        <v>0</v>
      </c>
      <c r="P405" s="21">
        <v>0</v>
      </c>
      <c r="Q405" s="21">
        <v>0</v>
      </c>
      <c r="R405" s="21">
        <v>0</v>
      </c>
      <c r="S405" s="21">
        <v>0</v>
      </c>
      <c r="T405" s="21">
        <v>0</v>
      </c>
      <c r="U405" s="21">
        <v>0</v>
      </c>
      <c r="V405" s="21">
        <v>0</v>
      </c>
      <c r="W405" s="21">
        <v>0</v>
      </c>
      <c r="X405" s="21">
        <v>0</v>
      </c>
      <c r="Y405" s="21">
        <v>0</v>
      </c>
      <c r="Z405" s="21">
        <v>0</v>
      </c>
      <c r="AA405" s="21">
        <v>0</v>
      </c>
      <c r="AB405" s="21">
        <v>0</v>
      </c>
      <c r="AC405" s="21">
        <v>0</v>
      </c>
      <c r="AD405" s="21">
        <v>0</v>
      </c>
      <c r="AE405" s="21">
        <v>0</v>
      </c>
      <c r="AF405" s="21">
        <v>0</v>
      </c>
      <c r="AG405" s="21">
        <v>0</v>
      </c>
      <c r="AH405" s="21">
        <v>16</v>
      </c>
      <c r="AI405" s="21">
        <v>31</v>
      </c>
      <c r="AJ405" s="21">
        <v>12</v>
      </c>
      <c r="AK405" s="21">
        <v>0</v>
      </c>
      <c r="AL405" s="21">
        <v>0</v>
      </c>
      <c r="AM405" s="21">
        <v>0</v>
      </c>
      <c r="AN405" s="21">
        <v>0</v>
      </c>
      <c r="AO405" s="21">
        <v>0</v>
      </c>
      <c r="AP405" s="21">
        <v>0</v>
      </c>
      <c r="AQ405" s="21">
        <v>0</v>
      </c>
      <c r="AR405" s="21">
        <v>0</v>
      </c>
      <c r="AS405" s="21">
        <v>0</v>
      </c>
      <c r="AT405" s="21">
        <v>0</v>
      </c>
      <c r="AU405" s="21">
        <v>0</v>
      </c>
      <c r="AV405" s="21">
        <v>0</v>
      </c>
      <c r="AW405" s="21">
        <v>0</v>
      </c>
      <c r="AX405" s="21">
        <v>0</v>
      </c>
      <c r="AY405" s="21">
        <v>0</v>
      </c>
      <c r="AZ405" s="21">
        <v>0</v>
      </c>
      <c r="BA405" s="21">
        <v>0</v>
      </c>
      <c r="BB405" s="21">
        <v>0</v>
      </c>
      <c r="BC405" s="21">
        <v>0</v>
      </c>
      <c r="BD405" s="21">
        <v>0</v>
      </c>
      <c r="BE405" s="21">
        <v>0</v>
      </c>
      <c r="BF405" s="21">
        <v>0</v>
      </c>
      <c r="BG405" s="21">
        <v>0</v>
      </c>
      <c r="BH405" s="21">
        <v>0</v>
      </c>
      <c r="BI405" s="21">
        <v>0</v>
      </c>
      <c r="BJ405" s="21">
        <v>0</v>
      </c>
      <c r="BK405" s="21">
        <v>0</v>
      </c>
      <c r="BL405" s="21">
        <v>0</v>
      </c>
      <c r="BM405" s="21">
        <v>0</v>
      </c>
      <c r="BN405" s="21">
        <v>0</v>
      </c>
      <c r="BO405" s="21">
        <v>0</v>
      </c>
      <c r="BP405" s="21">
        <v>0</v>
      </c>
      <c r="BQ405" s="21">
        <v>0</v>
      </c>
      <c r="BR405" s="21">
        <v>0</v>
      </c>
      <c r="BS405" s="21">
        <v>0</v>
      </c>
      <c r="BT405" s="21">
        <v>0</v>
      </c>
      <c r="BU405" s="21">
        <v>0</v>
      </c>
      <c r="BV405" s="21">
        <v>0</v>
      </c>
      <c r="BW405" s="21">
        <v>0</v>
      </c>
      <c r="BX405" s="21">
        <v>0</v>
      </c>
      <c r="BY405" s="21">
        <v>0</v>
      </c>
      <c r="BZ405" s="21">
        <v>0</v>
      </c>
      <c r="CA405" s="21">
        <v>0</v>
      </c>
      <c r="CB405" s="21">
        <v>0</v>
      </c>
      <c r="CC405" s="21">
        <v>0</v>
      </c>
      <c r="CD405" s="21">
        <v>0</v>
      </c>
      <c r="CE405" s="21">
        <v>0</v>
      </c>
      <c r="CF405" s="21">
        <v>0</v>
      </c>
      <c r="CG405" s="21">
        <v>0</v>
      </c>
      <c r="CH405" s="21">
        <v>0</v>
      </c>
      <c r="CI405" s="21">
        <v>0</v>
      </c>
      <c r="CJ405" s="21">
        <v>0</v>
      </c>
      <c r="CK405" s="21">
        <v>0</v>
      </c>
      <c r="CL405" s="21">
        <v>0</v>
      </c>
      <c r="CM405" s="21">
        <v>0</v>
      </c>
      <c r="CN405" s="21">
        <v>0</v>
      </c>
      <c r="CO405" s="21">
        <v>0</v>
      </c>
      <c r="CP405" s="21">
        <v>0</v>
      </c>
      <c r="CQ405" s="21">
        <v>0</v>
      </c>
      <c r="CR405" s="21">
        <v>0</v>
      </c>
      <c r="CS405" s="21">
        <v>0</v>
      </c>
      <c r="CT405" s="21">
        <v>0</v>
      </c>
      <c r="CU405" s="21">
        <v>0</v>
      </c>
      <c r="CV405" s="21">
        <v>0</v>
      </c>
      <c r="CW405" s="21">
        <v>0</v>
      </c>
      <c r="CX405" s="21">
        <v>0</v>
      </c>
      <c r="CY405" s="21">
        <v>0</v>
      </c>
      <c r="CZ405" s="21">
        <v>0</v>
      </c>
      <c r="DA405" s="21">
        <v>0</v>
      </c>
      <c r="DB405" s="21">
        <v>0</v>
      </c>
      <c r="DC405" s="21">
        <v>0</v>
      </c>
      <c r="DD405" s="21">
        <v>0</v>
      </c>
      <c r="DE405" s="21">
        <v>0</v>
      </c>
      <c r="DF405" s="21">
        <v>0</v>
      </c>
      <c r="DG405" s="21">
        <v>0</v>
      </c>
      <c r="DH405" s="21">
        <v>0</v>
      </c>
      <c r="DI405" s="21">
        <v>0</v>
      </c>
      <c r="DJ405" s="21">
        <v>0</v>
      </c>
      <c r="DK405" s="21">
        <v>0</v>
      </c>
      <c r="DL405" s="21">
        <v>0</v>
      </c>
      <c r="DM405" s="21">
        <v>0</v>
      </c>
      <c r="DN405" s="21">
        <v>0</v>
      </c>
      <c r="DO405" s="21">
        <v>0</v>
      </c>
      <c r="DP405" s="21">
        <v>0</v>
      </c>
      <c r="DQ405" s="21">
        <v>0</v>
      </c>
      <c r="DR405" s="21">
        <v>0</v>
      </c>
      <c r="DS405" s="21">
        <v>0</v>
      </c>
      <c r="DT405" s="21">
        <v>0</v>
      </c>
      <c r="DU405" s="21">
        <v>0</v>
      </c>
      <c r="DV405" s="21">
        <v>0</v>
      </c>
      <c r="DW405" s="21">
        <v>0</v>
      </c>
      <c r="DX405" s="21">
        <v>0</v>
      </c>
      <c r="DY405" s="21">
        <v>0</v>
      </c>
      <c r="DZ405" s="21">
        <v>0</v>
      </c>
      <c r="EA405" s="21">
        <v>0</v>
      </c>
      <c r="EB405" s="21">
        <v>0</v>
      </c>
      <c r="EC405" s="21">
        <v>0</v>
      </c>
      <c r="ED405" s="21">
        <v>0</v>
      </c>
      <c r="EE405" s="21">
        <v>0</v>
      </c>
      <c r="EF405" s="21">
        <v>0</v>
      </c>
    </row>
    <row r="406" spans="1:136" ht="14.5" x14ac:dyDescent="0.35">
      <c r="A406" s="20" t="s">
        <v>12</v>
      </c>
      <c r="B406" s="20" t="s">
        <v>30</v>
      </c>
      <c r="C406" s="20" t="s">
        <v>30</v>
      </c>
      <c r="D406" s="20" t="s">
        <v>332</v>
      </c>
      <c r="E406" s="20" t="s">
        <v>14</v>
      </c>
      <c r="F406" s="20" t="s">
        <v>102</v>
      </c>
      <c r="G406" s="21">
        <v>0</v>
      </c>
      <c r="H406" s="21">
        <v>0</v>
      </c>
      <c r="I406" s="21">
        <v>303</v>
      </c>
      <c r="J406" s="21">
        <v>-303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>
        <v>0</v>
      </c>
      <c r="T406" s="21">
        <v>0</v>
      </c>
      <c r="U406" s="21">
        <v>0</v>
      </c>
      <c r="V406" s="21">
        <v>0</v>
      </c>
      <c r="W406" s="21">
        <v>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4</v>
      </c>
      <c r="AM406" s="21">
        <v>13</v>
      </c>
      <c r="AN406" s="21">
        <v>4</v>
      </c>
      <c r="AO406" s="21">
        <v>40</v>
      </c>
      <c r="AP406" s="21">
        <v>10</v>
      </c>
      <c r="AQ406" s="21">
        <v>0</v>
      </c>
      <c r="AR406" s="21">
        <v>0</v>
      </c>
      <c r="AS406" s="21">
        <v>0</v>
      </c>
      <c r="AT406" s="21">
        <v>0</v>
      </c>
      <c r="AU406" s="21">
        <v>0</v>
      </c>
      <c r="AV406" s="21">
        <v>0</v>
      </c>
      <c r="AW406" s="21">
        <v>0</v>
      </c>
      <c r="AX406" s="21">
        <v>0</v>
      </c>
      <c r="AY406" s="21">
        <v>0</v>
      </c>
      <c r="AZ406" s="21">
        <v>0</v>
      </c>
      <c r="BA406" s="21">
        <v>0</v>
      </c>
      <c r="BB406" s="21">
        <v>0</v>
      </c>
      <c r="BC406" s="21">
        <v>0</v>
      </c>
      <c r="BD406" s="21">
        <v>0</v>
      </c>
      <c r="BE406" s="21">
        <v>0</v>
      </c>
      <c r="BF406" s="21">
        <v>0</v>
      </c>
      <c r="BG406" s="21">
        <v>0</v>
      </c>
      <c r="BH406" s="21">
        <v>0</v>
      </c>
      <c r="BI406" s="21">
        <v>0</v>
      </c>
      <c r="BJ406" s="21">
        <v>0</v>
      </c>
      <c r="BK406" s="21">
        <v>0</v>
      </c>
      <c r="BL406" s="21">
        <v>0</v>
      </c>
      <c r="BM406" s="21">
        <v>0</v>
      </c>
      <c r="BN406" s="21">
        <v>0</v>
      </c>
      <c r="BO406" s="21">
        <v>0</v>
      </c>
      <c r="BP406" s="21">
        <v>0</v>
      </c>
      <c r="BQ406" s="21">
        <v>0</v>
      </c>
      <c r="BR406" s="21">
        <v>0</v>
      </c>
      <c r="BS406" s="21">
        <v>0</v>
      </c>
      <c r="BT406" s="21">
        <v>0</v>
      </c>
      <c r="BU406" s="21">
        <v>0</v>
      </c>
      <c r="BV406" s="21">
        <v>0</v>
      </c>
      <c r="BW406" s="21">
        <v>0</v>
      </c>
      <c r="BX406" s="21">
        <v>0</v>
      </c>
      <c r="BY406" s="21">
        <v>0</v>
      </c>
      <c r="BZ406" s="21">
        <v>0</v>
      </c>
      <c r="CA406" s="21">
        <v>0</v>
      </c>
      <c r="CB406" s="21">
        <v>0</v>
      </c>
      <c r="CC406" s="21">
        <v>0</v>
      </c>
      <c r="CD406" s="21">
        <v>0</v>
      </c>
      <c r="CE406" s="21">
        <v>0</v>
      </c>
      <c r="CF406" s="21">
        <v>0</v>
      </c>
      <c r="CG406" s="21">
        <v>0</v>
      </c>
      <c r="CH406" s="21">
        <v>0</v>
      </c>
      <c r="CI406" s="21">
        <v>0</v>
      </c>
      <c r="CJ406" s="21">
        <v>0</v>
      </c>
      <c r="CK406" s="21">
        <v>0</v>
      </c>
      <c r="CL406" s="21">
        <v>0</v>
      </c>
      <c r="CM406" s="21">
        <v>0</v>
      </c>
      <c r="CN406" s="21">
        <v>0</v>
      </c>
      <c r="CO406" s="21">
        <v>0</v>
      </c>
      <c r="CP406" s="21">
        <v>0</v>
      </c>
      <c r="CQ406" s="21">
        <v>0</v>
      </c>
      <c r="CR406" s="21">
        <v>0</v>
      </c>
      <c r="CS406" s="21">
        <v>0</v>
      </c>
      <c r="CT406" s="21">
        <v>5</v>
      </c>
      <c r="CU406" s="21">
        <v>10</v>
      </c>
      <c r="CV406" s="21">
        <v>10</v>
      </c>
      <c r="CW406" s="21">
        <v>15</v>
      </c>
      <c r="CX406" s="21">
        <v>15</v>
      </c>
      <c r="CY406" s="21">
        <v>15</v>
      </c>
      <c r="CZ406" s="21">
        <v>15</v>
      </c>
      <c r="DA406" s="21">
        <v>15</v>
      </c>
      <c r="DB406" s="21">
        <v>3</v>
      </c>
      <c r="DC406" s="21">
        <v>1</v>
      </c>
      <c r="DD406" s="21">
        <v>0</v>
      </c>
      <c r="DE406" s="21">
        <v>0</v>
      </c>
      <c r="DF406" s="21">
        <v>0</v>
      </c>
      <c r="DG406" s="21">
        <v>0</v>
      </c>
      <c r="DH406" s="21">
        <v>3</v>
      </c>
      <c r="DI406" s="21">
        <v>0</v>
      </c>
      <c r="DJ406" s="21">
        <v>0</v>
      </c>
      <c r="DK406" s="21">
        <v>0</v>
      </c>
      <c r="DL406" s="21">
        <v>0</v>
      </c>
      <c r="DM406" s="21">
        <v>0</v>
      </c>
      <c r="DN406" s="21">
        <v>10</v>
      </c>
      <c r="DO406" s="21">
        <v>25</v>
      </c>
      <c r="DP406" s="21">
        <v>30</v>
      </c>
      <c r="DQ406" s="21">
        <v>30</v>
      </c>
      <c r="DR406" s="21">
        <v>30</v>
      </c>
      <c r="DS406" s="21">
        <v>0</v>
      </c>
      <c r="DT406" s="21">
        <v>0</v>
      </c>
      <c r="DU406" s="21">
        <v>0</v>
      </c>
      <c r="DV406" s="21">
        <v>0</v>
      </c>
      <c r="DW406" s="21">
        <v>0</v>
      </c>
      <c r="DX406" s="21">
        <v>0</v>
      </c>
      <c r="DY406" s="21">
        <v>0</v>
      </c>
      <c r="DZ406" s="21">
        <v>0</v>
      </c>
      <c r="EA406" s="21">
        <v>0</v>
      </c>
      <c r="EB406" s="21">
        <v>0</v>
      </c>
      <c r="EC406" s="21">
        <v>0</v>
      </c>
      <c r="ED406" s="21">
        <v>0</v>
      </c>
      <c r="EE406" s="21">
        <v>0</v>
      </c>
      <c r="EF406" s="21">
        <v>0</v>
      </c>
    </row>
    <row r="407" spans="1:136" ht="14.5" x14ac:dyDescent="0.35">
      <c r="A407" s="20" t="s">
        <v>12</v>
      </c>
      <c r="B407" s="20" t="s">
        <v>30</v>
      </c>
      <c r="C407" s="20" t="s">
        <v>30</v>
      </c>
      <c r="D407" s="20" t="s">
        <v>333</v>
      </c>
      <c r="E407" s="20" t="s">
        <v>14</v>
      </c>
      <c r="F407" s="20" t="s">
        <v>102</v>
      </c>
      <c r="G407" s="21">
        <v>0</v>
      </c>
      <c r="H407" s="21">
        <v>0</v>
      </c>
      <c r="I407" s="21">
        <v>39</v>
      </c>
      <c r="J407" s="21">
        <v>-39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  <c r="Q407" s="21">
        <v>0</v>
      </c>
      <c r="R407" s="21">
        <v>0</v>
      </c>
      <c r="S407" s="21">
        <v>0</v>
      </c>
      <c r="T407" s="21">
        <v>0</v>
      </c>
      <c r="U407" s="21">
        <v>0</v>
      </c>
      <c r="V407" s="21">
        <v>0</v>
      </c>
      <c r="W407" s="21">
        <v>0</v>
      </c>
      <c r="X407" s="21">
        <v>0</v>
      </c>
      <c r="Y407" s="21">
        <v>0</v>
      </c>
      <c r="Z407" s="21">
        <v>0</v>
      </c>
      <c r="AA407" s="21">
        <v>0</v>
      </c>
      <c r="AB407" s="21">
        <v>39</v>
      </c>
      <c r="AC407" s="21">
        <v>0</v>
      </c>
      <c r="AD407" s="21">
        <v>0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0</v>
      </c>
      <c r="AN407" s="21">
        <v>0</v>
      </c>
      <c r="AO407" s="21">
        <v>0</v>
      </c>
      <c r="AP407" s="21">
        <v>0</v>
      </c>
      <c r="AQ407" s="21">
        <v>0</v>
      </c>
      <c r="AR407" s="21">
        <v>0</v>
      </c>
      <c r="AS407" s="21">
        <v>0</v>
      </c>
      <c r="AT407" s="21">
        <v>0</v>
      </c>
      <c r="AU407" s="21">
        <v>0</v>
      </c>
      <c r="AV407" s="21">
        <v>0</v>
      </c>
      <c r="AW407" s="21">
        <v>0</v>
      </c>
      <c r="AX407" s="21">
        <v>0</v>
      </c>
      <c r="AY407" s="21">
        <v>0</v>
      </c>
      <c r="AZ407" s="21">
        <v>0</v>
      </c>
      <c r="BA407" s="21">
        <v>0</v>
      </c>
      <c r="BB407" s="21">
        <v>0</v>
      </c>
      <c r="BC407" s="21">
        <v>0</v>
      </c>
      <c r="BD407" s="21">
        <v>0</v>
      </c>
      <c r="BE407" s="21">
        <v>0</v>
      </c>
      <c r="BF407" s="21">
        <v>0</v>
      </c>
      <c r="BG407" s="21">
        <v>0</v>
      </c>
      <c r="BH407" s="21">
        <v>0</v>
      </c>
      <c r="BI407" s="21">
        <v>0</v>
      </c>
      <c r="BJ407" s="21">
        <v>0</v>
      </c>
      <c r="BK407" s="21">
        <v>0</v>
      </c>
      <c r="BL407" s="21">
        <v>0</v>
      </c>
      <c r="BM407" s="21">
        <v>0</v>
      </c>
      <c r="BN407" s="21">
        <v>0</v>
      </c>
      <c r="BO407" s="21">
        <v>0</v>
      </c>
      <c r="BP407" s="21">
        <v>0</v>
      </c>
      <c r="BQ407" s="21">
        <v>0</v>
      </c>
      <c r="BR407" s="21">
        <v>0</v>
      </c>
      <c r="BS407" s="21">
        <v>0</v>
      </c>
      <c r="BT407" s="21">
        <v>0</v>
      </c>
      <c r="BU407" s="21">
        <v>0</v>
      </c>
      <c r="BV407" s="21">
        <v>0</v>
      </c>
      <c r="BW407" s="21">
        <v>0</v>
      </c>
      <c r="BX407" s="21">
        <v>0</v>
      </c>
      <c r="BY407" s="21">
        <v>0</v>
      </c>
      <c r="BZ407" s="21">
        <v>0</v>
      </c>
      <c r="CA407" s="21">
        <v>0</v>
      </c>
      <c r="CB407" s="21">
        <v>0</v>
      </c>
      <c r="CC407" s="21">
        <v>0</v>
      </c>
      <c r="CD407" s="21">
        <v>0</v>
      </c>
      <c r="CE407" s="21">
        <v>0</v>
      </c>
      <c r="CF407" s="21">
        <v>0</v>
      </c>
      <c r="CG407" s="21">
        <v>0</v>
      </c>
      <c r="CH407" s="21">
        <v>0</v>
      </c>
      <c r="CI407" s="21">
        <v>0</v>
      </c>
      <c r="CJ407" s="21">
        <v>0</v>
      </c>
      <c r="CK407" s="21">
        <v>0</v>
      </c>
      <c r="CL407" s="21">
        <v>0</v>
      </c>
      <c r="CM407" s="21">
        <v>0</v>
      </c>
      <c r="CN407" s="21">
        <v>0</v>
      </c>
      <c r="CO407" s="21">
        <v>0</v>
      </c>
      <c r="CP407" s="21">
        <v>0</v>
      </c>
      <c r="CQ407" s="21">
        <v>0</v>
      </c>
      <c r="CR407" s="21">
        <v>0</v>
      </c>
      <c r="CS407" s="21">
        <v>0</v>
      </c>
      <c r="CT407" s="21">
        <v>0</v>
      </c>
      <c r="CU407" s="21">
        <v>0</v>
      </c>
      <c r="CV407" s="21">
        <v>0</v>
      </c>
      <c r="CW407" s="21">
        <v>0</v>
      </c>
      <c r="CX407" s="21">
        <v>0</v>
      </c>
      <c r="CY407" s="21">
        <v>0</v>
      </c>
      <c r="CZ407" s="21">
        <v>0</v>
      </c>
      <c r="DA407" s="21">
        <v>0</v>
      </c>
      <c r="DB407" s="21">
        <v>0</v>
      </c>
      <c r="DC407" s="21">
        <v>0</v>
      </c>
      <c r="DD407" s="21">
        <v>0</v>
      </c>
      <c r="DE407" s="21">
        <v>0</v>
      </c>
      <c r="DF407" s="21">
        <v>0</v>
      </c>
      <c r="DG407" s="21">
        <v>0</v>
      </c>
      <c r="DH407" s="21">
        <v>0</v>
      </c>
      <c r="DI407" s="21">
        <v>0</v>
      </c>
      <c r="DJ407" s="21">
        <v>0</v>
      </c>
      <c r="DK407" s="21">
        <v>0</v>
      </c>
      <c r="DL407" s="21">
        <v>0</v>
      </c>
      <c r="DM407" s="21">
        <v>0</v>
      </c>
      <c r="DN407" s="21">
        <v>0</v>
      </c>
      <c r="DO407" s="21">
        <v>0</v>
      </c>
      <c r="DP407" s="21">
        <v>0</v>
      </c>
      <c r="DQ407" s="21">
        <v>0</v>
      </c>
      <c r="DR407" s="21">
        <v>0</v>
      </c>
      <c r="DS407" s="21">
        <v>0</v>
      </c>
      <c r="DT407" s="21">
        <v>0</v>
      </c>
      <c r="DU407" s="21">
        <v>0</v>
      </c>
      <c r="DV407" s="21">
        <v>0</v>
      </c>
      <c r="DW407" s="21">
        <v>0</v>
      </c>
      <c r="DX407" s="21">
        <v>0</v>
      </c>
      <c r="DY407" s="21">
        <v>0</v>
      </c>
      <c r="DZ407" s="21">
        <v>0</v>
      </c>
      <c r="EA407" s="21">
        <v>0</v>
      </c>
      <c r="EB407" s="21">
        <v>0</v>
      </c>
      <c r="EC407" s="21">
        <v>0</v>
      </c>
      <c r="ED407" s="21">
        <v>0</v>
      </c>
      <c r="EE407" s="21">
        <v>0</v>
      </c>
      <c r="EF407" s="21">
        <v>0</v>
      </c>
    </row>
    <row r="408" spans="1:136" ht="14.5" x14ac:dyDescent="0.35">
      <c r="A408" s="20" t="s">
        <v>12</v>
      </c>
      <c r="B408" s="20" t="s">
        <v>30</v>
      </c>
      <c r="C408" s="20" t="s">
        <v>30</v>
      </c>
      <c r="D408" s="20" t="s">
        <v>332</v>
      </c>
      <c r="E408" s="20" t="s">
        <v>14</v>
      </c>
      <c r="F408" s="20" t="s">
        <v>128</v>
      </c>
      <c r="G408" s="21">
        <v>0</v>
      </c>
      <c r="H408" s="21">
        <v>0</v>
      </c>
      <c r="I408" s="21">
        <v>90</v>
      </c>
      <c r="J408" s="21">
        <v>-90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  <c r="Q408" s="21">
        <v>0</v>
      </c>
      <c r="R408" s="21">
        <v>0</v>
      </c>
      <c r="S408" s="21">
        <v>0</v>
      </c>
      <c r="T408" s="21">
        <v>0</v>
      </c>
      <c r="U408" s="21">
        <v>0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0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0</v>
      </c>
      <c r="AO408" s="21">
        <v>0</v>
      </c>
      <c r="AP408" s="21">
        <v>0</v>
      </c>
      <c r="AQ408" s="21">
        <v>0</v>
      </c>
      <c r="AR408" s="21">
        <v>0</v>
      </c>
      <c r="AS408" s="21">
        <v>0</v>
      </c>
      <c r="AT408" s="21">
        <v>0</v>
      </c>
      <c r="AU408" s="21">
        <v>0</v>
      </c>
      <c r="AV408" s="21">
        <v>0</v>
      </c>
      <c r="AW408" s="21">
        <v>0</v>
      </c>
      <c r="AX408" s="21">
        <v>0</v>
      </c>
      <c r="AY408" s="21">
        <v>0</v>
      </c>
      <c r="AZ408" s="21">
        <v>0</v>
      </c>
      <c r="BA408" s="21">
        <v>0</v>
      </c>
      <c r="BB408" s="21">
        <v>0</v>
      </c>
      <c r="BC408" s="21">
        <v>0</v>
      </c>
      <c r="BD408" s="21">
        <v>0</v>
      </c>
      <c r="BE408" s="21">
        <v>0</v>
      </c>
      <c r="BF408" s="21">
        <v>0</v>
      </c>
      <c r="BG408" s="21">
        <v>0</v>
      </c>
      <c r="BH408" s="21">
        <v>0</v>
      </c>
      <c r="BI408" s="21">
        <v>0</v>
      </c>
      <c r="BJ408" s="21">
        <v>0</v>
      </c>
      <c r="BK408" s="21">
        <v>0</v>
      </c>
      <c r="BL408" s="21">
        <v>0</v>
      </c>
      <c r="BM408" s="21">
        <v>0</v>
      </c>
      <c r="BN408" s="21">
        <v>0</v>
      </c>
      <c r="BO408" s="21">
        <v>0</v>
      </c>
      <c r="BP408" s="21">
        <v>0</v>
      </c>
      <c r="BQ408" s="21">
        <v>0</v>
      </c>
      <c r="BR408" s="21">
        <v>0</v>
      </c>
      <c r="BS408" s="21">
        <v>0</v>
      </c>
      <c r="BT408" s="21">
        <v>0</v>
      </c>
      <c r="BU408" s="21">
        <v>0</v>
      </c>
      <c r="BV408" s="21">
        <v>0</v>
      </c>
      <c r="BW408" s="21">
        <v>0</v>
      </c>
      <c r="BX408" s="21">
        <v>0</v>
      </c>
      <c r="BY408" s="21">
        <v>0</v>
      </c>
      <c r="BZ408" s="21">
        <v>0</v>
      </c>
      <c r="CA408" s="21">
        <v>0</v>
      </c>
      <c r="CB408" s="21">
        <v>0</v>
      </c>
      <c r="CC408" s="21">
        <v>0</v>
      </c>
      <c r="CD408" s="21">
        <v>0</v>
      </c>
      <c r="CE408" s="21">
        <v>0</v>
      </c>
      <c r="CF408" s="21">
        <v>0</v>
      </c>
      <c r="CG408" s="21">
        <v>0</v>
      </c>
      <c r="CH408" s="21">
        <v>0</v>
      </c>
      <c r="CI408" s="21">
        <v>0</v>
      </c>
      <c r="CJ408" s="21">
        <v>0</v>
      </c>
      <c r="CK408" s="21">
        <v>0</v>
      </c>
      <c r="CL408" s="21">
        <v>0</v>
      </c>
      <c r="CM408" s="21">
        <v>0</v>
      </c>
      <c r="CN408" s="21">
        <v>0</v>
      </c>
      <c r="CO408" s="21">
        <v>0</v>
      </c>
      <c r="CP408" s="21">
        <v>0</v>
      </c>
      <c r="CQ408" s="21">
        <v>0</v>
      </c>
      <c r="CR408" s="21">
        <v>0</v>
      </c>
      <c r="CS408" s="21">
        <v>0</v>
      </c>
      <c r="CT408" s="21">
        <v>0</v>
      </c>
      <c r="CU408" s="21">
        <v>0</v>
      </c>
      <c r="CV408" s="21">
        <v>0</v>
      </c>
      <c r="CW408" s="21">
        <v>0</v>
      </c>
      <c r="CX408" s="21">
        <v>0</v>
      </c>
      <c r="CY408" s="21">
        <v>0</v>
      </c>
      <c r="CZ408" s="21">
        <v>0</v>
      </c>
      <c r="DA408" s="21">
        <v>0</v>
      </c>
      <c r="DB408" s="21">
        <v>0</v>
      </c>
      <c r="DC408" s="21">
        <v>0</v>
      </c>
      <c r="DD408" s="21">
        <v>0</v>
      </c>
      <c r="DE408" s="21">
        <v>0</v>
      </c>
      <c r="DF408" s="21">
        <v>0</v>
      </c>
      <c r="DG408" s="21">
        <v>0</v>
      </c>
      <c r="DH408" s="21">
        <v>0</v>
      </c>
      <c r="DI408" s="21">
        <v>0</v>
      </c>
      <c r="DJ408" s="21">
        <v>0</v>
      </c>
      <c r="DK408" s="21">
        <v>0</v>
      </c>
      <c r="DL408" s="21">
        <v>0</v>
      </c>
      <c r="DM408" s="21">
        <v>0</v>
      </c>
      <c r="DN408" s="21">
        <v>0</v>
      </c>
      <c r="DO408" s="21">
        <v>0</v>
      </c>
      <c r="DP408" s="21">
        <v>0</v>
      </c>
      <c r="DQ408" s="21">
        <v>0</v>
      </c>
      <c r="DR408" s="21">
        <v>0</v>
      </c>
      <c r="DS408" s="21">
        <v>30</v>
      </c>
      <c r="DT408" s="21">
        <v>30</v>
      </c>
      <c r="DU408" s="21">
        <v>30</v>
      </c>
      <c r="DV408" s="21">
        <v>0</v>
      </c>
      <c r="DW408" s="21">
        <v>0</v>
      </c>
      <c r="DX408" s="21">
        <v>0</v>
      </c>
      <c r="DY408" s="21">
        <v>0</v>
      </c>
      <c r="DZ408" s="21">
        <v>0</v>
      </c>
      <c r="EA408" s="21">
        <v>0</v>
      </c>
      <c r="EB408" s="21">
        <v>0</v>
      </c>
      <c r="EC408" s="21">
        <v>0</v>
      </c>
      <c r="ED408" s="21">
        <v>0</v>
      </c>
      <c r="EE408" s="21">
        <v>0</v>
      </c>
      <c r="EF408" s="21">
        <v>0</v>
      </c>
    </row>
    <row r="409" spans="1:136" ht="14.5" x14ac:dyDescent="0.35">
      <c r="A409" s="20" t="s">
        <v>12</v>
      </c>
      <c r="B409" s="20" t="s">
        <v>30</v>
      </c>
      <c r="C409" s="20" t="s">
        <v>30</v>
      </c>
      <c r="D409" s="20" t="s">
        <v>333</v>
      </c>
      <c r="E409" s="20" t="s">
        <v>14</v>
      </c>
      <c r="F409" s="20" t="s">
        <v>128</v>
      </c>
      <c r="G409" s="21">
        <v>0</v>
      </c>
      <c r="H409" s="21">
        <v>90</v>
      </c>
      <c r="I409" s="21">
        <v>0</v>
      </c>
      <c r="J409" s="21">
        <v>90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  <c r="Q409" s="21">
        <v>0</v>
      </c>
      <c r="R409" s="21">
        <v>0</v>
      </c>
      <c r="S409" s="21">
        <v>0</v>
      </c>
      <c r="T409" s="21">
        <v>0</v>
      </c>
      <c r="U409" s="21">
        <v>0</v>
      </c>
      <c r="V409" s="21">
        <v>0</v>
      </c>
      <c r="W409" s="21">
        <v>0</v>
      </c>
      <c r="X409" s="21">
        <v>0</v>
      </c>
      <c r="Y409" s="21">
        <v>0</v>
      </c>
      <c r="Z409" s="21">
        <v>0</v>
      </c>
      <c r="AA409" s="21">
        <v>0</v>
      </c>
      <c r="AB409" s="21">
        <v>0</v>
      </c>
      <c r="AC409" s="21">
        <v>0</v>
      </c>
      <c r="AD409" s="21">
        <v>0</v>
      </c>
      <c r="AE409" s="21">
        <v>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0</v>
      </c>
      <c r="AN409" s="21">
        <v>0</v>
      </c>
      <c r="AO409" s="21">
        <v>0</v>
      </c>
      <c r="AP409" s="21">
        <v>0</v>
      </c>
      <c r="AQ409" s="21">
        <v>0</v>
      </c>
      <c r="AR409" s="21">
        <v>0</v>
      </c>
      <c r="AS409" s="21">
        <v>0</v>
      </c>
      <c r="AT409" s="21">
        <v>0</v>
      </c>
      <c r="AU409" s="21">
        <v>0</v>
      </c>
      <c r="AV409" s="21">
        <v>0</v>
      </c>
      <c r="AW409" s="21">
        <v>0</v>
      </c>
      <c r="AX409" s="21">
        <v>0</v>
      </c>
      <c r="AY409" s="21">
        <v>0</v>
      </c>
      <c r="AZ409" s="21">
        <v>0</v>
      </c>
      <c r="BA409" s="21">
        <v>0</v>
      </c>
      <c r="BB409" s="21">
        <v>0</v>
      </c>
      <c r="BC409" s="21">
        <v>0</v>
      </c>
      <c r="BD409" s="21">
        <v>0</v>
      </c>
      <c r="BE409" s="21">
        <v>0</v>
      </c>
      <c r="BF409" s="21">
        <v>0</v>
      </c>
      <c r="BG409" s="21">
        <v>0</v>
      </c>
      <c r="BH409" s="21">
        <v>0</v>
      </c>
      <c r="BI409" s="21">
        <v>0</v>
      </c>
      <c r="BJ409" s="21">
        <v>0</v>
      </c>
      <c r="BK409" s="21">
        <v>0</v>
      </c>
      <c r="BL409" s="21">
        <v>0</v>
      </c>
      <c r="BM409" s="21">
        <v>0</v>
      </c>
      <c r="BN409" s="21">
        <v>0</v>
      </c>
      <c r="BO409" s="21">
        <v>0</v>
      </c>
      <c r="BP409" s="21">
        <v>0</v>
      </c>
      <c r="BQ409" s="21">
        <v>0</v>
      </c>
      <c r="BR409" s="21">
        <v>0</v>
      </c>
      <c r="BS409" s="21">
        <v>0</v>
      </c>
      <c r="BT409" s="21">
        <v>0</v>
      </c>
      <c r="BU409" s="21">
        <v>0</v>
      </c>
      <c r="BV409" s="21">
        <v>0</v>
      </c>
      <c r="BW409" s="21">
        <v>0</v>
      </c>
      <c r="BX409" s="21">
        <v>0</v>
      </c>
      <c r="BY409" s="21">
        <v>0</v>
      </c>
      <c r="BZ409" s="21">
        <v>0</v>
      </c>
      <c r="CA409" s="21">
        <v>0</v>
      </c>
      <c r="CB409" s="21">
        <v>0</v>
      </c>
      <c r="CC409" s="21">
        <v>0</v>
      </c>
      <c r="CD409" s="21">
        <v>0</v>
      </c>
      <c r="CE409" s="21">
        <v>0</v>
      </c>
      <c r="CF409" s="21">
        <v>0</v>
      </c>
      <c r="CG409" s="21">
        <v>0</v>
      </c>
      <c r="CH409" s="21">
        <v>0</v>
      </c>
      <c r="CI409" s="21">
        <v>0</v>
      </c>
      <c r="CJ409" s="21">
        <v>0</v>
      </c>
      <c r="CK409" s="21">
        <v>0</v>
      </c>
      <c r="CL409" s="21">
        <v>0</v>
      </c>
      <c r="CM409" s="21">
        <v>0</v>
      </c>
      <c r="CN409" s="21">
        <v>0</v>
      </c>
      <c r="CO409" s="21">
        <v>0</v>
      </c>
      <c r="CP409" s="21">
        <v>0</v>
      </c>
      <c r="CQ409" s="21">
        <v>0</v>
      </c>
      <c r="CR409" s="21">
        <v>0</v>
      </c>
      <c r="CS409" s="21">
        <v>0</v>
      </c>
      <c r="CT409" s="21">
        <v>0</v>
      </c>
      <c r="CU409" s="21">
        <v>0</v>
      </c>
      <c r="CV409" s="21">
        <v>0</v>
      </c>
      <c r="CW409" s="21">
        <v>0</v>
      </c>
      <c r="CX409" s="21">
        <v>0</v>
      </c>
      <c r="CY409" s="21">
        <v>0</v>
      </c>
      <c r="CZ409" s="21">
        <v>0</v>
      </c>
      <c r="DA409" s="21">
        <v>0</v>
      </c>
      <c r="DB409" s="21">
        <v>0</v>
      </c>
      <c r="DC409" s="21">
        <v>0</v>
      </c>
      <c r="DD409" s="21">
        <v>0</v>
      </c>
      <c r="DE409" s="21">
        <v>0</v>
      </c>
      <c r="DF409" s="21">
        <v>0</v>
      </c>
      <c r="DG409" s="21">
        <v>0</v>
      </c>
      <c r="DH409" s="21">
        <v>0</v>
      </c>
      <c r="DI409" s="21">
        <v>0</v>
      </c>
      <c r="DJ409" s="21">
        <v>0</v>
      </c>
      <c r="DK409" s="21">
        <v>0</v>
      </c>
      <c r="DL409" s="21">
        <v>0</v>
      </c>
      <c r="DM409" s="21">
        <v>0</v>
      </c>
      <c r="DN409" s="21">
        <v>0</v>
      </c>
      <c r="DO409" s="21">
        <v>0</v>
      </c>
      <c r="DP409" s="21">
        <v>0</v>
      </c>
      <c r="DQ409" s="21">
        <v>0</v>
      </c>
      <c r="DR409" s="21">
        <v>0</v>
      </c>
      <c r="DS409" s="21">
        <v>0</v>
      </c>
      <c r="DT409" s="21">
        <v>0</v>
      </c>
      <c r="DU409" s="21">
        <v>0</v>
      </c>
      <c r="DV409" s="21">
        <v>0</v>
      </c>
      <c r="DW409" s="21">
        <v>0</v>
      </c>
      <c r="DX409" s="21">
        <v>0</v>
      </c>
      <c r="DY409" s="21">
        <v>0</v>
      </c>
      <c r="DZ409" s="21">
        <v>0</v>
      </c>
      <c r="EA409" s="21">
        <v>0</v>
      </c>
      <c r="EB409" s="21">
        <v>0</v>
      </c>
      <c r="EC409" s="21">
        <v>0</v>
      </c>
      <c r="ED409" s="21">
        <v>0</v>
      </c>
      <c r="EE409" s="21">
        <v>0</v>
      </c>
      <c r="EF409" s="21">
        <v>0</v>
      </c>
    </row>
    <row r="410" spans="1:136" ht="14.5" x14ac:dyDescent="0.35">
      <c r="A410" s="20" t="s">
        <v>12</v>
      </c>
      <c r="B410" s="20" t="s">
        <v>30</v>
      </c>
      <c r="C410" s="20" t="s">
        <v>30</v>
      </c>
      <c r="D410" s="20" t="s">
        <v>332</v>
      </c>
      <c r="E410" s="20" t="s">
        <v>14</v>
      </c>
      <c r="F410" s="20" t="s">
        <v>91</v>
      </c>
      <c r="G410" s="21">
        <v>0</v>
      </c>
      <c r="H410" s="21">
        <v>0</v>
      </c>
      <c r="I410" s="21">
        <v>33</v>
      </c>
      <c r="J410" s="21">
        <v>-33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  <c r="Q410" s="21">
        <v>0</v>
      </c>
      <c r="R410" s="21">
        <v>0</v>
      </c>
      <c r="S410" s="21">
        <v>0</v>
      </c>
      <c r="T410" s="21">
        <v>0</v>
      </c>
      <c r="U410" s="21">
        <v>0</v>
      </c>
      <c r="V410" s="21">
        <v>0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0</v>
      </c>
      <c r="AC410" s="21">
        <v>0</v>
      </c>
      <c r="AD410" s="21">
        <v>0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5</v>
      </c>
      <c r="AN410" s="21">
        <v>28</v>
      </c>
      <c r="AO410" s="21">
        <v>0</v>
      </c>
      <c r="AP410" s="21">
        <v>0</v>
      </c>
      <c r="AQ410" s="21">
        <v>0</v>
      </c>
      <c r="AR410" s="21">
        <v>0</v>
      </c>
      <c r="AS410" s="21">
        <v>0</v>
      </c>
      <c r="AT410" s="21">
        <v>0</v>
      </c>
      <c r="AU410" s="21">
        <v>0</v>
      </c>
      <c r="AV410" s="21">
        <v>0</v>
      </c>
      <c r="AW410" s="21">
        <v>0</v>
      </c>
      <c r="AX410" s="21">
        <v>0</v>
      </c>
      <c r="AY410" s="21">
        <v>0</v>
      </c>
      <c r="AZ410" s="21">
        <v>0</v>
      </c>
      <c r="BA410" s="21">
        <v>0</v>
      </c>
      <c r="BB410" s="21">
        <v>0</v>
      </c>
      <c r="BC410" s="21">
        <v>0</v>
      </c>
      <c r="BD410" s="21">
        <v>0</v>
      </c>
      <c r="BE410" s="21">
        <v>0</v>
      </c>
      <c r="BF410" s="21">
        <v>0</v>
      </c>
      <c r="BG410" s="21">
        <v>0</v>
      </c>
      <c r="BH410" s="21">
        <v>0</v>
      </c>
      <c r="BI410" s="21">
        <v>0</v>
      </c>
      <c r="BJ410" s="21">
        <v>0</v>
      </c>
      <c r="BK410" s="21">
        <v>0</v>
      </c>
      <c r="BL410" s="21">
        <v>0</v>
      </c>
      <c r="BM410" s="21">
        <v>0</v>
      </c>
      <c r="BN410" s="21">
        <v>0</v>
      </c>
      <c r="BO410" s="21">
        <v>0</v>
      </c>
      <c r="BP410" s="21">
        <v>0</v>
      </c>
      <c r="BQ410" s="21">
        <v>0</v>
      </c>
      <c r="BR410" s="21">
        <v>0</v>
      </c>
      <c r="BS410" s="21">
        <v>0</v>
      </c>
      <c r="BT410" s="21">
        <v>0</v>
      </c>
      <c r="BU410" s="21">
        <v>0</v>
      </c>
      <c r="BV410" s="21">
        <v>0</v>
      </c>
      <c r="BW410" s="21">
        <v>0</v>
      </c>
      <c r="BX410" s="21">
        <v>0</v>
      </c>
      <c r="BY410" s="21">
        <v>0</v>
      </c>
      <c r="BZ410" s="21">
        <v>0</v>
      </c>
      <c r="CA410" s="21">
        <v>0</v>
      </c>
      <c r="CB410" s="21">
        <v>0</v>
      </c>
      <c r="CC410" s="21">
        <v>0</v>
      </c>
      <c r="CD410" s="21">
        <v>0</v>
      </c>
      <c r="CE410" s="21">
        <v>0</v>
      </c>
      <c r="CF410" s="21">
        <v>0</v>
      </c>
      <c r="CG410" s="21">
        <v>0</v>
      </c>
      <c r="CH410" s="21">
        <v>0</v>
      </c>
      <c r="CI410" s="21">
        <v>0</v>
      </c>
      <c r="CJ410" s="21">
        <v>0</v>
      </c>
      <c r="CK410" s="21">
        <v>0</v>
      </c>
      <c r="CL410" s="21">
        <v>0</v>
      </c>
      <c r="CM410" s="21">
        <v>0</v>
      </c>
      <c r="CN410" s="21">
        <v>0</v>
      </c>
      <c r="CO410" s="21">
        <v>0</v>
      </c>
      <c r="CP410" s="21">
        <v>0</v>
      </c>
      <c r="CQ410" s="21">
        <v>0</v>
      </c>
      <c r="CR410" s="21">
        <v>0</v>
      </c>
      <c r="CS410" s="21">
        <v>0</v>
      </c>
      <c r="CT410" s="21">
        <v>0</v>
      </c>
      <c r="CU410" s="21">
        <v>0</v>
      </c>
      <c r="CV410" s="21">
        <v>0</v>
      </c>
      <c r="CW410" s="21">
        <v>0</v>
      </c>
      <c r="CX410" s="21">
        <v>0</v>
      </c>
      <c r="CY410" s="21">
        <v>0</v>
      </c>
      <c r="CZ410" s="21">
        <v>0</v>
      </c>
      <c r="DA410" s="21">
        <v>0</v>
      </c>
      <c r="DB410" s="21">
        <v>0</v>
      </c>
      <c r="DC410" s="21">
        <v>0</v>
      </c>
      <c r="DD410" s="21">
        <v>0</v>
      </c>
      <c r="DE410" s="21">
        <v>0</v>
      </c>
      <c r="DF410" s="21">
        <v>0</v>
      </c>
      <c r="DG410" s="21">
        <v>0</v>
      </c>
      <c r="DH410" s="21">
        <v>0</v>
      </c>
      <c r="DI410" s="21">
        <v>0</v>
      </c>
      <c r="DJ410" s="21">
        <v>0</v>
      </c>
      <c r="DK410" s="21">
        <v>0</v>
      </c>
      <c r="DL410" s="21">
        <v>0</v>
      </c>
      <c r="DM410" s="21">
        <v>0</v>
      </c>
      <c r="DN410" s="21">
        <v>0</v>
      </c>
      <c r="DO410" s="21">
        <v>0</v>
      </c>
      <c r="DP410" s="21">
        <v>0</v>
      </c>
      <c r="DQ410" s="21">
        <v>0</v>
      </c>
      <c r="DR410" s="21">
        <v>0</v>
      </c>
      <c r="DS410" s="21">
        <v>0</v>
      </c>
      <c r="DT410" s="21">
        <v>0</v>
      </c>
      <c r="DU410" s="21">
        <v>0</v>
      </c>
      <c r="DV410" s="21">
        <v>0</v>
      </c>
      <c r="DW410" s="21">
        <v>0</v>
      </c>
      <c r="DX410" s="21">
        <v>0</v>
      </c>
      <c r="DY410" s="21">
        <v>0</v>
      </c>
      <c r="DZ410" s="21">
        <v>0</v>
      </c>
      <c r="EA410" s="21">
        <v>0</v>
      </c>
      <c r="EB410" s="21">
        <v>0</v>
      </c>
      <c r="EC410" s="21">
        <v>0</v>
      </c>
      <c r="ED410" s="21">
        <v>0</v>
      </c>
      <c r="EE410" s="21">
        <v>0</v>
      </c>
      <c r="EF410" s="21">
        <v>0</v>
      </c>
    </row>
    <row r="411" spans="1:136" ht="14.5" x14ac:dyDescent="0.35">
      <c r="A411" s="20" t="s">
        <v>12</v>
      </c>
      <c r="B411" s="20" t="s">
        <v>18</v>
      </c>
      <c r="C411" s="20" t="s">
        <v>18</v>
      </c>
      <c r="D411" s="20" t="s">
        <v>338</v>
      </c>
      <c r="E411" s="20" t="s">
        <v>16</v>
      </c>
      <c r="F411" s="20" t="s">
        <v>77</v>
      </c>
      <c r="G411" s="21">
        <v>0</v>
      </c>
      <c r="H411" s="21">
        <v>0</v>
      </c>
      <c r="I411" s="21">
        <v>61.4</v>
      </c>
      <c r="J411" s="21">
        <v>-61.4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>
        <v>0</v>
      </c>
      <c r="T411" s="21">
        <v>0</v>
      </c>
      <c r="U411" s="21">
        <v>0</v>
      </c>
      <c r="V411" s="21">
        <v>0</v>
      </c>
      <c r="W411" s="21">
        <v>0</v>
      </c>
      <c r="X411" s="21">
        <v>0</v>
      </c>
      <c r="Y411" s="21">
        <v>0</v>
      </c>
      <c r="Z411" s="21">
        <v>0</v>
      </c>
      <c r="AA411" s="21">
        <v>0</v>
      </c>
      <c r="AB411" s="21">
        <v>0</v>
      </c>
      <c r="AC411" s="21">
        <v>0</v>
      </c>
      <c r="AD411" s="21">
        <v>0</v>
      </c>
      <c r="AE411" s="21">
        <v>0</v>
      </c>
      <c r="AF411" s="21">
        <v>0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2</v>
      </c>
      <c r="AM411" s="21">
        <v>1.5</v>
      </c>
      <c r="AN411" s="21">
        <v>2</v>
      </c>
      <c r="AO411" s="21">
        <v>2</v>
      </c>
      <c r="AP411" s="21">
        <v>0</v>
      </c>
      <c r="AQ411" s="21">
        <v>0</v>
      </c>
      <c r="AR411" s="21">
        <v>2</v>
      </c>
      <c r="AS411" s="21">
        <v>0</v>
      </c>
      <c r="AT411" s="21">
        <v>0</v>
      </c>
      <c r="AU411" s="21">
        <v>0</v>
      </c>
      <c r="AV411" s="21">
        <v>0</v>
      </c>
      <c r="AW411" s="21">
        <v>0</v>
      </c>
      <c r="AX411" s="21">
        <v>0</v>
      </c>
      <c r="AY411" s="21">
        <v>0</v>
      </c>
      <c r="AZ411" s="21">
        <v>0</v>
      </c>
      <c r="BA411" s="21">
        <v>0</v>
      </c>
      <c r="BB411" s="21">
        <v>0</v>
      </c>
      <c r="BC411" s="21">
        <v>0</v>
      </c>
      <c r="BD411" s="21">
        <v>0</v>
      </c>
      <c r="BE411" s="21">
        <v>0</v>
      </c>
      <c r="BF411" s="21">
        <v>0</v>
      </c>
      <c r="BG411" s="21">
        <v>0</v>
      </c>
      <c r="BH411" s="21">
        <v>0</v>
      </c>
      <c r="BI411" s="21">
        <v>0</v>
      </c>
      <c r="BJ411" s="21">
        <v>0</v>
      </c>
      <c r="BK411" s="21">
        <v>0</v>
      </c>
      <c r="BL411" s="21">
        <v>0</v>
      </c>
      <c r="BM411" s="21">
        <v>0</v>
      </c>
      <c r="BN411" s="21">
        <v>0</v>
      </c>
      <c r="BO411" s="21">
        <v>0</v>
      </c>
      <c r="BP411" s="21">
        <v>0</v>
      </c>
      <c r="BQ411" s="21">
        <v>0</v>
      </c>
      <c r="BR411" s="21">
        <v>0</v>
      </c>
      <c r="BS411" s="21">
        <v>0</v>
      </c>
      <c r="BT411" s="21">
        <v>0</v>
      </c>
      <c r="BU411" s="21">
        <v>0</v>
      </c>
      <c r="BV411" s="21">
        <v>0</v>
      </c>
      <c r="BW411" s="21">
        <v>0</v>
      </c>
      <c r="BX411" s="21">
        <v>0</v>
      </c>
      <c r="BY411" s="21">
        <v>0</v>
      </c>
      <c r="BZ411" s="21">
        <v>0</v>
      </c>
      <c r="CA411" s="21">
        <v>0</v>
      </c>
      <c r="CB411" s="21">
        <v>0</v>
      </c>
      <c r="CC411" s="21">
        <v>0</v>
      </c>
      <c r="CD411" s="21">
        <v>0</v>
      </c>
      <c r="CE411" s="21">
        <v>0</v>
      </c>
      <c r="CF411" s="21">
        <v>0</v>
      </c>
      <c r="CG411" s="21">
        <v>0</v>
      </c>
      <c r="CH411" s="21">
        <v>0</v>
      </c>
      <c r="CI411" s="21">
        <v>0</v>
      </c>
      <c r="CJ411" s="21">
        <v>0</v>
      </c>
      <c r="CK411" s="21">
        <v>0</v>
      </c>
      <c r="CL411" s="21">
        <v>0</v>
      </c>
      <c r="CM411" s="21">
        <v>0</v>
      </c>
      <c r="CN411" s="21">
        <v>0</v>
      </c>
      <c r="CO411" s="21">
        <v>0</v>
      </c>
      <c r="CP411" s="21">
        <v>0</v>
      </c>
      <c r="CQ411" s="21">
        <v>0</v>
      </c>
      <c r="CR411" s="21">
        <v>0</v>
      </c>
      <c r="CS411" s="21">
        <v>1.4035089999999999</v>
      </c>
      <c r="CT411" s="21">
        <v>1.4035089999999999</v>
      </c>
      <c r="CU411" s="21">
        <v>1.4035089999999999</v>
      </c>
      <c r="CV411" s="21">
        <v>1.4035089999999999</v>
      </c>
      <c r="CW411" s="21">
        <v>1.4035089999999999</v>
      </c>
      <c r="CX411" s="21">
        <v>1.4035089999999999</v>
      </c>
      <c r="CY411" s="21">
        <v>1.4035089999999999</v>
      </c>
      <c r="CZ411" s="21">
        <v>1.4035089999999999</v>
      </c>
      <c r="DA411" s="21">
        <v>1.4035089999999999</v>
      </c>
      <c r="DB411" s="21">
        <v>1.4035089999999999</v>
      </c>
      <c r="DC411" s="21">
        <v>1.4035089999999999</v>
      </c>
      <c r="DD411" s="21">
        <v>1.4035089999999999</v>
      </c>
      <c r="DE411" s="21">
        <v>1.4035089999999999</v>
      </c>
      <c r="DF411" s="21">
        <v>1.4035089999999999</v>
      </c>
      <c r="DG411" s="21">
        <v>1.4035089999999999</v>
      </c>
      <c r="DH411" s="21">
        <v>1.4035089999999999</v>
      </c>
      <c r="DI411" s="21">
        <v>1.4035089999999999</v>
      </c>
      <c r="DJ411" s="21">
        <v>1.4035089999999999</v>
      </c>
      <c r="DK411" s="21">
        <v>1.4035089999999999</v>
      </c>
      <c r="DL411" s="21">
        <v>1.4035089999999999</v>
      </c>
      <c r="DM411" s="21">
        <v>1.4035089999999999</v>
      </c>
      <c r="DN411" s="21">
        <v>1.4035089999999999</v>
      </c>
      <c r="DO411" s="21">
        <v>1.4035089999999999</v>
      </c>
      <c r="DP411" s="21">
        <v>1.4035089999999999</v>
      </c>
      <c r="DQ411" s="21">
        <v>1.4035089999999999</v>
      </c>
      <c r="DR411" s="21">
        <v>1.4035089999999999</v>
      </c>
      <c r="DS411" s="21">
        <v>1.4035089999999999</v>
      </c>
      <c r="DT411" s="21">
        <v>1.4035089999999999</v>
      </c>
      <c r="DU411" s="21">
        <v>1.4035089999999999</v>
      </c>
      <c r="DV411" s="21">
        <v>1.4035089999999999</v>
      </c>
      <c r="DW411" s="21">
        <v>1.4035089999999999</v>
      </c>
      <c r="DX411" s="21">
        <v>1.4035089999999999</v>
      </c>
      <c r="DY411" s="21">
        <v>1.4035089999999999</v>
      </c>
      <c r="DZ411" s="21">
        <v>1.4035089999999999</v>
      </c>
      <c r="EA411" s="21">
        <v>1.4035089999999999</v>
      </c>
      <c r="EB411" s="21">
        <v>1.4035089999999999</v>
      </c>
      <c r="EC411" s="21">
        <v>1.4035089999999999</v>
      </c>
      <c r="ED411" s="21">
        <v>0</v>
      </c>
      <c r="EE411" s="21">
        <v>0</v>
      </c>
      <c r="EF411" s="21">
        <v>0</v>
      </c>
    </row>
    <row r="412" spans="1:136" ht="14.5" x14ac:dyDescent="0.35">
      <c r="A412" s="20" t="s">
        <v>12</v>
      </c>
      <c r="B412" s="20" t="s">
        <v>18</v>
      </c>
      <c r="C412" s="20" t="s">
        <v>18</v>
      </c>
      <c r="D412" s="20" t="s">
        <v>337</v>
      </c>
      <c r="E412" s="20" t="s">
        <v>16</v>
      </c>
      <c r="F412" s="20" t="s">
        <v>77</v>
      </c>
      <c r="G412" s="21">
        <v>22.9</v>
      </c>
      <c r="H412" s="21">
        <v>74.900000000000006</v>
      </c>
      <c r="I412" s="21">
        <v>7.5</v>
      </c>
      <c r="J412" s="21">
        <v>67.400000000000006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>
        <v>0</v>
      </c>
      <c r="T412" s="21">
        <v>0</v>
      </c>
      <c r="U412" s="21">
        <v>0</v>
      </c>
      <c r="V412" s="21">
        <v>0</v>
      </c>
      <c r="W412" s="21">
        <v>0</v>
      </c>
      <c r="X412" s="21">
        <v>0</v>
      </c>
      <c r="Y412" s="21">
        <v>0</v>
      </c>
      <c r="Z412" s="21">
        <v>0</v>
      </c>
      <c r="AA412" s="21">
        <v>0</v>
      </c>
      <c r="AB412" s="21">
        <v>0</v>
      </c>
      <c r="AC412" s="21">
        <v>0</v>
      </c>
      <c r="AD412" s="21">
        <v>6</v>
      </c>
      <c r="AE412" s="21">
        <v>0</v>
      </c>
      <c r="AF412" s="21">
        <v>1.5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0</v>
      </c>
      <c r="AN412" s="21">
        <v>0</v>
      </c>
      <c r="AO412" s="21">
        <v>0</v>
      </c>
      <c r="AP412" s="21">
        <v>0</v>
      </c>
      <c r="AQ412" s="21">
        <v>0</v>
      </c>
      <c r="AR412" s="21">
        <v>0</v>
      </c>
      <c r="AS412" s="21">
        <v>0</v>
      </c>
      <c r="AT412" s="21">
        <v>0</v>
      </c>
      <c r="AU412" s="21">
        <v>0</v>
      </c>
      <c r="AV412" s="21">
        <v>0</v>
      </c>
      <c r="AW412" s="21">
        <v>0</v>
      </c>
      <c r="AX412" s="21">
        <v>0</v>
      </c>
      <c r="AY412" s="21">
        <v>0</v>
      </c>
      <c r="AZ412" s="21">
        <v>0</v>
      </c>
      <c r="BA412" s="21">
        <v>0</v>
      </c>
      <c r="BB412" s="21">
        <v>0</v>
      </c>
      <c r="BC412" s="21">
        <v>0</v>
      </c>
      <c r="BD412" s="21">
        <v>0</v>
      </c>
      <c r="BE412" s="21">
        <v>0</v>
      </c>
      <c r="BF412" s="21">
        <v>0</v>
      </c>
      <c r="BG412" s="21">
        <v>0</v>
      </c>
      <c r="BH412" s="21">
        <v>0</v>
      </c>
      <c r="BI412" s="21">
        <v>0</v>
      </c>
      <c r="BJ412" s="21">
        <v>0</v>
      </c>
      <c r="BK412" s="21">
        <v>0</v>
      </c>
      <c r="BL412" s="21">
        <v>0</v>
      </c>
      <c r="BM412" s="21">
        <v>0</v>
      </c>
      <c r="BN412" s="21">
        <v>0</v>
      </c>
      <c r="BO412" s="21">
        <v>0</v>
      </c>
      <c r="BP412" s="21">
        <v>0</v>
      </c>
      <c r="BQ412" s="21">
        <v>0</v>
      </c>
      <c r="BR412" s="21">
        <v>0</v>
      </c>
      <c r="BS412" s="21">
        <v>0</v>
      </c>
      <c r="BT412" s="21">
        <v>0</v>
      </c>
      <c r="BU412" s="21">
        <v>0</v>
      </c>
      <c r="BV412" s="21">
        <v>0</v>
      </c>
      <c r="BW412" s="21">
        <v>0</v>
      </c>
      <c r="BX412" s="21">
        <v>0</v>
      </c>
      <c r="BY412" s="21">
        <v>0</v>
      </c>
      <c r="BZ412" s="21">
        <v>0</v>
      </c>
      <c r="CA412" s="21">
        <v>0</v>
      </c>
      <c r="CB412" s="21">
        <v>0</v>
      </c>
      <c r="CC412" s="21">
        <v>0</v>
      </c>
      <c r="CD412" s="21">
        <v>0</v>
      </c>
      <c r="CE412" s="21">
        <v>0</v>
      </c>
      <c r="CF412" s="21">
        <v>0</v>
      </c>
      <c r="CG412" s="21">
        <v>0</v>
      </c>
      <c r="CH412" s="21">
        <v>0</v>
      </c>
      <c r="CI412" s="21">
        <v>0</v>
      </c>
      <c r="CJ412" s="21">
        <v>0</v>
      </c>
      <c r="CK412" s="21">
        <v>0</v>
      </c>
      <c r="CL412" s="21">
        <v>0</v>
      </c>
      <c r="CM412" s="21">
        <v>0</v>
      </c>
      <c r="CN412" s="21">
        <v>0</v>
      </c>
      <c r="CO412" s="21">
        <v>0</v>
      </c>
      <c r="CP412" s="21">
        <v>0</v>
      </c>
      <c r="CQ412" s="21">
        <v>0</v>
      </c>
      <c r="CR412" s="21">
        <v>0</v>
      </c>
      <c r="CS412" s="21">
        <v>0</v>
      </c>
      <c r="CT412" s="21">
        <v>0</v>
      </c>
      <c r="CU412" s="21">
        <v>0</v>
      </c>
      <c r="CV412" s="21">
        <v>0</v>
      </c>
      <c r="CW412" s="21">
        <v>0</v>
      </c>
      <c r="CX412" s="21">
        <v>0</v>
      </c>
      <c r="CY412" s="21">
        <v>0</v>
      </c>
      <c r="CZ412" s="21">
        <v>0</v>
      </c>
      <c r="DA412" s="21">
        <v>0</v>
      </c>
      <c r="DB412" s="21">
        <v>0</v>
      </c>
      <c r="DC412" s="21">
        <v>0</v>
      </c>
      <c r="DD412" s="21">
        <v>0</v>
      </c>
      <c r="DE412" s="21">
        <v>0</v>
      </c>
      <c r="DF412" s="21">
        <v>0</v>
      </c>
      <c r="DG412" s="21">
        <v>0</v>
      </c>
      <c r="DH412" s="21">
        <v>0</v>
      </c>
      <c r="DI412" s="21">
        <v>0</v>
      </c>
      <c r="DJ412" s="21">
        <v>0</v>
      </c>
      <c r="DK412" s="21">
        <v>0</v>
      </c>
      <c r="DL412" s="21">
        <v>0</v>
      </c>
      <c r="DM412" s="21">
        <v>0</v>
      </c>
      <c r="DN412" s="21">
        <v>0</v>
      </c>
      <c r="DO412" s="21">
        <v>0</v>
      </c>
      <c r="DP412" s="21">
        <v>0</v>
      </c>
      <c r="DQ412" s="21">
        <v>0</v>
      </c>
      <c r="DR412" s="21">
        <v>0</v>
      </c>
      <c r="DS412" s="21">
        <v>0</v>
      </c>
      <c r="DT412" s="21">
        <v>0</v>
      </c>
      <c r="DU412" s="21">
        <v>0</v>
      </c>
      <c r="DV412" s="21">
        <v>0</v>
      </c>
      <c r="DW412" s="21">
        <v>0</v>
      </c>
      <c r="DX412" s="21">
        <v>0</v>
      </c>
      <c r="DY412" s="21">
        <v>0</v>
      </c>
      <c r="DZ412" s="21">
        <v>0</v>
      </c>
      <c r="EA412" s="21">
        <v>0</v>
      </c>
      <c r="EB412" s="21">
        <v>0</v>
      </c>
      <c r="EC412" s="21">
        <v>0</v>
      </c>
      <c r="ED412" s="21">
        <v>0</v>
      </c>
      <c r="EE412" s="21">
        <v>0</v>
      </c>
      <c r="EF412" s="21">
        <v>0</v>
      </c>
    </row>
    <row r="413" spans="1:136" ht="14.5" x14ac:dyDescent="0.35">
      <c r="A413" s="20" t="s">
        <v>12</v>
      </c>
      <c r="B413" s="20" t="s">
        <v>18</v>
      </c>
      <c r="C413" s="20" t="s">
        <v>18</v>
      </c>
      <c r="D413" s="20" t="s">
        <v>337</v>
      </c>
      <c r="E413" s="20" t="s">
        <v>16</v>
      </c>
      <c r="F413" s="20" t="s">
        <v>77</v>
      </c>
      <c r="G413" s="21">
        <v>0</v>
      </c>
      <c r="H413" s="21">
        <v>0</v>
      </c>
      <c r="I413" s="21">
        <v>12</v>
      </c>
      <c r="J413" s="21">
        <v>-12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0</v>
      </c>
      <c r="S413" s="21">
        <v>0</v>
      </c>
      <c r="T413" s="21">
        <v>0</v>
      </c>
      <c r="U413" s="21">
        <v>0</v>
      </c>
      <c r="V413" s="21">
        <v>0</v>
      </c>
      <c r="W413" s="21">
        <v>0</v>
      </c>
      <c r="X413" s="21">
        <v>0</v>
      </c>
      <c r="Y413" s="21">
        <v>9</v>
      </c>
      <c r="Z413" s="21">
        <v>2</v>
      </c>
      <c r="AA413" s="21">
        <v>1</v>
      </c>
      <c r="AB413" s="21">
        <v>0</v>
      </c>
      <c r="AC413" s="21">
        <v>0</v>
      </c>
      <c r="AD413" s="21">
        <v>0</v>
      </c>
      <c r="AE413" s="21">
        <v>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1">
        <v>0</v>
      </c>
      <c r="AN413" s="21">
        <v>0</v>
      </c>
      <c r="AO413" s="21">
        <v>0</v>
      </c>
      <c r="AP413" s="21">
        <v>0</v>
      </c>
      <c r="AQ413" s="21">
        <v>0</v>
      </c>
      <c r="AR413" s="21">
        <v>0</v>
      </c>
      <c r="AS413" s="21">
        <v>0</v>
      </c>
      <c r="AT413" s="21">
        <v>0</v>
      </c>
      <c r="AU413" s="21">
        <v>0</v>
      </c>
      <c r="AV413" s="21">
        <v>0</v>
      </c>
      <c r="AW413" s="21">
        <v>0</v>
      </c>
      <c r="AX413" s="21">
        <v>0</v>
      </c>
      <c r="AY413" s="21">
        <v>0</v>
      </c>
      <c r="AZ413" s="21">
        <v>0</v>
      </c>
      <c r="BA413" s="21">
        <v>0</v>
      </c>
      <c r="BB413" s="21">
        <v>0</v>
      </c>
      <c r="BC413" s="21">
        <v>0</v>
      </c>
      <c r="BD413" s="21">
        <v>0</v>
      </c>
      <c r="BE413" s="21">
        <v>0</v>
      </c>
      <c r="BF413" s="21">
        <v>0</v>
      </c>
      <c r="BG413" s="21">
        <v>0</v>
      </c>
      <c r="BH413" s="21">
        <v>0</v>
      </c>
      <c r="BI413" s="21">
        <v>0</v>
      </c>
      <c r="BJ413" s="21">
        <v>0</v>
      </c>
      <c r="BK413" s="21">
        <v>0</v>
      </c>
      <c r="BL413" s="21">
        <v>0</v>
      </c>
      <c r="BM413" s="21">
        <v>0</v>
      </c>
      <c r="BN413" s="21">
        <v>0</v>
      </c>
      <c r="BO413" s="21">
        <v>0</v>
      </c>
      <c r="BP413" s="21">
        <v>0</v>
      </c>
      <c r="BQ413" s="21">
        <v>0</v>
      </c>
      <c r="BR413" s="21">
        <v>0</v>
      </c>
      <c r="BS413" s="21">
        <v>0</v>
      </c>
      <c r="BT413" s="21">
        <v>0</v>
      </c>
      <c r="BU413" s="21">
        <v>0</v>
      </c>
      <c r="BV413" s="21">
        <v>0</v>
      </c>
      <c r="BW413" s="21">
        <v>0</v>
      </c>
      <c r="BX413" s="21">
        <v>0</v>
      </c>
      <c r="BY413" s="21">
        <v>0</v>
      </c>
      <c r="BZ413" s="21">
        <v>0</v>
      </c>
      <c r="CA413" s="21">
        <v>0</v>
      </c>
      <c r="CB413" s="21">
        <v>0</v>
      </c>
      <c r="CC413" s="21">
        <v>0</v>
      </c>
      <c r="CD413" s="21">
        <v>0</v>
      </c>
      <c r="CE413" s="21">
        <v>0</v>
      </c>
      <c r="CF413" s="21">
        <v>0</v>
      </c>
      <c r="CG413" s="21">
        <v>0</v>
      </c>
      <c r="CH413" s="21">
        <v>0</v>
      </c>
      <c r="CI413" s="21">
        <v>0</v>
      </c>
      <c r="CJ413" s="21">
        <v>0</v>
      </c>
      <c r="CK413" s="21">
        <v>0</v>
      </c>
      <c r="CL413" s="21">
        <v>0</v>
      </c>
      <c r="CM413" s="21">
        <v>0</v>
      </c>
      <c r="CN413" s="21">
        <v>0</v>
      </c>
      <c r="CO413" s="21">
        <v>0</v>
      </c>
      <c r="CP413" s="21">
        <v>0</v>
      </c>
      <c r="CQ413" s="21">
        <v>0</v>
      </c>
      <c r="CR413" s="21">
        <v>0</v>
      </c>
      <c r="CS413" s="21">
        <v>0</v>
      </c>
      <c r="CT413" s="21">
        <v>0</v>
      </c>
      <c r="CU413" s="21">
        <v>0</v>
      </c>
      <c r="CV413" s="21">
        <v>0</v>
      </c>
      <c r="CW413" s="21">
        <v>0</v>
      </c>
      <c r="CX413" s="21">
        <v>0</v>
      </c>
      <c r="CY413" s="21">
        <v>0</v>
      </c>
      <c r="CZ413" s="21">
        <v>0</v>
      </c>
      <c r="DA413" s="21">
        <v>0</v>
      </c>
      <c r="DB413" s="21">
        <v>0</v>
      </c>
      <c r="DC413" s="21">
        <v>0</v>
      </c>
      <c r="DD413" s="21">
        <v>0</v>
      </c>
      <c r="DE413" s="21">
        <v>0</v>
      </c>
      <c r="DF413" s="21">
        <v>0</v>
      </c>
      <c r="DG413" s="21">
        <v>0</v>
      </c>
      <c r="DH413" s="21">
        <v>0</v>
      </c>
      <c r="DI413" s="21">
        <v>0</v>
      </c>
      <c r="DJ413" s="21">
        <v>0</v>
      </c>
      <c r="DK413" s="21">
        <v>0</v>
      </c>
      <c r="DL413" s="21">
        <v>0</v>
      </c>
      <c r="DM413" s="21">
        <v>0</v>
      </c>
      <c r="DN413" s="21">
        <v>0</v>
      </c>
      <c r="DO413" s="21">
        <v>0</v>
      </c>
      <c r="DP413" s="21">
        <v>0</v>
      </c>
      <c r="DQ413" s="21">
        <v>0</v>
      </c>
      <c r="DR413" s="21">
        <v>0</v>
      </c>
      <c r="DS413" s="21">
        <v>0</v>
      </c>
      <c r="DT413" s="21">
        <v>0</v>
      </c>
      <c r="DU413" s="21">
        <v>0</v>
      </c>
      <c r="DV413" s="21">
        <v>0</v>
      </c>
      <c r="DW413" s="21">
        <v>0</v>
      </c>
      <c r="DX413" s="21">
        <v>0</v>
      </c>
      <c r="DY413" s="21">
        <v>0</v>
      </c>
      <c r="DZ413" s="21">
        <v>0</v>
      </c>
      <c r="EA413" s="21">
        <v>0</v>
      </c>
      <c r="EB413" s="21">
        <v>0</v>
      </c>
      <c r="EC413" s="21">
        <v>0</v>
      </c>
      <c r="ED413" s="21">
        <v>0</v>
      </c>
      <c r="EE413" s="21">
        <v>0</v>
      </c>
      <c r="EF413" s="21">
        <v>0</v>
      </c>
    </row>
    <row r="414" spans="1:136" ht="14.5" x14ac:dyDescent="0.35">
      <c r="A414" s="20" t="s">
        <v>12</v>
      </c>
      <c r="B414" s="20" t="s">
        <v>18</v>
      </c>
      <c r="C414" s="20" t="s">
        <v>18</v>
      </c>
      <c r="D414" s="20" t="s">
        <v>338</v>
      </c>
      <c r="E414" s="20" t="s">
        <v>16</v>
      </c>
      <c r="F414" s="20" t="s">
        <v>78</v>
      </c>
      <c r="G414" s="21">
        <v>0</v>
      </c>
      <c r="H414" s="21">
        <v>0</v>
      </c>
      <c r="I414" s="21">
        <v>9.3000000000000007</v>
      </c>
      <c r="J414" s="21">
        <v>-9.3000000000000007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1">
        <v>0</v>
      </c>
      <c r="R414" s="21">
        <v>0</v>
      </c>
      <c r="S414" s="21">
        <v>0</v>
      </c>
      <c r="T414" s="21">
        <v>0</v>
      </c>
      <c r="U414" s="21">
        <v>0</v>
      </c>
      <c r="V414" s="21">
        <v>0</v>
      </c>
      <c r="W414" s="21">
        <v>0</v>
      </c>
      <c r="X414" s="21">
        <v>0</v>
      </c>
      <c r="Y414" s="21">
        <v>0</v>
      </c>
      <c r="Z414" s="21">
        <v>0</v>
      </c>
      <c r="AA414" s="21">
        <v>0</v>
      </c>
      <c r="AB414" s="21">
        <v>0</v>
      </c>
      <c r="AC414" s="21">
        <v>0</v>
      </c>
      <c r="AD414" s="21">
        <v>0</v>
      </c>
      <c r="AE414" s="21">
        <v>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0</v>
      </c>
      <c r="AN414" s="21">
        <v>0</v>
      </c>
      <c r="AO414" s="21">
        <v>0</v>
      </c>
      <c r="AP414" s="21">
        <v>0</v>
      </c>
      <c r="AQ414" s="21">
        <v>0</v>
      </c>
      <c r="AR414" s="21">
        <v>0</v>
      </c>
      <c r="AS414" s="21">
        <v>0</v>
      </c>
      <c r="AT414" s="21">
        <v>0</v>
      </c>
      <c r="AU414" s="21">
        <v>0</v>
      </c>
      <c r="AV414" s="21">
        <v>0</v>
      </c>
      <c r="AW414" s="21">
        <v>0</v>
      </c>
      <c r="AX414" s="21">
        <v>0</v>
      </c>
      <c r="AY414" s="21">
        <v>0</v>
      </c>
      <c r="AZ414" s="21">
        <v>0</v>
      </c>
      <c r="BA414" s="21">
        <v>0</v>
      </c>
      <c r="BB414" s="21">
        <v>0</v>
      </c>
      <c r="BC414" s="21">
        <v>0</v>
      </c>
      <c r="BD414" s="21">
        <v>0</v>
      </c>
      <c r="BE414" s="21">
        <v>0</v>
      </c>
      <c r="BF414" s="21">
        <v>0</v>
      </c>
      <c r="BG414" s="21">
        <v>0</v>
      </c>
      <c r="BH414" s="21">
        <v>0</v>
      </c>
      <c r="BI414" s="21">
        <v>0</v>
      </c>
      <c r="BJ414" s="21">
        <v>0</v>
      </c>
      <c r="BK414" s="21">
        <v>0</v>
      </c>
      <c r="BL414" s="21">
        <v>0</v>
      </c>
      <c r="BM414" s="21">
        <v>0</v>
      </c>
      <c r="BN414" s="21">
        <v>0</v>
      </c>
      <c r="BO414" s="21">
        <v>0</v>
      </c>
      <c r="BP414" s="21">
        <v>0</v>
      </c>
      <c r="BQ414" s="21">
        <v>0</v>
      </c>
      <c r="BR414" s="21">
        <v>0</v>
      </c>
      <c r="BS414" s="21">
        <v>0</v>
      </c>
      <c r="BT414" s="21">
        <v>0</v>
      </c>
      <c r="BU414" s="21">
        <v>0</v>
      </c>
      <c r="BV414" s="21">
        <v>0</v>
      </c>
      <c r="BW414" s="21">
        <v>0</v>
      </c>
      <c r="BX414" s="21">
        <v>0</v>
      </c>
      <c r="BY414" s="21">
        <v>0</v>
      </c>
      <c r="BZ414" s="21">
        <v>0</v>
      </c>
      <c r="CA414" s="21">
        <v>0</v>
      </c>
      <c r="CB414" s="21">
        <v>0</v>
      </c>
      <c r="CC414" s="21">
        <v>0</v>
      </c>
      <c r="CD414" s="21">
        <v>0</v>
      </c>
      <c r="CE414" s="21">
        <v>0</v>
      </c>
      <c r="CF414" s="21">
        <v>0</v>
      </c>
      <c r="CG414" s="21">
        <v>0</v>
      </c>
      <c r="CH414" s="21">
        <v>0</v>
      </c>
      <c r="CI414" s="21">
        <v>0</v>
      </c>
      <c r="CJ414" s="21">
        <v>0</v>
      </c>
      <c r="CK414" s="21">
        <v>0</v>
      </c>
      <c r="CL414" s="21">
        <v>0</v>
      </c>
      <c r="CM414" s="21">
        <v>0</v>
      </c>
      <c r="CN414" s="21">
        <v>0</v>
      </c>
      <c r="CO414" s="21">
        <v>0</v>
      </c>
      <c r="CP414" s="21">
        <v>0</v>
      </c>
      <c r="CQ414" s="21">
        <v>0</v>
      </c>
      <c r="CR414" s="21">
        <v>0</v>
      </c>
      <c r="CS414" s="21">
        <v>0.25</v>
      </c>
      <c r="CT414" s="21">
        <v>0.25</v>
      </c>
      <c r="CU414" s="21">
        <v>0.25</v>
      </c>
      <c r="CV414" s="21">
        <v>0.25</v>
      </c>
      <c r="CW414" s="21">
        <v>0.25</v>
      </c>
      <c r="CX414" s="21">
        <v>0.25</v>
      </c>
      <c r="CY414" s="21">
        <v>0.25</v>
      </c>
      <c r="CZ414" s="21">
        <v>0.25</v>
      </c>
      <c r="DA414" s="21">
        <v>0.25</v>
      </c>
      <c r="DB414" s="21">
        <v>0.25</v>
      </c>
      <c r="DC414" s="21">
        <v>0.25</v>
      </c>
      <c r="DD414" s="21">
        <v>0.25</v>
      </c>
      <c r="DE414" s="21">
        <v>0.25</v>
      </c>
      <c r="DF414" s="21">
        <v>0.25</v>
      </c>
      <c r="DG414" s="21">
        <v>0.25</v>
      </c>
      <c r="DH414" s="21">
        <v>0.25</v>
      </c>
      <c r="DI414" s="21">
        <v>0.25</v>
      </c>
      <c r="DJ414" s="21">
        <v>0.25</v>
      </c>
      <c r="DK414" s="21">
        <v>0.5</v>
      </c>
      <c r="DL414" s="21">
        <v>0.5</v>
      </c>
      <c r="DM414" s="21">
        <v>0.5</v>
      </c>
      <c r="DN414" s="21">
        <v>0.5</v>
      </c>
      <c r="DO414" s="21">
        <v>0.6</v>
      </c>
      <c r="DP414" s="21">
        <v>0.5</v>
      </c>
      <c r="DQ414" s="21">
        <v>1</v>
      </c>
      <c r="DR414" s="21">
        <v>0.7</v>
      </c>
      <c r="DS414" s="21">
        <v>0</v>
      </c>
      <c r="DT414" s="21">
        <v>0</v>
      </c>
      <c r="DU414" s="21">
        <v>0</v>
      </c>
      <c r="DV414" s="21">
        <v>0</v>
      </c>
      <c r="DW414" s="21">
        <v>0</v>
      </c>
      <c r="DX414" s="21">
        <v>0</v>
      </c>
      <c r="DY414" s="21">
        <v>0</v>
      </c>
      <c r="DZ414" s="21">
        <v>0</v>
      </c>
      <c r="EA414" s="21">
        <v>0</v>
      </c>
      <c r="EB414" s="21">
        <v>0</v>
      </c>
      <c r="EC414" s="21">
        <v>0</v>
      </c>
      <c r="ED414" s="21">
        <v>0</v>
      </c>
      <c r="EE414" s="21">
        <v>0</v>
      </c>
      <c r="EF414" s="21">
        <v>0</v>
      </c>
    </row>
    <row r="415" spans="1:136" ht="14.5" x14ac:dyDescent="0.35">
      <c r="A415" s="20" t="s">
        <v>12</v>
      </c>
      <c r="B415" s="20" t="s">
        <v>18</v>
      </c>
      <c r="C415" s="20" t="s">
        <v>18</v>
      </c>
      <c r="D415" s="20" t="s">
        <v>337</v>
      </c>
      <c r="E415" s="20" t="s">
        <v>16</v>
      </c>
      <c r="F415" s="20" t="s">
        <v>78</v>
      </c>
      <c r="G415" s="21">
        <v>3.3</v>
      </c>
      <c r="H415" s="21">
        <v>12.1</v>
      </c>
      <c r="I415" s="21">
        <v>0</v>
      </c>
      <c r="J415" s="21">
        <v>12.1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>
        <v>0</v>
      </c>
      <c r="T415" s="21">
        <v>0</v>
      </c>
      <c r="U415" s="21">
        <v>0</v>
      </c>
      <c r="V415" s="21">
        <v>0</v>
      </c>
      <c r="W415" s="21">
        <v>0</v>
      </c>
      <c r="X415" s="21">
        <v>0</v>
      </c>
      <c r="Y415" s="21">
        <v>0</v>
      </c>
      <c r="Z415" s="21">
        <v>0</v>
      </c>
      <c r="AA415" s="21">
        <v>0</v>
      </c>
      <c r="AB415" s="21">
        <v>0</v>
      </c>
      <c r="AC415" s="21">
        <v>0</v>
      </c>
      <c r="AD415" s="21">
        <v>0</v>
      </c>
      <c r="AE415" s="21">
        <v>0</v>
      </c>
      <c r="AF415" s="21">
        <v>0</v>
      </c>
      <c r="AG415" s="21">
        <v>0</v>
      </c>
      <c r="AH415" s="21">
        <v>0</v>
      </c>
      <c r="AI415" s="21">
        <v>0</v>
      </c>
      <c r="AJ415" s="21">
        <v>0</v>
      </c>
      <c r="AK415" s="21">
        <v>0</v>
      </c>
      <c r="AL415" s="21">
        <v>0</v>
      </c>
      <c r="AM415" s="21">
        <v>0</v>
      </c>
      <c r="AN415" s="21">
        <v>0</v>
      </c>
      <c r="AO415" s="21">
        <v>0</v>
      </c>
      <c r="AP415" s="21">
        <v>0</v>
      </c>
      <c r="AQ415" s="21">
        <v>0</v>
      </c>
      <c r="AR415" s="21">
        <v>0</v>
      </c>
      <c r="AS415" s="21">
        <v>0</v>
      </c>
      <c r="AT415" s="21">
        <v>0</v>
      </c>
      <c r="AU415" s="21">
        <v>0</v>
      </c>
      <c r="AV415" s="21">
        <v>0</v>
      </c>
      <c r="AW415" s="21">
        <v>0</v>
      </c>
      <c r="AX415" s="21">
        <v>0</v>
      </c>
      <c r="AY415" s="21">
        <v>0</v>
      </c>
      <c r="AZ415" s="21">
        <v>0</v>
      </c>
      <c r="BA415" s="21">
        <v>0</v>
      </c>
      <c r="BB415" s="21">
        <v>0</v>
      </c>
      <c r="BC415" s="21">
        <v>0</v>
      </c>
      <c r="BD415" s="21">
        <v>0</v>
      </c>
      <c r="BE415" s="21">
        <v>0</v>
      </c>
      <c r="BF415" s="21">
        <v>0</v>
      </c>
      <c r="BG415" s="21">
        <v>0</v>
      </c>
      <c r="BH415" s="21">
        <v>0</v>
      </c>
      <c r="BI415" s="21">
        <v>0</v>
      </c>
      <c r="BJ415" s="21">
        <v>0</v>
      </c>
      <c r="BK415" s="21">
        <v>0</v>
      </c>
      <c r="BL415" s="21">
        <v>0</v>
      </c>
      <c r="BM415" s="21">
        <v>0</v>
      </c>
      <c r="BN415" s="21">
        <v>0</v>
      </c>
      <c r="BO415" s="21">
        <v>0</v>
      </c>
      <c r="BP415" s="21">
        <v>0</v>
      </c>
      <c r="BQ415" s="21">
        <v>0</v>
      </c>
      <c r="BR415" s="21">
        <v>0</v>
      </c>
      <c r="BS415" s="21">
        <v>0</v>
      </c>
      <c r="BT415" s="21">
        <v>0</v>
      </c>
      <c r="BU415" s="21">
        <v>0</v>
      </c>
      <c r="BV415" s="21">
        <v>0</v>
      </c>
      <c r="BW415" s="21">
        <v>0</v>
      </c>
      <c r="BX415" s="21">
        <v>0</v>
      </c>
      <c r="BY415" s="21">
        <v>0</v>
      </c>
      <c r="BZ415" s="21">
        <v>0</v>
      </c>
      <c r="CA415" s="21">
        <v>0</v>
      </c>
      <c r="CB415" s="21">
        <v>0</v>
      </c>
      <c r="CC415" s="21">
        <v>0</v>
      </c>
      <c r="CD415" s="21">
        <v>0</v>
      </c>
      <c r="CE415" s="21">
        <v>0</v>
      </c>
      <c r="CF415" s="21">
        <v>0</v>
      </c>
      <c r="CG415" s="21">
        <v>0</v>
      </c>
      <c r="CH415" s="21">
        <v>0</v>
      </c>
      <c r="CI415" s="21">
        <v>0</v>
      </c>
      <c r="CJ415" s="21">
        <v>0</v>
      </c>
      <c r="CK415" s="21">
        <v>0</v>
      </c>
      <c r="CL415" s="21">
        <v>0</v>
      </c>
      <c r="CM415" s="21">
        <v>0</v>
      </c>
      <c r="CN415" s="21">
        <v>0</v>
      </c>
      <c r="CO415" s="21">
        <v>0</v>
      </c>
      <c r="CP415" s="21">
        <v>0</v>
      </c>
      <c r="CQ415" s="21">
        <v>0</v>
      </c>
      <c r="CR415" s="21">
        <v>0</v>
      </c>
      <c r="CS415" s="21">
        <v>0</v>
      </c>
      <c r="CT415" s="21">
        <v>0</v>
      </c>
      <c r="CU415" s="21">
        <v>0</v>
      </c>
      <c r="CV415" s="21">
        <v>0</v>
      </c>
      <c r="CW415" s="21">
        <v>0</v>
      </c>
      <c r="CX415" s="21">
        <v>0</v>
      </c>
      <c r="CY415" s="21">
        <v>0</v>
      </c>
      <c r="CZ415" s="21">
        <v>0</v>
      </c>
      <c r="DA415" s="21">
        <v>0</v>
      </c>
      <c r="DB415" s="21">
        <v>0</v>
      </c>
      <c r="DC415" s="21">
        <v>0</v>
      </c>
      <c r="DD415" s="21">
        <v>0</v>
      </c>
      <c r="DE415" s="21">
        <v>0</v>
      </c>
      <c r="DF415" s="21">
        <v>0</v>
      </c>
      <c r="DG415" s="21">
        <v>0</v>
      </c>
      <c r="DH415" s="21">
        <v>0</v>
      </c>
      <c r="DI415" s="21">
        <v>0</v>
      </c>
      <c r="DJ415" s="21">
        <v>0</v>
      </c>
      <c r="DK415" s="21">
        <v>0</v>
      </c>
      <c r="DL415" s="21">
        <v>0</v>
      </c>
      <c r="DM415" s="21">
        <v>0</v>
      </c>
      <c r="DN415" s="21">
        <v>0</v>
      </c>
      <c r="DO415" s="21">
        <v>0</v>
      </c>
      <c r="DP415" s="21">
        <v>0</v>
      </c>
      <c r="DQ415" s="21">
        <v>0</v>
      </c>
      <c r="DR415" s="21">
        <v>0</v>
      </c>
      <c r="DS415" s="21">
        <v>0</v>
      </c>
      <c r="DT415" s="21">
        <v>0</v>
      </c>
      <c r="DU415" s="21">
        <v>0</v>
      </c>
      <c r="DV415" s="21">
        <v>0</v>
      </c>
      <c r="DW415" s="21">
        <v>0</v>
      </c>
      <c r="DX415" s="21">
        <v>0</v>
      </c>
      <c r="DY415" s="21">
        <v>0</v>
      </c>
      <c r="DZ415" s="21">
        <v>0</v>
      </c>
      <c r="EA415" s="21">
        <v>0</v>
      </c>
      <c r="EB415" s="21">
        <v>0</v>
      </c>
      <c r="EC415" s="21">
        <v>0</v>
      </c>
      <c r="ED415" s="21">
        <v>0</v>
      </c>
      <c r="EE415" s="21">
        <v>0</v>
      </c>
      <c r="EF415" s="21">
        <v>0</v>
      </c>
    </row>
    <row r="416" spans="1:136" ht="14.5" x14ac:dyDescent="0.35">
      <c r="A416" s="20" t="s">
        <v>12</v>
      </c>
      <c r="B416" s="20" t="s">
        <v>18</v>
      </c>
      <c r="C416" s="20" t="s">
        <v>18</v>
      </c>
      <c r="D416" s="20" t="s">
        <v>338</v>
      </c>
      <c r="E416" s="20" t="s">
        <v>16</v>
      </c>
      <c r="F416" s="20" t="s">
        <v>87</v>
      </c>
      <c r="G416" s="21">
        <v>0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>
        <v>0</v>
      </c>
      <c r="T416" s="21">
        <v>0</v>
      </c>
      <c r="U416" s="21">
        <v>0</v>
      </c>
      <c r="V416" s="21">
        <v>0</v>
      </c>
      <c r="W416" s="21">
        <v>0</v>
      </c>
      <c r="X416" s="21">
        <v>0</v>
      </c>
      <c r="Y416" s="21">
        <v>0</v>
      </c>
      <c r="Z416" s="21">
        <v>0</v>
      </c>
      <c r="AA416" s="21">
        <v>0</v>
      </c>
      <c r="AB416" s="21">
        <v>0</v>
      </c>
      <c r="AC416" s="21">
        <v>0</v>
      </c>
      <c r="AD416" s="21">
        <v>0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0</v>
      </c>
      <c r="AN416" s="21">
        <v>0</v>
      </c>
      <c r="AO416" s="21">
        <v>0</v>
      </c>
      <c r="AP416" s="21">
        <v>0</v>
      </c>
      <c r="AQ416" s="21">
        <v>0</v>
      </c>
      <c r="AR416" s="21">
        <v>0</v>
      </c>
      <c r="AS416" s="21">
        <v>0</v>
      </c>
      <c r="AT416" s="21">
        <v>0</v>
      </c>
      <c r="AU416" s="21">
        <v>0</v>
      </c>
      <c r="AV416" s="21">
        <v>0</v>
      </c>
      <c r="AW416" s="21">
        <v>0</v>
      </c>
      <c r="AX416" s="21">
        <v>0</v>
      </c>
      <c r="AY416" s="21">
        <v>0</v>
      </c>
      <c r="AZ416" s="21">
        <v>0</v>
      </c>
      <c r="BA416" s="21">
        <v>0</v>
      </c>
      <c r="BB416" s="21">
        <v>0</v>
      </c>
      <c r="BC416" s="21">
        <v>0</v>
      </c>
      <c r="BD416" s="21">
        <v>0</v>
      </c>
      <c r="BE416" s="21">
        <v>0</v>
      </c>
      <c r="BF416" s="21">
        <v>0</v>
      </c>
      <c r="BG416" s="21">
        <v>0</v>
      </c>
      <c r="BH416" s="21">
        <v>0</v>
      </c>
      <c r="BI416" s="21">
        <v>0</v>
      </c>
      <c r="BJ416" s="21">
        <v>0</v>
      </c>
      <c r="BK416" s="21">
        <v>0</v>
      </c>
      <c r="BL416" s="21">
        <v>0</v>
      </c>
      <c r="BM416" s="21">
        <v>0</v>
      </c>
      <c r="BN416" s="21">
        <v>0</v>
      </c>
      <c r="BO416" s="21">
        <v>0</v>
      </c>
      <c r="BP416" s="21">
        <v>0</v>
      </c>
      <c r="BQ416" s="21">
        <v>0</v>
      </c>
      <c r="BR416" s="21">
        <v>0</v>
      </c>
      <c r="BS416" s="21">
        <v>0</v>
      </c>
      <c r="BT416" s="21">
        <v>0</v>
      </c>
      <c r="BU416" s="21">
        <v>0</v>
      </c>
      <c r="BV416" s="21">
        <v>0</v>
      </c>
      <c r="BW416" s="21">
        <v>0</v>
      </c>
      <c r="BX416" s="21">
        <v>0</v>
      </c>
      <c r="BY416" s="21">
        <v>0</v>
      </c>
      <c r="BZ416" s="21">
        <v>0</v>
      </c>
      <c r="CA416" s="21">
        <v>0</v>
      </c>
      <c r="CB416" s="21">
        <v>0</v>
      </c>
      <c r="CC416" s="21">
        <v>0</v>
      </c>
      <c r="CD416" s="21">
        <v>0</v>
      </c>
      <c r="CE416" s="21">
        <v>0</v>
      </c>
      <c r="CF416" s="21">
        <v>0</v>
      </c>
      <c r="CG416" s="21">
        <v>0</v>
      </c>
      <c r="CH416" s="21">
        <v>0</v>
      </c>
      <c r="CI416" s="21">
        <v>0</v>
      </c>
      <c r="CJ416" s="21">
        <v>0</v>
      </c>
      <c r="CK416" s="21">
        <v>0</v>
      </c>
      <c r="CL416" s="21">
        <v>0</v>
      </c>
      <c r="CM416" s="21">
        <v>0</v>
      </c>
      <c r="CN416" s="21">
        <v>0</v>
      </c>
      <c r="CO416" s="21">
        <v>0</v>
      </c>
      <c r="CP416" s="21">
        <v>0</v>
      </c>
      <c r="CQ416" s="21">
        <v>0</v>
      </c>
      <c r="CR416" s="21">
        <v>0</v>
      </c>
      <c r="CS416" s="21">
        <v>0</v>
      </c>
      <c r="CT416" s="21">
        <v>0</v>
      </c>
      <c r="CU416" s="21">
        <v>0</v>
      </c>
      <c r="CV416" s="21">
        <v>0</v>
      </c>
      <c r="CW416" s="21">
        <v>0</v>
      </c>
      <c r="CX416" s="21">
        <v>0</v>
      </c>
      <c r="CY416" s="21">
        <v>0</v>
      </c>
      <c r="CZ416" s="21">
        <v>0</v>
      </c>
      <c r="DA416" s="21">
        <v>0</v>
      </c>
      <c r="DB416" s="21">
        <v>0</v>
      </c>
      <c r="DC416" s="21">
        <v>0</v>
      </c>
      <c r="DD416" s="21">
        <v>0</v>
      </c>
      <c r="DE416" s="21">
        <v>0</v>
      </c>
      <c r="DF416" s="21">
        <v>0</v>
      </c>
      <c r="DG416" s="21">
        <v>0</v>
      </c>
      <c r="DH416" s="21">
        <v>0</v>
      </c>
      <c r="DI416" s="21">
        <v>0</v>
      </c>
      <c r="DJ416" s="21">
        <v>0</v>
      </c>
      <c r="DK416" s="21">
        <v>0</v>
      </c>
      <c r="DL416" s="21">
        <v>0</v>
      </c>
      <c r="DM416" s="21">
        <v>0</v>
      </c>
      <c r="DN416" s="21">
        <v>0</v>
      </c>
      <c r="DO416" s="21">
        <v>0</v>
      </c>
      <c r="DP416" s="21">
        <v>0</v>
      </c>
      <c r="DQ416" s="21">
        <v>0</v>
      </c>
      <c r="DR416" s="21">
        <v>0</v>
      </c>
      <c r="DS416" s="21">
        <v>0</v>
      </c>
      <c r="DT416" s="21">
        <v>0</v>
      </c>
      <c r="DU416" s="21">
        <v>0</v>
      </c>
      <c r="DV416" s="21">
        <v>0</v>
      </c>
      <c r="DW416" s="21">
        <v>0</v>
      </c>
      <c r="DX416" s="21">
        <v>0</v>
      </c>
      <c r="DY416" s="21">
        <v>0</v>
      </c>
      <c r="DZ416" s="21">
        <v>0</v>
      </c>
      <c r="EA416" s="21">
        <v>0</v>
      </c>
      <c r="EB416" s="21">
        <v>0</v>
      </c>
      <c r="EC416" s="21">
        <v>0</v>
      </c>
      <c r="ED416" s="21">
        <v>0</v>
      </c>
      <c r="EE416" s="21">
        <v>0</v>
      </c>
      <c r="EF416" s="21">
        <v>0</v>
      </c>
    </row>
    <row r="417" spans="1:136" ht="14.5" x14ac:dyDescent="0.35">
      <c r="A417" s="20" t="s">
        <v>12</v>
      </c>
      <c r="B417" s="20" t="s">
        <v>18</v>
      </c>
      <c r="C417" s="20" t="s">
        <v>18</v>
      </c>
      <c r="D417" s="20" t="s">
        <v>337</v>
      </c>
      <c r="E417" s="20" t="s">
        <v>16</v>
      </c>
      <c r="F417" s="20" t="s">
        <v>87</v>
      </c>
      <c r="G417" s="21">
        <v>4</v>
      </c>
      <c r="H417" s="21">
        <v>4</v>
      </c>
      <c r="I417" s="21">
        <v>4</v>
      </c>
      <c r="J417" s="21">
        <v>0</v>
      </c>
      <c r="K417" s="21">
        <v>0</v>
      </c>
      <c r="L417" s="21">
        <v>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0</v>
      </c>
      <c r="T417" s="21">
        <v>0</v>
      </c>
      <c r="U417" s="21">
        <v>0</v>
      </c>
      <c r="V417" s="21">
        <v>0</v>
      </c>
      <c r="W417" s="21">
        <v>0</v>
      </c>
      <c r="X417" s="21">
        <v>0</v>
      </c>
      <c r="Y417" s="21">
        <v>0</v>
      </c>
      <c r="Z417" s="21">
        <v>0</v>
      </c>
      <c r="AA417" s="21">
        <v>0</v>
      </c>
      <c r="AB417" s="21">
        <v>4</v>
      </c>
      <c r="AC417" s="21">
        <v>0</v>
      </c>
      <c r="AD417" s="21">
        <v>0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0</v>
      </c>
      <c r="AL417" s="21">
        <v>0</v>
      </c>
      <c r="AM417" s="21">
        <v>0</v>
      </c>
      <c r="AN417" s="21">
        <v>0</v>
      </c>
      <c r="AO417" s="21">
        <v>0</v>
      </c>
      <c r="AP417" s="21">
        <v>0</v>
      </c>
      <c r="AQ417" s="21">
        <v>0</v>
      </c>
      <c r="AR417" s="21">
        <v>0</v>
      </c>
      <c r="AS417" s="21">
        <v>0</v>
      </c>
      <c r="AT417" s="21">
        <v>0</v>
      </c>
      <c r="AU417" s="21">
        <v>0</v>
      </c>
      <c r="AV417" s="21">
        <v>0</v>
      </c>
      <c r="AW417" s="21">
        <v>0</v>
      </c>
      <c r="AX417" s="21">
        <v>0</v>
      </c>
      <c r="AY417" s="21">
        <v>0</v>
      </c>
      <c r="AZ417" s="21">
        <v>0</v>
      </c>
      <c r="BA417" s="21">
        <v>0</v>
      </c>
      <c r="BB417" s="21">
        <v>0</v>
      </c>
      <c r="BC417" s="21">
        <v>0</v>
      </c>
      <c r="BD417" s="21">
        <v>0</v>
      </c>
      <c r="BE417" s="21">
        <v>0</v>
      </c>
      <c r="BF417" s="21">
        <v>0</v>
      </c>
      <c r="BG417" s="21">
        <v>0</v>
      </c>
      <c r="BH417" s="21">
        <v>0</v>
      </c>
      <c r="BI417" s="21">
        <v>0</v>
      </c>
      <c r="BJ417" s="21">
        <v>0</v>
      </c>
      <c r="BK417" s="21">
        <v>0</v>
      </c>
      <c r="BL417" s="21">
        <v>0</v>
      </c>
      <c r="BM417" s="21">
        <v>0</v>
      </c>
      <c r="BN417" s="21">
        <v>0</v>
      </c>
      <c r="BO417" s="21">
        <v>0</v>
      </c>
      <c r="BP417" s="21">
        <v>0</v>
      </c>
      <c r="BQ417" s="21">
        <v>0</v>
      </c>
      <c r="BR417" s="21">
        <v>0</v>
      </c>
      <c r="BS417" s="21">
        <v>0</v>
      </c>
      <c r="BT417" s="21">
        <v>0</v>
      </c>
      <c r="BU417" s="21">
        <v>0</v>
      </c>
      <c r="BV417" s="21">
        <v>0</v>
      </c>
      <c r="BW417" s="21">
        <v>0</v>
      </c>
      <c r="BX417" s="21">
        <v>0</v>
      </c>
      <c r="BY417" s="21">
        <v>0</v>
      </c>
      <c r="BZ417" s="21">
        <v>0</v>
      </c>
      <c r="CA417" s="21">
        <v>0</v>
      </c>
      <c r="CB417" s="21">
        <v>0</v>
      </c>
      <c r="CC417" s="21">
        <v>0</v>
      </c>
      <c r="CD417" s="21">
        <v>0</v>
      </c>
      <c r="CE417" s="21">
        <v>0</v>
      </c>
      <c r="CF417" s="21">
        <v>0</v>
      </c>
      <c r="CG417" s="21">
        <v>0</v>
      </c>
      <c r="CH417" s="21">
        <v>0</v>
      </c>
      <c r="CI417" s="21">
        <v>0</v>
      </c>
      <c r="CJ417" s="21">
        <v>0</v>
      </c>
      <c r="CK417" s="21">
        <v>0</v>
      </c>
      <c r="CL417" s="21">
        <v>0</v>
      </c>
      <c r="CM417" s="21">
        <v>0</v>
      </c>
      <c r="CN417" s="21">
        <v>0</v>
      </c>
      <c r="CO417" s="21">
        <v>0</v>
      </c>
      <c r="CP417" s="21">
        <v>0</v>
      </c>
      <c r="CQ417" s="21">
        <v>0</v>
      </c>
      <c r="CR417" s="21">
        <v>0</v>
      </c>
      <c r="CS417" s="21">
        <v>0</v>
      </c>
      <c r="CT417" s="21">
        <v>0</v>
      </c>
      <c r="CU417" s="21">
        <v>0</v>
      </c>
      <c r="CV417" s="21">
        <v>0</v>
      </c>
      <c r="CW417" s="21">
        <v>0</v>
      </c>
      <c r="CX417" s="21">
        <v>0</v>
      </c>
      <c r="CY417" s="21">
        <v>0</v>
      </c>
      <c r="CZ417" s="21">
        <v>0</v>
      </c>
      <c r="DA417" s="21">
        <v>0</v>
      </c>
      <c r="DB417" s="21">
        <v>0</v>
      </c>
      <c r="DC417" s="21">
        <v>0</v>
      </c>
      <c r="DD417" s="21">
        <v>0</v>
      </c>
      <c r="DE417" s="21">
        <v>0</v>
      </c>
      <c r="DF417" s="21">
        <v>0</v>
      </c>
      <c r="DG417" s="21">
        <v>0</v>
      </c>
      <c r="DH417" s="21">
        <v>0</v>
      </c>
      <c r="DI417" s="21">
        <v>0</v>
      </c>
      <c r="DJ417" s="21">
        <v>0</v>
      </c>
      <c r="DK417" s="21">
        <v>0</v>
      </c>
      <c r="DL417" s="21">
        <v>0</v>
      </c>
      <c r="DM417" s="21">
        <v>0</v>
      </c>
      <c r="DN417" s="21">
        <v>0</v>
      </c>
      <c r="DO417" s="21">
        <v>0</v>
      </c>
      <c r="DP417" s="21">
        <v>0</v>
      </c>
      <c r="DQ417" s="21">
        <v>0</v>
      </c>
      <c r="DR417" s="21">
        <v>0</v>
      </c>
      <c r="DS417" s="21">
        <v>0</v>
      </c>
      <c r="DT417" s="21">
        <v>0</v>
      </c>
      <c r="DU417" s="21">
        <v>0</v>
      </c>
      <c r="DV417" s="21">
        <v>0</v>
      </c>
      <c r="DW417" s="21">
        <v>0</v>
      </c>
      <c r="DX417" s="21">
        <v>0</v>
      </c>
      <c r="DY417" s="21">
        <v>0</v>
      </c>
      <c r="DZ417" s="21">
        <v>0</v>
      </c>
      <c r="EA417" s="21">
        <v>0</v>
      </c>
      <c r="EB417" s="21">
        <v>0</v>
      </c>
      <c r="EC417" s="21">
        <v>0</v>
      </c>
      <c r="ED417" s="21">
        <v>0</v>
      </c>
      <c r="EE417" s="21">
        <v>0</v>
      </c>
      <c r="EF417" s="21">
        <v>0</v>
      </c>
    </row>
    <row r="418" spans="1:136" ht="14.5" x14ac:dyDescent="0.35">
      <c r="A418" s="20" t="s">
        <v>12</v>
      </c>
      <c r="B418" s="20" t="s">
        <v>18</v>
      </c>
      <c r="C418" s="20" t="s">
        <v>18</v>
      </c>
      <c r="D418" s="20" t="s">
        <v>338</v>
      </c>
      <c r="E418" s="20" t="s">
        <v>16</v>
      </c>
      <c r="F418" s="20" t="s">
        <v>88</v>
      </c>
      <c r="G418" s="21">
        <v>0</v>
      </c>
      <c r="H418" s="21">
        <v>0</v>
      </c>
      <c r="I418" s="21">
        <v>9</v>
      </c>
      <c r="J418" s="21">
        <v>-9</v>
      </c>
      <c r="K418" s="21">
        <v>0</v>
      </c>
      <c r="L418" s="21">
        <v>0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>
        <v>0</v>
      </c>
      <c r="T418" s="21">
        <v>0</v>
      </c>
      <c r="U418" s="21">
        <v>0</v>
      </c>
      <c r="V418" s="21">
        <v>0</v>
      </c>
      <c r="W418" s="21">
        <v>0</v>
      </c>
      <c r="X418" s="21">
        <v>0</v>
      </c>
      <c r="Y418" s="21">
        <v>0</v>
      </c>
      <c r="Z418" s="21">
        <v>0</v>
      </c>
      <c r="AA418" s="21">
        <v>0</v>
      </c>
      <c r="AB418" s="21">
        <v>0</v>
      </c>
      <c r="AC418" s="21">
        <v>0</v>
      </c>
      <c r="AD418" s="21">
        <v>0</v>
      </c>
      <c r="AE418" s="21">
        <v>0</v>
      </c>
      <c r="AF418" s="21">
        <v>0</v>
      </c>
      <c r="AG418" s="21">
        <v>0</v>
      </c>
      <c r="AH418" s="21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0</v>
      </c>
      <c r="AN418" s="21">
        <v>4</v>
      </c>
      <c r="AO418" s="21">
        <v>5</v>
      </c>
      <c r="AP418" s="21">
        <v>0</v>
      </c>
      <c r="AQ418" s="21">
        <v>0</v>
      </c>
      <c r="AR418" s="21">
        <v>0</v>
      </c>
      <c r="AS418" s="21">
        <v>0</v>
      </c>
      <c r="AT418" s="21">
        <v>0</v>
      </c>
      <c r="AU418" s="21">
        <v>0</v>
      </c>
      <c r="AV418" s="21">
        <v>0</v>
      </c>
      <c r="AW418" s="21">
        <v>0</v>
      </c>
      <c r="AX418" s="21">
        <v>0</v>
      </c>
      <c r="AY418" s="21">
        <v>0</v>
      </c>
      <c r="AZ418" s="21">
        <v>0</v>
      </c>
      <c r="BA418" s="21">
        <v>0</v>
      </c>
      <c r="BB418" s="21">
        <v>0</v>
      </c>
      <c r="BC418" s="21">
        <v>0</v>
      </c>
      <c r="BD418" s="21">
        <v>0</v>
      </c>
      <c r="BE418" s="21">
        <v>0</v>
      </c>
      <c r="BF418" s="21">
        <v>0</v>
      </c>
      <c r="BG418" s="21">
        <v>0</v>
      </c>
      <c r="BH418" s="21">
        <v>0</v>
      </c>
      <c r="BI418" s="21">
        <v>0</v>
      </c>
      <c r="BJ418" s="21">
        <v>0</v>
      </c>
      <c r="BK418" s="21">
        <v>0</v>
      </c>
      <c r="BL418" s="21">
        <v>0</v>
      </c>
      <c r="BM418" s="21">
        <v>0</v>
      </c>
      <c r="BN418" s="21">
        <v>0</v>
      </c>
      <c r="BO418" s="21">
        <v>0</v>
      </c>
      <c r="BP418" s="21">
        <v>0</v>
      </c>
      <c r="BQ418" s="21">
        <v>0</v>
      </c>
      <c r="BR418" s="21">
        <v>0</v>
      </c>
      <c r="BS418" s="21">
        <v>0</v>
      </c>
      <c r="BT418" s="21">
        <v>0</v>
      </c>
      <c r="BU418" s="21">
        <v>0</v>
      </c>
      <c r="BV418" s="21">
        <v>0</v>
      </c>
      <c r="BW418" s="21">
        <v>0</v>
      </c>
      <c r="BX418" s="21">
        <v>0</v>
      </c>
      <c r="BY418" s="21">
        <v>0</v>
      </c>
      <c r="BZ418" s="21">
        <v>0</v>
      </c>
      <c r="CA418" s="21">
        <v>0</v>
      </c>
      <c r="CB418" s="21">
        <v>0</v>
      </c>
      <c r="CC418" s="21">
        <v>0</v>
      </c>
      <c r="CD418" s="21">
        <v>0</v>
      </c>
      <c r="CE418" s="21">
        <v>0</v>
      </c>
      <c r="CF418" s="21">
        <v>0</v>
      </c>
      <c r="CG418" s="21">
        <v>0</v>
      </c>
      <c r="CH418" s="21">
        <v>0</v>
      </c>
      <c r="CI418" s="21">
        <v>0</v>
      </c>
      <c r="CJ418" s="21">
        <v>0</v>
      </c>
      <c r="CK418" s="21">
        <v>0</v>
      </c>
      <c r="CL418" s="21">
        <v>0</v>
      </c>
      <c r="CM418" s="21">
        <v>0</v>
      </c>
      <c r="CN418" s="21">
        <v>0</v>
      </c>
      <c r="CO418" s="21">
        <v>0</v>
      </c>
      <c r="CP418" s="21">
        <v>0</v>
      </c>
      <c r="CQ418" s="21">
        <v>0</v>
      </c>
      <c r="CR418" s="21">
        <v>0</v>
      </c>
      <c r="CS418" s="21">
        <v>0</v>
      </c>
      <c r="CT418" s="21">
        <v>0</v>
      </c>
      <c r="CU418" s="21">
        <v>0</v>
      </c>
      <c r="CV418" s="21">
        <v>0</v>
      </c>
      <c r="CW418" s="21">
        <v>0</v>
      </c>
      <c r="CX418" s="21">
        <v>0</v>
      </c>
      <c r="CY418" s="21">
        <v>0</v>
      </c>
      <c r="CZ418" s="21">
        <v>0</v>
      </c>
      <c r="DA418" s="21">
        <v>0</v>
      </c>
      <c r="DB418" s="21">
        <v>0</v>
      </c>
      <c r="DC418" s="21">
        <v>0</v>
      </c>
      <c r="DD418" s="21">
        <v>0</v>
      </c>
      <c r="DE418" s="21">
        <v>0</v>
      </c>
      <c r="DF418" s="21">
        <v>0</v>
      </c>
      <c r="DG418" s="21">
        <v>0</v>
      </c>
      <c r="DH418" s="21">
        <v>0</v>
      </c>
      <c r="DI418" s="21">
        <v>0</v>
      </c>
      <c r="DJ418" s="21">
        <v>0</v>
      </c>
      <c r="DK418" s="21">
        <v>0</v>
      </c>
      <c r="DL418" s="21">
        <v>0</v>
      </c>
      <c r="DM418" s="21">
        <v>0</v>
      </c>
      <c r="DN418" s="21">
        <v>0</v>
      </c>
      <c r="DO418" s="21">
        <v>0</v>
      </c>
      <c r="DP418" s="21">
        <v>0</v>
      </c>
      <c r="DQ418" s="21">
        <v>0</v>
      </c>
      <c r="DR418" s="21">
        <v>0</v>
      </c>
      <c r="DS418" s="21">
        <v>0</v>
      </c>
      <c r="DT418" s="21">
        <v>0</v>
      </c>
      <c r="DU418" s="21">
        <v>0</v>
      </c>
      <c r="DV418" s="21">
        <v>0</v>
      </c>
      <c r="DW418" s="21">
        <v>0</v>
      </c>
      <c r="DX418" s="21">
        <v>0</v>
      </c>
      <c r="DY418" s="21">
        <v>0</v>
      </c>
      <c r="DZ418" s="21">
        <v>0</v>
      </c>
      <c r="EA418" s="21">
        <v>0</v>
      </c>
      <c r="EB418" s="21">
        <v>0</v>
      </c>
      <c r="EC418" s="21">
        <v>0</v>
      </c>
      <c r="ED418" s="21">
        <v>0</v>
      </c>
      <c r="EE418" s="21">
        <v>0</v>
      </c>
      <c r="EF418" s="21">
        <v>0</v>
      </c>
    </row>
    <row r="419" spans="1:136" ht="14.5" x14ac:dyDescent="0.35">
      <c r="A419" s="20" t="s">
        <v>12</v>
      </c>
      <c r="B419" s="20" t="s">
        <v>18</v>
      </c>
      <c r="C419" s="20" t="s">
        <v>18</v>
      </c>
      <c r="D419" s="20" t="s">
        <v>337</v>
      </c>
      <c r="E419" s="20" t="s">
        <v>16</v>
      </c>
      <c r="F419" s="20" t="s">
        <v>88</v>
      </c>
      <c r="G419" s="21">
        <v>3</v>
      </c>
      <c r="H419" s="21">
        <v>3</v>
      </c>
      <c r="I419" s="21">
        <v>0</v>
      </c>
      <c r="J419" s="21">
        <v>3</v>
      </c>
      <c r="K419" s="21">
        <v>0</v>
      </c>
      <c r="L419" s="21">
        <v>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1">
        <v>0</v>
      </c>
      <c r="S419" s="21">
        <v>0</v>
      </c>
      <c r="T419" s="21">
        <v>0</v>
      </c>
      <c r="U419" s="21">
        <v>0</v>
      </c>
      <c r="V419" s="21">
        <v>0</v>
      </c>
      <c r="W419" s="21">
        <v>0</v>
      </c>
      <c r="X419" s="21">
        <v>0</v>
      </c>
      <c r="Y419" s="21">
        <v>0</v>
      </c>
      <c r="Z419" s="21">
        <v>0</v>
      </c>
      <c r="AA419" s="21">
        <v>0</v>
      </c>
      <c r="AB419" s="21">
        <v>0</v>
      </c>
      <c r="AC419" s="21">
        <v>0</v>
      </c>
      <c r="AD419" s="21">
        <v>0</v>
      </c>
      <c r="AE419" s="21">
        <v>0</v>
      </c>
      <c r="AF419" s="21">
        <v>0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0</v>
      </c>
      <c r="AN419" s="21">
        <v>0</v>
      </c>
      <c r="AO419" s="21">
        <v>0</v>
      </c>
      <c r="AP419" s="21">
        <v>0</v>
      </c>
      <c r="AQ419" s="21">
        <v>0</v>
      </c>
      <c r="AR419" s="21">
        <v>0</v>
      </c>
      <c r="AS419" s="21">
        <v>0</v>
      </c>
      <c r="AT419" s="21">
        <v>0</v>
      </c>
      <c r="AU419" s="21">
        <v>0</v>
      </c>
      <c r="AV419" s="21">
        <v>0</v>
      </c>
      <c r="AW419" s="21">
        <v>0</v>
      </c>
      <c r="AX419" s="21">
        <v>0</v>
      </c>
      <c r="AY419" s="21">
        <v>0</v>
      </c>
      <c r="AZ419" s="21">
        <v>0</v>
      </c>
      <c r="BA419" s="21">
        <v>0</v>
      </c>
      <c r="BB419" s="21">
        <v>0</v>
      </c>
      <c r="BC419" s="21">
        <v>0</v>
      </c>
      <c r="BD419" s="21">
        <v>0</v>
      </c>
      <c r="BE419" s="21">
        <v>0</v>
      </c>
      <c r="BF419" s="21">
        <v>0</v>
      </c>
      <c r="BG419" s="21">
        <v>0</v>
      </c>
      <c r="BH419" s="21">
        <v>0</v>
      </c>
      <c r="BI419" s="21">
        <v>0</v>
      </c>
      <c r="BJ419" s="21">
        <v>0</v>
      </c>
      <c r="BK419" s="21">
        <v>0</v>
      </c>
      <c r="BL419" s="21">
        <v>0</v>
      </c>
      <c r="BM419" s="21">
        <v>0</v>
      </c>
      <c r="BN419" s="21">
        <v>0</v>
      </c>
      <c r="BO419" s="21">
        <v>0</v>
      </c>
      <c r="BP419" s="21">
        <v>0</v>
      </c>
      <c r="BQ419" s="21">
        <v>0</v>
      </c>
      <c r="BR419" s="21">
        <v>0</v>
      </c>
      <c r="BS419" s="21">
        <v>0</v>
      </c>
      <c r="BT419" s="21">
        <v>0</v>
      </c>
      <c r="BU419" s="21">
        <v>0</v>
      </c>
      <c r="BV419" s="21">
        <v>0</v>
      </c>
      <c r="BW419" s="21">
        <v>0</v>
      </c>
      <c r="BX419" s="21">
        <v>0</v>
      </c>
      <c r="BY419" s="21">
        <v>0</v>
      </c>
      <c r="BZ419" s="21">
        <v>0</v>
      </c>
      <c r="CA419" s="21">
        <v>0</v>
      </c>
      <c r="CB419" s="21">
        <v>0</v>
      </c>
      <c r="CC419" s="21">
        <v>0</v>
      </c>
      <c r="CD419" s="21">
        <v>0</v>
      </c>
      <c r="CE419" s="21">
        <v>0</v>
      </c>
      <c r="CF419" s="21">
        <v>0</v>
      </c>
      <c r="CG419" s="21">
        <v>0</v>
      </c>
      <c r="CH419" s="21">
        <v>0</v>
      </c>
      <c r="CI419" s="21">
        <v>0</v>
      </c>
      <c r="CJ419" s="21">
        <v>0</v>
      </c>
      <c r="CK419" s="21">
        <v>0</v>
      </c>
      <c r="CL419" s="21">
        <v>0</v>
      </c>
      <c r="CM419" s="21">
        <v>0</v>
      </c>
      <c r="CN419" s="21">
        <v>0</v>
      </c>
      <c r="CO419" s="21">
        <v>0</v>
      </c>
      <c r="CP419" s="21">
        <v>0</v>
      </c>
      <c r="CQ419" s="21">
        <v>0</v>
      </c>
      <c r="CR419" s="21">
        <v>0</v>
      </c>
      <c r="CS419" s="21">
        <v>0</v>
      </c>
      <c r="CT419" s="21">
        <v>0</v>
      </c>
      <c r="CU419" s="21">
        <v>0</v>
      </c>
      <c r="CV419" s="21">
        <v>0</v>
      </c>
      <c r="CW419" s="21">
        <v>0</v>
      </c>
      <c r="CX419" s="21">
        <v>0</v>
      </c>
      <c r="CY419" s="21">
        <v>0</v>
      </c>
      <c r="CZ419" s="21">
        <v>0</v>
      </c>
      <c r="DA419" s="21">
        <v>0</v>
      </c>
      <c r="DB419" s="21">
        <v>0</v>
      </c>
      <c r="DC419" s="21">
        <v>0</v>
      </c>
      <c r="DD419" s="21">
        <v>0</v>
      </c>
      <c r="DE419" s="21">
        <v>0</v>
      </c>
      <c r="DF419" s="21">
        <v>0</v>
      </c>
      <c r="DG419" s="21">
        <v>0</v>
      </c>
      <c r="DH419" s="21">
        <v>0</v>
      </c>
      <c r="DI419" s="21">
        <v>0</v>
      </c>
      <c r="DJ419" s="21">
        <v>0</v>
      </c>
      <c r="DK419" s="21">
        <v>0</v>
      </c>
      <c r="DL419" s="21">
        <v>0</v>
      </c>
      <c r="DM419" s="21">
        <v>0</v>
      </c>
      <c r="DN419" s="21">
        <v>0</v>
      </c>
      <c r="DO419" s="21">
        <v>0</v>
      </c>
      <c r="DP419" s="21">
        <v>0</v>
      </c>
      <c r="DQ419" s="21">
        <v>0</v>
      </c>
      <c r="DR419" s="21">
        <v>0</v>
      </c>
      <c r="DS419" s="21">
        <v>0</v>
      </c>
      <c r="DT419" s="21">
        <v>0</v>
      </c>
      <c r="DU419" s="21">
        <v>0</v>
      </c>
      <c r="DV419" s="21">
        <v>0</v>
      </c>
      <c r="DW419" s="21">
        <v>0</v>
      </c>
      <c r="DX419" s="21">
        <v>0</v>
      </c>
      <c r="DY419" s="21">
        <v>0</v>
      </c>
      <c r="DZ419" s="21">
        <v>0</v>
      </c>
      <c r="EA419" s="21">
        <v>0</v>
      </c>
      <c r="EB419" s="21">
        <v>0</v>
      </c>
      <c r="EC419" s="21">
        <v>0</v>
      </c>
      <c r="ED419" s="21">
        <v>0</v>
      </c>
      <c r="EE419" s="21">
        <v>0</v>
      </c>
      <c r="EF419" s="21">
        <v>0</v>
      </c>
    </row>
    <row r="420" spans="1:136" ht="14.5" x14ac:dyDescent="0.35">
      <c r="A420" s="20" t="s">
        <v>12</v>
      </c>
      <c r="B420" s="20" t="s">
        <v>18</v>
      </c>
      <c r="C420" s="20" t="s">
        <v>18</v>
      </c>
      <c r="D420" s="20" t="s">
        <v>338</v>
      </c>
      <c r="E420" s="20" t="s">
        <v>16</v>
      </c>
      <c r="F420" s="20" t="s">
        <v>89</v>
      </c>
      <c r="G420" s="21">
        <v>0</v>
      </c>
      <c r="H420" s="21">
        <v>0</v>
      </c>
      <c r="I420" s="21">
        <v>3</v>
      </c>
      <c r="J420" s="21">
        <v>-3</v>
      </c>
      <c r="K420" s="21">
        <v>0</v>
      </c>
      <c r="L420" s="21">
        <v>0</v>
      </c>
      <c r="M420" s="21">
        <v>0</v>
      </c>
      <c r="N420" s="21">
        <v>0</v>
      </c>
      <c r="O420" s="21">
        <v>0</v>
      </c>
      <c r="P420" s="21">
        <v>0</v>
      </c>
      <c r="Q420" s="21">
        <v>0</v>
      </c>
      <c r="R420" s="21">
        <v>0</v>
      </c>
      <c r="S420" s="21">
        <v>0</v>
      </c>
      <c r="T420" s="21">
        <v>0</v>
      </c>
      <c r="U420" s="21">
        <v>0</v>
      </c>
      <c r="V420" s="21">
        <v>0</v>
      </c>
      <c r="W420" s="21">
        <v>0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1">
        <v>0</v>
      </c>
      <c r="AT420" s="21">
        <v>0</v>
      </c>
      <c r="AU420" s="21">
        <v>0</v>
      </c>
      <c r="AV420" s="21">
        <v>0</v>
      </c>
      <c r="AW420" s="21">
        <v>0</v>
      </c>
      <c r="AX420" s="21">
        <v>0</v>
      </c>
      <c r="AY420" s="21">
        <v>0</v>
      </c>
      <c r="AZ420" s="21">
        <v>0</v>
      </c>
      <c r="BA420" s="21">
        <v>0</v>
      </c>
      <c r="BB420" s="21">
        <v>0</v>
      </c>
      <c r="BC420" s="21">
        <v>0</v>
      </c>
      <c r="BD420" s="21">
        <v>0</v>
      </c>
      <c r="BE420" s="21">
        <v>0</v>
      </c>
      <c r="BF420" s="21">
        <v>0</v>
      </c>
      <c r="BG420" s="21">
        <v>0</v>
      </c>
      <c r="BH420" s="21">
        <v>0</v>
      </c>
      <c r="BI420" s="21">
        <v>0</v>
      </c>
      <c r="BJ420" s="21">
        <v>0</v>
      </c>
      <c r="BK420" s="21">
        <v>0</v>
      </c>
      <c r="BL420" s="21">
        <v>0</v>
      </c>
      <c r="BM420" s="21">
        <v>0</v>
      </c>
      <c r="BN420" s="21">
        <v>0</v>
      </c>
      <c r="BO420" s="21">
        <v>0</v>
      </c>
      <c r="BP420" s="21">
        <v>0</v>
      </c>
      <c r="BQ420" s="21">
        <v>0</v>
      </c>
      <c r="BR420" s="21">
        <v>0</v>
      </c>
      <c r="BS420" s="21">
        <v>0</v>
      </c>
      <c r="BT420" s="21">
        <v>0</v>
      </c>
      <c r="BU420" s="21">
        <v>0</v>
      </c>
      <c r="BV420" s="21">
        <v>0</v>
      </c>
      <c r="BW420" s="21">
        <v>0</v>
      </c>
      <c r="BX420" s="21">
        <v>0</v>
      </c>
      <c r="BY420" s="21">
        <v>0</v>
      </c>
      <c r="BZ420" s="21">
        <v>0</v>
      </c>
      <c r="CA420" s="21">
        <v>0</v>
      </c>
      <c r="CB420" s="21">
        <v>0</v>
      </c>
      <c r="CC420" s="21">
        <v>0</v>
      </c>
      <c r="CD420" s="21">
        <v>0</v>
      </c>
      <c r="CE420" s="21">
        <v>0</v>
      </c>
      <c r="CF420" s="21">
        <v>0</v>
      </c>
      <c r="CG420" s="21">
        <v>0</v>
      </c>
      <c r="CH420" s="21">
        <v>0</v>
      </c>
      <c r="CI420" s="21">
        <v>0</v>
      </c>
      <c r="CJ420" s="21">
        <v>0</v>
      </c>
      <c r="CK420" s="21">
        <v>0</v>
      </c>
      <c r="CL420" s="21">
        <v>0</v>
      </c>
      <c r="CM420" s="21">
        <v>0</v>
      </c>
      <c r="CN420" s="21">
        <v>0</v>
      </c>
      <c r="CO420" s="21">
        <v>0</v>
      </c>
      <c r="CP420" s="21">
        <v>0</v>
      </c>
      <c r="CQ420" s="21">
        <v>0</v>
      </c>
      <c r="CR420" s="21">
        <v>0</v>
      </c>
      <c r="CS420" s="21">
        <v>0</v>
      </c>
      <c r="CT420" s="21">
        <v>0</v>
      </c>
      <c r="CU420" s="21">
        <v>0</v>
      </c>
      <c r="CV420" s="21">
        <v>0</v>
      </c>
      <c r="CW420" s="21">
        <v>0</v>
      </c>
      <c r="CX420" s="21">
        <v>0</v>
      </c>
      <c r="CY420" s="21">
        <v>0</v>
      </c>
      <c r="CZ420" s="21">
        <v>1</v>
      </c>
      <c r="DA420" s="21">
        <v>2</v>
      </c>
      <c r="DB420" s="21">
        <v>0</v>
      </c>
      <c r="DC420" s="21">
        <v>0</v>
      </c>
      <c r="DD420" s="21">
        <v>0</v>
      </c>
      <c r="DE420" s="21">
        <v>0</v>
      </c>
      <c r="DF420" s="21">
        <v>0</v>
      </c>
      <c r="DG420" s="21">
        <v>0</v>
      </c>
      <c r="DH420" s="21">
        <v>0</v>
      </c>
      <c r="DI420" s="21">
        <v>0</v>
      </c>
      <c r="DJ420" s="21">
        <v>0</v>
      </c>
      <c r="DK420" s="21">
        <v>0</v>
      </c>
      <c r="DL420" s="21">
        <v>0</v>
      </c>
      <c r="DM420" s="21">
        <v>0</v>
      </c>
      <c r="DN420" s="21">
        <v>0</v>
      </c>
      <c r="DO420" s="21">
        <v>0</v>
      </c>
      <c r="DP420" s="21">
        <v>0</v>
      </c>
      <c r="DQ420" s="21">
        <v>0</v>
      </c>
      <c r="DR420" s="21">
        <v>0</v>
      </c>
      <c r="DS420" s="21">
        <v>0</v>
      </c>
      <c r="DT420" s="21">
        <v>0</v>
      </c>
      <c r="DU420" s="21">
        <v>0</v>
      </c>
      <c r="DV420" s="21">
        <v>0</v>
      </c>
      <c r="DW420" s="21">
        <v>0</v>
      </c>
      <c r="DX420" s="21">
        <v>0</v>
      </c>
      <c r="DY420" s="21">
        <v>0</v>
      </c>
      <c r="DZ420" s="21">
        <v>0</v>
      </c>
      <c r="EA420" s="21">
        <v>0</v>
      </c>
      <c r="EB420" s="21">
        <v>0</v>
      </c>
      <c r="EC420" s="21">
        <v>0</v>
      </c>
      <c r="ED420" s="21">
        <v>0</v>
      </c>
      <c r="EE420" s="21">
        <v>0</v>
      </c>
      <c r="EF420" s="21">
        <v>0</v>
      </c>
    </row>
    <row r="421" spans="1:136" ht="14.5" x14ac:dyDescent="0.35">
      <c r="A421" s="20" t="s">
        <v>12</v>
      </c>
      <c r="B421" s="20" t="s">
        <v>18</v>
      </c>
      <c r="C421" s="20" t="s">
        <v>18</v>
      </c>
      <c r="D421" s="20" t="s">
        <v>337</v>
      </c>
      <c r="E421" s="20" t="s">
        <v>16</v>
      </c>
      <c r="F421" s="20" t="s">
        <v>89</v>
      </c>
      <c r="G421" s="21">
        <v>0</v>
      </c>
      <c r="H421" s="21">
        <v>3</v>
      </c>
      <c r="I421" s="21">
        <v>0</v>
      </c>
      <c r="J421" s="21">
        <v>3</v>
      </c>
      <c r="K421" s="21">
        <v>0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>
        <v>0</v>
      </c>
      <c r="T421" s="21">
        <v>0</v>
      </c>
      <c r="U421" s="21">
        <v>0</v>
      </c>
      <c r="V421" s="21">
        <v>0</v>
      </c>
      <c r="W421" s="21">
        <v>0</v>
      </c>
      <c r="X421" s="21">
        <v>0</v>
      </c>
      <c r="Y421" s="21">
        <v>0</v>
      </c>
      <c r="Z421" s="21">
        <v>0</v>
      </c>
      <c r="AA421" s="21">
        <v>0</v>
      </c>
      <c r="AB421" s="21">
        <v>0</v>
      </c>
      <c r="AC421" s="21">
        <v>0</v>
      </c>
      <c r="AD421" s="21">
        <v>0</v>
      </c>
      <c r="AE421" s="21">
        <v>0</v>
      </c>
      <c r="AF421" s="21">
        <v>0</v>
      </c>
      <c r="AG421" s="21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1">
        <v>0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1">
        <v>0</v>
      </c>
      <c r="AT421" s="21">
        <v>0</v>
      </c>
      <c r="AU421" s="21">
        <v>0</v>
      </c>
      <c r="AV421" s="21">
        <v>0</v>
      </c>
      <c r="AW421" s="21">
        <v>0</v>
      </c>
      <c r="AX421" s="21">
        <v>0</v>
      </c>
      <c r="AY421" s="21">
        <v>0</v>
      </c>
      <c r="AZ421" s="21">
        <v>0</v>
      </c>
      <c r="BA421" s="21">
        <v>0</v>
      </c>
      <c r="BB421" s="21">
        <v>0</v>
      </c>
      <c r="BC421" s="21">
        <v>0</v>
      </c>
      <c r="BD421" s="21">
        <v>0</v>
      </c>
      <c r="BE421" s="21">
        <v>0</v>
      </c>
      <c r="BF421" s="21">
        <v>0</v>
      </c>
      <c r="BG421" s="21">
        <v>0</v>
      </c>
      <c r="BH421" s="21">
        <v>0</v>
      </c>
      <c r="BI421" s="21">
        <v>0</v>
      </c>
      <c r="BJ421" s="21">
        <v>0</v>
      </c>
      <c r="BK421" s="21">
        <v>0</v>
      </c>
      <c r="BL421" s="21">
        <v>0</v>
      </c>
      <c r="BM421" s="21">
        <v>0</v>
      </c>
      <c r="BN421" s="21">
        <v>0</v>
      </c>
      <c r="BO421" s="21">
        <v>0</v>
      </c>
      <c r="BP421" s="21">
        <v>0</v>
      </c>
      <c r="BQ421" s="21">
        <v>0</v>
      </c>
      <c r="BR421" s="21">
        <v>0</v>
      </c>
      <c r="BS421" s="21">
        <v>0</v>
      </c>
      <c r="BT421" s="21">
        <v>0</v>
      </c>
      <c r="BU421" s="21">
        <v>0</v>
      </c>
      <c r="BV421" s="21">
        <v>0</v>
      </c>
      <c r="BW421" s="21">
        <v>0</v>
      </c>
      <c r="BX421" s="21">
        <v>0</v>
      </c>
      <c r="BY421" s="21">
        <v>0</v>
      </c>
      <c r="BZ421" s="21">
        <v>0</v>
      </c>
      <c r="CA421" s="21">
        <v>0</v>
      </c>
      <c r="CB421" s="21">
        <v>0</v>
      </c>
      <c r="CC421" s="21">
        <v>0</v>
      </c>
      <c r="CD421" s="21">
        <v>0</v>
      </c>
      <c r="CE421" s="21">
        <v>0</v>
      </c>
      <c r="CF421" s="21">
        <v>0</v>
      </c>
      <c r="CG421" s="21">
        <v>0</v>
      </c>
      <c r="CH421" s="21">
        <v>0</v>
      </c>
      <c r="CI421" s="21">
        <v>0</v>
      </c>
      <c r="CJ421" s="21">
        <v>0</v>
      </c>
      <c r="CK421" s="21">
        <v>0</v>
      </c>
      <c r="CL421" s="21">
        <v>0</v>
      </c>
      <c r="CM421" s="21">
        <v>0</v>
      </c>
      <c r="CN421" s="21">
        <v>0</v>
      </c>
      <c r="CO421" s="21">
        <v>0</v>
      </c>
      <c r="CP421" s="21">
        <v>0</v>
      </c>
      <c r="CQ421" s="21">
        <v>0</v>
      </c>
      <c r="CR421" s="21">
        <v>0</v>
      </c>
      <c r="CS421" s="21">
        <v>0</v>
      </c>
      <c r="CT421" s="21">
        <v>0</v>
      </c>
      <c r="CU421" s="21">
        <v>0</v>
      </c>
      <c r="CV421" s="21">
        <v>0</v>
      </c>
      <c r="CW421" s="21">
        <v>0</v>
      </c>
      <c r="CX421" s="21">
        <v>0</v>
      </c>
      <c r="CY421" s="21">
        <v>0</v>
      </c>
      <c r="CZ421" s="21">
        <v>0</v>
      </c>
      <c r="DA421" s="21">
        <v>0</v>
      </c>
      <c r="DB421" s="21">
        <v>0</v>
      </c>
      <c r="DC421" s="21">
        <v>0</v>
      </c>
      <c r="DD421" s="21">
        <v>0</v>
      </c>
      <c r="DE421" s="21">
        <v>0</v>
      </c>
      <c r="DF421" s="21">
        <v>0</v>
      </c>
      <c r="DG421" s="21">
        <v>0</v>
      </c>
      <c r="DH421" s="21">
        <v>0</v>
      </c>
      <c r="DI421" s="21">
        <v>0</v>
      </c>
      <c r="DJ421" s="21">
        <v>0</v>
      </c>
      <c r="DK421" s="21">
        <v>0</v>
      </c>
      <c r="DL421" s="21">
        <v>0</v>
      </c>
      <c r="DM421" s="21">
        <v>0</v>
      </c>
      <c r="DN421" s="21">
        <v>0</v>
      </c>
      <c r="DO421" s="21">
        <v>0</v>
      </c>
      <c r="DP421" s="21">
        <v>0</v>
      </c>
      <c r="DQ421" s="21">
        <v>0</v>
      </c>
      <c r="DR421" s="21">
        <v>0</v>
      </c>
      <c r="DS421" s="21">
        <v>0</v>
      </c>
      <c r="DT421" s="21">
        <v>0</v>
      </c>
      <c r="DU421" s="21">
        <v>0</v>
      </c>
      <c r="DV421" s="21">
        <v>0</v>
      </c>
      <c r="DW421" s="21">
        <v>0</v>
      </c>
      <c r="DX421" s="21">
        <v>0</v>
      </c>
      <c r="DY421" s="21">
        <v>0</v>
      </c>
      <c r="DZ421" s="21">
        <v>0</v>
      </c>
      <c r="EA421" s="21">
        <v>0</v>
      </c>
      <c r="EB421" s="21">
        <v>0</v>
      </c>
      <c r="EC421" s="21">
        <v>0</v>
      </c>
      <c r="ED421" s="21">
        <v>0</v>
      </c>
      <c r="EE421" s="21">
        <v>0</v>
      </c>
      <c r="EF421" s="21">
        <v>0</v>
      </c>
    </row>
    <row r="422" spans="1:136" ht="14.5" x14ac:dyDescent="0.35">
      <c r="A422" s="20" t="s">
        <v>12</v>
      </c>
      <c r="B422" s="20" t="s">
        <v>18</v>
      </c>
      <c r="C422" s="20" t="s">
        <v>18</v>
      </c>
      <c r="D422" s="20" t="s">
        <v>338</v>
      </c>
      <c r="E422" s="20" t="s">
        <v>16</v>
      </c>
      <c r="F422" s="20" t="s">
        <v>40</v>
      </c>
      <c r="G422" s="21">
        <v>0</v>
      </c>
      <c r="H422" s="21">
        <v>0</v>
      </c>
      <c r="I422" s="21">
        <v>15</v>
      </c>
      <c r="J422" s="21">
        <v>-15</v>
      </c>
      <c r="K422" s="21">
        <v>0</v>
      </c>
      <c r="L422" s="21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>
        <v>0</v>
      </c>
      <c r="T422" s="21">
        <v>0</v>
      </c>
      <c r="U422" s="21">
        <v>0</v>
      </c>
      <c r="V422" s="21">
        <v>0</v>
      </c>
      <c r="W422" s="21">
        <v>0</v>
      </c>
      <c r="X422" s="21">
        <v>0</v>
      </c>
      <c r="Y422" s="21">
        <v>0</v>
      </c>
      <c r="Z422" s="21">
        <v>0</v>
      </c>
      <c r="AA422" s="21">
        <v>0</v>
      </c>
      <c r="AB422" s="21">
        <v>0</v>
      </c>
      <c r="AC422" s="21">
        <v>0</v>
      </c>
      <c r="AD422" s="21">
        <v>0</v>
      </c>
      <c r="AE422" s="21">
        <v>0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0</v>
      </c>
      <c r="AN422" s="21">
        <v>0</v>
      </c>
      <c r="AO422" s="21">
        <v>0</v>
      </c>
      <c r="AP422" s="21">
        <v>0</v>
      </c>
      <c r="AQ422" s="21">
        <v>0</v>
      </c>
      <c r="AR422" s="21">
        <v>0</v>
      </c>
      <c r="AS422" s="21">
        <v>0</v>
      </c>
      <c r="AT422" s="21">
        <v>0</v>
      </c>
      <c r="AU422" s="21">
        <v>0</v>
      </c>
      <c r="AV422" s="21">
        <v>0</v>
      </c>
      <c r="AW422" s="21">
        <v>0</v>
      </c>
      <c r="AX422" s="21">
        <v>0</v>
      </c>
      <c r="AY422" s="21">
        <v>0</v>
      </c>
      <c r="AZ422" s="21">
        <v>0</v>
      </c>
      <c r="BA422" s="21">
        <v>0</v>
      </c>
      <c r="BB422" s="21">
        <v>0</v>
      </c>
      <c r="BC422" s="21">
        <v>0</v>
      </c>
      <c r="BD422" s="21">
        <v>0</v>
      </c>
      <c r="BE422" s="21">
        <v>0</v>
      </c>
      <c r="BF422" s="21">
        <v>0</v>
      </c>
      <c r="BG422" s="21">
        <v>0</v>
      </c>
      <c r="BH422" s="21">
        <v>0</v>
      </c>
      <c r="BI422" s="21">
        <v>0</v>
      </c>
      <c r="BJ422" s="21">
        <v>0</v>
      </c>
      <c r="BK422" s="21">
        <v>0</v>
      </c>
      <c r="BL422" s="21">
        <v>0</v>
      </c>
      <c r="BM422" s="21">
        <v>0</v>
      </c>
      <c r="BN422" s="21">
        <v>0</v>
      </c>
      <c r="BO422" s="21">
        <v>0</v>
      </c>
      <c r="BP422" s="21">
        <v>0</v>
      </c>
      <c r="BQ422" s="21">
        <v>0</v>
      </c>
      <c r="BR422" s="21">
        <v>0</v>
      </c>
      <c r="BS422" s="21">
        <v>0</v>
      </c>
      <c r="BT422" s="21">
        <v>0</v>
      </c>
      <c r="BU422" s="21">
        <v>0</v>
      </c>
      <c r="BV422" s="21">
        <v>0</v>
      </c>
      <c r="BW422" s="21">
        <v>0</v>
      </c>
      <c r="BX422" s="21">
        <v>0</v>
      </c>
      <c r="BY422" s="21">
        <v>0</v>
      </c>
      <c r="BZ422" s="21">
        <v>0</v>
      </c>
      <c r="CA422" s="21">
        <v>0</v>
      </c>
      <c r="CB422" s="21">
        <v>0</v>
      </c>
      <c r="CC422" s="21">
        <v>0</v>
      </c>
      <c r="CD422" s="21">
        <v>0</v>
      </c>
      <c r="CE422" s="21">
        <v>0</v>
      </c>
      <c r="CF422" s="21">
        <v>0</v>
      </c>
      <c r="CG422" s="21">
        <v>0</v>
      </c>
      <c r="CH422" s="21">
        <v>0</v>
      </c>
      <c r="CI422" s="21">
        <v>0</v>
      </c>
      <c r="CJ422" s="21">
        <v>0</v>
      </c>
      <c r="CK422" s="21">
        <v>0</v>
      </c>
      <c r="CL422" s="21">
        <v>0</v>
      </c>
      <c r="CM422" s="21">
        <v>0</v>
      </c>
      <c r="CN422" s="21">
        <v>0</v>
      </c>
      <c r="CO422" s="21">
        <v>0</v>
      </c>
      <c r="CP422" s="21">
        <v>0</v>
      </c>
      <c r="CQ422" s="21">
        <v>0</v>
      </c>
      <c r="CR422" s="21">
        <v>0</v>
      </c>
      <c r="CS422" s="21">
        <v>0</v>
      </c>
      <c r="CT422" s="21">
        <v>0</v>
      </c>
      <c r="CU422" s="21">
        <v>0</v>
      </c>
      <c r="CV422" s="21">
        <v>0</v>
      </c>
      <c r="CW422" s="21">
        <v>0</v>
      </c>
      <c r="CX422" s="21">
        <v>0</v>
      </c>
      <c r="CY422" s="21">
        <v>0</v>
      </c>
      <c r="CZ422" s="21">
        <v>0</v>
      </c>
      <c r="DA422" s="21">
        <v>0</v>
      </c>
      <c r="DB422" s="21">
        <v>0</v>
      </c>
      <c r="DC422" s="21">
        <v>0</v>
      </c>
      <c r="DD422" s="21">
        <v>0</v>
      </c>
      <c r="DE422" s="21">
        <v>0</v>
      </c>
      <c r="DF422" s="21">
        <v>0</v>
      </c>
      <c r="DG422" s="21">
        <v>0</v>
      </c>
      <c r="DH422" s="21">
        <v>0</v>
      </c>
      <c r="DI422" s="21">
        <v>0</v>
      </c>
      <c r="DJ422" s="21">
        <v>0</v>
      </c>
      <c r="DK422" s="21">
        <v>0</v>
      </c>
      <c r="DL422" s="21">
        <v>0</v>
      </c>
      <c r="DM422" s="21">
        <v>0</v>
      </c>
      <c r="DN422" s="21">
        <v>0</v>
      </c>
      <c r="DO422" s="21">
        <v>0</v>
      </c>
      <c r="DP422" s="21">
        <v>5</v>
      </c>
      <c r="DQ422" s="21">
        <v>5</v>
      </c>
      <c r="DR422" s="21">
        <v>5</v>
      </c>
      <c r="DS422" s="21">
        <v>0</v>
      </c>
      <c r="DT422" s="21">
        <v>0</v>
      </c>
      <c r="DU422" s="21">
        <v>0</v>
      </c>
      <c r="DV422" s="21">
        <v>0</v>
      </c>
      <c r="DW422" s="21">
        <v>0</v>
      </c>
      <c r="DX422" s="21">
        <v>0</v>
      </c>
      <c r="DY422" s="21">
        <v>0</v>
      </c>
      <c r="DZ422" s="21">
        <v>0</v>
      </c>
      <c r="EA422" s="21">
        <v>0</v>
      </c>
      <c r="EB422" s="21">
        <v>0</v>
      </c>
      <c r="EC422" s="21">
        <v>0</v>
      </c>
      <c r="ED422" s="21">
        <v>0</v>
      </c>
      <c r="EE422" s="21">
        <v>0</v>
      </c>
      <c r="EF422" s="21">
        <v>0</v>
      </c>
    </row>
    <row r="423" spans="1:136" ht="14.5" x14ac:dyDescent="0.35">
      <c r="A423" s="20" t="s">
        <v>12</v>
      </c>
      <c r="B423" s="20" t="s">
        <v>18</v>
      </c>
      <c r="C423" s="20" t="s">
        <v>18</v>
      </c>
      <c r="D423" s="20" t="s">
        <v>337</v>
      </c>
      <c r="E423" s="20" t="s">
        <v>16</v>
      </c>
      <c r="F423" s="20" t="s">
        <v>40</v>
      </c>
      <c r="G423" s="21">
        <v>0</v>
      </c>
      <c r="H423" s="21">
        <v>15</v>
      </c>
      <c r="I423" s="21">
        <v>0</v>
      </c>
      <c r="J423" s="21">
        <v>15</v>
      </c>
      <c r="K423" s="21">
        <v>0</v>
      </c>
      <c r="L423" s="21">
        <v>0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1">
        <v>0</v>
      </c>
      <c r="S423" s="21">
        <v>0</v>
      </c>
      <c r="T423" s="21">
        <v>0</v>
      </c>
      <c r="U423" s="21">
        <v>0</v>
      </c>
      <c r="V423" s="21">
        <v>0</v>
      </c>
      <c r="W423" s="21">
        <v>0</v>
      </c>
      <c r="X423" s="21">
        <v>0</v>
      </c>
      <c r="Y423" s="21">
        <v>0</v>
      </c>
      <c r="Z423" s="21">
        <v>0</v>
      </c>
      <c r="AA423" s="21">
        <v>0</v>
      </c>
      <c r="AB423" s="21">
        <v>0</v>
      </c>
      <c r="AC423" s="21">
        <v>0</v>
      </c>
      <c r="AD423" s="21">
        <v>0</v>
      </c>
      <c r="AE423" s="21">
        <v>0</v>
      </c>
      <c r="AF423" s="21">
        <v>0</v>
      </c>
      <c r="AG423" s="21">
        <v>0</v>
      </c>
      <c r="AH423" s="21">
        <v>0</v>
      </c>
      <c r="AI423" s="21">
        <v>0</v>
      </c>
      <c r="AJ423" s="21">
        <v>0</v>
      </c>
      <c r="AK423" s="21">
        <v>0</v>
      </c>
      <c r="AL423" s="21">
        <v>0</v>
      </c>
      <c r="AM423" s="21">
        <v>0</v>
      </c>
      <c r="AN423" s="21">
        <v>0</v>
      </c>
      <c r="AO423" s="21">
        <v>0</v>
      </c>
      <c r="AP423" s="21">
        <v>0</v>
      </c>
      <c r="AQ423" s="21">
        <v>0</v>
      </c>
      <c r="AR423" s="21">
        <v>0</v>
      </c>
      <c r="AS423" s="21">
        <v>0</v>
      </c>
      <c r="AT423" s="21">
        <v>0</v>
      </c>
      <c r="AU423" s="21">
        <v>0</v>
      </c>
      <c r="AV423" s="21">
        <v>0</v>
      </c>
      <c r="AW423" s="21">
        <v>0</v>
      </c>
      <c r="AX423" s="21">
        <v>0</v>
      </c>
      <c r="AY423" s="21">
        <v>0</v>
      </c>
      <c r="AZ423" s="21">
        <v>0</v>
      </c>
      <c r="BA423" s="21">
        <v>0</v>
      </c>
      <c r="BB423" s="21">
        <v>0</v>
      </c>
      <c r="BC423" s="21">
        <v>0</v>
      </c>
      <c r="BD423" s="21">
        <v>0</v>
      </c>
      <c r="BE423" s="21">
        <v>0</v>
      </c>
      <c r="BF423" s="21">
        <v>0</v>
      </c>
      <c r="BG423" s="21">
        <v>0</v>
      </c>
      <c r="BH423" s="21">
        <v>0</v>
      </c>
      <c r="BI423" s="21">
        <v>0</v>
      </c>
      <c r="BJ423" s="21">
        <v>0</v>
      </c>
      <c r="BK423" s="21">
        <v>0</v>
      </c>
      <c r="BL423" s="21">
        <v>0</v>
      </c>
      <c r="BM423" s="21">
        <v>0</v>
      </c>
      <c r="BN423" s="21">
        <v>0</v>
      </c>
      <c r="BO423" s="21">
        <v>0</v>
      </c>
      <c r="BP423" s="21">
        <v>0</v>
      </c>
      <c r="BQ423" s="21">
        <v>0</v>
      </c>
      <c r="BR423" s="21">
        <v>0</v>
      </c>
      <c r="BS423" s="21">
        <v>0</v>
      </c>
      <c r="BT423" s="21">
        <v>0</v>
      </c>
      <c r="BU423" s="21">
        <v>0</v>
      </c>
      <c r="BV423" s="21">
        <v>0</v>
      </c>
      <c r="BW423" s="21">
        <v>0</v>
      </c>
      <c r="BX423" s="21">
        <v>0</v>
      </c>
      <c r="BY423" s="21">
        <v>0</v>
      </c>
      <c r="BZ423" s="21">
        <v>0</v>
      </c>
      <c r="CA423" s="21">
        <v>0</v>
      </c>
      <c r="CB423" s="21">
        <v>0</v>
      </c>
      <c r="CC423" s="21">
        <v>0</v>
      </c>
      <c r="CD423" s="21">
        <v>0</v>
      </c>
      <c r="CE423" s="21">
        <v>0</v>
      </c>
      <c r="CF423" s="21">
        <v>0</v>
      </c>
      <c r="CG423" s="21">
        <v>0</v>
      </c>
      <c r="CH423" s="21">
        <v>0</v>
      </c>
      <c r="CI423" s="21">
        <v>0</v>
      </c>
      <c r="CJ423" s="21">
        <v>0</v>
      </c>
      <c r="CK423" s="21">
        <v>0</v>
      </c>
      <c r="CL423" s="21">
        <v>0</v>
      </c>
      <c r="CM423" s="21">
        <v>0</v>
      </c>
      <c r="CN423" s="21">
        <v>0</v>
      </c>
      <c r="CO423" s="21">
        <v>0</v>
      </c>
      <c r="CP423" s="21">
        <v>0</v>
      </c>
      <c r="CQ423" s="21">
        <v>0</v>
      </c>
      <c r="CR423" s="21">
        <v>0</v>
      </c>
      <c r="CS423" s="21">
        <v>0</v>
      </c>
      <c r="CT423" s="21">
        <v>0</v>
      </c>
      <c r="CU423" s="21">
        <v>0</v>
      </c>
      <c r="CV423" s="21">
        <v>0</v>
      </c>
      <c r="CW423" s="21">
        <v>0</v>
      </c>
      <c r="CX423" s="21">
        <v>0</v>
      </c>
      <c r="CY423" s="21">
        <v>0</v>
      </c>
      <c r="CZ423" s="21">
        <v>0</v>
      </c>
      <c r="DA423" s="21">
        <v>0</v>
      </c>
      <c r="DB423" s="21">
        <v>0</v>
      </c>
      <c r="DC423" s="21">
        <v>0</v>
      </c>
      <c r="DD423" s="21">
        <v>0</v>
      </c>
      <c r="DE423" s="21">
        <v>0</v>
      </c>
      <c r="DF423" s="21">
        <v>0</v>
      </c>
      <c r="DG423" s="21">
        <v>0</v>
      </c>
      <c r="DH423" s="21">
        <v>0</v>
      </c>
      <c r="DI423" s="21">
        <v>0</v>
      </c>
      <c r="DJ423" s="21">
        <v>0</v>
      </c>
      <c r="DK423" s="21">
        <v>0</v>
      </c>
      <c r="DL423" s="21">
        <v>0</v>
      </c>
      <c r="DM423" s="21">
        <v>0</v>
      </c>
      <c r="DN423" s="21">
        <v>0</v>
      </c>
      <c r="DO423" s="21">
        <v>0</v>
      </c>
      <c r="DP423" s="21">
        <v>0</v>
      </c>
      <c r="DQ423" s="21">
        <v>0</v>
      </c>
      <c r="DR423" s="21">
        <v>0</v>
      </c>
      <c r="DS423" s="21">
        <v>0</v>
      </c>
      <c r="DT423" s="21">
        <v>0</v>
      </c>
      <c r="DU423" s="21">
        <v>0</v>
      </c>
      <c r="DV423" s="21">
        <v>0</v>
      </c>
      <c r="DW423" s="21">
        <v>0</v>
      </c>
      <c r="DX423" s="21">
        <v>0</v>
      </c>
      <c r="DY423" s="21">
        <v>0</v>
      </c>
      <c r="DZ423" s="21">
        <v>0</v>
      </c>
      <c r="EA423" s="21">
        <v>0</v>
      </c>
      <c r="EB423" s="21">
        <v>0</v>
      </c>
      <c r="EC423" s="21">
        <v>0</v>
      </c>
      <c r="ED423" s="21">
        <v>0</v>
      </c>
      <c r="EE423" s="21">
        <v>0</v>
      </c>
      <c r="EF423" s="21">
        <v>0</v>
      </c>
    </row>
    <row r="424" spans="1:136" ht="14.5" x14ac:dyDescent="0.35">
      <c r="A424" s="20" t="s">
        <v>12</v>
      </c>
      <c r="B424" s="20" t="s">
        <v>18</v>
      </c>
      <c r="C424" s="20" t="s">
        <v>18</v>
      </c>
      <c r="D424" s="20" t="s">
        <v>338</v>
      </c>
      <c r="E424" s="20" t="s">
        <v>16</v>
      </c>
      <c r="F424" s="20" t="s">
        <v>81</v>
      </c>
      <c r="G424" s="21">
        <v>0</v>
      </c>
      <c r="H424" s="21">
        <v>0</v>
      </c>
      <c r="I424" s="21">
        <v>115</v>
      </c>
      <c r="J424" s="21">
        <v>-115</v>
      </c>
      <c r="K424" s="21">
        <v>0</v>
      </c>
      <c r="L424" s="21">
        <v>0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0</v>
      </c>
      <c r="S424" s="21">
        <v>0</v>
      </c>
      <c r="T424" s="21">
        <v>0</v>
      </c>
      <c r="U424" s="21">
        <v>0</v>
      </c>
      <c r="V424" s="21">
        <v>0</v>
      </c>
      <c r="W424" s="21">
        <v>0</v>
      </c>
      <c r="X424" s="21">
        <v>0</v>
      </c>
      <c r="Y424" s="21">
        <v>0</v>
      </c>
      <c r="Z424" s="21">
        <v>0</v>
      </c>
      <c r="AA424" s="21">
        <v>0</v>
      </c>
      <c r="AB424" s="21">
        <v>0</v>
      </c>
      <c r="AC424" s="21">
        <v>0</v>
      </c>
      <c r="AD424" s="21">
        <v>0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3</v>
      </c>
      <c r="AM424" s="21">
        <v>0</v>
      </c>
      <c r="AN424" s="21">
        <v>3</v>
      </c>
      <c r="AO424" s="21">
        <v>14</v>
      </c>
      <c r="AP424" s="21">
        <v>7</v>
      </c>
      <c r="AQ424" s="21">
        <v>0</v>
      </c>
      <c r="AR424" s="21">
        <v>3</v>
      </c>
      <c r="AS424" s="21">
        <v>0</v>
      </c>
      <c r="AT424" s="21">
        <v>0</v>
      </c>
      <c r="AU424" s="21">
        <v>0</v>
      </c>
      <c r="AV424" s="21">
        <v>0</v>
      </c>
      <c r="AW424" s="21">
        <v>0</v>
      </c>
      <c r="AX424" s="21">
        <v>0</v>
      </c>
      <c r="AY424" s="21">
        <v>0</v>
      </c>
      <c r="AZ424" s="21">
        <v>0</v>
      </c>
      <c r="BA424" s="21">
        <v>0</v>
      </c>
      <c r="BB424" s="21">
        <v>0</v>
      </c>
      <c r="BC424" s="21">
        <v>0</v>
      </c>
      <c r="BD424" s="21">
        <v>0</v>
      </c>
      <c r="BE424" s="21">
        <v>0</v>
      </c>
      <c r="BF424" s="21">
        <v>0</v>
      </c>
      <c r="BG424" s="21">
        <v>0</v>
      </c>
      <c r="BH424" s="21">
        <v>0</v>
      </c>
      <c r="BI424" s="21">
        <v>0</v>
      </c>
      <c r="BJ424" s="21">
        <v>0</v>
      </c>
      <c r="BK424" s="21">
        <v>0</v>
      </c>
      <c r="BL424" s="21">
        <v>0</v>
      </c>
      <c r="BM424" s="21">
        <v>0</v>
      </c>
      <c r="BN424" s="21">
        <v>0</v>
      </c>
      <c r="BO424" s="21">
        <v>0</v>
      </c>
      <c r="BP424" s="21">
        <v>0</v>
      </c>
      <c r="BQ424" s="21">
        <v>0</v>
      </c>
      <c r="BR424" s="21">
        <v>0</v>
      </c>
      <c r="BS424" s="21">
        <v>0</v>
      </c>
      <c r="BT424" s="21">
        <v>0</v>
      </c>
      <c r="BU424" s="21">
        <v>0</v>
      </c>
      <c r="BV424" s="21">
        <v>0</v>
      </c>
      <c r="BW424" s="21">
        <v>0</v>
      </c>
      <c r="BX424" s="21">
        <v>0</v>
      </c>
      <c r="BY424" s="21">
        <v>0</v>
      </c>
      <c r="BZ424" s="21">
        <v>0</v>
      </c>
      <c r="CA424" s="21">
        <v>0</v>
      </c>
      <c r="CB424" s="21">
        <v>0</v>
      </c>
      <c r="CC424" s="21">
        <v>0</v>
      </c>
      <c r="CD424" s="21">
        <v>0</v>
      </c>
      <c r="CE424" s="21">
        <v>0</v>
      </c>
      <c r="CF424" s="21">
        <v>0</v>
      </c>
      <c r="CG424" s="21">
        <v>0</v>
      </c>
      <c r="CH424" s="21">
        <v>0</v>
      </c>
      <c r="CI424" s="21">
        <v>0</v>
      </c>
      <c r="CJ424" s="21">
        <v>0</v>
      </c>
      <c r="CK424" s="21">
        <v>0</v>
      </c>
      <c r="CL424" s="21">
        <v>0</v>
      </c>
      <c r="CM424" s="21">
        <v>0</v>
      </c>
      <c r="CN424" s="21">
        <v>0</v>
      </c>
      <c r="CO424" s="21">
        <v>0</v>
      </c>
      <c r="CP424" s="21">
        <v>0</v>
      </c>
      <c r="CQ424" s="21">
        <v>0</v>
      </c>
      <c r="CR424" s="21">
        <v>0</v>
      </c>
      <c r="CS424" s="21">
        <v>1</v>
      </c>
      <c r="CT424" s="21">
        <v>8</v>
      </c>
      <c r="CU424" s="21">
        <v>12</v>
      </c>
      <c r="CV424" s="21">
        <v>1</v>
      </c>
      <c r="CW424" s="21">
        <v>1</v>
      </c>
      <c r="CX424" s="21">
        <v>1</v>
      </c>
      <c r="CY424" s="21">
        <v>1</v>
      </c>
      <c r="CZ424" s="21">
        <v>1</v>
      </c>
      <c r="DA424" s="21">
        <v>1</v>
      </c>
      <c r="DB424" s="21">
        <v>1</v>
      </c>
      <c r="DC424" s="21">
        <v>1</v>
      </c>
      <c r="DD424" s="21">
        <v>2.5</v>
      </c>
      <c r="DE424" s="21">
        <v>8</v>
      </c>
      <c r="DF424" s="21">
        <v>10.5</v>
      </c>
      <c r="DG424" s="21">
        <v>1</v>
      </c>
      <c r="DH424" s="21">
        <v>1</v>
      </c>
      <c r="DI424" s="21">
        <v>1</v>
      </c>
      <c r="DJ424" s="21">
        <v>0</v>
      </c>
      <c r="DK424" s="21">
        <v>3</v>
      </c>
      <c r="DL424" s="21">
        <v>1</v>
      </c>
      <c r="DM424" s="21">
        <v>1</v>
      </c>
      <c r="DN424" s="21">
        <v>1</v>
      </c>
      <c r="DO424" s="21">
        <v>2</v>
      </c>
      <c r="DP424" s="21">
        <v>10</v>
      </c>
      <c r="DQ424" s="21">
        <v>12</v>
      </c>
      <c r="DR424" s="21">
        <v>2</v>
      </c>
      <c r="DS424" s="21">
        <v>0</v>
      </c>
      <c r="DT424" s="21">
        <v>0</v>
      </c>
      <c r="DU424" s="21">
        <v>0</v>
      </c>
      <c r="DV424" s="21">
        <v>0</v>
      </c>
      <c r="DW424" s="21">
        <v>0</v>
      </c>
      <c r="DX424" s="21">
        <v>0</v>
      </c>
      <c r="DY424" s="21">
        <v>0</v>
      </c>
      <c r="DZ424" s="21">
        <v>0</v>
      </c>
      <c r="EA424" s="21">
        <v>0</v>
      </c>
      <c r="EB424" s="21">
        <v>0</v>
      </c>
      <c r="EC424" s="21">
        <v>0</v>
      </c>
      <c r="ED424" s="21">
        <v>0</v>
      </c>
      <c r="EE424" s="21">
        <v>0</v>
      </c>
      <c r="EF424" s="21">
        <v>0</v>
      </c>
    </row>
    <row r="425" spans="1:136" ht="14.5" x14ac:dyDescent="0.35">
      <c r="A425" s="20" t="s">
        <v>12</v>
      </c>
      <c r="B425" s="20" t="s">
        <v>18</v>
      </c>
      <c r="C425" s="20" t="s">
        <v>18</v>
      </c>
      <c r="D425" s="20" t="s">
        <v>337</v>
      </c>
      <c r="E425" s="20" t="s">
        <v>16</v>
      </c>
      <c r="F425" s="20" t="s">
        <v>81</v>
      </c>
      <c r="G425" s="21">
        <v>8</v>
      </c>
      <c r="H425" s="21">
        <v>8</v>
      </c>
      <c r="I425" s="21">
        <v>9.5</v>
      </c>
      <c r="J425" s="21">
        <v>-1.5</v>
      </c>
      <c r="K425" s="21">
        <v>0</v>
      </c>
      <c r="L425" s="21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>
        <v>0</v>
      </c>
      <c r="T425" s="21">
        <v>0</v>
      </c>
      <c r="U425" s="21">
        <v>0</v>
      </c>
      <c r="V425" s="21">
        <v>0</v>
      </c>
      <c r="W425" s="21">
        <v>0</v>
      </c>
      <c r="X425" s="21">
        <v>0</v>
      </c>
      <c r="Y425" s="21">
        <v>0</v>
      </c>
      <c r="Z425" s="21">
        <v>0</v>
      </c>
      <c r="AA425" s="21">
        <v>0</v>
      </c>
      <c r="AB425" s="21">
        <v>0</v>
      </c>
      <c r="AC425" s="21">
        <v>0</v>
      </c>
      <c r="AD425" s="21">
        <v>3.5</v>
      </c>
      <c r="AE425" s="21">
        <v>0</v>
      </c>
      <c r="AF425" s="21">
        <v>4</v>
      </c>
      <c r="AG425" s="21">
        <v>0.5</v>
      </c>
      <c r="AH425" s="21">
        <v>1.5</v>
      </c>
      <c r="AI425" s="21">
        <v>0</v>
      </c>
      <c r="AJ425" s="21">
        <v>0</v>
      </c>
      <c r="AK425" s="21">
        <v>0</v>
      </c>
      <c r="AL425" s="21">
        <v>0</v>
      </c>
      <c r="AM425" s="21">
        <v>0</v>
      </c>
      <c r="AN425" s="21">
        <v>0</v>
      </c>
      <c r="AO425" s="21">
        <v>0</v>
      </c>
      <c r="AP425" s="21">
        <v>0</v>
      </c>
      <c r="AQ425" s="21">
        <v>0</v>
      </c>
      <c r="AR425" s="21">
        <v>0</v>
      </c>
      <c r="AS425" s="21">
        <v>0</v>
      </c>
      <c r="AT425" s="21">
        <v>0</v>
      </c>
      <c r="AU425" s="21">
        <v>0</v>
      </c>
      <c r="AV425" s="21">
        <v>0</v>
      </c>
      <c r="AW425" s="21">
        <v>0</v>
      </c>
      <c r="AX425" s="21">
        <v>0</v>
      </c>
      <c r="AY425" s="21">
        <v>0</v>
      </c>
      <c r="AZ425" s="21">
        <v>0</v>
      </c>
      <c r="BA425" s="21">
        <v>0</v>
      </c>
      <c r="BB425" s="21">
        <v>0</v>
      </c>
      <c r="BC425" s="21">
        <v>0</v>
      </c>
      <c r="BD425" s="21">
        <v>0</v>
      </c>
      <c r="BE425" s="21">
        <v>0</v>
      </c>
      <c r="BF425" s="21">
        <v>0</v>
      </c>
      <c r="BG425" s="21">
        <v>0</v>
      </c>
      <c r="BH425" s="21">
        <v>0</v>
      </c>
      <c r="BI425" s="21">
        <v>0</v>
      </c>
      <c r="BJ425" s="21">
        <v>0</v>
      </c>
      <c r="BK425" s="21">
        <v>0</v>
      </c>
      <c r="BL425" s="21">
        <v>0</v>
      </c>
      <c r="BM425" s="21">
        <v>0</v>
      </c>
      <c r="BN425" s="21">
        <v>0</v>
      </c>
      <c r="BO425" s="21">
        <v>0</v>
      </c>
      <c r="BP425" s="21">
        <v>0</v>
      </c>
      <c r="BQ425" s="21">
        <v>0</v>
      </c>
      <c r="BR425" s="21">
        <v>0</v>
      </c>
      <c r="BS425" s="21">
        <v>0</v>
      </c>
      <c r="BT425" s="21">
        <v>0</v>
      </c>
      <c r="BU425" s="21">
        <v>0</v>
      </c>
      <c r="BV425" s="21">
        <v>0</v>
      </c>
      <c r="BW425" s="21">
        <v>0</v>
      </c>
      <c r="BX425" s="21">
        <v>0</v>
      </c>
      <c r="BY425" s="21">
        <v>0</v>
      </c>
      <c r="BZ425" s="21">
        <v>0</v>
      </c>
      <c r="CA425" s="21">
        <v>0</v>
      </c>
      <c r="CB425" s="21">
        <v>0</v>
      </c>
      <c r="CC425" s="21">
        <v>0</v>
      </c>
      <c r="CD425" s="21">
        <v>0</v>
      </c>
      <c r="CE425" s="21">
        <v>0</v>
      </c>
      <c r="CF425" s="21">
        <v>0</v>
      </c>
      <c r="CG425" s="21">
        <v>0</v>
      </c>
      <c r="CH425" s="21">
        <v>0</v>
      </c>
      <c r="CI425" s="21">
        <v>0</v>
      </c>
      <c r="CJ425" s="21">
        <v>0</v>
      </c>
      <c r="CK425" s="21">
        <v>0</v>
      </c>
      <c r="CL425" s="21">
        <v>0</v>
      </c>
      <c r="CM425" s="21">
        <v>0</v>
      </c>
      <c r="CN425" s="21">
        <v>0</v>
      </c>
      <c r="CO425" s="21">
        <v>0</v>
      </c>
      <c r="CP425" s="21">
        <v>0</v>
      </c>
      <c r="CQ425" s="21">
        <v>0</v>
      </c>
      <c r="CR425" s="21">
        <v>0</v>
      </c>
      <c r="CS425" s="21">
        <v>0</v>
      </c>
      <c r="CT425" s="21">
        <v>0</v>
      </c>
      <c r="CU425" s="21">
        <v>0</v>
      </c>
      <c r="CV425" s="21">
        <v>0</v>
      </c>
      <c r="CW425" s="21">
        <v>0</v>
      </c>
      <c r="CX425" s="21">
        <v>0</v>
      </c>
      <c r="CY425" s="21">
        <v>0</v>
      </c>
      <c r="CZ425" s="21">
        <v>0</v>
      </c>
      <c r="DA425" s="21">
        <v>0</v>
      </c>
      <c r="DB425" s="21">
        <v>0</v>
      </c>
      <c r="DC425" s="21">
        <v>0</v>
      </c>
      <c r="DD425" s="21">
        <v>0</v>
      </c>
      <c r="DE425" s="21">
        <v>0</v>
      </c>
      <c r="DF425" s="21">
        <v>0</v>
      </c>
      <c r="DG425" s="21">
        <v>0</v>
      </c>
      <c r="DH425" s="21">
        <v>0</v>
      </c>
      <c r="DI425" s="21">
        <v>0</v>
      </c>
      <c r="DJ425" s="21">
        <v>0</v>
      </c>
      <c r="DK425" s="21">
        <v>0</v>
      </c>
      <c r="DL425" s="21">
        <v>0</v>
      </c>
      <c r="DM425" s="21">
        <v>0</v>
      </c>
      <c r="DN425" s="21">
        <v>0</v>
      </c>
      <c r="DO425" s="21">
        <v>0</v>
      </c>
      <c r="DP425" s="21">
        <v>0</v>
      </c>
      <c r="DQ425" s="21">
        <v>0</v>
      </c>
      <c r="DR425" s="21">
        <v>0</v>
      </c>
      <c r="DS425" s="21">
        <v>0</v>
      </c>
      <c r="DT425" s="21">
        <v>0</v>
      </c>
      <c r="DU425" s="21">
        <v>0</v>
      </c>
      <c r="DV425" s="21">
        <v>0</v>
      </c>
      <c r="DW425" s="21">
        <v>0</v>
      </c>
      <c r="DX425" s="21">
        <v>0</v>
      </c>
      <c r="DY425" s="21">
        <v>0</v>
      </c>
      <c r="DZ425" s="21">
        <v>0</v>
      </c>
      <c r="EA425" s="21">
        <v>0</v>
      </c>
      <c r="EB425" s="21">
        <v>0</v>
      </c>
      <c r="EC425" s="21">
        <v>0</v>
      </c>
      <c r="ED425" s="21">
        <v>0</v>
      </c>
      <c r="EE425" s="21">
        <v>0</v>
      </c>
      <c r="EF425" s="21">
        <v>0</v>
      </c>
    </row>
    <row r="426" spans="1:136" ht="14.5" x14ac:dyDescent="0.35">
      <c r="A426" s="20" t="s">
        <v>12</v>
      </c>
      <c r="B426" s="20" t="s">
        <v>18</v>
      </c>
      <c r="C426" s="20" t="s">
        <v>18</v>
      </c>
      <c r="D426" s="20" t="s">
        <v>338</v>
      </c>
      <c r="E426" s="20" t="s">
        <v>16</v>
      </c>
      <c r="F426" s="20" t="s">
        <v>103</v>
      </c>
      <c r="G426" s="21">
        <v>0</v>
      </c>
      <c r="H426" s="21">
        <v>0</v>
      </c>
      <c r="I426" s="21">
        <v>225</v>
      </c>
      <c r="J426" s="21">
        <v>-225</v>
      </c>
      <c r="K426" s="21">
        <v>0</v>
      </c>
      <c r="L426" s="21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0</v>
      </c>
      <c r="T426" s="21">
        <v>0</v>
      </c>
      <c r="U426" s="21">
        <v>0</v>
      </c>
      <c r="V426" s="21">
        <v>0</v>
      </c>
      <c r="W426" s="21">
        <v>0</v>
      </c>
      <c r="X426" s="21">
        <v>0</v>
      </c>
      <c r="Y426" s="21">
        <v>0</v>
      </c>
      <c r="Z426" s="21">
        <v>0</v>
      </c>
      <c r="AA426" s="21">
        <v>0</v>
      </c>
      <c r="AB426" s="21">
        <v>0</v>
      </c>
      <c r="AC426" s="21">
        <v>0</v>
      </c>
      <c r="AD426" s="21">
        <v>0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1</v>
      </c>
      <c r="AK426" s="21">
        <v>3</v>
      </c>
      <c r="AL426" s="21">
        <v>1.5</v>
      </c>
      <c r="AM426" s="21">
        <v>4.5</v>
      </c>
      <c r="AN426" s="21">
        <v>0</v>
      </c>
      <c r="AO426" s="21">
        <v>1</v>
      </c>
      <c r="AP426" s="21">
        <v>4</v>
      </c>
      <c r="AQ426" s="21">
        <v>0</v>
      </c>
      <c r="AR426" s="21">
        <v>18</v>
      </c>
      <c r="AS426" s="21">
        <v>6</v>
      </c>
      <c r="AT426" s="21">
        <v>0</v>
      </c>
      <c r="AU426" s="21">
        <v>0</v>
      </c>
      <c r="AV426" s="21">
        <v>0</v>
      </c>
      <c r="AW426" s="21">
        <v>0</v>
      </c>
      <c r="AX426" s="21">
        <v>0</v>
      </c>
      <c r="AY426" s="21">
        <v>0</v>
      </c>
      <c r="AZ426" s="21">
        <v>0</v>
      </c>
      <c r="BA426" s="21">
        <v>0</v>
      </c>
      <c r="BB426" s="21">
        <v>0</v>
      </c>
      <c r="BC426" s="21">
        <v>0</v>
      </c>
      <c r="BD426" s="21">
        <v>0</v>
      </c>
      <c r="BE426" s="21">
        <v>0</v>
      </c>
      <c r="BF426" s="21">
        <v>0</v>
      </c>
      <c r="BG426" s="21">
        <v>0</v>
      </c>
      <c r="BH426" s="21">
        <v>0</v>
      </c>
      <c r="BI426" s="21">
        <v>0</v>
      </c>
      <c r="BJ426" s="21">
        <v>0</v>
      </c>
      <c r="BK426" s="21">
        <v>0</v>
      </c>
      <c r="BL426" s="21">
        <v>0</v>
      </c>
      <c r="BM426" s="21">
        <v>0</v>
      </c>
      <c r="BN426" s="21">
        <v>0</v>
      </c>
      <c r="BO426" s="21">
        <v>0</v>
      </c>
      <c r="BP426" s="21">
        <v>0</v>
      </c>
      <c r="BQ426" s="21">
        <v>0</v>
      </c>
      <c r="BR426" s="21">
        <v>0</v>
      </c>
      <c r="BS426" s="21">
        <v>0</v>
      </c>
      <c r="BT426" s="21">
        <v>0</v>
      </c>
      <c r="BU426" s="21">
        <v>0</v>
      </c>
      <c r="BV426" s="21">
        <v>0</v>
      </c>
      <c r="BW426" s="21">
        <v>0</v>
      </c>
      <c r="BX426" s="21">
        <v>0</v>
      </c>
      <c r="BY426" s="21">
        <v>0</v>
      </c>
      <c r="BZ426" s="21">
        <v>0</v>
      </c>
      <c r="CA426" s="21">
        <v>0</v>
      </c>
      <c r="CB426" s="21">
        <v>0</v>
      </c>
      <c r="CC426" s="21">
        <v>0</v>
      </c>
      <c r="CD426" s="21">
        <v>0</v>
      </c>
      <c r="CE426" s="21">
        <v>0</v>
      </c>
      <c r="CF426" s="21">
        <v>0</v>
      </c>
      <c r="CG426" s="21">
        <v>0</v>
      </c>
      <c r="CH426" s="21">
        <v>0</v>
      </c>
      <c r="CI426" s="21">
        <v>0</v>
      </c>
      <c r="CJ426" s="21">
        <v>0</v>
      </c>
      <c r="CK426" s="21">
        <v>0</v>
      </c>
      <c r="CL426" s="21">
        <v>0</v>
      </c>
      <c r="CM426" s="21">
        <v>0</v>
      </c>
      <c r="CN426" s="21">
        <v>0</v>
      </c>
      <c r="CO426" s="21">
        <v>0</v>
      </c>
      <c r="CP426" s="21">
        <v>0</v>
      </c>
      <c r="CQ426" s="21">
        <v>0</v>
      </c>
      <c r="CR426" s="21">
        <v>0</v>
      </c>
      <c r="CS426" s="21">
        <v>10</v>
      </c>
      <c r="CT426" s="21">
        <v>10</v>
      </c>
      <c r="CU426" s="21">
        <v>0</v>
      </c>
      <c r="CV426" s="21">
        <v>0</v>
      </c>
      <c r="CW426" s="21">
        <v>0</v>
      </c>
      <c r="CX426" s="21">
        <v>0</v>
      </c>
      <c r="CY426" s="21">
        <v>0</v>
      </c>
      <c r="CZ426" s="21">
        <v>10</v>
      </c>
      <c r="DA426" s="21">
        <v>10</v>
      </c>
      <c r="DB426" s="21">
        <v>10</v>
      </c>
      <c r="DC426" s="21">
        <v>0</v>
      </c>
      <c r="DD426" s="21">
        <v>15</v>
      </c>
      <c r="DE426" s="21">
        <v>0</v>
      </c>
      <c r="DF426" s="21">
        <v>0</v>
      </c>
      <c r="DG426" s="21">
        <v>0</v>
      </c>
      <c r="DH426" s="21">
        <v>0</v>
      </c>
      <c r="DI426" s="21">
        <v>0</v>
      </c>
      <c r="DJ426" s="21">
        <v>0</v>
      </c>
      <c r="DK426" s="21">
        <v>11</v>
      </c>
      <c r="DL426" s="21">
        <v>20</v>
      </c>
      <c r="DM426" s="21">
        <v>13</v>
      </c>
      <c r="DN426" s="21">
        <v>18</v>
      </c>
      <c r="DO426" s="21">
        <v>18</v>
      </c>
      <c r="DP426" s="21">
        <v>18</v>
      </c>
      <c r="DQ426" s="21">
        <v>29</v>
      </c>
      <c r="DR426" s="21">
        <v>0</v>
      </c>
      <c r="DS426" s="21">
        <v>0</v>
      </c>
      <c r="DT426" s="21">
        <v>0</v>
      </c>
      <c r="DU426" s="21">
        <v>0</v>
      </c>
      <c r="DV426" s="21">
        <v>0</v>
      </c>
      <c r="DW426" s="21">
        <v>0</v>
      </c>
      <c r="DX426" s="21">
        <v>0</v>
      </c>
      <c r="DY426" s="21">
        <v>0</v>
      </c>
      <c r="DZ426" s="21">
        <v>0</v>
      </c>
      <c r="EA426" s="21">
        <v>0</v>
      </c>
      <c r="EB426" s="21">
        <v>0</v>
      </c>
      <c r="EC426" s="21">
        <v>0</v>
      </c>
      <c r="ED426" s="21">
        <v>0</v>
      </c>
      <c r="EE426" s="21">
        <v>0</v>
      </c>
      <c r="EF426" s="21">
        <v>0</v>
      </c>
    </row>
    <row r="427" spans="1:136" ht="14.5" x14ac:dyDescent="0.35">
      <c r="A427" s="20" t="s">
        <v>12</v>
      </c>
      <c r="B427" s="20" t="s">
        <v>18</v>
      </c>
      <c r="C427" s="20" t="s">
        <v>18</v>
      </c>
      <c r="D427" s="20" t="s">
        <v>337</v>
      </c>
      <c r="E427" s="20" t="s">
        <v>16</v>
      </c>
      <c r="F427" s="20" t="s">
        <v>103</v>
      </c>
      <c r="G427" s="21">
        <v>65.5</v>
      </c>
      <c r="H427" s="21">
        <v>284.5</v>
      </c>
      <c r="I427" s="21">
        <v>23.5</v>
      </c>
      <c r="J427" s="21">
        <v>261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0</v>
      </c>
      <c r="U427" s="21">
        <v>0</v>
      </c>
      <c r="V427" s="21">
        <v>0</v>
      </c>
      <c r="W427" s="21">
        <v>0</v>
      </c>
      <c r="X427" s="21">
        <v>0</v>
      </c>
      <c r="Y427" s="21">
        <v>0</v>
      </c>
      <c r="Z427" s="21">
        <v>0</v>
      </c>
      <c r="AA427" s="21">
        <v>0</v>
      </c>
      <c r="AB427" s="21">
        <v>0</v>
      </c>
      <c r="AC427" s="21">
        <v>3</v>
      </c>
      <c r="AD427" s="21">
        <v>4.5</v>
      </c>
      <c r="AE427" s="21">
        <v>0</v>
      </c>
      <c r="AF427" s="21">
        <v>10</v>
      </c>
      <c r="AG427" s="21">
        <v>2</v>
      </c>
      <c r="AH427" s="21">
        <v>2</v>
      </c>
      <c r="AI427" s="21">
        <v>2</v>
      </c>
      <c r="AJ427" s="21">
        <v>0</v>
      </c>
      <c r="AK427" s="21">
        <v>0</v>
      </c>
      <c r="AL427" s="21">
        <v>0</v>
      </c>
      <c r="AM427" s="21">
        <v>0</v>
      </c>
      <c r="AN427" s="21">
        <v>0</v>
      </c>
      <c r="AO427" s="21">
        <v>0</v>
      </c>
      <c r="AP427" s="21">
        <v>0</v>
      </c>
      <c r="AQ427" s="21">
        <v>0</v>
      </c>
      <c r="AR427" s="21">
        <v>0</v>
      </c>
      <c r="AS427" s="21">
        <v>0</v>
      </c>
      <c r="AT427" s="21">
        <v>0</v>
      </c>
      <c r="AU427" s="21">
        <v>0</v>
      </c>
      <c r="AV427" s="21">
        <v>0</v>
      </c>
      <c r="AW427" s="21">
        <v>0</v>
      </c>
      <c r="AX427" s="21">
        <v>0</v>
      </c>
      <c r="AY427" s="21">
        <v>0</v>
      </c>
      <c r="AZ427" s="21">
        <v>0</v>
      </c>
      <c r="BA427" s="21">
        <v>0</v>
      </c>
      <c r="BB427" s="21">
        <v>0</v>
      </c>
      <c r="BC427" s="21">
        <v>0</v>
      </c>
      <c r="BD427" s="21">
        <v>0</v>
      </c>
      <c r="BE427" s="21">
        <v>0</v>
      </c>
      <c r="BF427" s="21">
        <v>0</v>
      </c>
      <c r="BG427" s="21">
        <v>0</v>
      </c>
      <c r="BH427" s="21">
        <v>0</v>
      </c>
      <c r="BI427" s="21">
        <v>0</v>
      </c>
      <c r="BJ427" s="21">
        <v>0</v>
      </c>
      <c r="BK427" s="21">
        <v>0</v>
      </c>
      <c r="BL427" s="21">
        <v>0</v>
      </c>
      <c r="BM427" s="21">
        <v>0</v>
      </c>
      <c r="BN427" s="21">
        <v>0</v>
      </c>
      <c r="BO427" s="21">
        <v>0</v>
      </c>
      <c r="BP427" s="21">
        <v>0</v>
      </c>
      <c r="BQ427" s="21">
        <v>0</v>
      </c>
      <c r="BR427" s="21">
        <v>0</v>
      </c>
      <c r="BS427" s="21">
        <v>0</v>
      </c>
      <c r="BT427" s="21">
        <v>0</v>
      </c>
      <c r="BU427" s="21">
        <v>0</v>
      </c>
      <c r="BV427" s="21">
        <v>0</v>
      </c>
      <c r="BW427" s="21">
        <v>0</v>
      </c>
      <c r="BX427" s="21">
        <v>0</v>
      </c>
      <c r="BY427" s="21">
        <v>0</v>
      </c>
      <c r="BZ427" s="21">
        <v>0</v>
      </c>
      <c r="CA427" s="21">
        <v>0</v>
      </c>
      <c r="CB427" s="21">
        <v>0</v>
      </c>
      <c r="CC427" s="21">
        <v>0</v>
      </c>
      <c r="CD427" s="21">
        <v>0</v>
      </c>
      <c r="CE427" s="21">
        <v>0</v>
      </c>
      <c r="CF427" s="21">
        <v>0</v>
      </c>
      <c r="CG427" s="21">
        <v>0</v>
      </c>
      <c r="CH427" s="21">
        <v>0</v>
      </c>
      <c r="CI427" s="21">
        <v>0</v>
      </c>
      <c r="CJ427" s="21">
        <v>0</v>
      </c>
      <c r="CK427" s="21">
        <v>0</v>
      </c>
      <c r="CL427" s="21">
        <v>0</v>
      </c>
      <c r="CM427" s="21">
        <v>0</v>
      </c>
      <c r="CN427" s="21">
        <v>0</v>
      </c>
      <c r="CO427" s="21">
        <v>0</v>
      </c>
      <c r="CP427" s="21">
        <v>0</v>
      </c>
      <c r="CQ427" s="21">
        <v>0</v>
      </c>
      <c r="CR427" s="21">
        <v>0</v>
      </c>
      <c r="CS427" s="21">
        <v>0</v>
      </c>
      <c r="CT427" s="21">
        <v>0</v>
      </c>
      <c r="CU427" s="21">
        <v>0</v>
      </c>
      <c r="CV427" s="21">
        <v>0</v>
      </c>
      <c r="CW427" s="21">
        <v>0</v>
      </c>
      <c r="CX427" s="21">
        <v>0</v>
      </c>
      <c r="CY427" s="21">
        <v>0</v>
      </c>
      <c r="CZ427" s="21">
        <v>0</v>
      </c>
      <c r="DA427" s="21">
        <v>0</v>
      </c>
      <c r="DB427" s="21">
        <v>0</v>
      </c>
      <c r="DC427" s="21">
        <v>0</v>
      </c>
      <c r="DD427" s="21">
        <v>0</v>
      </c>
      <c r="DE427" s="21">
        <v>0</v>
      </c>
      <c r="DF427" s="21">
        <v>0</v>
      </c>
      <c r="DG427" s="21">
        <v>0</v>
      </c>
      <c r="DH427" s="21">
        <v>0</v>
      </c>
      <c r="DI427" s="21">
        <v>0</v>
      </c>
      <c r="DJ427" s="21">
        <v>0</v>
      </c>
      <c r="DK427" s="21">
        <v>0</v>
      </c>
      <c r="DL427" s="21">
        <v>0</v>
      </c>
      <c r="DM427" s="21">
        <v>0</v>
      </c>
      <c r="DN427" s="21">
        <v>0</v>
      </c>
      <c r="DO427" s="21">
        <v>0</v>
      </c>
      <c r="DP427" s="21">
        <v>0</v>
      </c>
      <c r="DQ427" s="21">
        <v>0</v>
      </c>
      <c r="DR427" s="21">
        <v>0</v>
      </c>
      <c r="DS427" s="21">
        <v>0</v>
      </c>
      <c r="DT427" s="21">
        <v>0</v>
      </c>
      <c r="DU427" s="21">
        <v>0</v>
      </c>
      <c r="DV427" s="21">
        <v>0</v>
      </c>
      <c r="DW427" s="21">
        <v>0</v>
      </c>
      <c r="DX427" s="21">
        <v>0</v>
      </c>
      <c r="DY427" s="21">
        <v>0</v>
      </c>
      <c r="DZ427" s="21">
        <v>0</v>
      </c>
      <c r="EA427" s="21">
        <v>0</v>
      </c>
      <c r="EB427" s="21">
        <v>0</v>
      </c>
      <c r="EC427" s="21">
        <v>0</v>
      </c>
      <c r="ED427" s="21">
        <v>0</v>
      </c>
      <c r="EE427" s="21">
        <v>0</v>
      </c>
      <c r="EF427" s="21">
        <v>0</v>
      </c>
    </row>
    <row r="428" spans="1:136" ht="14.5" x14ac:dyDescent="0.35">
      <c r="A428" s="20" t="s">
        <v>12</v>
      </c>
      <c r="B428" s="20" t="s">
        <v>18</v>
      </c>
      <c r="C428" s="20" t="s">
        <v>18</v>
      </c>
      <c r="D428" s="20" t="s">
        <v>337</v>
      </c>
      <c r="E428" s="20" t="s">
        <v>16</v>
      </c>
      <c r="F428" s="20" t="s">
        <v>90</v>
      </c>
      <c r="G428" s="21">
        <v>0</v>
      </c>
      <c r="H428" s="21">
        <v>0</v>
      </c>
      <c r="I428" s="21">
        <v>10</v>
      </c>
      <c r="J428" s="21">
        <v>-10</v>
      </c>
      <c r="K428" s="21">
        <v>0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0</v>
      </c>
      <c r="T428" s="21">
        <v>0</v>
      </c>
      <c r="U428" s="21">
        <v>0</v>
      </c>
      <c r="V428" s="21">
        <v>0</v>
      </c>
      <c r="W428" s="21">
        <v>0</v>
      </c>
      <c r="X428" s="21">
        <v>0</v>
      </c>
      <c r="Y428" s="21">
        <v>3</v>
      </c>
      <c r="Z428" s="21">
        <v>0.5</v>
      </c>
      <c r="AA428" s="21">
        <v>6.5</v>
      </c>
      <c r="AB428" s="21">
        <v>0</v>
      </c>
      <c r="AC428" s="21">
        <v>0</v>
      </c>
      <c r="AD428" s="21">
        <v>0</v>
      </c>
      <c r="AE428" s="21">
        <v>0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0</v>
      </c>
      <c r="AN428" s="21">
        <v>0</v>
      </c>
      <c r="AO428" s="21">
        <v>0</v>
      </c>
      <c r="AP428" s="21">
        <v>0</v>
      </c>
      <c r="AQ428" s="21">
        <v>0</v>
      </c>
      <c r="AR428" s="21">
        <v>0</v>
      </c>
      <c r="AS428" s="21">
        <v>0</v>
      </c>
      <c r="AT428" s="21">
        <v>0</v>
      </c>
      <c r="AU428" s="21">
        <v>0</v>
      </c>
      <c r="AV428" s="21">
        <v>0</v>
      </c>
      <c r="AW428" s="21">
        <v>0</v>
      </c>
      <c r="AX428" s="21">
        <v>0</v>
      </c>
      <c r="AY428" s="21">
        <v>0</v>
      </c>
      <c r="AZ428" s="21">
        <v>0</v>
      </c>
      <c r="BA428" s="21">
        <v>0</v>
      </c>
      <c r="BB428" s="21">
        <v>0</v>
      </c>
      <c r="BC428" s="21">
        <v>0</v>
      </c>
      <c r="BD428" s="21">
        <v>0</v>
      </c>
      <c r="BE428" s="21">
        <v>0</v>
      </c>
      <c r="BF428" s="21">
        <v>0</v>
      </c>
      <c r="BG428" s="21">
        <v>0</v>
      </c>
      <c r="BH428" s="21">
        <v>0</v>
      </c>
      <c r="BI428" s="21">
        <v>0</v>
      </c>
      <c r="BJ428" s="21">
        <v>0</v>
      </c>
      <c r="BK428" s="21">
        <v>0</v>
      </c>
      <c r="BL428" s="21">
        <v>0</v>
      </c>
      <c r="BM428" s="21">
        <v>0</v>
      </c>
      <c r="BN428" s="21">
        <v>0</v>
      </c>
      <c r="BO428" s="21">
        <v>0</v>
      </c>
      <c r="BP428" s="21">
        <v>0</v>
      </c>
      <c r="BQ428" s="21">
        <v>0</v>
      </c>
      <c r="BR428" s="21">
        <v>0</v>
      </c>
      <c r="BS428" s="21">
        <v>0</v>
      </c>
      <c r="BT428" s="21">
        <v>0</v>
      </c>
      <c r="BU428" s="21">
        <v>0</v>
      </c>
      <c r="BV428" s="21">
        <v>0</v>
      </c>
      <c r="BW428" s="21">
        <v>0</v>
      </c>
      <c r="BX428" s="21">
        <v>0</v>
      </c>
      <c r="BY428" s="21">
        <v>0</v>
      </c>
      <c r="BZ428" s="21">
        <v>0</v>
      </c>
      <c r="CA428" s="21">
        <v>0</v>
      </c>
      <c r="CB428" s="21">
        <v>0</v>
      </c>
      <c r="CC428" s="21">
        <v>0</v>
      </c>
      <c r="CD428" s="21">
        <v>0</v>
      </c>
      <c r="CE428" s="21">
        <v>0</v>
      </c>
      <c r="CF428" s="21">
        <v>0</v>
      </c>
      <c r="CG428" s="21">
        <v>0</v>
      </c>
      <c r="CH428" s="21">
        <v>0</v>
      </c>
      <c r="CI428" s="21">
        <v>0</v>
      </c>
      <c r="CJ428" s="21">
        <v>0</v>
      </c>
      <c r="CK428" s="21">
        <v>0</v>
      </c>
      <c r="CL428" s="21">
        <v>0</v>
      </c>
      <c r="CM428" s="21">
        <v>0</v>
      </c>
      <c r="CN428" s="21">
        <v>0</v>
      </c>
      <c r="CO428" s="21">
        <v>0</v>
      </c>
      <c r="CP428" s="21">
        <v>0</v>
      </c>
      <c r="CQ428" s="21">
        <v>0</v>
      </c>
      <c r="CR428" s="21">
        <v>0</v>
      </c>
      <c r="CS428" s="21">
        <v>0</v>
      </c>
      <c r="CT428" s="21">
        <v>0</v>
      </c>
      <c r="CU428" s="21">
        <v>0</v>
      </c>
      <c r="CV428" s="21">
        <v>0</v>
      </c>
      <c r="CW428" s="21">
        <v>0</v>
      </c>
      <c r="CX428" s="21">
        <v>0</v>
      </c>
      <c r="CY428" s="21">
        <v>0</v>
      </c>
      <c r="CZ428" s="21">
        <v>0</v>
      </c>
      <c r="DA428" s="21">
        <v>0</v>
      </c>
      <c r="DB428" s="21">
        <v>0</v>
      </c>
      <c r="DC428" s="21">
        <v>0</v>
      </c>
      <c r="DD428" s="21">
        <v>0</v>
      </c>
      <c r="DE428" s="21">
        <v>0</v>
      </c>
      <c r="DF428" s="21">
        <v>0</v>
      </c>
      <c r="DG428" s="21">
        <v>0</v>
      </c>
      <c r="DH428" s="21">
        <v>0</v>
      </c>
      <c r="DI428" s="21">
        <v>0</v>
      </c>
      <c r="DJ428" s="21">
        <v>0</v>
      </c>
      <c r="DK428" s="21">
        <v>0</v>
      </c>
      <c r="DL428" s="21">
        <v>0</v>
      </c>
      <c r="DM428" s="21">
        <v>0</v>
      </c>
      <c r="DN428" s="21">
        <v>0</v>
      </c>
      <c r="DO428" s="21">
        <v>0</v>
      </c>
      <c r="DP428" s="21">
        <v>0</v>
      </c>
      <c r="DQ428" s="21">
        <v>0</v>
      </c>
      <c r="DR428" s="21">
        <v>0</v>
      </c>
      <c r="DS428" s="21">
        <v>0</v>
      </c>
      <c r="DT428" s="21">
        <v>0</v>
      </c>
      <c r="DU428" s="21">
        <v>0</v>
      </c>
      <c r="DV428" s="21">
        <v>0</v>
      </c>
      <c r="DW428" s="21">
        <v>0</v>
      </c>
      <c r="DX428" s="21">
        <v>0</v>
      </c>
      <c r="DY428" s="21">
        <v>0</v>
      </c>
      <c r="DZ428" s="21">
        <v>0</v>
      </c>
      <c r="EA428" s="21">
        <v>0</v>
      </c>
      <c r="EB428" s="21">
        <v>0</v>
      </c>
      <c r="EC428" s="21">
        <v>0</v>
      </c>
      <c r="ED428" s="21">
        <v>0</v>
      </c>
      <c r="EE428" s="21">
        <v>0</v>
      </c>
      <c r="EF428" s="21">
        <v>0</v>
      </c>
    </row>
    <row r="429" spans="1:136" ht="14.5" x14ac:dyDescent="0.35">
      <c r="A429" s="20" t="s">
        <v>12</v>
      </c>
      <c r="B429" s="20" t="s">
        <v>18</v>
      </c>
      <c r="C429" s="20" t="s">
        <v>18</v>
      </c>
      <c r="D429" s="20" t="s">
        <v>338</v>
      </c>
      <c r="E429" s="20" t="s">
        <v>16</v>
      </c>
      <c r="F429" s="20" t="s">
        <v>98</v>
      </c>
      <c r="G429" s="21">
        <v>0</v>
      </c>
      <c r="H429" s="21">
        <v>0</v>
      </c>
      <c r="I429" s="21">
        <v>63</v>
      </c>
      <c r="J429" s="21">
        <v>-63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21">
        <v>0</v>
      </c>
      <c r="W429" s="21">
        <v>0</v>
      </c>
      <c r="X429" s="21">
        <v>0</v>
      </c>
      <c r="Y429" s="21">
        <v>0</v>
      </c>
      <c r="Z429" s="21">
        <v>0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0</v>
      </c>
      <c r="AN429" s="21">
        <v>3</v>
      </c>
      <c r="AO429" s="21">
        <v>1</v>
      </c>
      <c r="AP429" s="21">
        <v>0</v>
      </c>
      <c r="AQ429" s="21">
        <v>0</v>
      </c>
      <c r="AR429" s="21">
        <v>0</v>
      </c>
      <c r="AS429" s="21">
        <v>0</v>
      </c>
      <c r="AT429" s="21">
        <v>0</v>
      </c>
      <c r="AU429" s="21">
        <v>0</v>
      </c>
      <c r="AV429" s="21">
        <v>0</v>
      </c>
      <c r="AW429" s="21">
        <v>0</v>
      </c>
      <c r="AX429" s="21">
        <v>0</v>
      </c>
      <c r="AY429" s="21">
        <v>0</v>
      </c>
      <c r="AZ429" s="21">
        <v>0</v>
      </c>
      <c r="BA429" s="21">
        <v>0</v>
      </c>
      <c r="BB429" s="21">
        <v>0</v>
      </c>
      <c r="BC429" s="21">
        <v>0</v>
      </c>
      <c r="BD429" s="21">
        <v>0</v>
      </c>
      <c r="BE429" s="21">
        <v>0</v>
      </c>
      <c r="BF429" s="21">
        <v>0</v>
      </c>
      <c r="BG429" s="21">
        <v>0</v>
      </c>
      <c r="BH429" s="21">
        <v>0</v>
      </c>
      <c r="BI429" s="21">
        <v>0</v>
      </c>
      <c r="BJ429" s="21">
        <v>0</v>
      </c>
      <c r="BK429" s="21">
        <v>0</v>
      </c>
      <c r="BL429" s="21">
        <v>0</v>
      </c>
      <c r="BM429" s="21">
        <v>0</v>
      </c>
      <c r="BN429" s="21">
        <v>0</v>
      </c>
      <c r="BO429" s="21">
        <v>0</v>
      </c>
      <c r="BP429" s="21">
        <v>0</v>
      </c>
      <c r="BQ429" s="21">
        <v>0</v>
      </c>
      <c r="BR429" s="21">
        <v>0</v>
      </c>
      <c r="BS429" s="21">
        <v>0</v>
      </c>
      <c r="BT429" s="21">
        <v>0</v>
      </c>
      <c r="BU429" s="21">
        <v>0</v>
      </c>
      <c r="BV429" s="21">
        <v>0</v>
      </c>
      <c r="BW429" s="21">
        <v>0</v>
      </c>
      <c r="BX429" s="21">
        <v>0</v>
      </c>
      <c r="BY429" s="21">
        <v>0</v>
      </c>
      <c r="BZ429" s="21">
        <v>0</v>
      </c>
      <c r="CA429" s="21">
        <v>0</v>
      </c>
      <c r="CB429" s="21">
        <v>0</v>
      </c>
      <c r="CC429" s="21">
        <v>0</v>
      </c>
      <c r="CD429" s="21">
        <v>0</v>
      </c>
      <c r="CE429" s="21">
        <v>0</v>
      </c>
      <c r="CF429" s="21">
        <v>0</v>
      </c>
      <c r="CG429" s="21">
        <v>0</v>
      </c>
      <c r="CH429" s="21">
        <v>0</v>
      </c>
      <c r="CI429" s="21">
        <v>0</v>
      </c>
      <c r="CJ429" s="21">
        <v>0</v>
      </c>
      <c r="CK429" s="21">
        <v>0</v>
      </c>
      <c r="CL429" s="21">
        <v>0</v>
      </c>
      <c r="CM429" s="21">
        <v>0</v>
      </c>
      <c r="CN429" s="21">
        <v>0</v>
      </c>
      <c r="CO429" s="21">
        <v>0</v>
      </c>
      <c r="CP429" s="21">
        <v>0</v>
      </c>
      <c r="CQ429" s="21">
        <v>0</v>
      </c>
      <c r="CR429" s="21">
        <v>0</v>
      </c>
      <c r="CS429" s="21">
        <v>0</v>
      </c>
      <c r="CT429" s="21">
        <v>0</v>
      </c>
      <c r="CU429" s="21">
        <v>0</v>
      </c>
      <c r="CV429" s="21">
        <v>0</v>
      </c>
      <c r="CW429" s="21">
        <v>0</v>
      </c>
      <c r="CX429" s="21">
        <v>0</v>
      </c>
      <c r="CY429" s="21">
        <v>2</v>
      </c>
      <c r="CZ429" s="21">
        <v>2</v>
      </c>
      <c r="DA429" s="21">
        <v>0</v>
      </c>
      <c r="DB429" s="21">
        <v>0</v>
      </c>
      <c r="DC429" s="21">
        <v>0</v>
      </c>
      <c r="DD429" s="21">
        <v>0</v>
      </c>
      <c r="DE429" s="21">
        <v>0</v>
      </c>
      <c r="DF429" s="21">
        <v>0</v>
      </c>
      <c r="DG429" s="21">
        <v>0</v>
      </c>
      <c r="DH429" s="21">
        <v>6</v>
      </c>
      <c r="DI429" s="21">
        <v>0</v>
      </c>
      <c r="DJ429" s="21">
        <v>0</v>
      </c>
      <c r="DK429" s="21">
        <v>1</v>
      </c>
      <c r="DL429" s="21">
        <v>3</v>
      </c>
      <c r="DM429" s="21">
        <v>5</v>
      </c>
      <c r="DN429" s="21">
        <v>5</v>
      </c>
      <c r="DO429" s="21">
        <v>5</v>
      </c>
      <c r="DP429" s="21">
        <v>10</v>
      </c>
      <c r="DQ429" s="21">
        <v>10</v>
      </c>
      <c r="DR429" s="21">
        <v>10</v>
      </c>
      <c r="DS429" s="21">
        <v>0</v>
      </c>
      <c r="DT429" s="21">
        <v>0</v>
      </c>
      <c r="DU429" s="21">
        <v>0</v>
      </c>
      <c r="DV429" s="21">
        <v>0</v>
      </c>
      <c r="DW429" s="21">
        <v>0</v>
      </c>
      <c r="DX429" s="21">
        <v>0</v>
      </c>
      <c r="DY429" s="21">
        <v>0</v>
      </c>
      <c r="DZ429" s="21">
        <v>0</v>
      </c>
      <c r="EA429" s="21">
        <v>0</v>
      </c>
      <c r="EB429" s="21">
        <v>0</v>
      </c>
      <c r="EC429" s="21">
        <v>0</v>
      </c>
      <c r="ED429" s="21">
        <v>0</v>
      </c>
      <c r="EE429" s="21">
        <v>0</v>
      </c>
      <c r="EF429" s="21">
        <v>0</v>
      </c>
    </row>
    <row r="430" spans="1:136" ht="14.5" x14ac:dyDescent="0.35">
      <c r="A430" s="20" t="s">
        <v>12</v>
      </c>
      <c r="B430" s="20" t="s">
        <v>18</v>
      </c>
      <c r="C430" s="20" t="s">
        <v>18</v>
      </c>
      <c r="D430" s="20" t="s">
        <v>337</v>
      </c>
      <c r="E430" s="20" t="s">
        <v>16</v>
      </c>
      <c r="F430" s="20" t="s">
        <v>98</v>
      </c>
      <c r="G430" s="21">
        <v>39</v>
      </c>
      <c r="H430" s="21">
        <v>98</v>
      </c>
      <c r="I430" s="21">
        <v>1</v>
      </c>
      <c r="J430" s="21">
        <v>97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21">
        <v>0</v>
      </c>
      <c r="W430" s="21">
        <v>0</v>
      </c>
      <c r="X430" s="21">
        <v>0</v>
      </c>
      <c r="Y430" s="21">
        <v>0</v>
      </c>
      <c r="Z430" s="21">
        <v>0</v>
      </c>
      <c r="AA430" s="21">
        <v>0</v>
      </c>
      <c r="AB430" s="21">
        <v>0</v>
      </c>
      <c r="AC430" s="21">
        <v>0</v>
      </c>
      <c r="AD430" s="21">
        <v>0</v>
      </c>
      <c r="AE430" s="21">
        <v>0</v>
      </c>
      <c r="AF430" s="21">
        <v>1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21">
        <v>0</v>
      </c>
      <c r="AO430" s="21">
        <v>0</v>
      </c>
      <c r="AP430" s="21">
        <v>0</v>
      </c>
      <c r="AQ430" s="21">
        <v>0</v>
      </c>
      <c r="AR430" s="21">
        <v>0</v>
      </c>
      <c r="AS430" s="21">
        <v>0</v>
      </c>
      <c r="AT430" s="21">
        <v>0</v>
      </c>
      <c r="AU430" s="21">
        <v>0</v>
      </c>
      <c r="AV430" s="21">
        <v>0</v>
      </c>
      <c r="AW430" s="21">
        <v>0</v>
      </c>
      <c r="AX430" s="21">
        <v>0</v>
      </c>
      <c r="AY430" s="21">
        <v>0</v>
      </c>
      <c r="AZ430" s="21">
        <v>0</v>
      </c>
      <c r="BA430" s="21">
        <v>0</v>
      </c>
      <c r="BB430" s="21">
        <v>0</v>
      </c>
      <c r="BC430" s="21">
        <v>0</v>
      </c>
      <c r="BD430" s="21">
        <v>0</v>
      </c>
      <c r="BE430" s="21">
        <v>0</v>
      </c>
      <c r="BF430" s="21">
        <v>0</v>
      </c>
      <c r="BG430" s="21">
        <v>0</v>
      </c>
      <c r="BH430" s="21">
        <v>0</v>
      </c>
      <c r="BI430" s="21">
        <v>0</v>
      </c>
      <c r="BJ430" s="21">
        <v>0</v>
      </c>
      <c r="BK430" s="21">
        <v>0</v>
      </c>
      <c r="BL430" s="21">
        <v>0</v>
      </c>
      <c r="BM430" s="21">
        <v>0</v>
      </c>
      <c r="BN430" s="21">
        <v>0</v>
      </c>
      <c r="BO430" s="21">
        <v>0</v>
      </c>
      <c r="BP430" s="21">
        <v>0</v>
      </c>
      <c r="BQ430" s="21">
        <v>0</v>
      </c>
      <c r="BR430" s="21">
        <v>0</v>
      </c>
      <c r="BS430" s="21">
        <v>0</v>
      </c>
      <c r="BT430" s="21">
        <v>0</v>
      </c>
      <c r="BU430" s="21">
        <v>0</v>
      </c>
      <c r="BV430" s="21">
        <v>0</v>
      </c>
      <c r="BW430" s="21">
        <v>0</v>
      </c>
      <c r="BX430" s="21">
        <v>0</v>
      </c>
      <c r="BY430" s="21">
        <v>0</v>
      </c>
      <c r="BZ430" s="21">
        <v>0</v>
      </c>
      <c r="CA430" s="21">
        <v>0</v>
      </c>
      <c r="CB430" s="21">
        <v>0</v>
      </c>
      <c r="CC430" s="21">
        <v>0</v>
      </c>
      <c r="CD430" s="21">
        <v>0</v>
      </c>
      <c r="CE430" s="21">
        <v>0</v>
      </c>
      <c r="CF430" s="21">
        <v>0</v>
      </c>
      <c r="CG430" s="21">
        <v>0</v>
      </c>
      <c r="CH430" s="21">
        <v>0</v>
      </c>
      <c r="CI430" s="21">
        <v>0</v>
      </c>
      <c r="CJ430" s="21">
        <v>0</v>
      </c>
      <c r="CK430" s="21">
        <v>0</v>
      </c>
      <c r="CL430" s="21">
        <v>0</v>
      </c>
      <c r="CM430" s="21">
        <v>0</v>
      </c>
      <c r="CN430" s="21">
        <v>0</v>
      </c>
      <c r="CO430" s="21">
        <v>0</v>
      </c>
      <c r="CP430" s="21">
        <v>0</v>
      </c>
      <c r="CQ430" s="21">
        <v>0</v>
      </c>
      <c r="CR430" s="21">
        <v>0</v>
      </c>
      <c r="CS430" s="21">
        <v>0</v>
      </c>
      <c r="CT430" s="21">
        <v>0</v>
      </c>
      <c r="CU430" s="21">
        <v>0</v>
      </c>
      <c r="CV430" s="21">
        <v>0</v>
      </c>
      <c r="CW430" s="21">
        <v>0</v>
      </c>
      <c r="CX430" s="21">
        <v>0</v>
      </c>
      <c r="CY430" s="21">
        <v>0</v>
      </c>
      <c r="CZ430" s="21">
        <v>0</v>
      </c>
      <c r="DA430" s="21">
        <v>0</v>
      </c>
      <c r="DB430" s="21">
        <v>0</v>
      </c>
      <c r="DC430" s="21">
        <v>0</v>
      </c>
      <c r="DD430" s="21">
        <v>0</v>
      </c>
      <c r="DE430" s="21">
        <v>0</v>
      </c>
      <c r="DF430" s="21">
        <v>0</v>
      </c>
      <c r="DG430" s="21">
        <v>0</v>
      </c>
      <c r="DH430" s="21">
        <v>0</v>
      </c>
      <c r="DI430" s="21">
        <v>0</v>
      </c>
      <c r="DJ430" s="21">
        <v>0</v>
      </c>
      <c r="DK430" s="21">
        <v>0</v>
      </c>
      <c r="DL430" s="21">
        <v>0</v>
      </c>
      <c r="DM430" s="21">
        <v>0</v>
      </c>
      <c r="DN430" s="21">
        <v>0</v>
      </c>
      <c r="DO430" s="21">
        <v>0</v>
      </c>
      <c r="DP430" s="21">
        <v>0</v>
      </c>
      <c r="DQ430" s="21">
        <v>0</v>
      </c>
      <c r="DR430" s="21">
        <v>0</v>
      </c>
      <c r="DS430" s="21">
        <v>0</v>
      </c>
      <c r="DT430" s="21">
        <v>0</v>
      </c>
      <c r="DU430" s="21">
        <v>0</v>
      </c>
      <c r="DV430" s="21">
        <v>0</v>
      </c>
      <c r="DW430" s="21">
        <v>0</v>
      </c>
      <c r="DX430" s="21">
        <v>0</v>
      </c>
      <c r="DY430" s="21">
        <v>0</v>
      </c>
      <c r="DZ430" s="21">
        <v>0</v>
      </c>
      <c r="EA430" s="21">
        <v>0</v>
      </c>
      <c r="EB430" s="21">
        <v>0</v>
      </c>
      <c r="EC430" s="21">
        <v>0</v>
      </c>
      <c r="ED430" s="21">
        <v>0</v>
      </c>
      <c r="EE430" s="21">
        <v>0</v>
      </c>
      <c r="EF430" s="21">
        <v>0</v>
      </c>
    </row>
    <row r="431" spans="1:136" ht="14.5" x14ac:dyDescent="0.35">
      <c r="A431" s="20" t="s">
        <v>12</v>
      </c>
      <c r="B431" s="20" t="s">
        <v>18</v>
      </c>
      <c r="C431" s="20" t="s">
        <v>18</v>
      </c>
      <c r="D431" s="20" t="s">
        <v>338</v>
      </c>
      <c r="E431" s="20" t="s">
        <v>16</v>
      </c>
      <c r="F431" s="20" t="s">
        <v>91</v>
      </c>
      <c r="G431" s="21">
        <v>0</v>
      </c>
      <c r="H431" s="21">
        <v>0</v>
      </c>
      <c r="I431" s="21">
        <v>13</v>
      </c>
      <c r="J431" s="21">
        <v>-13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>
        <v>0</v>
      </c>
      <c r="T431" s="21">
        <v>0</v>
      </c>
      <c r="U431" s="21">
        <v>0</v>
      </c>
      <c r="V431" s="21">
        <v>0</v>
      </c>
      <c r="W431" s="21">
        <v>0</v>
      </c>
      <c r="X431" s="21">
        <v>0</v>
      </c>
      <c r="Y431" s="21">
        <v>0</v>
      </c>
      <c r="Z431" s="21">
        <v>0</v>
      </c>
      <c r="AA431" s="21">
        <v>0</v>
      </c>
      <c r="AB431" s="21">
        <v>0</v>
      </c>
      <c r="AC431" s="21">
        <v>0</v>
      </c>
      <c r="AD431" s="21">
        <v>0</v>
      </c>
      <c r="AE431" s="21">
        <v>0</v>
      </c>
      <c r="AF431" s="21">
        <v>0</v>
      </c>
      <c r="AG431" s="21">
        <v>0</v>
      </c>
      <c r="AH431" s="21">
        <v>0</v>
      </c>
      <c r="AI431" s="21">
        <v>0</v>
      </c>
      <c r="AJ431" s="21">
        <v>0</v>
      </c>
      <c r="AK431" s="21">
        <v>0</v>
      </c>
      <c r="AL431" s="21">
        <v>2</v>
      </c>
      <c r="AM431" s="21">
        <v>0</v>
      </c>
      <c r="AN431" s="21">
        <v>9</v>
      </c>
      <c r="AO431" s="21">
        <v>2</v>
      </c>
      <c r="AP431" s="21">
        <v>0</v>
      </c>
      <c r="AQ431" s="21">
        <v>0</v>
      </c>
      <c r="AR431" s="21">
        <v>0</v>
      </c>
      <c r="AS431" s="21">
        <v>0</v>
      </c>
      <c r="AT431" s="21">
        <v>0</v>
      </c>
      <c r="AU431" s="21">
        <v>0</v>
      </c>
      <c r="AV431" s="21">
        <v>0</v>
      </c>
      <c r="AW431" s="21">
        <v>0</v>
      </c>
      <c r="AX431" s="21">
        <v>0</v>
      </c>
      <c r="AY431" s="21">
        <v>0</v>
      </c>
      <c r="AZ431" s="21">
        <v>0</v>
      </c>
      <c r="BA431" s="21">
        <v>0</v>
      </c>
      <c r="BB431" s="21">
        <v>0</v>
      </c>
      <c r="BC431" s="21">
        <v>0</v>
      </c>
      <c r="BD431" s="21">
        <v>0</v>
      </c>
      <c r="BE431" s="21">
        <v>0</v>
      </c>
      <c r="BF431" s="21">
        <v>0</v>
      </c>
      <c r="BG431" s="21">
        <v>0</v>
      </c>
      <c r="BH431" s="21">
        <v>0</v>
      </c>
      <c r="BI431" s="21">
        <v>0</v>
      </c>
      <c r="BJ431" s="21">
        <v>0</v>
      </c>
      <c r="BK431" s="21">
        <v>0</v>
      </c>
      <c r="BL431" s="21">
        <v>0</v>
      </c>
      <c r="BM431" s="21">
        <v>0</v>
      </c>
      <c r="BN431" s="21">
        <v>0</v>
      </c>
      <c r="BO431" s="21">
        <v>0</v>
      </c>
      <c r="BP431" s="21">
        <v>0</v>
      </c>
      <c r="BQ431" s="21">
        <v>0</v>
      </c>
      <c r="BR431" s="21">
        <v>0</v>
      </c>
      <c r="BS431" s="21">
        <v>0</v>
      </c>
      <c r="BT431" s="21">
        <v>0</v>
      </c>
      <c r="BU431" s="21">
        <v>0</v>
      </c>
      <c r="BV431" s="21">
        <v>0</v>
      </c>
      <c r="BW431" s="21">
        <v>0</v>
      </c>
      <c r="BX431" s="21">
        <v>0</v>
      </c>
      <c r="BY431" s="21">
        <v>0</v>
      </c>
      <c r="BZ431" s="21">
        <v>0</v>
      </c>
      <c r="CA431" s="21">
        <v>0</v>
      </c>
      <c r="CB431" s="21">
        <v>0</v>
      </c>
      <c r="CC431" s="21">
        <v>0</v>
      </c>
      <c r="CD431" s="21">
        <v>0</v>
      </c>
      <c r="CE431" s="21">
        <v>0</v>
      </c>
      <c r="CF431" s="21">
        <v>0</v>
      </c>
      <c r="CG431" s="21">
        <v>0</v>
      </c>
      <c r="CH431" s="21">
        <v>0</v>
      </c>
      <c r="CI431" s="21">
        <v>0</v>
      </c>
      <c r="CJ431" s="21">
        <v>0</v>
      </c>
      <c r="CK431" s="21">
        <v>0</v>
      </c>
      <c r="CL431" s="21">
        <v>0</v>
      </c>
      <c r="CM431" s="21">
        <v>0</v>
      </c>
      <c r="CN431" s="21">
        <v>0</v>
      </c>
      <c r="CO431" s="21">
        <v>0</v>
      </c>
      <c r="CP431" s="21">
        <v>0</v>
      </c>
      <c r="CQ431" s="21">
        <v>0</v>
      </c>
      <c r="CR431" s="21">
        <v>0</v>
      </c>
      <c r="CS431" s="21">
        <v>0</v>
      </c>
      <c r="CT431" s="21">
        <v>0</v>
      </c>
      <c r="CU431" s="21">
        <v>0</v>
      </c>
      <c r="CV431" s="21">
        <v>0</v>
      </c>
      <c r="CW431" s="21">
        <v>0</v>
      </c>
      <c r="CX431" s="21">
        <v>0</v>
      </c>
      <c r="CY431" s="21">
        <v>0</v>
      </c>
      <c r="CZ431" s="21">
        <v>0</v>
      </c>
      <c r="DA431" s="21">
        <v>0</v>
      </c>
      <c r="DB431" s="21">
        <v>0</v>
      </c>
      <c r="DC431" s="21">
        <v>0</v>
      </c>
      <c r="DD431" s="21">
        <v>0</v>
      </c>
      <c r="DE431" s="21">
        <v>0</v>
      </c>
      <c r="DF431" s="21">
        <v>0</v>
      </c>
      <c r="DG431" s="21">
        <v>0</v>
      </c>
      <c r="DH431" s="21">
        <v>0</v>
      </c>
      <c r="DI431" s="21">
        <v>0</v>
      </c>
      <c r="DJ431" s="21">
        <v>0</v>
      </c>
      <c r="DK431" s="21">
        <v>0</v>
      </c>
      <c r="DL431" s="21">
        <v>0</v>
      </c>
      <c r="DM431" s="21">
        <v>0</v>
      </c>
      <c r="DN431" s="21">
        <v>0</v>
      </c>
      <c r="DO431" s="21">
        <v>0</v>
      </c>
      <c r="DP431" s="21">
        <v>0</v>
      </c>
      <c r="DQ431" s="21">
        <v>0</v>
      </c>
      <c r="DR431" s="21">
        <v>0</v>
      </c>
      <c r="DS431" s="21">
        <v>0</v>
      </c>
      <c r="DT431" s="21">
        <v>0</v>
      </c>
      <c r="DU431" s="21">
        <v>0</v>
      </c>
      <c r="DV431" s="21">
        <v>0</v>
      </c>
      <c r="DW431" s="21">
        <v>0</v>
      </c>
      <c r="DX431" s="21">
        <v>0</v>
      </c>
      <c r="DY431" s="21">
        <v>0</v>
      </c>
      <c r="DZ431" s="21">
        <v>0</v>
      </c>
      <c r="EA431" s="21">
        <v>0</v>
      </c>
      <c r="EB431" s="21">
        <v>0</v>
      </c>
      <c r="EC431" s="21">
        <v>0</v>
      </c>
      <c r="ED431" s="21">
        <v>0</v>
      </c>
      <c r="EE431" s="21">
        <v>0</v>
      </c>
      <c r="EF431" s="21">
        <v>0</v>
      </c>
    </row>
    <row r="432" spans="1:136" ht="14.5" x14ac:dyDescent="0.35">
      <c r="A432" s="20" t="s">
        <v>12</v>
      </c>
      <c r="B432" s="20" t="s">
        <v>18</v>
      </c>
      <c r="C432" s="20" t="s">
        <v>18</v>
      </c>
      <c r="D432" s="20" t="s">
        <v>337</v>
      </c>
      <c r="E432" s="20" t="s">
        <v>16</v>
      </c>
      <c r="F432" s="20" t="s">
        <v>91</v>
      </c>
      <c r="G432" s="21">
        <v>8</v>
      </c>
      <c r="H432" s="21">
        <v>8</v>
      </c>
      <c r="I432" s="21">
        <v>0</v>
      </c>
      <c r="J432" s="21">
        <v>8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>
        <v>0</v>
      </c>
      <c r="T432" s="21">
        <v>0</v>
      </c>
      <c r="U432" s="21">
        <v>0</v>
      </c>
      <c r="V432" s="21">
        <v>0</v>
      </c>
      <c r="W432" s="21">
        <v>0</v>
      </c>
      <c r="X432" s="21">
        <v>0</v>
      </c>
      <c r="Y432" s="21">
        <v>0</v>
      </c>
      <c r="Z432" s="21">
        <v>0</v>
      </c>
      <c r="AA432" s="21">
        <v>0</v>
      </c>
      <c r="AB432" s="21">
        <v>0</v>
      </c>
      <c r="AC432" s="21">
        <v>0</v>
      </c>
      <c r="AD432" s="21">
        <v>0</v>
      </c>
      <c r="AE432" s="21">
        <v>0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0</v>
      </c>
      <c r="AN432" s="21">
        <v>0</v>
      </c>
      <c r="AO432" s="21">
        <v>0</v>
      </c>
      <c r="AP432" s="21">
        <v>0</v>
      </c>
      <c r="AQ432" s="21">
        <v>0</v>
      </c>
      <c r="AR432" s="21">
        <v>0</v>
      </c>
      <c r="AS432" s="21">
        <v>0</v>
      </c>
      <c r="AT432" s="21">
        <v>0</v>
      </c>
      <c r="AU432" s="21">
        <v>0</v>
      </c>
      <c r="AV432" s="21">
        <v>0</v>
      </c>
      <c r="AW432" s="21">
        <v>0</v>
      </c>
      <c r="AX432" s="21">
        <v>0</v>
      </c>
      <c r="AY432" s="21">
        <v>0</v>
      </c>
      <c r="AZ432" s="21">
        <v>0</v>
      </c>
      <c r="BA432" s="21">
        <v>0</v>
      </c>
      <c r="BB432" s="21">
        <v>0</v>
      </c>
      <c r="BC432" s="21">
        <v>0</v>
      </c>
      <c r="BD432" s="21">
        <v>0</v>
      </c>
      <c r="BE432" s="21">
        <v>0</v>
      </c>
      <c r="BF432" s="21">
        <v>0</v>
      </c>
      <c r="BG432" s="21">
        <v>0</v>
      </c>
      <c r="BH432" s="21">
        <v>0</v>
      </c>
      <c r="BI432" s="21">
        <v>0</v>
      </c>
      <c r="BJ432" s="21">
        <v>0</v>
      </c>
      <c r="BK432" s="21">
        <v>0</v>
      </c>
      <c r="BL432" s="21">
        <v>0</v>
      </c>
      <c r="BM432" s="21">
        <v>0</v>
      </c>
      <c r="BN432" s="21">
        <v>0</v>
      </c>
      <c r="BO432" s="21">
        <v>0</v>
      </c>
      <c r="BP432" s="21">
        <v>0</v>
      </c>
      <c r="BQ432" s="21">
        <v>0</v>
      </c>
      <c r="BR432" s="21">
        <v>0</v>
      </c>
      <c r="BS432" s="21">
        <v>0</v>
      </c>
      <c r="BT432" s="21">
        <v>0</v>
      </c>
      <c r="BU432" s="21">
        <v>0</v>
      </c>
      <c r="BV432" s="21">
        <v>0</v>
      </c>
      <c r="BW432" s="21">
        <v>0</v>
      </c>
      <c r="BX432" s="21">
        <v>0</v>
      </c>
      <c r="BY432" s="21">
        <v>0</v>
      </c>
      <c r="BZ432" s="21">
        <v>0</v>
      </c>
      <c r="CA432" s="21">
        <v>0</v>
      </c>
      <c r="CB432" s="21">
        <v>0</v>
      </c>
      <c r="CC432" s="21">
        <v>0</v>
      </c>
      <c r="CD432" s="21">
        <v>0</v>
      </c>
      <c r="CE432" s="21">
        <v>0</v>
      </c>
      <c r="CF432" s="21">
        <v>0</v>
      </c>
      <c r="CG432" s="21">
        <v>0</v>
      </c>
      <c r="CH432" s="21">
        <v>0</v>
      </c>
      <c r="CI432" s="21">
        <v>0</v>
      </c>
      <c r="CJ432" s="21">
        <v>0</v>
      </c>
      <c r="CK432" s="21">
        <v>0</v>
      </c>
      <c r="CL432" s="21">
        <v>0</v>
      </c>
      <c r="CM432" s="21">
        <v>0</v>
      </c>
      <c r="CN432" s="21">
        <v>0</v>
      </c>
      <c r="CO432" s="21">
        <v>0</v>
      </c>
      <c r="CP432" s="21">
        <v>0</v>
      </c>
      <c r="CQ432" s="21">
        <v>0</v>
      </c>
      <c r="CR432" s="21">
        <v>0</v>
      </c>
      <c r="CS432" s="21">
        <v>0</v>
      </c>
      <c r="CT432" s="21">
        <v>0</v>
      </c>
      <c r="CU432" s="21">
        <v>0</v>
      </c>
      <c r="CV432" s="21">
        <v>0</v>
      </c>
      <c r="CW432" s="21">
        <v>0</v>
      </c>
      <c r="CX432" s="21">
        <v>0</v>
      </c>
      <c r="CY432" s="21">
        <v>0</v>
      </c>
      <c r="CZ432" s="21">
        <v>0</v>
      </c>
      <c r="DA432" s="21">
        <v>0</v>
      </c>
      <c r="DB432" s="21">
        <v>0</v>
      </c>
      <c r="DC432" s="21">
        <v>0</v>
      </c>
      <c r="DD432" s="21">
        <v>0</v>
      </c>
      <c r="DE432" s="21">
        <v>0</v>
      </c>
      <c r="DF432" s="21">
        <v>0</v>
      </c>
      <c r="DG432" s="21">
        <v>0</v>
      </c>
      <c r="DH432" s="21">
        <v>0</v>
      </c>
      <c r="DI432" s="21">
        <v>0</v>
      </c>
      <c r="DJ432" s="21">
        <v>0</v>
      </c>
      <c r="DK432" s="21">
        <v>0</v>
      </c>
      <c r="DL432" s="21">
        <v>0</v>
      </c>
      <c r="DM432" s="21">
        <v>0</v>
      </c>
      <c r="DN432" s="21">
        <v>0</v>
      </c>
      <c r="DO432" s="21">
        <v>0</v>
      </c>
      <c r="DP432" s="21">
        <v>0</v>
      </c>
      <c r="DQ432" s="21">
        <v>0</v>
      </c>
      <c r="DR432" s="21">
        <v>0</v>
      </c>
      <c r="DS432" s="21">
        <v>0</v>
      </c>
      <c r="DT432" s="21">
        <v>0</v>
      </c>
      <c r="DU432" s="21">
        <v>0</v>
      </c>
      <c r="DV432" s="21">
        <v>0</v>
      </c>
      <c r="DW432" s="21">
        <v>0</v>
      </c>
      <c r="DX432" s="21">
        <v>0</v>
      </c>
      <c r="DY432" s="21">
        <v>0</v>
      </c>
      <c r="DZ432" s="21">
        <v>0</v>
      </c>
      <c r="EA432" s="21">
        <v>0</v>
      </c>
      <c r="EB432" s="21">
        <v>0</v>
      </c>
      <c r="EC432" s="21">
        <v>0</v>
      </c>
      <c r="ED432" s="21">
        <v>0</v>
      </c>
      <c r="EE432" s="21">
        <v>0</v>
      </c>
      <c r="EF432" s="21">
        <v>0</v>
      </c>
    </row>
    <row r="433" spans="1:136" ht="14.5" x14ac:dyDescent="0.35">
      <c r="A433" s="20" t="s">
        <v>12</v>
      </c>
      <c r="B433" s="20" t="s">
        <v>18</v>
      </c>
      <c r="C433" s="20" t="s">
        <v>18</v>
      </c>
      <c r="D433" s="20" t="s">
        <v>338</v>
      </c>
      <c r="E433" s="20" t="s">
        <v>16</v>
      </c>
      <c r="F433" s="20" t="s">
        <v>92</v>
      </c>
      <c r="G433" s="21">
        <v>0</v>
      </c>
      <c r="H433" s="21">
        <v>0</v>
      </c>
      <c r="I433" s="21">
        <v>17</v>
      </c>
      <c r="J433" s="21">
        <v>-17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>
        <v>0</v>
      </c>
      <c r="T433" s="21">
        <v>0</v>
      </c>
      <c r="U433" s="21">
        <v>0</v>
      </c>
      <c r="V433" s="21">
        <v>0</v>
      </c>
      <c r="W433" s="21">
        <v>0</v>
      </c>
      <c r="X433" s="21">
        <v>0</v>
      </c>
      <c r="Y433" s="21">
        <v>0</v>
      </c>
      <c r="Z433" s="21">
        <v>0</v>
      </c>
      <c r="AA433" s="21">
        <v>0</v>
      </c>
      <c r="AB433" s="21">
        <v>0</v>
      </c>
      <c r="AC433" s="21">
        <v>0</v>
      </c>
      <c r="AD433" s="21">
        <v>0</v>
      </c>
      <c r="AE433" s="21">
        <v>0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0</v>
      </c>
      <c r="AL433" s="21">
        <v>0</v>
      </c>
      <c r="AM433" s="21">
        <v>0</v>
      </c>
      <c r="AN433" s="21">
        <v>0</v>
      </c>
      <c r="AO433" s="21">
        <v>0</v>
      </c>
      <c r="AP433" s="21">
        <v>0</v>
      </c>
      <c r="AQ433" s="21">
        <v>0</v>
      </c>
      <c r="AR433" s="21">
        <v>0</v>
      </c>
      <c r="AS433" s="21">
        <v>0</v>
      </c>
      <c r="AT433" s="21">
        <v>0</v>
      </c>
      <c r="AU433" s="21">
        <v>0</v>
      </c>
      <c r="AV433" s="21">
        <v>0</v>
      </c>
      <c r="AW433" s="21">
        <v>0</v>
      </c>
      <c r="AX433" s="21">
        <v>0</v>
      </c>
      <c r="AY433" s="21">
        <v>0</v>
      </c>
      <c r="AZ433" s="21">
        <v>0</v>
      </c>
      <c r="BA433" s="21">
        <v>0</v>
      </c>
      <c r="BB433" s="21">
        <v>0</v>
      </c>
      <c r="BC433" s="21">
        <v>0</v>
      </c>
      <c r="BD433" s="21">
        <v>0</v>
      </c>
      <c r="BE433" s="21">
        <v>0</v>
      </c>
      <c r="BF433" s="21">
        <v>0</v>
      </c>
      <c r="BG433" s="21">
        <v>0</v>
      </c>
      <c r="BH433" s="21">
        <v>0</v>
      </c>
      <c r="BI433" s="21">
        <v>0</v>
      </c>
      <c r="BJ433" s="21">
        <v>0</v>
      </c>
      <c r="BK433" s="21">
        <v>0</v>
      </c>
      <c r="BL433" s="21">
        <v>0</v>
      </c>
      <c r="BM433" s="21">
        <v>0</v>
      </c>
      <c r="BN433" s="21">
        <v>0</v>
      </c>
      <c r="BO433" s="21">
        <v>0</v>
      </c>
      <c r="BP433" s="21">
        <v>0</v>
      </c>
      <c r="BQ433" s="21">
        <v>0</v>
      </c>
      <c r="BR433" s="21">
        <v>0</v>
      </c>
      <c r="BS433" s="21">
        <v>0</v>
      </c>
      <c r="BT433" s="21">
        <v>0</v>
      </c>
      <c r="BU433" s="21">
        <v>0</v>
      </c>
      <c r="BV433" s="21">
        <v>0</v>
      </c>
      <c r="BW433" s="21">
        <v>0</v>
      </c>
      <c r="BX433" s="21">
        <v>0</v>
      </c>
      <c r="BY433" s="21">
        <v>0</v>
      </c>
      <c r="BZ433" s="21">
        <v>0</v>
      </c>
      <c r="CA433" s="21">
        <v>0</v>
      </c>
      <c r="CB433" s="21">
        <v>0</v>
      </c>
      <c r="CC433" s="21">
        <v>0</v>
      </c>
      <c r="CD433" s="21">
        <v>0</v>
      </c>
      <c r="CE433" s="21">
        <v>0</v>
      </c>
      <c r="CF433" s="21">
        <v>0</v>
      </c>
      <c r="CG433" s="21">
        <v>0</v>
      </c>
      <c r="CH433" s="21">
        <v>0</v>
      </c>
      <c r="CI433" s="21">
        <v>0</v>
      </c>
      <c r="CJ433" s="21">
        <v>0</v>
      </c>
      <c r="CK433" s="21">
        <v>0</v>
      </c>
      <c r="CL433" s="21">
        <v>0</v>
      </c>
      <c r="CM433" s="21">
        <v>0</v>
      </c>
      <c r="CN433" s="21">
        <v>0</v>
      </c>
      <c r="CO433" s="21">
        <v>0</v>
      </c>
      <c r="CP433" s="21">
        <v>0</v>
      </c>
      <c r="CQ433" s="21">
        <v>0</v>
      </c>
      <c r="CR433" s="21">
        <v>0</v>
      </c>
      <c r="CS433" s="21">
        <v>0</v>
      </c>
      <c r="CT433" s="21">
        <v>0</v>
      </c>
      <c r="CU433" s="21">
        <v>0</v>
      </c>
      <c r="CV433" s="21">
        <v>0</v>
      </c>
      <c r="CW433" s="21">
        <v>0</v>
      </c>
      <c r="CX433" s="21">
        <v>0</v>
      </c>
      <c r="CY433" s="21">
        <v>0</v>
      </c>
      <c r="CZ433" s="21">
        <v>7</v>
      </c>
      <c r="DA433" s="21">
        <v>10</v>
      </c>
      <c r="DB433" s="21">
        <v>0</v>
      </c>
      <c r="DC433" s="21">
        <v>0</v>
      </c>
      <c r="DD433" s="21">
        <v>0</v>
      </c>
      <c r="DE433" s="21">
        <v>0</v>
      </c>
      <c r="DF433" s="21">
        <v>0</v>
      </c>
      <c r="DG433" s="21">
        <v>0</v>
      </c>
      <c r="DH433" s="21">
        <v>0</v>
      </c>
      <c r="DI433" s="21">
        <v>0</v>
      </c>
      <c r="DJ433" s="21">
        <v>0</v>
      </c>
      <c r="DK433" s="21">
        <v>0</v>
      </c>
      <c r="DL433" s="21">
        <v>0</v>
      </c>
      <c r="DM433" s="21">
        <v>0</v>
      </c>
      <c r="DN433" s="21">
        <v>0</v>
      </c>
      <c r="DO433" s="21">
        <v>0</v>
      </c>
      <c r="DP433" s="21">
        <v>0</v>
      </c>
      <c r="DQ433" s="21">
        <v>0</v>
      </c>
      <c r="DR433" s="21">
        <v>0</v>
      </c>
      <c r="DS433" s="21">
        <v>0</v>
      </c>
      <c r="DT433" s="21">
        <v>0</v>
      </c>
      <c r="DU433" s="21">
        <v>0</v>
      </c>
      <c r="DV433" s="21">
        <v>0</v>
      </c>
      <c r="DW433" s="21">
        <v>0</v>
      </c>
      <c r="DX433" s="21">
        <v>0</v>
      </c>
      <c r="DY433" s="21">
        <v>0</v>
      </c>
      <c r="DZ433" s="21">
        <v>0</v>
      </c>
      <c r="EA433" s="21">
        <v>0</v>
      </c>
      <c r="EB433" s="21">
        <v>0</v>
      </c>
      <c r="EC433" s="21">
        <v>0</v>
      </c>
      <c r="ED433" s="21">
        <v>0</v>
      </c>
      <c r="EE433" s="21">
        <v>0</v>
      </c>
      <c r="EF433" s="21">
        <v>0</v>
      </c>
    </row>
    <row r="434" spans="1:136" ht="14.5" x14ac:dyDescent="0.35">
      <c r="A434" s="20" t="s">
        <v>12</v>
      </c>
      <c r="B434" s="20" t="s">
        <v>18</v>
      </c>
      <c r="C434" s="20" t="s">
        <v>18</v>
      </c>
      <c r="D434" s="20" t="s">
        <v>337</v>
      </c>
      <c r="E434" s="20" t="s">
        <v>16</v>
      </c>
      <c r="F434" s="20" t="s">
        <v>92</v>
      </c>
      <c r="G434" s="21">
        <v>0</v>
      </c>
      <c r="H434" s="21">
        <v>17</v>
      </c>
      <c r="I434" s="21">
        <v>0</v>
      </c>
      <c r="J434" s="21">
        <v>17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  <c r="Q434" s="21">
        <v>0</v>
      </c>
      <c r="R434" s="21">
        <v>0</v>
      </c>
      <c r="S434" s="21">
        <v>0</v>
      </c>
      <c r="T434" s="21">
        <v>0</v>
      </c>
      <c r="U434" s="21">
        <v>0</v>
      </c>
      <c r="V434" s="21">
        <v>0</v>
      </c>
      <c r="W434" s="21">
        <v>0</v>
      </c>
      <c r="X434" s="21">
        <v>0</v>
      </c>
      <c r="Y434" s="21">
        <v>0</v>
      </c>
      <c r="Z434" s="21">
        <v>0</v>
      </c>
      <c r="AA434" s="21">
        <v>0</v>
      </c>
      <c r="AB434" s="21">
        <v>0</v>
      </c>
      <c r="AC434" s="21">
        <v>0</v>
      </c>
      <c r="AD434" s="21">
        <v>0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0</v>
      </c>
      <c r="AN434" s="21">
        <v>0</v>
      </c>
      <c r="AO434" s="21">
        <v>0</v>
      </c>
      <c r="AP434" s="21">
        <v>0</v>
      </c>
      <c r="AQ434" s="21">
        <v>0</v>
      </c>
      <c r="AR434" s="21">
        <v>0</v>
      </c>
      <c r="AS434" s="21">
        <v>0</v>
      </c>
      <c r="AT434" s="21">
        <v>0</v>
      </c>
      <c r="AU434" s="21">
        <v>0</v>
      </c>
      <c r="AV434" s="21">
        <v>0</v>
      </c>
      <c r="AW434" s="21">
        <v>0</v>
      </c>
      <c r="AX434" s="21">
        <v>0</v>
      </c>
      <c r="AY434" s="21">
        <v>0</v>
      </c>
      <c r="AZ434" s="21">
        <v>0</v>
      </c>
      <c r="BA434" s="21">
        <v>0</v>
      </c>
      <c r="BB434" s="21">
        <v>0</v>
      </c>
      <c r="BC434" s="21">
        <v>0</v>
      </c>
      <c r="BD434" s="21">
        <v>0</v>
      </c>
      <c r="BE434" s="21">
        <v>0</v>
      </c>
      <c r="BF434" s="21">
        <v>0</v>
      </c>
      <c r="BG434" s="21">
        <v>0</v>
      </c>
      <c r="BH434" s="21">
        <v>0</v>
      </c>
      <c r="BI434" s="21">
        <v>0</v>
      </c>
      <c r="BJ434" s="21">
        <v>0</v>
      </c>
      <c r="BK434" s="21">
        <v>0</v>
      </c>
      <c r="BL434" s="21">
        <v>0</v>
      </c>
      <c r="BM434" s="21">
        <v>0</v>
      </c>
      <c r="BN434" s="21">
        <v>0</v>
      </c>
      <c r="BO434" s="21">
        <v>0</v>
      </c>
      <c r="BP434" s="21">
        <v>0</v>
      </c>
      <c r="BQ434" s="21">
        <v>0</v>
      </c>
      <c r="BR434" s="21">
        <v>0</v>
      </c>
      <c r="BS434" s="21">
        <v>0</v>
      </c>
      <c r="BT434" s="21">
        <v>0</v>
      </c>
      <c r="BU434" s="21">
        <v>0</v>
      </c>
      <c r="BV434" s="21">
        <v>0</v>
      </c>
      <c r="BW434" s="21">
        <v>0</v>
      </c>
      <c r="BX434" s="21">
        <v>0</v>
      </c>
      <c r="BY434" s="21">
        <v>0</v>
      </c>
      <c r="BZ434" s="21">
        <v>0</v>
      </c>
      <c r="CA434" s="21">
        <v>0</v>
      </c>
      <c r="CB434" s="21">
        <v>0</v>
      </c>
      <c r="CC434" s="21">
        <v>0</v>
      </c>
      <c r="CD434" s="21">
        <v>0</v>
      </c>
      <c r="CE434" s="21">
        <v>0</v>
      </c>
      <c r="CF434" s="21">
        <v>0</v>
      </c>
      <c r="CG434" s="21">
        <v>0</v>
      </c>
      <c r="CH434" s="21">
        <v>0</v>
      </c>
      <c r="CI434" s="21">
        <v>0</v>
      </c>
      <c r="CJ434" s="21">
        <v>0</v>
      </c>
      <c r="CK434" s="21">
        <v>0</v>
      </c>
      <c r="CL434" s="21">
        <v>0</v>
      </c>
      <c r="CM434" s="21">
        <v>0</v>
      </c>
      <c r="CN434" s="21">
        <v>0</v>
      </c>
      <c r="CO434" s="21">
        <v>0</v>
      </c>
      <c r="CP434" s="21">
        <v>0</v>
      </c>
      <c r="CQ434" s="21">
        <v>0</v>
      </c>
      <c r="CR434" s="21">
        <v>0</v>
      </c>
      <c r="CS434" s="21">
        <v>0</v>
      </c>
      <c r="CT434" s="21">
        <v>0</v>
      </c>
      <c r="CU434" s="21">
        <v>0</v>
      </c>
      <c r="CV434" s="21">
        <v>0</v>
      </c>
      <c r="CW434" s="21">
        <v>0</v>
      </c>
      <c r="CX434" s="21">
        <v>0</v>
      </c>
      <c r="CY434" s="21">
        <v>0</v>
      </c>
      <c r="CZ434" s="21">
        <v>0</v>
      </c>
      <c r="DA434" s="21">
        <v>0</v>
      </c>
      <c r="DB434" s="21">
        <v>0</v>
      </c>
      <c r="DC434" s="21">
        <v>0</v>
      </c>
      <c r="DD434" s="21">
        <v>0</v>
      </c>
      <c r="DE434" s="21">
        <v>0</v>
      </c>
      <c r="DF434" s="21">
        <v>0</v>
      </c>
      <c r="DG434" s="21">
        <v>0</v>
      </c>
      <c r="DH434" s="21">
        <v>0</v>
      </c>
      <c r="DI434" s="21">
        <v>0</v>
      </c>
      <c r="DJ434" s="21">
        <v>0</v>
      </c>
      <c r="DK434" s="21">
        <v>0</v>
      </c>
      <c r="DL434" s="21">
        <v>0</v>
      </c>
      <c r="DM434" s="21">
        <v>0</v>
      </c>
      <c r="DN434" s="21">
        <v>0</v>
      </c>
      <c r="DO434" s="21">
        <v>0</v>
      </c>
      <c r="DP434" s="21">
        <v>0</v>
      </c>
      <c r="DQ434" s="21">
        <v>0</v>
      </c>
      <c r="DR434" s="21">
        <v>0</v>
      </c>
      <c r="DS434" s="21">
        <v>0</v>
      </c>
      <c r="DT434" s="21">
        <v>0</v>
      </c>
      <c r="DU434" s="21">
        <v>0</v>
      </c>
      <c r="DV434" s="21">
        <v>0</v>
      </c>
      <c r="DW434" s="21">
        <v>0</v>
      </c>
      <c r="DX434" s="21">
        <v>0</v>
      </c>
      <c r="DY434" s="21">
        <v>0</v>
      </c>
      <c r="DZ434" s="21">
        <v>0</v>
      </c>
      <c r="EA434" s="21">
        <v>0</v>
      </c>
      <c r="EB434" s="21">
        <v>0</v>
      </c>
      <c r="EC434" s="21">
        <v>0</v>
      </c>
      <c r="ED434" s="21">
        <v>0</v>
      </c>
      <c r="EE434" s="21">
        <v>0</v>
      </c>
      <c r="EF434" s="21">
        <v>0</v>
      </c>
    </row>
    <row r="435" spans="1:136" ht="14.5" x14ac:dyDescent="0.35">
      <c r="A435" s="20" t="s">
        <v>12</v>
      </c>
      <c r="B435" s="20" t="s">
        <v>340</v>
      </c>
      <c r="C435" s="20" t="s">
        <v>105</v>
      </c>
      <c r="D435" s="20" t="s">
        <v>332</v>
      </c>
      <c r="E435" s="20" t="s">
        <v>14</v>
      </c>
      <c r="F435" s="20" t="s">
        <v>88</v>
      </c>
      <c r="G435" s="21">
        <v>10</v>
      </c>
      <c r="H435" s="21">
        <v>10</v>
      </c>
      <c r="I435" s="21">
        <v>0</v>
      </c>
      <c r="J435" s="21">
        <v>10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>
        <v>0</v>
      </c>
      <c r="T435" s="21">
        <v>0</v>
      </c>
      <c r="U435" s="21">
        <v>0</v>
      </c>
      <c r="V435" s="21">
        <v>0</v>
      </c>
      <c r="W435" s="21">
        <v>0</v>
      </c>
      <c r="X435" s="21">
        <v>0</v>
      </c>
      <c r="Y435" s="21">
        <v>0</v>
      </c>
      <c r="Z435" s="21">
        <v>0</v>
      </c>
      <c r="AA435" s="21">
        <v>0</v>
      </c>
      <c r="AB435" s="21">
        <v>0</v>
      </c>
      <c r="AC435" s="21">
        <v>0</v>
      </c>
      <c r="AD435" s="21">
        <v>0</v>
      </c>
      <c r="AE435" s="21">
        <v>0</v>
      </c>
      <c r="AF435" s="21">
        <v>0</v>
      </c>
      <c r="AG435" s="21">
        <v>0</v>
      </c>
      <c r="AH435" s="21">
        <v>0</v>
      </c>
      <c r="AI435" s="21">
        <v>0</v>
      </c>
      <c r="AJ435" s="21">
        <v>0</v>
      </c>
      <c r="AK435" s="21">
        <v>0</v>
      </c>
      <c r="AL435" s="21">
        <v>0</v>
      </c>
      <c r="AM435" s="21">
        <v>0</v>
      </c>
      <c r="AN435" s="21">
        <v>0</v>
      </c>
      <c r="AO435" s="21">
        <v>0</v>
      </c>
      <c r="AP435" s="21">
        <v>0</v>
      </c>
      <c r="AQ435" s="21">
        <v>0</v>
      </c>
      <c r="AR435" s="21">
        <v>0</v>
      </c>
      <c r="AS435" s="21">
        <v>0</v>
      </c>
      <c r="AT435" s="21">
        <v>0</v>
      </c>
      <c r="AU435" s="21">
        <v>0</v>
      </c>
      <c r="AV435" s="21">
        <v>0</v>
      </c>
      <c r="AW435" s="21">
        <v>0</v>
      </c>
      <c r="AX435" s="21">
        <v>0</v>
      </c>
      <c r="AY435" s="21">
        <v>0</v>
      </c>
      <c r="AZ435" s="21">
        <v>0</v>
      </c>
      <c r="BA435" s="21">
        <v>0</v>
      </c>
      <c r="BB435" s="21">
        <v>0</v>
      </c>
      <c r="BC435" s="21">
        <v>0</v>
      </c>
      <c r="BD435" s="21">
        <v>0</v>
      </c>
      <c r="BE435" s="21">
        <v>0</v>
      </c>
      <c r="BF435" s="21">
        <v>0</v>
      </c>
      <c r="BG435" s="21">
        <v>0</v>
      </c>
      <c r="BH435" s="21">
        <v>0</v>
      </c>
      <c r="BI435" s="21">
        <v>0</v>
      </c>
      <c r="BJ435" s="21">
        <v>0</v>
      </c>
      <c r="BK435" s="21">
        <v>0</v>
      </c>
      <c r="BL435" s="21">
        <v>0</v>
      </c>
      <c r="BM435" s="21">
        <v>0</v>
      </c>
      <c r="BN435" s="21">
        <v>0</v>
      </c>
      <c r="BO435" s="21">
        <v>0</v>
      </c>
      <c r="BP435" s="21">
        <v>0</v>
      </c>
      <c r="BQ435" s="21">
        <v>0</v>
      </c>
      <c r="BR435" s="21">
        <v>0</v>
      </c>
      <c r="BS435" s="21">
        <v>0</v>
      </c>
      <c r="BT435" s="21">
        <v>0</v>
      </c>
      <c r="BU435" s="21">
        <v>0</v>
      </c>
      <c r="BV435" s="21">
        <v>0</v>
      </c>
      <c r="BW435" s="21">
        <v>0</v>
      </c>
      <c r="BX435" s="21">
        <v>0</v>
      </c>
      <c r="BY435" s="21">
        <v>0</v>
      </c>
      <c r="BZ435" s="21">
        <v>0</v>
      </c>
      <c r="CA435" s="21">
        <v>0</v>
      </c>
      <c r="CB435" s="21">
        <v>0</v>
      </c>
      <c r="CC435" s="21">
        <v>0</v>
      </c>
      <c r="CD435" s="21">
        <v>0</v>
      </c>
      <c r="CE435" s="21">
        <v>0</v>
      </c>
      <c r="CF435" s="21">
        <v>0</v>
      </c>
      <c r="CG435" s="21">
        <v>0</v>
      </c>
      <c r="CH435" s="21">
        <v>0</v>
      </c>
      <c r="CI435" s="21">
        <v>0</v>
      </c>
      <c r="CJ435" s="21">
        <v>0</v>
      </c>
      <c r="CK435" s="21">
        <v>0</v>
      </c>
      <c r="CL435" s="21">
        <v>0</v>
      </c>
      <c r="CM435" s="21">
        <v>0</v>
      </c>
      <c r="CN435" s="21">
        <v>0</v>
      </c>
      <c r="CO435" s="21">
        <v>0</v>
      </c>
      <c r="CP435" s="21">
        <v>0</v>
      </c>
      <c r="CQ435" s="21">
        <v>0</v>
      </c>
      <c r="CR435" s="21">
        <v>0</v>
      </c>
      <c r="CS435" s="21">
        <v>0</v>
      </c>
      <c r="CT435" s="21">
        <v>0</v>
      </c>
      <c r="CU435" s="21">
        <v>0</v>
      </c>
      <c r="CV435" s="21">
        <v>0</v>
      </c>
      <c r="CW435" s="21">
        <v>0</v>
      </c>
      <c r="CX435" s="21">
        <v>0</v>
      </c>
      <c r="CY435" s="21">
        <v>0</v>
      </c>
      <c r="CZ435" s="21">
        <v>0</v>
      </c>
      <c r="DA435" s="21">
        <v>0</v>
      </c>
      <c r="DB435" s="21">
        <v>0</v>
      </c>
      <c r="DC435" s="21">
        <v>0</v>
      </c>
      <c r="DD435" s="21">
        <v>0</v>
      </c>
      <c r="DE435" s="21">
        <v>0</v>
      </c>
      <c r="DF435" s="21">
        <v>0</v>
      </c>
      <c r="DG435" s="21">
        <v>0</v>
      </c>
      <c r="DH435" s="21">
        <v>0</v>
      </c>
      <c r="DI435" s="21">
        <v>0</v>
      </c>
      <c r="DJ435" s="21">
        <v>0</v>
      </c>
      <c r="DK435" s="21">
        <v>0</v>
      </c>
      <c r="DL435" s="21">
        <v>0</v>
      </c>
      <c r="DM435" s="21">
        <v>0</v>
      </c>
      <c r="DN435" s="21">
        <v>0</v>
      </c>
      <c r="DO435" s="21">
        <v>0</v>
      </c>
      <c r="DP435" s="21">
        <v>0</v>
      </c>
      <c r="DQ435" s="21">
        <v>0</v>
      </c>
      <c r="DR435" s="21">
        <v>0</v>
      </c>
      <c r="DS435" s="21">
        <v>0</v>
      </c>
      <c r="DT435" s="21">
        <v>0</v>
      </c>
      <c r="DU435" s="21">
        <v>0</v>
      </c>
      <c r="DV435" s="21">
        <v>0</v>
      </c>
      <c r="DW435" s="21">
        <v>0</v>
      </c>
      <c r="DX435" s="21">
        <v>0</v>
      </c>
      <c r="DY435" s="21">
        <v>0</v>
      </c>
      <c r="DZ435" s="21">
        <v>0</v>
      </c>
      <c r="EA435" s="21">
        <v>0</v>
      </c>
      <c r="EB435" s="21">
        <v>0</v>
      </c>
      <c r="EC435" s="21">
        <v>0</v>
      </c>
      <c r="ED435" s="21">
        <v>0</v>
      </c>
      <c r="EE435" s="21">
        <v>0</v>
      </c>
      <c r="EF435" s="21">
        <v>0</v>
      </c>
    </row>
    <row r="436" spans="1:136" ht="14.5" x14ac:dyDescent="0.35">
      <c r="A436" s="20" t="s">
        <v>12</v>
      </c>
      <c r="B436" s="20" t="s">
        <v>341</v>
      </c>
      <c r="C436" s="20" t="s">
        <v>105</v>
      </c>
      <c r="D436" s="20" t="s">
        <v>336</v>
      </c>
      <c r="E436" s="20" t="s">
        <v>16</v>
      </c>
      <c r="F436" s="20" t="s">
        <v>106</v>
      </c>
      <c r="G436" s="21">
        <v>10</v>
      </c>
      <c r="H436" s="21">
        <v>10</v>
      </c>
      <c r="I436" s="21">
        <v>0</v>
      </c>
      <c r="J436" s="21">
        <v>10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21">
        <v>0</v>
      </c>
      <c r="W436" s="21">
        <v>0</v>
      </c>
      <c r="X436" s="21">
        <v>0</v>
      </c>
      <c r="Y436" s="21">
        <v>0</v>
      </c>
      <c r="Z436" s="21">
        <v>0</v>
      </c>
      <c r="AA436" s="21">
        <v>0</v>
      </c>
      <c r="AB436" s="21">
        <v>0</v>
      </c>
      <c r="AC436" s="21">
        <v>0</v>
      </c>
      <c r="AD436" s="21">
        <v>0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0</v>
      </c>
      <c r="AT436" s="21">
        <v>0</v>
      </c>
      <c r="AU436" s="21">
        <v>0</v>
      </c>
      <c r="AV436" s="21">
        <v>0</v>
      </c>
      <c r="AW436" s="21">
        <v>0</v>
      </c>
      <c r="AX436" s="21">
        <v>0</v>
      </c>
      <c r="AY436" s="21">
        <v>0</v>
      </c>
      <c r="AZ436" s="21">
        <v>0</v>
      </c>
      <c r="BA436" s="21">
        <v>0</v>
      </c>
      <c r="BB436" s="21">
        <v>0</v>
      </c>
      <c r="BC436" s="21">
        <v>0</v>
      </c>
      <c r="BD436" s="21">
        <v>0</v>
      </c>
      <c r="BE436" s="21">
        <v>0</v>
      </c>
      <c r="BF436" s="21">
        <v>0</v>
      </c>
      <c r="BG436" s="21">
        <v>0</v>
      </c>
      <c r="BH436" s="21">
        <v>0</v>
      </c>
      <c r="BI436" s="21">
        <v>0</v>
      </c>
      <c r="BJ436" s="21">
        <v>0</v>
      </c>
      <c r="BK436" s="21">
        <v>0</v>
      </c>
      <c r="BL436" s="21">
        <v>0</v>
      </c>
      <c r="BM436" s="21">
        <v>0</v>
      </c>
      <c r="BN436" s="21">
        <v>0</v>
      </c>
      <c r="BO436" s="21">
        <v>0</v>
      </c>
      <c r="BP436" s="21">
        <v>0</v>
      </c>
      <c r="BQ436" s="21">
        <v>0</v>
      </c>
      <c r="BR436" s="21">
        <v>0</v>
      </c>
      <c r="BS436" s="21">
        <v>0</v>
      </c>
      <c r="BT436" s="21">
        <v>0</v>
      </c>
      <c r="BU436" s="21">
        <v>0</v>
      </c>
      <c r="BV436" s="21">
        <v>0</v>
      </c>
      <c r="BW436" s="21">
        <v>0</v>
      </c>
      <c r="BX436" s="21">
        <v>0</v>
      </c>
      <c r="BY436" s="21">
        <v>0</v>
      </c>
      <c r="BZ436" s="21">
        <v>0</v>
      </c>
      <c r="CA436" s="21">
        <v>0</v>
      </c>
      <c r="CB436" s="21">
        <v>0</v>
      </c>
      <c r="CC436" s="21">
        <v>0</v>
      </c>
      <c r="CD436" s="21">
        <v>0</v>
      </c>
      <c r="CE436" s="21">
        <v>0</v>
      </c>
      <c r="CF436" s="21">
        <v>0</v>
      </c>
      <c r="CG436" s="21">
        <v>0</v>
      </c>
      <c r="CH436" s="21">
        <v>0</v>
      </c>
      <c r="CI436" s="21">
        <v>0</v>
      </c>
      <c r="CJ436" s="21">
        <v>0</v>
      </c>
      <c r="CK436" s="21">
        <v>0</v>
      </c>
      <c r="CL436" s="21">
        <v>0</v>
      </c>
      <c r="CM436" s="21">
        <v>0</v>
      </c>
      <c r="CN436" s="21">
        <v>0</v>
      </c>
      <c r="CO436" s="21">
        <v>0</v>
      </c>
      <c r="CP436" s="21">
        <v>0</v>
      </c>
      <c r="CQ436" s="21">
        <v>0</v>
      </c>
      <c r="CR436" s="21">
        <v>0</v>
      </c>
      <c r="CS436" s="21">
        <v>0</v>
      </c>
      <c r="CT436" s="21">
        <v>0</v>
      </c>
      <c r="CU436" s="21">
        <v>0</v>
      </c>
      <c r="CV436" s="21">
        <v>0</v>
      </c>
      <c r="CW436" s="21">
        <v>0</v>
      </c>
      <c r="CX436" s="21">
        <v>0</v>
      </c>
      <c r="CY436" s="21">
        <v>0</v>
      </c>
      <c r="CZ436" s="21">
        <v>0</v>
      </c>
      <c r="DA436" s="21">
        <v>0</v>
      </c>
      <c r="DB436" s="21">
        <v>0</v>
      </c>
      <c r="DC436" s="21">
        <v>0</v>
      </c>
      <c r="DD436" s="21">
        <v>0</v>
      </c>
      <c r="DE436" s="21">
        <v>0</v>
      </c>
      <c r="DF436" s="21">
        <v>0</v>
      </c>
      <c r="DG436" s="21">
        <v>0</v>
      </c>
      <c r="DH436" s="21">
        <v>0</v>
      </c>
      <c r="DI436" s="21">
        <v>0</v>
      </c>
      <c r="DJ436" s="21">
        <v>0</v>
      </c>
      <c r="DK436" s="21">
        <v>0</v>
      </c>
      <c r="DL436" s="21">
        <v>0</v>
      </c>
      <c r="DM436" s="21">
        <v>0</v>
      </c>
      <c r="DN436" s="21">
        <v>0</v>
      </c>
      <c r="DO436" s="21">
        <v>0</v>
      </c>
      <c r="DP436" s="21">
        <v>0</v>
      </c>
      <c r="DQ436" s="21">
        <v>0</v>
      </c>
      <c r="DR436" s="21">
        <v>0</v>
      </c>
      <c r="DS436" s="21">
        <v>0</v>
      </c>
      <c r="DT436" s="21">
        <v>0</v>
      </c>
      <c r="DU436" s="21">
        <v>0</v>
      </c>
      <c r="DV436" s="21">
        <v>0</v>
      </c>
      <c r="DW436" s="21">
        <v>0</v>
      </c>
      <c r="DX436" s="21">
        <v>0</v>
      </c>
      <c r="DY436" s="21">
        <v>0</v>
      </c>
      <c r="DZ436" s="21">
        <v>0</v>
      </c>
      <c r="EA436" s="21">
        <v>0</v>
      </c>
      <c r="EB436" s="21">
        <v>0</v>
      </c>
      <c r="EC436" s="21">
        <v>0</v>
      </c>
      <c r="ED436" s="21">
        <v>0</v>
      </c>
      <c r="EE436" s="21">
        <v>0</v>
      </c>
      <c r="EF436" s="21">
        <v>0</v>
      </c>
    </row>
    <row r="437" spans="1:136" ht="14.5" x14ac:dyDescent="0.35">
      <c r="A437" s="20" t="s">
        <v>12</v>
      </c>
      <c r="B437" s="20" t="s">
        <v>342</v>
      </c>
      <c r="C437" s="20" t="s">
        <v>105</v>
      </c>
      <c r="D437" s="20" t="s">
        <v>343</v>
      </c>
      <c r="E437" s="20" t="s">
        <v>16</v>
      </c>
      <c r="F437" s="20" t="s">
        <v>90</v>
      </c>
      <c r="G437" s="21">
        <v>3.5</v>
      </c>
      <c r="H437" s="21">
        <v>3.5</v>
      </c>
      <c r="I437" s="21">
        <v>0</v>
      </c>
      <c r="J437" s="21">
        <v>3.5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>
        <v>0</v>
      </c>
      <c r="T437" s="21">
        <v>0</v>
      </c>
      <c r="U437" s="21">
        <v>0</v>
      </c>
      <c r="V437" s="21">
        <v>0</v>
      </c>
      <c r="W437" s="21">
        <v>0</v>
      </c>
      <c r="X437" s="21">
        <v>0</v>
      </c>
      <c r="Y437" s="21">
        <v>0</v>
      </c>
      <c r="Z437" s="21">
        <v>0</v>
      </c>
      <c r="AA437" s="21">
        <v>0</v>
      </c>
      <c r="AB437" s="21">
        <v>0</v>
      </c>
      <c r="AC437" s="21">
        <v>0</v>
      </c>
      <c r="AD437" s="21">
        <v>0</v>
      </c>
      <c r="AE437" s="21">
        <v>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0</v>
      </c>
      <c r="AL437" s="21">
        <v>0</v>
      </c>
      <c r="AM437" s="21">
        <v>0</v>
      </c>
      <c r="AN437" s="21">
        <v>0</v>
      </c>
      <c r="AO437" s="21">
        <v>0</v>
      </c>
      <c r="AP437" s="21">
        <v>0</v>
      </c>
      <c r="AQ437" s="21">
        <v>0</v>
      </c>
      <c r="AR437" s="21">
        <v>0</v>
      </c>
      <c r="AS437" s="21">
        <v>0</v>
      </c>
      <c r="AT437" s="21">
        <v>0</v>
      </c>
      <c r="AU437" s="21">
        <v>0</v>
      </c>
      <c r="AV437" s="21">
        <v>0</v>
      </c>
      <c r="AW437" s="21">
        <v>0</v>
      </c>
      <c r="AX437" s="21">
        <v>0</v>
      </c>
      <c r="AY437" s="21">
        <v>0</v>
      </c>
      <c r="AZ437" s="21">
        <v>0</v>
      </c>
      <c r="BA437" s="21">
        <v>0</v>
      </c>
      <c r="BB437" s="21">
        <v>0</v>
      </c>
      <c r="BC437" s="21">
        <v>0</v>
      </c>
      <c r="BD437" s="21">
        <v>0</v>
      </c>
      <c r="BE437" s="21">
        <v>0</v>
      </c>
      <c r="BF437" s="21">
        <v>0</v>
      </c>
      <c r="BG437" s="21">
        <v>0</v>
      </c>
      <c r="BH437" s="21">
        <v>0</v>
      </c>
      <c r="BI437" s="21">
        <v>0</v>
      </c>
      <c r="BJ437" s="21">
        <v>0</v>
      </c>
      <c r="BK437" s="21">
        <v>0</v>
      </c>
      <c r="BL437" s="21">
        <v>0</v>
      </c>
      <c r="BM437" s="21">
        <v>0</v>
      </c>
      <c r="BN437" s="21">
        <v>0</v>
      </c>
      <c r="BO437" s="21">
        <v>0</v>
      </c>
      <c r="BP437" s="21">
        <v>0</v>
      </c>
      <c r="BQ437" s="21">
        <v>0</v>
      </c>
      <c r="BR437" s="21">
        <v>0</v>
      </c>
      <c r="BS437" s="21">
        <v>0</v>
      </c>
      <c r="BT437" s="21">
        <v>0</v>
      </c>
      <c r="BU437" s="21">
        <v>0</v>
      </c>
      <c r="BV437" s="21">
        <v>0</v>
      </c>
      <c r="BW437" s="21">
        <v>0</v>
      </c>
      <c r="BX437" s="21">
        <v>0</v>
      </c>
      <c r="BY437" s="21">
        <v>0</v>
      </c>
      <c r="BZ437" s="21">
        <v>0</v>
      </c>
      <c r="CA437" s="21">
        <v>0</v>
      </c>
      <c r="CB437" s="21">
        <v>0</v>
      </c>
      <c r="CC437" s="21">
        <v>0</v>
      </c>
      <c r="CD437" s="21">
        <v>0</v>
      </c>
      <c r="CE437" s="21">
        <v>0</v>
      </c>
      <c r="CF437" s="21">
        <v>0</v>
      </c>
      <c r="CG437" s="21">
        <v>0</v>
      </c>
      <c r="CH437" s="21">
        <v>0</v>
      </c>
      <c r="CI437" s="21">
        <v>0</v>
      </c>
      <c r="CJ437" s="21">
        <v>0</v>
      </c>
      <c r="CK437" s="21">
        <v>0</v>
      </c>
      <c r="CL437" s="21">
        <v>0</v>
      </c>
      <c r="CM437" s="21">
        <v>0</v>
      </c>
      <c r="CN437" s="21">
        <v>0</v>
      </c>
      <c r="CO437" s="21">
        <v>0</v>
      </c>
      <c r="CP437" s="21">
        <v>0</v>
      </c>
      <c r="CQ437" s="21">
        <v>0</v>
      </c>
      <c r="CR437" s="21">
        <v>0</v>
      </c>
      <c r="CS437" s="21">
        <v>0</v>
      </c>
      <c r="CT437" s="21">
        <v>0</v>
      </c>
      <c r="CU437" s="21">
        <v>0</v>
      </c>
      <c r="CV437" s="21">
        <v>0</v>
      </c>
      <c r="CW437" s="21">
        <v>0</v>
      </c>
      <c r="CX437" s="21">
        <v>0</v>
      </c>
      <c r="CY437" s="21">
        <v>0</v>
      </c>
      <c r="CZ437" s="21">
        <v>0</v>
      </c>
      <c r="DA437" s="21">
        <v>0</v>
      </c>
      <c r="DB437" s="21">
        <v>0</v>
      </c>
      <c r="DC437" s="21">
        <v>0</v>
      </c>
      <c r="DD437" s="21">
        <v>0</v>
      </c>
      <c r="DE437" s="21">
        <v>0</v>
      </c>
      <c r="DF437" s="21">
        <v>0</v>
      </c>
      <c r="DG437" s="21">
        <v>0</v>
      </c>
      <c r="DH437" s="21">
        <v>0</v>
      </c>
      <c r="DI437" s="21">
        <v>0</v>
      </c>
      <c r="DJ437" s="21">
        <v>0</v>
      </c>
      <c r="DK437" s="21">
        <v>0</v>
      </c>
      <c r="DL437" s="21">
        <v>0</v>
      </c>
      <c r="DM437" s="21">
        <v>0</v>
      </c>
      <c r="DN437" s="21">
        <v>0</v>
      </c>
      <c r="DO437" s="21">
        <v>0</v>
      </c>
      <c r="DP437" s="21">
        <v>0</v>
      </c>
      <c r="DQ437" s="21">
        <v>0</v>
      </c>
      <c r="DR437" s="21">
        <v>0</v>
      </c>
      <c r="DS437" s="21">
        <v>0</v>
      </c>
      <c r="DT437" s="21">
        <v>0</v>
      </c>
      <c r="DU437" s="21">
        <v>0</v>
      </c>
      <c r="DV437" s="21">
        <v>0</v>
      </c>
      <c r="DW437" s="21">
        <v>0</v>
      </c>
      <c r="DX437" s="21">
        <v>0</v>
      </c>
      <c r="DY437" s="21">
        <v>0</v>
      </c>
      <c r="DZ437" s="21">
        <v>0</v>
      </c>
      <c r="EA437" s="21">
        <v>0</v>
      </c>
      <c r="EB437" s="21">
        <v>0</v>
      </c>
      <c r="EC437" s="21">
        <v>0</v>
      </c>
      <c r="ED437" s="21">
        <v>0</v>
      </c>
      <c r="EE437" s="21">
        <v>0</v>
      </c>
      <c r="EF437" s="21">
        <v>0</v>
      </c>
    </row>
    <row r="438" spans="1:136" ht="14.5" x14ac:dyDescent="0.35">
      <c r="A438" s="20" t="s">
        <v>12</v>
      </c>
      <c r="B438" s="20" t="s">
        <v>344</v>
      </c>
      <c r="C438" s="20" t="s">
        <v>105</v>
      </c>
      <c r="D438" s="20" t="s">
        <v>334</v>
      </c>
      <c r="E438" s="20" t="s">
        <v>10</v>
      </c>
      <c r="F438" s="20" t="s">
        <v>125</v>
      </c>
      <c r="G438" s="21">
        <v>1</v>
      </c>
      <c r="H438" s="21">
        <v>1</v>
      </c>
      <c r="I438" s="21">
        <v>0</v>
      </c>
      <c r="J438" s="21">
        <v>1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>
        <v>0</v>
      </c>
      <c r="T438" s="21">
        <v>0</v>
      </c>
      <c r="U438" s="21">
        <v>0</v>
      </c>
      <c r="V438" s="21">
        <v>0</v>
      </c>
      <c r="W438" s="21">
        <v>0</v>
      </c>
      <c r="X438" s="21">
        <v>0</v>
      </c>
      <c r="Y438" s="21">
        <v>0</v>
      </c>
      <c r="Z438" s="21">
        <v>0</v>
      </c>
      <c r="AA438" s="21">
        <v>0</v>
      </c>
      <c r="AB438" s="21">
        <v>0</v>
      </c>
      <c r="AC438" s="21">
        <v>0</v>
      </c>
      <c r="AD438" s="21">
        <v>0</v>
      </c>
      <c r="AE438" s="21">
        <v>0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0</v>
      </c>
      <c r="AO438" s="21">
        <v>0</v>
      </c>
      <c r="AP438" s="21">
        <v>0</v>
      </c>
      <c r="AQ438" s="21">
        <v>0</v>
      </c>
      <c r="AR438" s="21">
        <v>0</v>
      </c>
      <c r="AS438" s="21">
        <v>0</v>
      </c>
      <c r="AT438" s="21">
        <v>0</v>
      </c>
      <c r="AU438" s="21">
        <v>0</v>
      </c>
      <c r="AV438" s="21">
        <v>0</v>
      </c>
      <c r="AW438" s="21">
        <v>0</v>
      </c>
      <c r="AX438" s="21">
        <v>0</v>
      </c>
      <c r="AY438" s="21">
        <v>0</v>
      </c>
      <c r="AZ438" s="21">
        <v>0</v>
      </c>
      <c r="BA438" s="21">
        <v>0</v>
      </c>
      <c r="BB438" s="21">
        <v>0</v>
      </c>
      <c r="BC438" s="21">
        <v>0</v>
      </c>
      <c r="BD438" s="21">
        <v>0</v>
      </c>
      <c r="BE438" s="21">
        <v>0</v>
      </c>
      <c r="BF438" s="21">
        <v>0</v>
      </c>
      <c r="BG438" s="21">
        <v>0</v>
      </c>
      <c r="BH438" s="21">
        <v>0</v>
      </c>
      <c r="BI438" s="21">
        <v>0</v>
      </c>
      <c r="BJ438" s="21">
        <v>0</v>
      </c>
      <c r="BK438" s="21">
        <v>0</v>
      </c>
      <c r="BL438" s="21">
        <v>0</v>
      </c>
      <c r="BM438" s="21">
        <v>0</v>
      </c>
      <c r="BN438" s="21">
        <v>0</v>
      </c>
      <c r="BO438" s="21">
        <v>0</v>
      </c>
      <c r="BP438" s="21">
        <v>0</v>
      </c>
      <c r="BQ438" s="21">
        <v>0</v>
      </c>
      <c r="BR438" s="21">
        <v>0</v>
      </c>
      <c r="BS438" s="21">
        <v>0</v>
      </c>
      <c r="BT438" s="21">
        <v>0</v>
      </c>
      <c r="BU438" s="21">
        <v>0</v>
      </c>
      <c r="BV438" s="21">
        <v>0</v>
      </c>
      <c r="BW438" s="21">
        <v>0</v>
      </c>
      <c r="BX438" s="21">
        <v>0</v>
      </c>
      <c r="BY438" s="21">
        <v>0</v>
      </c>
      <c r="BZ438" s="21">
        <v>0</v>
      </c>
      <c r="CA438" s="21">
        <v>0</v>
      </c>
      <c r="CB438" s="21">
        <v>0</v>
      </c>
      <c r="CC438" s="21">
        <v>0</v>
      </c>
      <c r="CD438" s="21">
        <v>0</v>
      </c>
      <c r="CE438" s="21">
        <v>0</v>
      </c>
      <c r="CF438" s="21">
        <v>0</v>
      </c>
      <c r="CG438" s="21">
        <v>0</v>
      </c>
      <c r="CH438" s="21">
        <v>0</v>
      </c>
      <c r="CI438" s="21">
        <v>0</v>
      </c>
      <c r="CJ438" s="21">
        <v>0</v>
      </c>
      <c r="CK438" s="21">
        <v>0</v>
      </c>
      <c r="CL438" s="21">
        <v>0</v>
      </c>
      <c r="CM438" s="21">
        <v>0</v>
      </c>
      <c r="CN438" s="21">
        <v>0</v>
      </c>
      <c r="CO438" s="21">
        <v>0</v>
      </c>
      <c r="CP438" s="21">
        <v>0</v>
      </c>
      <c r="CQ438" s="21">
        <v>0</v>
      </c>
      <c r="CR438" s="21">
        <v>0</v>
      </c>
      <c r="CS438" s="21">
        <v>0</v>
      </c>
      <c r="CT438" s="21">
        <v>0</v>
      </c>
      <c r="CU438" s="21">
        <v>0</v>
      </c>
      <c r="CV438" s="21">
        <v>0</v>
      </c>
      <c r="CW438" s="21">
        <v>0</v>
      </c>
      <c r="CX438" s="21">
        <v>0</v>
      </c>
      <c r="CY438" s="21">
        <v>0</v>
      </c>
      <c r="CZ438" s="21">
        <v>0</v>
      </c>
      <c r="DA438" s="21">
        <v>0</v>
      </c>
      <c r="DB438" s="21">
        <v>0</v>
      </c>
      <c r="DC438" s="21">
        <v>0</v>
      </c>
      <c r="DD438" s="21">
        <v>0</v>
      </c>
      <c r="DE438" s="21">
        <v>0</v>
      </c>
      <c r="DF438" s="21">
        <v>0</v>
      </c>
      <c r="DG438" s="21">
        <v>0</v>
      </c>
      <c r="DH438" s="21">
        <v>0</v>
      </c>
      <c r="DI438" s="21">
        <v>0</v>
      </c>
      <c r="DJ438" s="21">
        <v>0</v>
      </c>
      <c r="DK438" s="21">
        <v>0</v>
      </c>
      <c r="DL438" s="21">
        <v>0</v>
      </c>
      <c r="DM438" s="21">
        <v>0</v>
      </c>
      <c r="DN438" s="21">
        <v>0</v>
      </c>
      <c r="DO438" s="21">
        <v>0</v>
      </c>
      <c r="DP438" s="21">
        <v>0</v>
      </c>
      <c r="DQ438" s="21">
        <v>0</v>
      </c>
      <c r="DR438" s="21">
        <v>0</v>
      </c>
      <c r="DS438" s="21">
        <v>0</v>
      </c>
      <c r="DT438" s="21">
        <v>0</v>
      </c>
      <c r="DU438" s="21">
        <v>0</v>
      </c>
      <c r="DV438" s="21">
        <v>0</v>
      </c>
      <c r="DW438" s="21">
        <v>0</v>
      </c>
      <c r="DX438" s="21">
        <v>0</v>
      </c>
      <c r="DY438" s="21">
        <v>0</v>
      </c>
      <c r="DZ438" s="21">
        <v>0</v>
      </c>
      <c r="EA438" s="21">
        <v>0</v>
      </c>
      <c r="EB438" s="21">
        <v>0</v>
      </c>
      <c r="EC438" s="21">
        <v>0</v>
      </c>
      <c r="ED438" s="21">
        <v>0</v>
      </c>
      <c r="EE438" s="21">
        <v>0</v>
      </c>
      <c r="EF438" s="21">
        <v>0</v>
      </c>
    </row>
    <row r="439" spans="1:136" ht="14.5" x14ac:dyDescent="0.35">
      <c r="A439" s="20" t="s">
        <v>12</v>
      </c>
      <c r="B439" s="20" t="s">
        <v>345</v>
      </c>
      <c r="C439" s="20" t="s">
        <v>105</v>
      </c>
      <c r="D439" s="20" t="s">
        <v>339</v>
      </c>
      <c r="E439" s="20" t="s">
        <v>14</v>
      </c>
      <c r="F439" s="20" t="s">
        <v>102</v>
      </c>
      <c r="G439" s="21">
        <v>65</v>
      </c>
      <c r="H439" s="21">
        <v>65</v>
      </c>
      <c r="I439" s="21">
        <v>0</v>
      </c>
      <c r="J439" s="21">
        <v>65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  <c r="Q439" s="21">
        <v>0</v>
      </c>
      <c r="R439" s="21">
        <v>0</v>
      </c>
      <c r="S439" s="21">
        <v>0</v>
      </c>
      <c r="T439" s="21">
        <v>0</v>
      </c>
      <c r="U439" s="21">
        <v>0</v>
      </c>
      <c r="V439" s="21">
        <v>0</v>
      </c>
      <c r="W439" s="21">
        <v>0</v>
      </c>
      <c r="X439" s="21">
        <v>0</v>
      </c>
      <c r="Y439" s="21">
        <v>0</v>
      </c>
      <c r="Z439" s="21">
        <v>0</v>
      </c>
      <c r="AA439" s="21">
        <v>0</v>
      </c>
      <c r="AB439" s="21">
        <v>0</v>
      </c>
      <c r="AC439" s="21">
        <v>0</v>
      </c>
      <c r="AD439" s="21">
        <v>0</v>
      </c>
      <c r="AE439" s="21">
        <v>0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0</v>
      </c>
      <c r="AL439" s="21">
        <v>0</v>
      </c>
      <c r="AM439" s="21">
        <v>0</v>
      </c>
      <c r="AN439" s="21">
        <v>0</v>
      </c>
      <c r="AO439" s="21">
        <v>0</v>
      </c>
      <c r="AP439" s="21">
        <v>0</v>
      </c>
      <c r="AQ439" s="21">
        <v>0</v>
      </c>
      <c r="AR439" s="21">
        <v>0</v>
      </c>
      <c r="AS439" s="21">
        <v>0</v>
      </c>
      <c r="AT439" s="21">
        <v>0</v>
      </c>
      <c r="AU439" s="21">
        <v>0</v>
      </c>
      <c r="AV439" s="21">
        <v>0</v>
      </c>
      <c r="AW439" s="21">
        <v>0</v>
      </c>
      <c r="AX439" s="21">
        <v>0</v>
      </c>
      <c r="AY439" s="21">
        <v>0</v>
      </c>
      <c r="AZ439" s="21">
        <v>0</v>
      </c>
      <c r="BA439" s="21">
        <v>0</v>
      </c>
      <c r="BB439" s="21">
        <v>0</v>
      </c>
      <c r="BC439" s="21">
        <v>0</v>
      </c>
      <c r="BD439" s="21">
        <v>0</v>
      </c>
      <c r="BE439" s="21">
        <v>0</v>
      </c>
      <c r="BF439" s="21">
        <v>0</v>
      </c>
      <c r="BG439" s="21">
        <v>0</v>
      </c>
      <c r="BH439" s="21">
        <v>0</v>
      </c>
      <c r="BI439" s="21">
        <v>0</v>
      </c>
      <c r="BJ439" s="21">
        <v>0</v>
      </c>
      <c r="BK439" s="21">
        <v>0</v>
      </c>
      <c r="BL439" s="21">
        <v>0</v>
      </c>
      <c r="BM439" s="21">
        <v>0</v>
      </c>
      <c r="BN439" s="21">
        <v>0</v>
      </c>
      <c r="BO439" s="21">
        <v>0</v>
      </c>
      <c r="BP439" s="21">
        <v>0</v>
      </c>
      <c r="BQ439" s="21">
        <v>0</v>
      </c>
      <c r="BR439" s="21">
        <v>0</v>
      </c>
      <c r="BS439" s="21">
        <v>0</v>
      </c>
      <c r="BT439" s="21">
        <v>0</v>
      </c>
      <c r="BU439" s="21">
        <v>0</v>
      </c>
      <c r="BV439" s="21">
        <v>0</v>
      </c>
      <c r="BW439" s="21">
        <v>0</v>
      </c>
      <c r="BX439" s="21">
        <v>0</v>
      </c>
      <c r="BY439" s="21">
        <v>0</v>
      </c>
      <c r="BZ439" s="21">
        <v>0</v>
      </c>
      <c r="CA439" s="21">
        <v>0</v>
      </c>
      <c r="CB439" s="21">
        <v>0</v>
      </c>
      <c r="CC439" s="21">
        <v>0</v>
      </c>
      <c r="CD439" s="21">
        <v>0</v>
      </c>
      <c r="CE439" s="21">
        <v>0</v>
      </c>
      <c r="CF439" s="21">
        <v>0</v>
      </c>
      <c r="CG439" s="21">
        <v>0</v>
      </c>
      <c r="CH439" s="21">
        <v>0</v>
      </c>
      <c r="CI439" s="21">
        <v>0</v>
      </c>
      <c r="CJ439" s="21">
        <v>0</v>
      </c>
      <c r="CK439" s="21">
        <v>0</v>
      </c>
      <c r="CL439" s="21">
        <v>0</v>
      </c>
      <c r="CM439" s="21">
        <v>0</v>
      </c>
      <c r="CN439" s="21">
        <v>0</v>
      </c>
      <c r="CO439" s="21">
        <v>0</v>
      </c>
      <c r="CP439" s="21">
        <v>0</v>
      </c>
      <c r="CQ439" s="21">
        <v>0</v>
      </c>
      <c r="CR439" s="21">
        <v>0</v>
      </c>
      <c r="CS439" s="21">
        <v>0</v>
      </c>
      <c r="CT439" s="21">
        <v>0</v>
      </c>
      <c r="CU439" s="21">
        <v>0</v>
      </c>
      <c r="CV439" s="21">
        <v>0</v>
      </c>
      <c r="CW439" s="21">
        <v>0</v>
      </c>
      <c r="CX439" s="21">
        <v>0</v>
      </c>
      <c r="CY439" s="21">
        <v>0</v>
      </c>
      <c r="CZ439" s="21">
        <v>0</v>
      </c>
      <c r="DA439" s="21">
        <v>0</v>
      </c>
      <c r="DB439" s="21">
        <v>0</v>
      </c>
      <c r="DC439" s="21">
        <v>0</v>
      </c>
      <c r="DD439" s="21">
        <v>0</v>
      </c>
      <c r="DE439" s="21">
        <v>0</v>
      </c>
      <c r="DF439" s="21">
        <v>0</v>
      </c>
      <c r="DG439" s="21">
        <v>0</v>
      </c>
      <c r="DH439" s="21">
        <v>0</v>
      </c>
      <c r="DI439" s="21">
        <v>0</v>
      </c>
      <c r="DJ439" s="21">
        <v>0</v>
      </c>
      <c r="DK439" s="21">
        <v>0</v>
      </c>
      <c r="DL439" s="21">
        <v>0</v>
      </c>
      <c r="DM439" s="21">
        <v>0</v>
      </c>
      <c r="DN439" s="21">
        <v>0</v>
      </c>
      <c r="DO439" s="21">
        <v>0</v>
      </c>
      <c r="DP439" s="21">
        <v>0</v>
      </c>
      <c r="DQ439" s="21">
        <v>0</v>
      </c>
      <c r="DR439" s="21">
        <v>0</v>
      </c>
      <c r="DS439" s="21">
        <v>0</v>
      </c>
      <c r="DT439" s="21">
        <v>0</v>
      </c>
      <c r="DU439" s="21">
        <v>0</v>
      </c>
      <c r="DV439" s="21">
        <v>0</v>
      </c>
      <c r="DW439" s="21">
        <v>0</v>
      </c>
      <c r="DX439" s="21">
        <v>0</v>
      </c>
      <c r="DY439" s="21">
        <v>0</v>
      </c>
      <c r="DZ439" s="21">
        <v>0</v>
      </c>
      <c r="EA439" s="21">
        <v>0</v>
      </c>
      <c r="EB439" s="21">
        <v>0</v>
      </c>
      <c r="EC439" s="21">
        <v>0</v>
      </c>
      <c r="ED439" s="21">
        <v>0</v>
      </c>
      <c r="EE439" s="21">
        <v>0</v>
      </c>
      <c r="EF439" s="21">
        <v>0</v>
      </c>
    </row>
    <row r="440" spans="1:136" ht="14.5" x14ac:dyDescent="0.35">
      <c r="A440" s="20" t="s">
        <v>12</v>
      </c>
      <c r="B440" s="20" t="s">
        <v>344</v>
      </c>
      <c r="C440" s="20" t="s">
        <v>105</v>
      </c>
      <c r="D440" s="20" t="s">
        <v>334</v>
      </c>
      <c r="E440" s="20" t="s">
        <v>10</v>
      </c>
      <c r="F440" s="20" t="s">
        <v>92</v>
      </c>
      <c r="G440" s="21">
        <v>0</v>
      </c>
      <c r="H440" s="21">
        <v>18</v>
      </c>
      <c r="I440" s="21">
        <v>18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  <c r="Q440" s="21">
        <v>0</v>
      </c>
      <c r="R440" s="21">
        <v>0</v>
      </c>
      <c r="S440" s="21">
        <v>0</v>
      </c>
      <c r="T440" s="21">
        <v>0</v>
      </c>
      <c r="U440" s="21">
        <v>0</v>
      </c>
      <c r="V440" s="21">
        <v>0</v>
      </c>
      <c r="W440" s="21">
        <v>0</v>
      </c>
      <c r="X440" s="21">
        <v>0</v>
      </c>
      <c r="Y440" s="21">
        <v>0</v>
      </c>
      <c r="Z440" s="21">
        <v>0</v>
      </c>
      <c r="AA440" s="21">
        <v>0</v>
      </c>
      <c r="AB440" s="21">
        <v>0</v>
      </c>
      <c r="AC440" s="21">
        <v>0</v>
      </c>
      <c r="AD440" s="21">
        <v>0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21">
        <v>0</v>
      </c>
      <c r="AO440" s="21">
        <v>0</v>
      </c>
      <c r="AP440" s="21">
        <v>0</v>
      </c>
      <c r="AQ440" s="21">
        <v>0</v>
      </c>
      <c r="AR440" s="21">
        <v>0</v>
      </c>
      <c r="AS440" s="21">
        <v>0</v>
      </c>
      <c r="AT440" s="21">
        <v>0</v>
      </c>
      <c r="AU440" s="21">
        <v>0</v>
      </c>
      <c r="AV440" s="21">
        <v>0</v>
      </c>
      <c r="AW440" s="21">
        <v>0</v>
      </c>
      <c r="AX440" s="21">
        <v>0</v>
      </c>
      <c r="AY440" s="21">
        <v>0</v>
      </c>
      <c r="AZ440" s="21">
        <v>0</v>
      </c>
      <c r="BA440" s="21">
        <v>0</v>
      </c>
      <c r="BB440" s="21">
        <v>0</v>
      </c>
      <c r="BC440" s="21">
        <v>0</v>
      </c>
      <c r="BD440" s="21">
        <v>0</v>
      </c>
      <c r="BE440" s="21">
        <v>0</v>
      </c>
      <c r="BF440" s="21">
        <v>0</v>
      </c>
      <c r="BG440" s="21">
        <v>0</v>
      </c>
      <c r="BH440" s="21">
        <v>0</v>
      </c>
      <c r="BI440" s="21">
        <v>0</v>
      </c>
      <c r="BJ440" s="21">
        <v>0</v>
      </c>
      <c r="BK440" s="21">
        <v>0</v>
      </c>
      <c r="BL440" s="21">
        <v>0</v>
      </c>
      <c r="BM440" s="21">
        <v>0</v>
      </c>
      <c r="BN440" s="21">
        <v>0</v>
      </c>
      <c r="BO440" s="21">
        <v>0</v>
      </c>
      <c r="BP440" s="21">
        <v>0</v>
      </c>
      <c r="BQ440" s="21">
        <v>0</v>
      </c>
      <c r="BR440" s="21">
        <v>0</v>
      </c>
      <c r="BS440" s="21">
        <v>0</v>
      </c>
      <c r="BT440" s="21">
        <v>0</v>
      </c>
      <c r="BU440" s="21">
        <v>0</v>
      </c>
      <c r="BV440" s="21">
        <v>0</v>
      </c>
      <c r="BW440" s="21">
        <v>0</v>
      </c>
      <c r="BX440" s="21">
        <v>0</v>
      </c>
      <c r="BY440" s="21">
        <v>0</v>
      </c>
      <c r="BZ440" s="21">
        <v>0</v>
      </c>
      <c r="CA440" s="21">
        <v>0</v>
      </c>
      <c r="CB440" s="21">
        <v>0</v>
      </c>
      <c r="CC440" s="21">
        <v>0</v>
      </c>
      <c r="CD440" s="21">
        <v>0</v>
      </c>
      <c r="CE440" s="21">
        <v>0</v>
      </c>
      <c r="CF440" s="21">
        <v>0</v>
      </c>
      <c r="CG440" s="21">
        <v>0</v>
      </c>
      <c r="CH440" s="21">
        <v>0</v>
      </c>
      <c r="CI440" s="21">
        <v>0</v>
      </c>
      <c r="CJ440" s="21">
        <v>0</v>
      </c>
      <c r="CK440" s="21">
        <v>0</v>
      </c>
      <c r="CL440" s="21">
        <v>0</v>
      </c>
      <c r="CM440" s="21">
        <v>0</v>
      </c>
      <c r="CN440" s="21">
        <v>0</v>
      </c>
      <c r="CO440" s="21">
        <v>0</v>
      </c>
      <c r="CP440" s="21">
        <v>0</v>
      </c>
      <c r="CQ440" s="21">
        <v>0</v>
      </c>
      <c r="CR440" s="21">
        <v>0</v>
      </c>
      <c r="CS440" s="21">
        <v>0</v>
      </c>
      <c r="CT440" s="21">
        <v>0</v>
      </c>
      <c r="CU440" s="21">
        <v>0</v>
      </c>
      <c r="CV440" s="21">
        <v>0</v>
      </c>
      <c r="CW440" s="21">
        <v>0</v>
      </c>
      <c r="CX440" s="21">
        <v>0</v>
      </c>
      <c r="CY440" s="21">
        <v>0</v>
      </c>
      <c r="CZ440" s="21">
        <v>10</v>
      </c>
      <c r="DA440" s="21">
        <v>8</v>
      </c>
      <c r="DB440" s="21">
        <v>0</v>
      </c>
      <c r="DC440" s="21">
        <v>0</v>
      </c>
      <c r="DD440" s="21">
        <v>0</v>
      </c>
      <c r="DE440" s="21">
        <v>0</v>
      </c>
      <c r="DF440" s="21">
        <v>0</v>
      </c>
      <c r="DG440" s="21">
        <v>0</v>
      </c>
      <c r="DH440" s="21">
        <v>0</v>
      </c>
      <c r="DI440" s="21">
        <v>0</v>
      </c>
      <c r="DJ440" s="21">
        <v>0</v>
      </c>
      <c r="DK440" s="21">
        <v>0</v>
      </c>
      <c r="DL440" s="21">
        <v>0</v>
      </c>
      <c r="DM440" s="21">
        <v>0</v>
      </c>
      <c r="DN440" s="21">
        <v>0</v>
      </c>
      <c r="DO440" s="21">
        <v>0</v>
      </c>
      <c r="DP440" s="21">
        <v>0</v>
      </c>
      <c r="DQ440" s="21">
        <v>0</v>
      </c>
      <c r="DR440" s="21">
        <v>0</v>
      </c>
      <c r="DS440" s="21">
        <v>0</v>
      </c>
      <c r="DT440" s="21">
        <v>0</v>
      </c>
      <c r="DU440" s="21">
        <v>0</v>
      </c>
      <c r="DV440" s="21">
        <v>0</v>
      </c>
      <c r="DW440" s="21">
        <v>0</v>
      </c>
      <c r="DX440" s="21">
        <v>0</v>
      </c>
      <c r="DY440" s="21">
        <v>0</v>
      </c>
      <c r="DZ440" s="21">
        <v>0</v>
      </c>
      <c r="EA440" s="21">
        <v>0</v>
      </c>
      <c r="EB440" s="21">
        <v>0</v>
      </c>
      <c r="EC440" s="21">
        <v>0</v>
      </c>
      <c r="ED440" s="21">
        <v>0</v>
      </c>
      <c r="EE440" s="21">
        <v>0</v>
      </c>
      <c r="EF440" s="21">
        <v>0</v>
      </c>
    </row>
    <row r="441" spans="1:136" ht="14.5" x14ac:dyDescent="0.35">
      <c r="A441" s="20" t="s">
        <v>12</v>
      </c>
      <c r="B441" s="20" t="s">
        <v>346</v>
      </c>
      <c r="C441" s="20" t="s">
        <v>107</v>
      </c>
      <c r="D441" s="20" t="s">
        <v>332</v>
      </c>
      <c r="E441" s="20" t="s">
        <v>14</v>
      </c>
      <c r="F441" s="20" t="s">
        <v>78</v>
      </c>
      <c r="G441" s="21">
        <v>30</v>
      </c>
      <c r="H441" s="21">
        <v>118</v>
      </c>
      <c r="I441" s="21">
        <v>88</v>
      </c>
      <c r="J441" s="21">
        <v>30</v>
      </c>
      <c r="K441" s="21">
        <v>0</v>
      </c>
      <c r="L441" s="21">
        <v>0</v>
      </c>
      <c r="M441" s="21">
        <v>0</v>
      </c>
      <c r="N441" s="21">
        <v>0</v>
      </c>
      <c r="O441" s="21">
        <v>0</v>
      </c>
      <c r="P441" s="21">
        <v>0</v>
      </c>
      <c r="Q441" s="21">
        <v>0</v>
      </c>
      <c r="R441" s="21">
        <v>0</v>
      </c>
      <c r="S441" s="21">
        <v>0</v>
      </c>
      <c r="T441" s="21">
        <v>0</v>
      </c>
      <c r="U441" s="21">
        <v>0</v>
      </c>
      <c r="V441" s="21">
        <v>0</v>
      </c>
      <c r="W441" s="21">
        <v>0</v>
      </c>
      <c r="X441" s="21">
        <v>0</v>
      </c>
      <c r="Y441" s="21">
        <v>0</v>
      </c>
      <c r="Z441" s="21">
        <v>0</v>
      </c>
      <c r="AA441" s="21">
        <v>0</v>
      </c>
      <c r="AB441" s="21">
        <v>0</v>
      </c>
      <c r="AC441" s="21">
        <v>0</v>
      </c>
      <c r="AD441" s="21">
        <v>0</v>
      </c>
      <c r="AE441" s="21">
        <v>0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1">
        <v>0</v>
      </c>
      <c r="AN441" s="21">
        <v>0</v>
      </c>
      <c r="AO441" s="21">
        <v>0</v>
      </c>
      <c r="AP441" s="21">
        <v>0</v>
      </c>
      <c r="AQ441" s="21">
        <v>0</v>
      </c>
      <c r="AR441" s="21">
        <v>0</v>
      </c>
      <c r="AS441" s="21">
        <v>0</v>
      </c>
      <c r="AT441" s="21">
        <v>0</v>
      </c>
      <c r="AU441" s="21">
        <v>0</v>
      </c>
      <c r="AV441" s="21">
        <v>0</v>
      </c>
      <c r="AW441" s="21">
        <v>0</v>
      </c>
      <c r="AX441" s="21">
        <v>0</v>
      </c>
      <c r="AY441" s="21">
        <v>0</v>
      </c>
      <c r="AZ441" s="21">
        <v>0</v>
      </c>
      <c r="BA441" s="21">
        <v>0</v>
      </c>
      <c r="BB441" s="21">
        <v>0</v>
      </c>
      <c r="BC441" s="21">
        <v>0</v>
      </c>
      <c r="BD441" s="21">
        <v>0</v>
      </c>
      <c r="BE441" s="21">
        <v>0</v>
      </c>
      <c r="BF441" s="21">
        <v>0</v>
      </c>
      <c r="BG441" s="21">
        <v>0</v>
      </c>
      <c r="BH441" s="21">
        <v>0</v>
      </c>
      <c r="BI441" s="21">
        <v>0</v>
      </c>
      <c r="BJ441" s="21">
        <v>0</v>
      </c>
      <c r="BK441" s="21">
        <v>0</v>
      </c>
      <c r="BL441" s="21">
        <v>0</v>
      </c>
      <c r="BM441" s="21">
        <v>0</v>
      </c>
      <c r="BN441" s="21">
        <v>0</v>
      </c>
      <c r="BO441" s="21">
        <v>0</v>
      </c>
      <c r="BP441" s="21">
        <v>0</v>
      </c>
      <c r="BQ441" s="21">
        <v>0</v>
      </c>
      <c r="BR441" s="21">
        <v>0</v>
      </c>
      <c r="BS441" s="21">
        <v>0</v>
      </c>
      <c r="BT441" s="21">
        <v>0</v>
      </c>
      <c r="BU441" s="21">
        <v>0</v>
      </c>
      <c r="BV441" s="21">
        <v>0</v>
      </c>
      <c r="BW441" s="21">
        <v>0</v>
      </c>
      <c r="BX441" s="21">
        <v>0</v>
      </c>
      <c r="BY441" s="21">
        <v>0</v>
      </c>
      <c r="BZ441" s="21">
        <v>0</v>
      </c>
      <c r="CA441" s="21">
        <v>0</v>
      </c>
      <c r="CB441" s="21">
        <v>0</v>
      </c>
      <c r="CC441" s="21">
        <v>0</v>
      </c>
      <c r="CD441" s="21">
        <v>0</v>
      </c>
      <c r="CE441" s="21">
        <v>0</v>
      </c>
      <c r="CF441" s="21">
        <v>0</v>
      </c>
      <c r="CG441" s="21">
        <v>0</v>
      </c>
      <c r="CH441" s="21">
        <v>0</v>
      </c>
      <c r="CI441" s="21">
        <v>0</v>
      </c>
      <c r="CJ441" s="21">
        <v>0</v>
      </c>
      <c r="CK441" s="21">
        <v>0</v>
      </c>
      <c r="CL441" s="21">
        <v>0</v>
      </c>
      <c r="CM441" s="21">
        <v>0</v>
      </c>
      <c r="CN441" s="21">
        <v>0</v>
      </c>
      <c r="CO441" s="21">
        <v>0</v>
      </c>
      <c r="CP441" s="21">
        <v>0</v>
      </c>
      <c r="CQ441" s="21">
        <v>0</v>
      </c>
      <c r="CR441" s="21">
        <v>0</v>
      </c>
      <c r="CS441" s="21">
        <v>6</v>
      </c>
      <c r="CT441" s="21">
        <v>0</v>
      </c>
      <c r="CU441" s="21">
        <v>6</v>
      </c>
      <c r="CV441" s="21">
        <v>0</v>
      </c>
      <c r="CW441" s="21">
        <v>0</v>
      </c>
      <c r="CX441" s="21">
        <v>0</v>
      </c>
      <c r="CY441" s="21">
        <v>0</v>
      </c>
      <c r="CZ441" s="21">
        <v>0</v>
      </c>
      <c r="DA441" s="21">
        <v>0</v>
      </c>
      <c r="DB441" s="21">
        <v>0</v>
      </c>
      <c r="DC441" s="21">
        <v>0</v>
      </c>
      <c r="DD441" s="21">
        <v>0</v>
      </c>
      <c r="DE441" s="21">
        <v>0</v>
      </c>
      <c r="DF441" s="21">
        <v>0</v>
      </c>
      <c r="DG441" s="21">
        <v>0</v>
      </c>
      <c r="DH441" s="21">
        <v>0</v>
      </c>
      <c r="DI441" s="21">
        <v>0</v>
      </c>
      <c r="DJ441" s="21">
        <v>0</v>
      </c>
      <c r="DK441" s="21">
        <v>0</v>
      </c>
      <c r="DL441" s="21">
        <v>0</v>
      </c>
      <c r="DM441" s="21">
        <v>8</v>
      </c>
      <c r="DN441" s="21">
        <v>8</v>
      </c>
      <c r="DO441" s="21">
        <v>15</v>
      </c>
      <c r="DP441" s="21">
        <v>15</v>
      </c>
      <c r="DQ441" s="21">
        <v>28</v>
      </c>
      <c r="DR441" s="21">
        <v>2</v>
      </c>
      <c r="DS441" s="21">
        <v>0</v>
      </c>
      <c r="DT441" s="21">
        <v>0</v>
      </c>
      <c r="DU441" s="21">
        <v>0</v>
      </c>
      <c r="DV441" s="21">
        <v>0</v>
      </c>
      <c r="DW441" s="21">
        <v>0</v>
      </c>
      <c r="DX441" s="21">
        <v>0</v>
      </c>
      <c r="DY441" s="21">
        <v>0</v>
      </c>
      <c r="DZ441" s="21">
        <v>0</v>
      </c>
      <c r="EA441" s="21">
        <v>0</v>
      </c>
      <c r="EB441" s="21">
        <v>0</v>
      </c>
      <c r="EC441" s="21">
        <v>0</v>
      </c>
      <c r="ED441" s="21">
        <v>0</v>
      </c>
      <c r="EE441" s="21">
        <v>0</v>
      </c>
      <c r="EF441" s="21">
        <v>0</v>
      </c>
    </row>
    <row r="442" spans="1:136" ht="14.5" x14ac:dyDescent="0.35">
      <c r="A442" s="20" t="s">
        <v>12</v>
      </c>
      <c r="B442" s="20" t="s">
        <v>347</v>
      </c>
      <c r="C442" s="20" t="s">
        <v>107</v>
      </c>
      <c r="D442" s="20" t="s">
        <v>336</v>
      </c>
      <c r="E442" s="20" t="s">
        <v>16</v>
      </c>
      <c r="F442" s="20" t="s">
        <v>90</v>
      </c>
      <c r="G442" s="21">
        <v>63</v>
      </c>
      <c r="H442" s="21">
        <v>63</v>
      </c>
      <c r="I442" s="21">
        <v>0</v>
      </c>
      <c r="J442" s="21">
        <v>63</v>
      </c>
      <c r="K442" s="21">
        <v>0</v>
      </c>
      <c r="L442" s="21">
        <v>0</v>
      </c>
      <c r="M442" s="21">
        <v>0</v>
      </c>
      <c r="N442" s="21">
        <v>0</v>
      </c>
      <c r="O442" s="21">
        <v>0</v>
      </c>
      <c r="P442" s="21">
        <v>0</v>
      </c>
      <c r="Q442" s="21">
        <v>0</v>
      </c>
      <c r="R442" s="21">
        <v>0</v>
      </c>
      <c r="S442" s="21">
        <v>0</v>
      </c>
      <c r="T442" s="21">
        <v>0</v>
      </c>
      <c r="U442" s="21">
        <v>0</v>
      </c>
      <c r="V442" s="21">
        <v>0</v>
      </c>
      <c r="W442" s="21">
        <v>0</v>
      </c>
      <c r="X442" s="21">
        <v>0</v>
      </c>
      <c r="Y442" s="21">
        <v>0</v>
      </c>
      <c r="Z442" s="21">
        <v>0</v>
      </c>
      <c r="AA442" s="21">
        <v>0</v>
      </c>
      <c r="AB442" s="21">
        <v>0</v>
      </c>
      <c r="AC442" s="21">
        <v>0</v>
      </c>
      <c r="AD442" s="21">
        <v>0</v>
      </c>
      <c r="AE442" s="21">
        <v>0</v>
      </c>
      <c r="AF442" s="21">
        <v>0</v>
      </c>
      <c r="AG442" s="21">
        <v>0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0</v>
      </c>
      <c r="AN442" s="21">
        <v>0</v>
      </c>
      <c r="AO442" s="21">
        <v>0</v>
      </c>
      <c r="AP442" s="21">
        <v>0</v>
      </c>
      <c r="AQ442" s="21">
        <v>0</v>
      </c>
      <c r="AR442" s="21">
        <v>0</v>
      </c>
      <c r="AS442" s="21">
        <v>0</v>
      </c>
      <c r="AT442" s="21">
        <v>0</v>
      </c>
      <c r="AU442" s="21">
        <v>0</v>
      </c>
      <c r="AV442" s="21">
        <v>0</v>
      </c>
      <c r="AW442" s="21">
        <v>0</v>
      </c>
      <c r="AX442" s="21">
        <v>0</v>
      </c>
      <c r="AY442" s="21">
        <v>0</v>
      </c>
      <c r="AZ442" s="21">
        <v>0</v>
      </c>
      <c r="BA442" s="21">
        <v>0</v>
      </c>
      <c r="BB442" s="21">
        <v>0</v>
      </c>
      <c r="BC442" s="21">
        <v>0</v>
      </c>
      <c r="BD442" s="21">
        <v>0</v>
      </c>
      <c r="BE442" s="21">
        <v>0</v>
      </c>
      <c r="BF442" s="21">
        <v>0</v>
      </c>
      <c r="BG442" s="21">
        <v>0</v>
      </c>
      <c r="BH442" s="21">
        <v>0</v>
      </c>
      <c r="BI442" s="21">
        <v>0</v>
      </c>
      <c r="BJ442" s="21">
        <v>0</v>
      </c>
      <c r="BK442" s="21">
        <v>0</v>
      </c>
      <c r="BL442" s="21">
        <v>0</v>
      </c>
      <c r="BM442" s="21">
        <v>0</v>
      </c>
      <c r="BN442" s="21">
        <v>0</v>
      </c>
      <c r="BO442" s="21">
        <v>0</v>
      </c>
      <c r="BP442" s="21">
        <v>0</v>
      </c>
      <c r="BQ442" s="21">
        <v>0</v>
      </c>
      <c r="BR442" s="21">
        <v>0</v>
      </c>
      <c r="BS442" s="21">
        <v>0</v>
      </c>
      <c r="BT442" s="21">
        <v>0</v>
      </c>
      <c r="BU442" s="21">
        <v>0</v>
      </c>
      <c r="BV442" s="21">
        <v>0</v>
      </c>
      <c r="BW442" s="21">
        <v>0</v>
      </c>
      <c r="BX442" s="21">
        <v>0</v>
      </c>
      <c r="BY442" s="21">
        <v>0</v>
      </c>
      <c r="BZ442" s="21">
        <v>0</v>
      </c>
      <c r="CA442" s="21">
        <v>0</v>
      </c>
      <c r="CB442" s="21">
        <v>0</v>
      </c>
      <c r="CC442" s="21">
        <v>0</v>
      </c>
      <c r="CD442" s="21">
        <v>0</v>
      </c>
      <c r="CE442" s="21">
        <v>0</v>
      </c>
      <c r="CF442" s="21">
        <v>0</v>
      </c>
      <c r="CG442" s="21">
        <v>0</v>
      </c>
      <c r="CH442" s="21">
        <v>0</v>
      </c>
      <c r="CI442" s="21">
        <v>0</v>
      </c>
      <c r="CJ442" s="21">
        <v>0</v>
      </c>
      <c r="CK442" s="21">
        <v>0</v>
      </c>
      <c r="CL442" s="21">
        <v>0</v>
      </c>
      <c r="CM442" s="21">
        <v>0</v>
      </c>
      <c r="CN442" s="21">
        <v>0</v>
      </c>
      <c r="CO442" s="21">
        <v>0</v>
      </c>
      <c r="CP442" s="21">
        <v>0</v>
      </c>
      <c r="CQ442" s="21">
        <v>0</v>
      </c>
      <c r="CR442" s="21">
        <v>0</v>
      </c>
      <c r="CS442" s="21">
        <v>0</v>
      </c>
      <c r="CT442" s="21">
        <v>0</v>
      </c>
      <c r="CU442" s="21">
        <v>0</v>
      </c>
      <c r="CV442" s="21">
        <v>0</v>
      </c>
      <c r="CW442" s="21">
        <v>0</v>
      </c>
      <c r="CX442" s="21">
        <v>0</v>
      </c>
      <c r="CY442" s="21">
        <v>0</v>
      </c>
      <c r="CZ442" s="21">
        <v>0</v>
      </c>
      <c r="DA442" s="21">
        <v>0</v>
      </c>
      <c r="DB442" s="21">
        <v>0</v>
      </c>
      <c r="DC442" s="21">
        <v>0</v>
      </c>
      <c r="DD442" s="21">
        <v>0</v>
      </c>
      <c r="DE442" s="21">
        <v>0</v>
      </c>
      <c r="DF442" s="21">
        <v>0</v>
      </c>
      <c r="DG442" s="21">
        <v>0</v>
      </c>
      <c r="DH442" s="21">
        <v>0</v>
      </c>
      <c r="DI442" s="21">
        <v>0</v>
      </c>
      <c r="DJ442" s="21">
        <v>0</v>
      </c>
      <c r="DK442" s="21">
        <v>0</v>
      </c>
      <c r="DL442" s="21">
        <v>0</v>
      </c>
      <c r="DM442" s="21">
        <v>0</v>
      </c>
      <c r="DN442" s="21">
        <v>0</v>
      </c>
      <c r="DO442" s="21">
        <v>0</v>
      </c>
      <c r="DP442" s="21">
        <v>0</v>
      </c>
      <c r="DQ442" s="21">
        <v>0</v>
      </c>
      <c r="DR442" s="21">
        <v>0</v>
      </c>
      <c r="DS442" s="21">
        <v>0</v>
      </c>
      <c r="DT442" s="21">
        <v>0</v>
      </c>
      <c r="DU442" s="21">
        <v>0</v>
      </c>
      <c r="DV442" s="21">
        <v>0</v>
      </c>
      <c r="DW442" s="21">
        <v>0</v>
      </c>
      <c r="DX442" s="21">
        <v>0</v>
      </c>
      <c r="DY442" s="21">
        <v>0</v>
      </c>
      <c r="DZ442" s="21">
        <v>0</v>
      </c>
      <c r="EA442" s="21">
        <v>0</v>
      </c>
      <c r="EB442" s="21">
        <v>0</v>
      </c>
      <c r="EC442" s="21">
        <v>0</v>
      </c>
      <c r="ED442" s="21">
        <v>0</v>
      </c>
      <c r="EE442" s="21">
        <v>0</v>
      </c>
      <c r="EF442" s="21">
        <v>0</v>
      </c>
    </row>
    <row r="443" spans="1:136" ht="14.5" x14ac:dyDescent="0.35">
      <c r="A443" s="20" t="s">
        <v>12</v>
      </c>
      <c r="B443" s="20" t="s">
        <v>348</v>
      </c>
      <c r="C443" s="20" t="s">
        <v>107</v>
      </c>
      <c r="D443" s="20" t="s">
        <v>339</v>
      </c>
      <c r="E443" s="20" t="s">
        <v>14</v>
      </c>
      <c r="F443" s="20" t="s">
        <v>125</v>
      </c>
      <c r="G443" s="21">
        <v>1.5</v>
      </c>
      <c r="H443" s="21">
        <v>1.5</v>
      </c>
      <c r="I443" s="21">
        <v>0</v>
      </c>
      <c r="J443" s="21">
        <v>1.5</v>
      </c>
      <c r="K443" s="21">
        <v>0</v>
      </c>
      <c r="L443" s="21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0</v>
      </c>
      <c r="T443" s="21">
        <v>0</v>
      </c>
      <c r="U443" s="21">
        <v>0</v>
      </c>
      <c r="V443" s="21">
        <v>0</v>
      </c>
      <c r="W443" s="21">
        <v>0</v>
      </c>
      <c r="X443" s="21">
        <v>0</v>
      </c>
      <c r="Y443" s="21">
        <v>0</v>
      </c>
      <c r="Z443" s="21">
        <v>0</v>
      </c>
      <c r="AA443" s="21">
        <v>0</v>
      </c>
      <c r="AB443" s="21">
        <v>0</v>
      </c>
      <c r="AC443" s="21">
        <v>0</v>
      </c>
      <c r="AD443" s="21">
        <v>0</v>
      </c>
      <c r="AE443" s="21">
        <v>0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0</v>
      </c>
      <c r="AN443" s="21">
        <v>0</v>
      </c>
      <c r="AO443" s="21">
        <v>0</v>
      </c>
      <c r="AP443" s="21">
        <v>0</v>
      </c>
      <c r="AQ443" s="21">
        <v>0</v>
      </c>
      <c r="AR443" s="21">
        <v>0</v>
      </c>
      <c r="AS443" s="21">
        <v>0</v>
      </c>
      <c r="AT443" s="21">
        <v>0</v>
      </c>
      <c r="AU443" s="21">
        <v>0</v>
      </c>
      <c r="AV443" s="21">
        <v>0</v>
      </c>
      <c r="AW443" s="21">
        <v>0</v>
      </c>
      <c r="AX443" s="21">
        <v>0</v>
      </c>
      <c r="AY443" s="21">
        <v>0</v>
      </c>
      <c r="AZ443" s="21">
        <v>0</v>
      </c>
      <c r="BA443" s="21">
        <v>0</v>
      </c>
      <c r="BB443" s="21">
        <v>0</v>
      </c>
      <c r="BC443" s="21">
        <v>0</v>
      </c>
      <c r="BD443" s="21">
        <v>0</v>
      </c>
      <c r="BE443" s="21">
        <v>0</v>
      </c>
      <c r="BF443" s="21">
        <v>0</v>
      </c>
      <c r="BG443" s="21">
        <v>0</v>
      </c>
      <c r="BH443" s="21">
        <v>0</v>
      </c>
      <c r="BI443" s="21">
        <v>0</v>
      </c>
      <c r="BJ443" s="21">
        <v>0</v>
      </c>
      <c r="BK443" s="21">
        <v>0</v>
      </c>
      <c r="BL443" s="21">
        <v>0</v>
      </c>
      <c r="BM443" s="21">
        <v>0</v>
      </c>
      <c r="BN443" s="21">
        <v>0</v>
      </c>
      <c r="BO443" s="21">
        <v>0</v>
      </c>
      <c r="BP443" s="21">
        <v>0</v>
      </c>
      <c r="BQ443" s="21">
        <v>0</v>
      </c>
      <c r="BR443" s="21">
        <v>0</v>
      </c>
      <c r="BS443" s="21">
        <v>0</v>
      </c>
      <c r="BT443" s="21">
        <v>0</v>
      </c>
      <c r="BU443" s="21">
        <v>0</v>
      </c>
      <c r="BV443" s="21">
        <v>0</v>
      </c>
      <c r="BW443" s="21">
        <v>0</v>
      </c>
      <c r="BX443" s="21">
        <v>0</v>
      </c>
      <c r="BY443" s="21">
        <v>0</v>
      </c>
      <c r="BZ443" s="21">
        <v>0</v>
      </c>
      <c r="CA443" s="21">
        <v>0</v>
      </c>
      <c r="CB443" s="21">
        <v>0</v>
      </c>
      <c r="CC443" s="21">
        <v>0</v>
      </c>
      <c r="CD443" s="21">
        <v>0</v>
      </c>
      <c r="CE443" s="21">
        <v>0</v>
      </c>
      <c r="CF443" s="21">
        <v>0</v>
      </c>
      <c r="CG443" s="21">
        <v>0</v>
      </c>
      <c r="CH443" s="21">
        <v>0</v>
      </c>
      <c r="CI443" s="21">
        <v>0</v>
      </c>
      <c r="CJ443" s="21">
        <v>0</v>
      </c>
      <c r="CK443" s="21">
        <v>0</v>
      </c>
      <c r="CL443" s="21">
        <v>0</v>
      </c>
      <c r="CM443" s="21">
        <v>0</v>
      </c>
      <c r="CN443" s="21">
        <v>0</v>
      </c>
      <c r="CO443" s="21">
        <v>0</v>
      </c>
      <c r="CP443" s="21">
        <v>0</v>
      </c>
      <c r="CQ443" s="21">
        <v>0</v>
      </c>
      <c r="CR443" s="21">
        <v>0</v>
      </c>
      <c r="CS443" s="21">
        <v>0</v>
      </c>
      <c r="CT443" s="21">
        <v>0</v>
      </c>
      <c r="CU443" s="21">
        <v>0</v>
      </c>
      <c r="CV443" s="21">
        <v>0</v>
      </c>
      <c r="CW443" s="21">
        <v>0</v>
      </c>
      <c r="CX443" s="21">
        <v>0</v>
      </c>
      <c r="CY443" s="21">
        <v>0</v>
      </c>
      <c r="CZ443" s="21">
        <v>0</v>
      </c>
      <c r="DA443" s="21">
        <v>0</v>
      </c>
      <c r="DB443" s="21">
        <v>0</v>
      </c>
      <c r="DC443" s="21">
        <v>0</v>
      </c>
      <c r="DD443" s="21">
        <v>0</v>
      </c>
      <c r="DE443" s="21">
        <v>0</v>
      </c>
      <c r="DF443" s="21">
        <v>0</v>
      </c>
      <c r="DG443" s="21">
        <v>0</v>
      </c>
      <c r="DH443" s="21">
        <v>0</v>
      </c>
      <c r="DI443" s="21">
        <v>0</v>
      </c>
      <c r="DJ443" s="21">
        <v>0</v>
      </c>
      <c r="DK443" s="21">
        <v>0</v>
      </c>
      <c r="DL443" s="21">
        <v>0</v>
      </c>
      <c r="DM443" s="21">
        <v>0</v>
      </c>
      <c r="DN443" s="21">
        <v>0</v>
      </c>
      <c r="DO443" s="21">
        <v>0</v>
      </c>
      <c r="DP443" s="21">
        <v>0</v>
      </c>
      <c r="DQ443" s="21">
        <v>0</v>
      </c>
      <c r="DR443" s="21">
        <v>0</v>
      </c>
      <c r="DS443" s="21">
        <v>0</v>
      </c>
      <c r="DT443" s="21">
        <v>0</v>
      </c>
      <c r="DU443" s="21">
        <v>0</v>
      </c>
      <c r="DV443" s="21">
        <v>0</v>
      </c>
      <c r="DW443" s="21">
        <v>0</v>
      </c>
      <c r="DX443" s="21">
        <v>0</v>
      </c>
      <c r="DY443" s="21">
        <v>0</v>
      </c>
      <c r="DZ443" s="21">
        <v>0</v>
      </c>
      <c r="EA443" s="21">
        <v>0</v>
      </c>
      <c r="EB443" s="21">
        <v>0</v>
      </c>
      <c r="EC443" s="21">
        <v>0</v>
      </c>
      <c r="ED443" s="21">
        <v>0</v>
      </c>
      <c r="EE443" s="21">
        <v>0</v>
      </c>
      <c r="EF443" s="21">
        <v>0</v>
      </c>
    </row>
    <row r="444" spans="1:136" ht="14.5" x14ac:dyDescent="0.35">
      <c r="A444" s="20" t="s">
        <v>12</v>
      </c>
      <c r="B444" s="20" t="s">
        <v>348</v>
      </c>
      <c r="C444" s="20" t="s">
        <v>107</v>
      </c>
      <c r="D444" s="20" t="s">
        <v>339</v>
      </c>
      <c r="E444" s="20" t="s">
        <v>14</v>
      </c>
      <c r="F444" s="20" t="s">
        <v>102</v>
      </c>
      <c r="G444" s="21">
        <v>74</v>
      </c>
      <c r="H444" s="21">
        <v>210</v>
      </c>
      <c r="I444" s="21">
        <v>180</v>
      </c>
      <c r="J444" s="21">
        <v>30</v>
      </c>
      <c r="K444" s="21">
        <v>0</v>
      </c>
      <c r="L444" s="21">
        <v>0</v>
      </c>
      <c r="M444" s="21">
        <v>0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>
        <v>0</v>
      </c>
      <c r="T444" s="21">
        <v>0</v>
      </c>
      <c r="U444" s="21">
        <v>0</v>
      </c>
      <c r="V444" s="21">
        <v>0</v>
      </c>
      <c r="W444" s="21">
        <v>0</v>
      </c>
      <c r="X444" s="21">
        <v>0</v>
      </c>
      <c r="Y444" s="21">
        <v>0</v>
      </c>
      <c r="Z444" s="21">
        <v>0</v>
      </c>
      <c r="AA444" s="21">
        <v>0</v>
      </c>
      <c r="AB444" s="21">
        <v>0</v>
      </c>
      <c r="AC444" s="21">
        <v>0</v>
      </c>
      <c r="AD444" s="21">
        <v>0</v>
      </c>
      <c r="AE444" s="21">
        <v>0</v>
      </c>
      <c r="AF444" s="21">
        <v>0</v>
      </c>
      <c r="AG444" s="21">
        <v>0</v>
      </c>
      <c r="AH444" s="21">
        <v>0</v>
      </c>
      <c r="AI444" s="21">
        <v>0</v>
      </c>
      <c r="AJ444" s="21">
        <v>0</v>
      </c>
      <c r="AK444" s="21">
        <v>0</v>
      </c>
      <c r="AL444" s="21">
        <v>0</v>
      </c>
      <c r="AM444" s="21">
        <v>0</v>
      </c>
      <c r="AN444" s="21">
        <v>0</v>
      </c>
      <c r="AO444" s="21">
        <v>0</v>
      </c>
      <c r="AP444" s="21">
        <v>0</v>
      </c>
      <c r="AQ444" s="21">
        <v>0</v>
      </c>
      <c r="AR444" s="21">
        <v>0</v>
      </c>
      <c r="AS444" s="21">
        <v>0</v>
      </c>
      <c r="AT444" s="21">
        <v>0</v>
      </c>
      <c r="AU444" s="21">
        <v>0</v>
      </c>
      <c r="AV444" s="21">
        <v>0</v>
      </c>
      <c r="AW444" s="21">
        <v>0</v>
      </c>
      <c r="AX444" s="21">
        <v>0</v>
      </c>
      <c r="AY444" s="21">
        <v>0</v>
      </c>
      <c r="AZ444" s="21">
        <v>0</v>
      </c>
      <c r="BA444" s="21">
        <v>0</v>
      </c>
      <c r="BB444" s="21">
        <v>0</v>
      </c>
      <c r="BC444" s="21">
        <v>0</v>
      </c>
      <c r="BD444" s="21">
        <v>0</v>
      </c>
      <c r="BE444" s="21">
        <v>0</v>
      </c>
      <c r="BF444" s="21">
        <v>0</v>
      </c>
      <c r="BG444" s="21">
        <v>0</v>
      </c>
      <c r="BH444" s="21">
        <v>0</v>
      </c>
      <c r="BI444" s="21">
        <v>0</v>
      </c>
      <c r="BJ444" s="21">
        <v>0</v>
      </c>
      <c r="BK444" s="21">
        <v>0</v>
      </c>
      <c r="BL444" s="21">
        <v>0</v>
      </c>
      <c r="BM444" s="21">
        <v>0</v>
      </c>
      <c r="BN444" s="21">
        <v>0</v>
      </c>
      <c r="BO444" s="21">
        <v>0</v>
      </c>
      <c r="BP444" s="21">
        <v>0</v>
      </c>
      <c r="BQ444" s="21">
        <v>0</v>
      </c>
      <c r="BR444" s="21">
        <v>0</v>
      </c>
      <c r="BS444" s="21">
        <v>0</v>
      </c>
      <c r="BT444" s="21">
        <v>0</v>
      </c>
      <c r="BU444" s="21">
        <v>0</v>
      </c>
      <c r="BV444" s="21">
        <v>0</v>
      </c>
      <c r="BW444" s="21">
        <v>0</v>
      </c>
      <c r="BX444" s="21">
        <v>0</v>
      </c>
      <c r="BY444" s="21">
        <v>0</v>
      </c>
      <c r="BZ444" s="21">
        <v>0</v>
      </c>
      <c r="CA444" s="21">
        <v>0</v>
      </c>
      <c r="CB444" s="21">
        <v>0</v>
      </c>
      <c r="CC444" s="21">
        <v>0</v>
      </c>
      <c r="CD444" s="21">
        <v>0</v>
      </c>
      <c r="CE444" s="21">
        <v>0</v>
      </c>
      <c r="CF444" s="21">
        <v>0</v>
      </c>
      <c r="CG444" s="21">
        <v>0</v>
      </c>
      <c r="CH444" s="21">
        <v>0</v>
      </c>
      <c r="CI444" s="21">
        <v>0</v>
      </c>
      <c r="CJ444" s="21">
        <v>0</v>
      </c>
      <c r="CK444" s="21">
        <v>0</v>
      </c>
      <c r="CL444" s="21">
        <v>0</v>
      </c>
      <c r="CM444" s="21">
        <v>0</v>
      </c>
      <c r="CN444" s="21">
        <v>0</v>
      </c>
      <c r="CO444" s="21">
        <v>0</v>
      </c>
      <c r="CP444" s="21">
        <v>0</v>
      </c>
      <c r="CQ444" s="21">
        <v>0</v>
      </c>
      <c r="CR444" s="21">
        <v>0</v>
      </c>
      <c r="CS444" s="21">
        <v>0</v>
      </c>
      <c r="CT444" s="21">
        <v>0</v>
      </c>
      <c r="CU444" s="21">
        <v>0</v>
      </c>
      <c r="CV444" s="21">
        <v>0</v>
      </c>
      <c r="CW444" s="21">
        <v>0</v>
      </c>
      <c r="CX444" s="21">
        <v>0</v>
      </c>
      <c r="CY444" s="21">
        <v>0</v>
      </c>
      <c r="CZ444" s="21">
        <v>0</v>
      </c>
      <c r="DA444" s="21">
        <v>0</v>
      </c>
      <c r="DB444" s="21">
        <v>0</v>
      </c>
      <c r="DC444" s="21">
        <v>0</v>
      </c>
      <c r="DD444" s="21">
        <v>0</v>
      </c>
      <c r="DE444" s="21">
        <v>0</v>
      </c>
      <c r="DF444" s="21">
        <v>0</v>
      </c>
      <c r="DG444" s="21">
        <v>0</v>
      </c>
      <c r="DH444" s="21">
        <v>0</v>
      </c>
      <c r="DI444" s="21">
        <v>0</v>
      </c>
      <c r="DJ444" s="21">
        <v>0</v>
      </c>
      <c r="DK444" s="21">
        <v>0</v>
      </c>
      <c r="DL444" s="21">
        <v>10</v>
      </c>
      <c r="DM444" s="21">
        <v>15</v>
      </c>
      <c r="DN444" s="21">
        <v>25</v>
      </c>
      <c r="DO444" s="21">
        <v>25</v>
      </c>
      <c r="DP444" s="21">
        <v>35</v>
      </c>
      <c r="DQ444" s="21">
        <v>35</v>
      </c>
      <c r="DR444" s="21">
        <v>35</v>
      </c>
      <c r="DS444" s="21">
        <v>0</v>
      </c>
      <c r="DT444" s="21">
        <v>0</v>
      </c>
      <c r="DU444" s="21">
        <v>0</v>
      </c>
      <c r="DV444" s="21">
        <v>0</v>
      </c>
      <c r="DW444" s="21">
        <v>0</v>
      </c>
      <c r="DX444" s="21">
        <v>0</v>
      </c>
      <c r="DY444" s="21">
        <v>0</v>
      </c>
      <c r="DZ444" s="21">
        <v>0</v>
      </c>
      <c r="EA444" s="21">
        <v>0</v>
      </c>
      <c r="EB444" s="21">
        <v>0</v>
      </c>
      <c r="EC444" s="21">
        <v>0</v>
      </c>
      <c r="ED444" s="21">
        <v>0</v>
      </c>
      <c r="EE444" s="21">
        <v>0</v>
      </c>
      <c r="EF444" s="21">
        <v>0</v>
      </c>
    </row>
    <row r="445" spans="1:136" ht="14.5" x14ac:dyDescent="0.35">
      <c r="A445" s="20" t="s">
        <v>12</v>
      </c>
      <c r="B445" s="20" t="s">
        <v>349</v>
      </c>
      <c r="C445" s="20" t="s">
        <v>107</v>
      </c>
      <c r="D445" s="20" t="s">
        <v>338</v>
      </c>
      <c r="E445" s="20" t="s">
        <v>16</v>
      </c>
      <c r="F445" s="20" t="s">
        <v>83</v>
      </c>
      <c r="G445" s="21">
        <v>4</v>
      </c>
      <c r="H445" s="21">
        <v>20</v>
      </c>
      <c r="I445" s="21">
        <v>16</v>
      </c>
      <c r="J445" s="21">
        <v>4</v>
      </c>
      <c r="K445" s="21">
        <v>0</v>
      </c>
      <c r="L445" s="21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0</v>
      </c>
      <c r="T445" s="21">
        <v>0</v>
      </c>
      <c r="U445" s="21">
        <v>0</v>
      </c>
      <c r="V445" s="21">
        <v>0</v>
      </c>
      <c r="W445" s="21">
        <v>0</v>
      </c>
      <c r="X445" s="21">
        <v>0</v>
      </c>
      <c r="Y445" s="21">
        <v>0</v>
      </c>
      <c r="Z445" s="21">
        <v>0</v>
      </c>
      <c r="AA445" s="21">
        <v>0</v>
      </c>
      <c r="AB445" s="21">
        <v>0</v>
      </c>
      <c r="AC445" s="21">
        <v>0</v>
      </c>
      <c r="AD445" s="21">
        <v>0</v>
      </c>
      <c r="AE445" s="21">
        <v>0</v>
      </c>
      <c r="AF445" s="21">
        <v>0</v>
      </c>
      <c r="AG445" s="21">
        <v>0</v>
      </c>
      <c r="AH445" s="21">
        <v>0</v>
      </c>
      <c r="AI445" s="21">
        <v>0</v>
      </c>
      <c r="AJ445" s="21">
        <v>0</v>
      </c>
      <c r="AK445" s="21">
        <v>0</v>
      </c>
      <c r="AL445" s="21">
        <v>0</v>
      </c>
      <c r="AM445" s="21">
        <v>0</v>
      </c>
      <c r="AN445" s="21">
        <v>0</v>
      </c>
      <c r="AO445" s="21">
        <v>0</v>
      </c>
      <c r="AP445" s="21">
        <v>0</v>
      </c>
      <c r="AQ445" s="21">
        <v>0</v>
      </c>
      <c r="AR445" s="21">
        <v>0</v>
      </c>
      <c r="AS445" s="21">
        <v>0</v>
      </c>
      <c r="AT445" s="21">
        <v>0</v>
      </c>
      <c r="AU445" s="21">
        <v>0</v>
      </c>
      <c r="AV445" s="21">
        <v>0</v>
      </c>
      <c r="AW445" s="21">
        <v>0</v>
      </c>
      <c r="AX445" s="21">
        <v>0</v>
      </c>
      <c r="AY445" s="21">
        <v>0</v>
      </c>
      <c r="AZ445" s="21">
        <v>0</v>
      </c>
      <c r="BA445" s="21">
        <v>0</v>
      </c>
      <c r="BB445" s="21">
        <v>0</v>
      </c>
      <c r="BC445" s="21">
        <v>0</v>
      </c>
      <c r="BD445" s="21">
        <v>0</v>
      </c>
      <c r="BE445" s="21">
        <v>0</v>
      </c>
      <c r="BF445" s="21">
        <v>0</v>
      </c>
      <c r="BG445" s="21">
        <v>0</v>
      </c>
      <c r="BH445" s="21">
        <v>0</v>
      </c>
      <c r="BI445" s="21">
        <v>0</v>
      </c>
      <c r="BJ445" s="21">
        <v>0</v>
      </c>
      <c r="BK445" s="21">
        <v>0</v>
      </c>
      <c r="BL445" s="21">
        <v>0</v>
      </c>
      <c r="BM445" s="21">
        <v>0</v>
      </c>
      <c r="BN445" s="21">
        <v>0</v>
      </c>
      <c r="BO445" s="21">
        <v>0</v>
      </c>
      <c r="BP445" s="21">
        <v>0</v>
      </c>
      <c r="BQ445" s="21">
        <v>0</v>
      </c>
      <c r="BR445" s="21">
        <v>0</v>
      </c>
      <c r="BS445" s="21">
        <v>0</v>
      </c>
      <c r="BT445" s="21">
        <v>0</v>
      </c>
      <c r="BU445" s="21">
        <v>0</v>
      </c>
      <c r="BV445" s="21">
        <v>0</v>
      </c>
      <c r="BW445" s="21">
        <v>0</v>
      </c>
      <c r="BX445" s="21">
        <v>0</v>
      </c>
      <c r="BY445" s="21">
        <v>0</v>
      </c>
      <c r="BZ445" s="21">
        <v>0</v>
      </c>
      <c r="CA445" s="21">
        <v>0</v>
      </c>
      <c r="CB445" s="21">
        <v>0</v>
      </c>
      <c r="CC445" s="21">
        <v>0</v>
      </c>
      <c r="CD445" s="21">
        <v>0</v>
      </c>
      <c r="CE445" s="21">
        <v>0</v>
      </c>
      <c r="CF445" s="21">
        <v>0</v>
      </c>
      <c r="CG445" s="21">
        <v>0</v>
      </c>
      <c r="CH445" s="21">
        <v>0</v>
      </c>
      <c r="CI445" s="21">
        <v>0</v>
      </c>
      <c r="CJ445" s="21">
        <v>0</v>
      </c>
      <c r="CK445" s="21">
        <v>0</v>
      </c>
      <c r="CL445" s="21">
        <v>0</v>
      </c>
      <c r="CM445" s="21">
        <v>0</v>
      </c>
      <c r="CN445" s="21">
        <v>0</v>
      </c>
      <c r="CO445" s="21">
        <v>0</v>
      </c>
      <c r="CP445" s="21">
        <v>0</v>
      </c>
      <c r="CQ445" s="21">
        <v>0</v>
      </c>
      <c r="CR445" s="21">
        <v>0</v>
      </c>
      <c r="CS445" s="21">
        <v>0</v>
      </c>
      <c r="CT445" s="21">
        <v>0</v>
      </c>
      <c r="CU445" s="21">
        <v>0</v>
      </c>
      <c r="CV445" s="21">
        <v>0</v>
      </c>
      <c r="CW445" s="21">
        <v>0</v>
      </c>
      <c r="CX445" s="21">
        <v>0</v>
      </c>
      <c r="CY445" s="21">
        <v>0</v>
      </c>
      <c r="CZ445" s="21">
        <v>0</v>
      </c>
      <c r="DA445" s="21">
        <v>0</v>
      </c>
      <c r="DB445" s="21">
        <v>0</v>
      </c>
      <c r="DC445" s="21">
        <v>0</v>
      </c>
      <c r="DD445" s="21">
        <v>0</v>
      </c>
      <c r="DE445" s="21">
        <v>0</v>
      </c>
      <c r="DF445" s="21">
        <v>0</v>
      </c>
      <c r="DG445" s="21">
        <v>0</v>
      </c>
      <c r="DH445" s="21">
        <v>0</v>
      </c>
      <c r="DI445" s="21">
        <v>0</v>
      </c>
      <c r="DJ445" s="21">
        <v>0</v>
      </c>
      <c r="DK445" s="21">
        <v>0</v>
      </c>
      <c r="DL445" s="21">
        <v>0</v>
      </c>
      <c r="DM445" s="21">
        <v>0</v>
      </c>
      <c r="DN445" s="21">
        <v>4</v>
      </c>
      <c r="DO445" s="21">
        <v>4</v>
      </c>
      <c r="DP445" s="21">
        <v>4</v>
      </c>
      <c r="DQ445" s="21">
        <v>4</v>
      </c>
      <c r="DR445" s="21">
        <v>0</v>
      </c>
      <c r="DS445" s="21">
        <v>0</v>
      </c>
      <c r="DT445" s="21">
        <v>0</v>
      </c>
      <c r="DU445" s="21">
        <v>0</v>
      </c>
      <c r="DV445" s="21">
        <v>0</v>
      </c>
      <c r="DW445" s="21">
        <v>0</v>
      </c>
      <c r="DX445" s="21">
        <v>0</v>
      </c>
      <c r="DY445" s="21">
        <v>0</v>
      </c>
      <c r="DZ445" s="21">
        <v>0</v>
      </c>
      <c r="EA445" s="21">
        <v>0</v>
      </c>
      <c r="EB445" s="21">
        <v>0</v>
      </c>
      <c r="EC445" s="21">
        <v>0</v>
      </c>
      <c r="ED445" s="21">
        <v>0</v>
      </c>
      <c r="EE445" s="21">
        <v>0</v>
      </c>
      <c r="EF445" s="21">
        <v>0</v>
      </c>
    </row>
    <row r="446" spans="1:136" ht="14.5" x14ac:dyDescent="0.35">
      <c r="A446" s="20" t="s">
        <v>12</v>
      </c>
      <c r="B446" s="20" t="s">
        <v>350</v>
      </c>
      <c r="C446" s="20" t="s">
        <v>107</v>
      </c>
      <c r="D446" s="20" t="s">
        <v>334</v>
      </c>
      <c r="E446" s="20" t="s">
        <v>10</v>
      </c>
      <c r="F446" s="20" t="s">
        <v>134</v>
      </c>
      <c r="G446" s="21">
        <v>1.5</v>
      </c>
      <c r="H446" s="21">
        <v>1.5</v>
      </c>
      <c r="I446" s="21">
        <v>0</v>
      </c>
      <c r="J446" s="21">
        <v>1.5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1">
        <v>0</v>
      </c>
      <c r="S446" s="21">
        <v>0</v>
      </c>
      <c r="T446" s="21">
        <v>0</v>
      </c>
      <c r="U446" s="21">
        <v>0</v>
      </c>
      <c r="V446" s="21">
        <v>0</v>
      </c>
      <c r="W446" s="21">
        <v>0</v>
      </c>
      <c r="X446" s="21">
        <v>0</v>
      </c>
      <c r="Y446" s="21">
        <v>0</v>
      </c>
      <c r="Z446" s="21">
        <v>0</v>
      </c>
      <c r="AA446" s="21">
        <v>0</v>
      </c>
      <c r="AB446" s="21">
        <v>0</v>
      </c>
      <c r="AC446" s="21">
        <v>0</v>
      </c>
      <c r="AD446" s="21">
        <v>0</v>
      </c>
      <c r="AE446" s="21">
        <v>0</v>
      </c>
      <c r="AF446" s="21">
        <v>0</v>
      </c>
      <c r="AG446" s="21">
        <v>0</v>
      </c>
      <c r="AH446" s="21">
        <v>0</v>
      </c>
      <c r="AI446" s="21">
        <v>0</v>
      </c>
      <c r="AJ446" s="21">
        <v>0</v>
      </c>
      <c r="AK446" s="21">
        <v>0</v>
      </c>
      <c r="AL446" s="21">
        <v>0</v>
      </c>
      <c r="AM446" s="21">
        <v>0</v>
      </c>
      <c r="AN446" s="21">
        <v>0</v>
      </c>
      <c r="AO446" s="21">
        <v>0</v>
      </c>
      <c r="AP446" s="21">
        <v>0</v>
      </c>
      <c r="AQ446" s="21">
        <v>0</v>
      </c>
      <c r="AR446" s="21">
        <v>0</v>
      </c>
      <c r="AS446" s="21">
        <v>0</v>
      </c>
      <c r="AT446" s="21">
        <v>0</v>
      </c>
      <c r="AU446" s="21">
        <v>0</v>
      </c>
      <c r="AV446" s="21">
        <v>0</v>
      </c>
      <c r="AW446" s="21">
        <v>0</v>
      </c>
      <c r="AX446" s="21">
        <v>0</v>
      </c>
      <c r="AY446" s="21">
        <v>0</v>
      </c>
      <c r="AZ446" s="21">
        <v>0</v>
      </c>
      <c r="BA446" s="21">
        <v>0</v>
      </c>
      <c r="BB446" s="21">
        <v>0</v>
      </c>
      <c r="BC446" s="21">
        <v>0</v>
      </c>
      <c r="BD446" s="21">
        <v>0</v>
      </c>
      <c r="BE446" s="21">
        <v>0</v>
      </c>
      <c r="BF446" s="21">
        <v>0</v>
      </c>
      <c r="BG446" s="21">
        <v>0</v>
      </c>
      <c r="BH446" s="21">
        <v>0</v>
      </c>
      <c r="BI446" s="21">
        <v>0</v>
      </c>
      <c r="BJ446" s="21">
        <v>0</v>
      </c>
      <c r="BK446" s="21">
        <v>0</v>
      </c>
      <c r="BL446" s="21">
        <v>0</v>
      </c>
      <c r="BM446" s="21">
        <v>0</v>
      </c>
      <c r="BN446" s="21">
        <v>0</v>
      </c>
      <c r="BO446" s="21">
        <v>0</v>
      </c>
      <c r="BP446" s="21">
        <v>0</v>
      </c>
      <c r="BQ446" s="21">
        <v>0</v>
      </c>
      <c r="BR446" s="21">
        <v>0</v>
      </c>
      <c r="BS446" s="21">
        <v>0</v>
      </c>
      <c r="BT446" s="21">
        <v>0</v>
      </c>
      <c r="BU446" s="21">
        <v>0</v>
      </c>
      <c r="BV446" s="21">
        <v>0</v>
      </c>
      <c r="BW446" s="21">
        <v>0</v>
      </c>
      <c r="BX446" s="21">
        <v>0</v>
      </c>
      <c r="BY446" s="21">
        <v>0</v>
      </c>
      <c r="BZ446" s="21">
        <v>0</v>
      </c>
      <c r="CA446" s="21">
        <v>0</v>
      </c>
      <c r="CB446" s="21">
        <v>0</v>
      </c>
      <c r="CC446" s="21">
        <v>0</v>
      </c>
      <c r="CD446" s="21">
        <v>0</v>
      </c>
      <c r="CE446" s="21">
        <v>0</v>
      </c>
      <c r="CF446" s="21">
        <v>0</v>
      </c>
      <c r="CG446" s="21">
        <v>0</v>
      </c>
      <c r="CH446" s="21">
        <v>0</v>
      </c>
      <c r="CI446" s="21">
        <v>0</v>
      </c>
      <c r="CJ446" s="21">
        <v>0</v>
      </c>
      <c r="CK446" s="21">
        <v>0</v>
      </c>
      <c r="CL446" s="21">
        <v>0</v>
      </c>
      <c r="CM446" s="21">
        <v>0</v>
      </c>
      <c r="CN446" s="21">
        <v>0</v>
      </c>
      <c r="CO446" s="21">
        <v>0</v>
      </c>
      <c r="CP446" s="21">
        <v>0</v>
      </c>
      <c r="CQ446" s="21">
        <v>0</v>
      </c>
      <c r="CR446" s="21">
        <v>0</v>
      </c>
      <c r="CS446" s="21">
        <v>0</v>
      </c>
      <c r="CT446" s="21">
        <v>0</v>
      </c>
      <c r="CU446" s="21">
        <v>0</v>
      </c>
      <c r="CV446" s="21">
        <v>0</v>
      </c>
      <c r="CW446" s="21">
        <v>0</v>
      </c>
      <c r="CX446" s="21">
        <v>0</v>
      </c>
      <c r="CY446" s="21">
        <v>0</v>
      </c>
      <c r="CZ446" s="21">
        <v>0</v>
      </c>
      <c r="DA446" s="21">
        <v>0</v>
      </c>
      <c r="DB446" s="21">
        <v>0</v>
      </c>
      <c r="DC446" s="21">
        <v>0</v>
      </c>
      <c r="DD446" s="21">
        <v>0</v>
      </c>
      <c r="DE446" s="21">
        <v>0</v>
      </c>
      <c r="DF446" s="21">
        <v>0</v>
      </c>
      <c r="DG446" s="21">
        <v>0</v>
      </c>
      <c r="DH446" s="21">
        <v>0</v>
      </c>
      <c r="DI446" s="21">
        <v>0</v>
      </c>
      <c r="DJ446" s="21">
        <v>0</v>
      </c>
      <c r="DK446" s="21">
        <v>0</v>
      </c>
      <c r="DL446" s="21">
        <v>0</v>
      </c>
      <c r="DM446" s="21">
        <v>0</v>
      </c>
      <c r="DN446" s="21">
        <v>0</v>
      </c>
      <c r="DO446" s="21">
        <v>0</v>
      </c>
      <c r="DP446" s="21">
        <v>0</v>
      </c>
      <c r="DQ446" s="21">
        <v>0</v>
      </c>
      <c r="DR446" s="21">
        <v>0</v>
      </c>
      <c r="DS446" s="21">
        <v>0</v>
      </c>
      <c r="DT446" s="21">
        <v>0</v>
      </c>
      <c r="DU446" s="21">
        <v>0</v>
      </c>
      <c r="DV446" s="21">
        <v>0</v>
      </c>
      <c r="DW446" s="21">
        <v>0</v>
      </c>
      <c r="DX446" s="21">
        <v>0</v>
      </c>
      <c r="DY446" s="21">
        <v>0</v>
      </c>
      <c r="DZ446" s="21">
        <v>0</v>
      </c>
      <c r="EA446" s="21">
        <v>0</v>
      </c>
      <c r="EB446" s="21">
        <v>0</v>
      </c>
      <c r="EC446" s="21">
        <v>0</v>
      </c>
      <c r="ED446" s="21">
        <v>0</v>
      </c>
      <c r="EE446" s="21">
        <v>0</v>
      </c>
      <c r="EF446" s="21">
        <v>0</v>
      </c>
    </row>
    <row r="447" spans="1:136" ht="14.5" x14ac:dyDescent="0.35">
      <c r="A447" s="20" t="s">
        <v>12</v>
      </c>
      <c r="B447" s="20" t="s">
        <v>351</v>
      </c>
      <c r="C447" s="20" t="s">
        <v>108</v>
      </c>
      <c r="D447" s="20" t="s">
        <v>336</v>
      </c>
      <c r="E447" s="20" t="s">
        <v>16</v>
      </c>
      <c r="F447" s="20" t="s">
        <v>46</v>
      </c>
      <c r="G447" s="21">
        <v>12</v>
      </c>
      <c r="H447" s="21">
        <v>12</v>
      </c>
      <c r="I447" s="21">
        <v>0</v>
      </c>
      <c r="J447" s="21">
        <v>12</v>
      </c>
      <c r="K447" s="21">
        <v>0</v>
      </c>
      <c r="L447" s="21">
        <v>0</v>
      </c>
      <c r="M447" s="21">
        <v>0</v>
      </c>
      <c r="N447" s="21">
        <v>0</v>
      </c>
      <c r="O447" s="21">
        <v>0</v>
      </c>
      <c r="P447" s="21">
        <v>0</v>
      </c>
      <c r="Q447" s="21">
        <v>0</v>
      </c>
      <c r="R447" s="21">
        <v>0</v>
      </c>
      <c r="S447" s="21">
        <v>0</v>
      </c>
      <c r="T447" s="21">
        <v>0</v>
      </c>
      <c r="U447" s="21">
        <v>0</v>
      </c>
      <c r="V447" s="21">
        <v>0</v>
      </c>
      <c r="W447" s="21">
        <v>0</v>
      </c>
      <c r="X447" s="21">
        <v>0</v>
      </c>
      <c r="Y447" s="21">
        <v>0</v>
      </c>
      <c r="Z447" s="21">
        <v>0</v>
      </c>
      <c r="AA447" s="21">
        <v>0</v>
      </c>
      <c r="AB447" s="21">
        <v>0</v>
      </c>
      <c r="AC447" s="21">
        <v>0</v>
      </c>
      <c r="AD447" s="21">
        <v>0</v>
      </c>
      <c r="AE447" s="21">
        <v>0</v>
      </c>
      <c r="AF447" s="21">
        <v>0</v>
      </c>
      <c r="AG447" s="21">
        <v>0</v>
      </c>
      <c r="AH447" s="21">
        <v>0</v>
      </c>
      <c r="AI447" s="21">
        <v>0</v>
      </c>
      <c r="AJ447" s="21">
        <v>0</v>
      </c>
      <c r="AK447" s="21">
        <v>0</v>
      </c>
      <c r="AL447" s="21">
        <v>0</v>
      </c>
      <c r="AM447" s="21">
        <v>0</v>
      </c>
      <c r="AN447" s="21">
        <v>0</v>
      </c>
      <c r="AO447" s="21">
        <v>0</v>
      </c>
      <c r="AP447" s="21">
        <v>0</v>
      </c>
      <c r="AQ447" s="21">
        <v>0</v>
      </c>
      <c r="AR447" s="21">
        <v>0</v>
      </c>
      <c r="AS447" s="21">
        <v>0</v>
      </c>
      <c r="AT447" s="21">
        <v>0</v>
      </c>
      <c r="AU447" s="21">
        <v>0</v>
      </c>
      <c r="AV447" s="21">
        <v>0</v>
      </c>
      <c r="AW447" s="21">
        <v>0</v>
      </c>
      <c r="AX447" s="21">
        <v>0</v>
      </c>
      <c r="AY447" s="21">
        <v>0</v>
      </c>
      <c r="AZ447" s="21">
        <v>0</v>
      </c>
      <c r="BA447" s="21">
        <v>0</v>
      </c>
      <c r="BB447" s="21">
        <v>0</v>
      </c>
      <c r="BC447" s="21">
        <v>0</v>
      </c>
      <c r="BD447" s="21">
        <v>0</v>
      </c>
      <c r="BE447" s="21">
        <v>0</v>
      </c>
      <c r="BF447" s="21">
        <v>0</v>
      </c>
      <c r="BG447" s="21">
        <v>0</v>
      </c>
      <c r="BH447" s="21">
        <v>0</v>
      </c>
      <c r="BI447" s="21">
        <v>0</v>
      </c>
      <c r="BJ447" s="21">
        <v>0</v>
      </c>
      <c r="BK447" s="21">
        <v>0</v>
      </c>
      <c r="BL447" s="21">
        <v>0</v>
      </c>
      <c r="BM447" s="21">
        <v>0</v>
      </c>
      <c r="BN447" s="21">
        <v>0</v>
      </c>
      <c r="BO447" s="21">
        <v>0</v>
      </c>
      <c r="BP447" s="21">
        <v>0</v>
      </c>
      <c r="BQ447" s="21">
        <v>0</v>
      </c>
      <c r="BR447" s="21">
        <v>0</v>
      </c>
      <c r="BS447" s="21">
        <v>0</v>
      </c>
      <c r="BT447" s="21">
        <v>0</v>
      </c>
      <c r="BU447" s="21">
        <v>0</v>
      </c>
      <c r="BV447" s="21">
        <v>0</v>
      </c>
      <c r="BW447" s="21">
        <v>0</v>
      </c>
      <c r="BX447" s="21">
        <v>0</v>
      </c>
      <c r="BY447" s="21">
        <v>0</v>
      </c>
      <c r="BZ447" s="21">
        <v>0</v>
      </c>
      <c r="CA447" s="21">
        <v>0</v>
      </c>
      <c r="CB447" s="21">
        <v>0</v>
      </c>
      <c r="CC447" s="21">
        <v>0</v>
      </c>
      <c r="CD447" s="21">
        <v>0</v>
      </c>
      <c r="CE447" s="21">
        <v>0</v>
      </c>
      <c r="CF447" s="21">
        <v>0</v>
      </c>
      <c r="CG447" s="21">
        <v>0</v>
      </c>
      <c r="CH447" s="21">
        <v>0</v>
      </c>
      <c r="CI447" s="21">
        <v>0</v>
      </c>
      <c r="CJ447" s="21">
        <v>0</v>
      </c>
      <c r="CK447" s="21">
        <v>0</v>
      </c>
      <c r="CL447" s="21">
        <v>0</v>
      </c>
      <c r="CM447" s="21">
        <v>0</v>
      </c>
      <c r="CN447" s="21">
        <v>0</v>
      </c>
      <c r="CO447" s="21">
        <v>0</v>
      </c>
      <c r="CP447" s="21">
        <v>0</v>
      </c>
      <c r="CQ447" s="21">
        <v>0</v>
      </c>
      <c r="CR447" s="21">
        <v>0</v>
      </c>
      <c r="CS447" s="21">
        <v>0</v>
      </c>
      <c r="CT447" s="21">
        <v>0</v>
      </c>
      <c r="CU447" s="21">
        <v>0</v>
      </c>
      <c r="CV447" s="21">
        <v>0</v>
      </c>
      <c r="CW447" s="21">
        <v>0</v>
      </c>
      <c r="CX447" s="21">
        <v>0</v>
      </c>
      <c r="CY447" s="21">
        <v>0</v>
      </c>
      <c r="CZ447" s="21">
        <v>0</v>
      </c>
      <c r="DA447" s="21">
        <v>0</v>
      </c>
      <c r="DB447" s="21">
        <v>0</v>
      </c>
      <c r="DC447" s="21">
        <v>0</v>
      </c>
      <c r="DD447" s="21">
        <v>0</v>
      </c>
      <c r="DE447" s="21">
        <v>0</v>
      </c>
      <c r="DF447" s="21">
        <v>0</v>
      </c>
      <c r="DG447" s="21">
        <v>0</v>
      </c>
      <c r="DH447" s="21">
        <v>0</v>
      </c>
      <c r="DI447" s="21">
        <v>0</v>
      </c>
      <c r="DJ447" s="21">
        <v>0</v>
      </c>
      <c r="DK447" s="21">
        <v>0</v>
      </c>
      <c r="DL447" s="21">
        <v>0</v>
      </c>
      <c r="DM447" s="21">
        <v>0</v>
      </c>
      <c r="DN447" s="21">
        <v>0</v>
      </c>
      <c r="DO447" s="21">
        <v>0</v>
      </c>
      <c r="DP447" s="21">
        <v>0</v>
      </c>
      <c r="DQ447" s="21">
        <v>0</v>
      </c>
      <c r="DR447" s="21">
        <v>0</v>
      </c>
      <c r="DS447" s="21">
        <v>0</v>
      </c>
      <c r="DT447" s="21">
        <v>0</v>
      </c>
      <c r="DU447" s="21">
        <v>0</v>
      </c>
      <c r="DV447" s="21">
        <v>0</v>
      </c>
      <c r="DW447" s="21">
        <v>0</v>
      </c>
      <c r="DX447" s="21">
        <v>0</v>
      </c>
      <c r="DY447" s="21">
        <v>0</v>
      </c>
      <c r="DZ447" s="21">
        <v>0</v>
      </c>
      <c r="EA447" s="21">
        <v>0</v>
      </c>
      <c r="EB447" s="21">
        <v>0</v>
      </c>
      <c r="EC447" s="21">
        <v>0</v>
      </c>
      <c r="ED447" s="21">
        <v>0</v>
      </c>
      <c r="EE447" s="21">
        <v>0</v>
      </c>
      <c r="EF447" s="21">
        <v>0</v>
      </c>
    </row>
    <row r="448" spans="1:136" ht="14.5" x14ac:dyDescent="0.35">
      <c r="A448" s="20" t="s">
        <v>12</v>
      </c>
      <c r="B448" s="20" t="s">
        <v>351</v>
      </c>
      <c r="C448" s="20" t="s">
        <v>108</v>
      </c>
      <c r="D448" s="20" t="s">
        <v>336</v>
      </c>
      <c r="E448" s="20" t="s">
        <v>16</v>
      </c>
      <c r="F448" s="20" t="s">
        <v>90</v>
      </c>
      <c r="G448" s="21">
        <v>13</v>
      </c>
      <c r="H448" s="21">
        <v>13</v>
      </c>
      <c r="I448" s="21">
        <v>0</v>
      </c>
      <c r="J448" s="21">
        <v>13</v>
      </c>
      <c r="K448" s="21">
        <v>0</v>
      </c>
      <c r="L448" s="21">
        <v>0</v>
      </c>
      <c r="M448" s="21">
        <v>0</v>
      </c>
      <c r="N448" s="21">
        <v>0</v>
      </c>
      <c r="O448" s="21">
        <v>0</v>
      </c>
      <c r="P448" s="21">
        <v>0</v>
      </c>
      <c r="Q448" s="21">
        <v>0</v>
      </c>
      <c r="R448" s="21">
        <v>0</v>
      </c>
      <c r="S448" s="21">
        <v>0</v>
      </c>
      <c r="T448" s="21">
        <v>0</v>
      </c>
      <c r="U448" s="21">
        <v>0</v>
      </c>
      <c r="V448" s="21">
        <v>0</v>
      </c>
      <c r="W448" s="21">
        <v>0</v>
      </c>
      <c r="X448" s="21">
        <v>0</v>
      </c>
      <c r="Y448" s="21">
        <v>0</v>
      </c>
      <c r="Z448" s="21">
        <v>0</v>
      </c>
      <c r="AA448" s="21">
        <v>0</v>
      </c>
      <c r="AB448" s="21">
        <v>0</v>
      </c>
      <c r="AC448" s="21">
        <v>0</v>
      </c>
      <c r="AD448" s="21">
        <v>0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0</v>
      </c>
      <c r="AP448" s="21">
        <v>0</v>
      </c>
      <c r="AQ448" s="21">
        <v>0</v>
      </c>
      <c r="AR448" s="21">
        <v>0</v>
      </c>
      <c r="AS448" s="21">
        <v>0</v>
      </c>
      <c r="AT448" s="21">
        <v>0</v>
      </c>
      <c r="AU448" s="21">
        <v>0</v>
      </c>
      <c r="AV448" s="21">
        <v>0</v>
      </c>
      <c r="AW448" s="21">
        <v>0</v>
      </c>
      <c r="AX448" s="21">
        <v>0</v>
      </c>
      <c r="AY448" s="21">
        <v>0</v>
      </c>
      <c r="AZ448" s="21">
        <v>0</v>
      </c>
      <c r="BA448" s="21">
        <v>0</v>
      </c>
      <c r="BB448" s="21">
        <v>0</v>
      </c>
      <c r="BC448" s="21">
        <v>0</v>
      </c>
      <c r="BD448" s="21">
        <v>0</v>
      </c>
      <c r="BE448" s="21">
        <v>0</v>
      </c>
      <c r="BF448" s="21">
        <v>0</v>
      </c>
      <c r="BG448" s="21">
        <v>0</v>
      </c>
      <c r="BH448" s="21">
        <v>0</v>
      </c>
      <c r="BI448" s="21">
        <v>0</v>
      </c>
      <c r="BJ448" s="21">
        <v>0</v>
      </c>
      <c r="BK448" s="21">
        <v>0</v>
      </c>
      <c r="BL448" s="21">
        <v>0</v>
      </c>
      <c r="BM448" s="21">
        <v>0</v>
      </c>
      <c r="BN448" s="21">
        <v>0</v>
      </c>
      <c r="BO448" s="21">
        <v>0</v>
      </c>
      <c r="BP448" s="21">
        <v>0</v>
      </c>
      <c r="BQ448" s="21">
        <v>0</v>
      </c>
      <c r="BR448" s="21">
        <v>0</v>
      </c>
      <c r="BS448" s="21">
        <v>0</v>
      </c>
      <c r="BT448" s="21">
        <v>0</v>
      </c>
      <c r="BU448" s="21">
        <v>0</v>
      </c>
      <c r="BV448" s="21">
        <v>0</v>
      </c>
      <c r="BW448" s="21">
        <v>0</v>
      </c>
      <c r="BX448" s="21">
        <v>0</v>
      </c>
      <c r="BY448" s="21">
        <v>0</v>
      </c>
      <c r="BZ448" s="21">
        <v>0</v>
      </c>
      <c r="CA448" s="21">
        <v>0</v>
      </c>
      <c r="CB448" s="21">
        <v>0</v>
      </c>
      <c r="CC448" s="21">
        <v>0</v>
      </c>
      <c r="CD448" s="21">
        <v>0</v>
      </c>
      <c r="CE448" s="21">
        <v>0</v>
      </c>
      <c r="CF448" s="21">
        <v>0</v>
      </c>
      <c r="CG448" s="21">
        <v>0</v>
      </c>
      <c r="CH448" s="21">
        <v>0</v>
      </c>
      <c r="CI448" s="21">
        <v>0</v>
      </c>
      <c r="CJ448" s="21">
        <v>0</v>
      </c>
      <c r="CK448" s="21">
        <v>0</v>
      </c>
      <c r="CL448" s="21">
        <v>0</v>
      </c>
      <c r="CM448" s="21">
        <v>0</v>
      </c>
      <c r="CN448" s="21">
        <v>0</v>
      </c>
      <c r="CO448" s="21">
        <v>0</v>
      </c>
      <c r="CP448" s="21">
        <v>0</v>
      </c>
      <c r="CQ448" s="21">
        <v>0</v>
      </c>
      <c r="CR448" s="21">
        <v>0</v>
      </c>
      <c r="CS448" s="21">
        <v>0</v>
      </c>
      <c r="CT448" s="21">
        <v>0</v>
      </c>
      <c r="CU448" s="21">
        <v>0</v>
      </c>
      <c r="CV448" s="21">
        <v>0</v>
      </c>
      <c r="CW448" s="21">
        <v>0</v>
      </c>
      <c r="CX448" s="21">
        <v>0</v>
      </c>
      <c r="CY448" s="21">
        <v>0</v>
      </c>
      <c r="CZ448" s="21">
        <v>0</v>
      </c>
      <c r="DA448" s="21">
        <v>0</v>
      </c>
      <c r="DB448" s="21">
        <v>0</v>
      </c>
      <c r="DC448" s="21">
        <v>0</v>
      </c>
      <c r="DD448" s="21">
        <v>0</v>
      </c>
      <c r="DE448" s="21">
        <v>0</v>
      </c>
      <c r="DF448" s="21">
        <v>0</v>
      </c>
      <c r="DG448" s="21">
        <v>0</v>
      </c>
      <c r="DH448" s="21">
        <v>0</v>
      </c>
      <c r="DI448" s="21">
        <v>0</v>
      </c>
      <c r="DJ448" s="21">
        <v>0</v>
      </c>
      <c r="DK448" s="21">
        <v>0</v>
      </c>
      <c r="DL448" s="21">
        <v>0</v>
      </c>
      <c r="DM448" s="21">
        <v>0</v>
      </c>
      <c r="DN448" s="21">
        <v>0</v>
      </c>
      <c r="DO448" s="21">
        <v>0</v>
      </c>
      <c r="DP448" s="21">
        <v>0</v>
      </c>
      <c r="DQ448" s="21">
        <v>0</v>
      </c>
      <c r="DR448" s="21">
        <v>0</v>
      </c>
      <c r="DS448" s="21">
        <v>0</v>
      </c>
      <c r="DT448" s="21">
        <v>0</v>
      </c>
      <c r="DU448" s="21">
        <v>0</v>
      </c>
      <c r="DV448" s="21">
        <v>0</v>
      </c>
      <c r="DW448" s="21">
        <v>0</v>
      </c>
      <c r="DX448" s="21">
        <v>0</v>
      </c>
      <c r="DY448" s="21">
        <v>0</v>
      </c>
      <c r="DZ448" s="21">
        <v>0</v>
      </c>
      <c r="EA448" s="21">
        <v>0</v>
      </c>
      <c r="EB448" s="21">
        <v>0</v>
      </c>
      <c r="EC448" s="21">
        <v>0</v>
      </c>
      <c r="ED448" s="21">
        <v>0</v>
      </c>
      <c r="EE448" s="21">
        <v>0</v>
      </c>
      <c r="EF448" s="21">
        <v>0</v>
      </c>
    </row>
    <row r="449" spans="1:136" ht="14.5" x14ac:dyDescent="0.35">
      <c r="A449" s="20" t="s">
        <v>12</v>
      </c>
      <c r="B449" s="20" t="s">
        <v>352</v>
      </c>
      <c r="C449" s="20" t="s">
        <v>108</v>
      </c>
      <c r="D449" s="20" t="s">
        <v>339</v>
      </c>
      <c r="E449" s="20" t="s">
        <v>14</v>
      </c>
      <c r="F449" s="20" t="s">
        <v>125</v>
      </c>
      <c r="G449" s="21">
        <v>2</v>
      </c>
      <c r="H449" s="21">
        <v>2</v>
      </c>
      <c r="I449" s="21">
        <v>0</v>
      </c>
      <c r="J449" s="21">
        <v>2</v>
      </c>
      <c r="K449" s="21">
        <v>0</v>
      </c>
      <c r="L449" s="21">
        <v>0</v>
      </c>
      <c r="M449" s="21">
        <v>0</v>
      </c>
      <c r="N449" s="21">
        <v>0</v>
      </c>
      <c r="O449" s="21">
        <v>0</v>
      </c>
      <c r="P449" s="21">
        <v>0</v>
      </c>
      <c r="Q449" s="21">
        <v>0</v>
      </c>
      <c r="R449" s="21">
        <v>0</v>
      </c>
      <c r="S449" s="21">
        <v>0</v>
      </c>
      <c r="T449" s="21">
        <v>0</v>
      </c>
      <c r="U449" s="21">
        <v>0</v>
      </c>
      <c r="V449" s="21">
        <v>0</v>
      </c>
      <c r="W449" s="21">
        <v>0</v>
      </c>
      <c r="X449" s="21">
        <v>0</v>
      </c>
      <c r="Y449" s="21">
        <v>0</v>
      </c>
      <c r="Z449" s="21">
        <v>0</v>
      </c>
      <c r="AA449" s="21">
        <v>0</v>
      </c>
      <c r="AB449" s="21">
        <v>0</v>
      </c>
      <c r="AC449" s="21">
        <v>0</v>
      </c>
      <c r="AD449" s="21">
        <v>0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0</v>
      </c>
      <c r="AL449" s="21">
        <v>0</v>
      </c>
      <c r="AM449" s="21">
        <v>0</v>
      </c>
      <c r="AN449" s="21">
        <v>0</v>
      </c>
      <c r="AO449" s="21">
        <v>0</v>
      </c>
      <c r="AP449" s="21">
        <v>0</v>
      </c>
      <c r="AQ449" s="21">
        <v>0</v>
      </c>
      <c r="AR449" s="21">
        <v>0</v>
      </c>
      <c r="AS449" s="21">
        <v>0</v>
      </c>
      <c r="AT449" s="21">
        <v>0</v>
      </c>
      <c r="AU449" s="21">
        <v>0</v>
      </c>
      <c r="AV449" s="21">
        <v>0</v>
      </c>
      <c r="AW449" s="21">
        <v>0</v>
      </c>
      <c r="AX449" s="21">
        <v>0</v>
      </c>
      <c r="AY449" s="21">
        <v>0</v>
      </c>
      <c r="AZ449" s="21">
        <v>0</v>
      </c>
      <c r="BA449" s="21">
        <v>0</v>
      </c>
      <c r="BB449" s="21">
        <v>0</v>
      </c>
      <c r="BC449" s="21">
        <v>0</v>
      </c>
      <c r="BD449" s="21">
        <v>0</v>
      </c>
      <c r="BE449" s="21">
        <v>0</v>
      </c>
      <c r="BF449" s="21">
        <v>0</v>
      </c>
      <c r="BG449" s="21">
        <v>0</v>
      </c>
      <c r="BH449" s="21">
        <v>0</v>
      </c>
      <c r="BI449" s="21">
        <v>0</v>
      </c>
      <c r="BJ449" s="21">
        <v>0</v>
      </c>
      <c r="BK449" s="21">
        <v>0</v>
      </c>
      <c r="BL449" s="21">
        <v>0</v>
      </c>
      <c r="BM449" s="21">
        <v>0</v>
      </c>
      <c r="BN449" s="21">
        <v>0</v>
      </c>
      <c r="BO449" s="21">
        <v>0</v>
      </c>
      <c r="BP449" s="21">
        <v>0</v>
      </c>
      <c r="BQ449" s="21">
        <v>0</v>
      </c>
      <c r="BR449" s="21">
        <v>0</v>
      </c>
      <c r="BS449" s="21">
        <v>0</v>
      </c>
      <c r="BT449" s="21">
        <v>0</v>
      </c>
      <c r="BU449" s="21">
        <v>0</v>
      </c>
      <c r="BV449" s="21">
        <v>0</v>
      </c>
      <c r="BW449" s="21">
        <v>0</v>
      </c>
      <c r="BX449" s="21">
        <v>0</v>
      </c>
      <c r="BY449" s="21">
        <v>0</v>
      </c>
      <c r="BZ449" s="21">
        <v>0</v>
      </c>
      <c r="CA449" s="21">
        <v>0</v>
      </c>
      <c r="CB449" s="21">
        <v>0</v>
      </c>
      <c r="CC449" s="21">
        <v>0</v>
      </c>
      <c r="CD449" s="21">
        <v>0</v>
      </c>
      <c r="CE449" s="21">
        <v>0</v>
      </c>
      <c r="CF449" s="21">
        <v>0</v>
      </c>
      <c r="CG449" s="21">
        <v>0</v>
      </c>
      <c r="CH449" s="21">
        <v>0</v>
      </c>
      <c r="CI449" s="21">
        <v>0</v>
      </c>
      <c r="CJ449" s="21">
        <v>0</v>
      </c>
      <c r="CK449" s="21">
        <v>0</v>
      </c>
      <c r="CL449" s="21">
        <v>0</v>
      </c>
      <c r="CM449" s="21">
        <v>0</v>
      </c>
      <c r="CN449" s="21">
        <v>0</v>
      </c>
      <c r="CO449" s="21">
        <v>0</v>
      </c>
      <c r="CP449" s="21">
        <v>0</v>
      </c>
      <c r="CQ449" s="21">
        <v>0</v>
      </c>
      <c r="CR449" s="21">
        <v>0</v>
      </c>
      <c r="CS449" s="21">
        <v>0</v>
      </c>
      <c r="CT449" s="21">
        <v>0</v>
      </c>
      <c r="CU449" s="21">
        <v>0</v>
      </c>
      <c r="CV449" s="21">
        <v>0</v>
      </c>
      <c r="CW449" s="21">
        <v>0</v>
      </c>
      <c r="CX449" s="21">
        <v>0</v>
      </c>
      <c r="CY449" s="21">
        <v>0</v>
      </c>
      <c r="CZ449" s="21">
        <v>0</v>
      </c>
      <c r="DA449" s="21">
        <v>0</v>
      </c>
      <c r="DB449" s="21">
        <v>0</v>
      </c>
      <c r="DC449" s="21">
        <v>0</v>
      </c>
      <c r="DD449" s="21">
        <v>0</v>
      </c>
      <c r="DE449" s="21">
        <v>0</v>
      </c>
      <c r="DF449" s="21">
        <v>0</v>
      </c>
      <c r="DG449" s="21">
        <v>0</v>
      </c>
      <c r="DH449" s="21">
        <v>0</v>
      </c>
      <c r="DI449" s="21">
        <v>0</v>
      </c>
      <c r="DJ449" s="21">
        <v>0</v>
      </c>
      <c r="DK449" s="21">
        <v>0</v>
      </c>
      <c r="DL449" s="21">
        <v>0</v>
      </c>
      <c r="DM449" s="21">
        <v>0</v>
      </c>
      <c r="DN449" s="21">
        <v>0</v>
      </c>
      <c r="DO449" s="21">
        <v>0</v>
      </c>
      <c r="DP449" s="21">
        <v>0</v>
      </c>
      <c r="DQ449" s="21">
        <v>0</v>
      </c>
      <c r="DR449" s="21">
        <v>0</v>
      </c>
      <c r="DS449" s="21">
        <v>0</v>
      </c>
      <c r="DT449" s="21">
        <v>0</v>
      </c>
      <c r="DU449" s="21">
        <v>0</v>
      </c>
      <c r="DV449" s="21">
        <v>0</v>
      </c>
      <c r="DW449" s="21">
        <v>0</v>
      </c>
      <c r="DX449" s="21">
        <v>0</v>
      </c>
      <c r="DY449" s="21">
        <v>0</v>
      </c>
      <c r="DZ449" s="21">
        <v>0</v>
      </c>
      <c r="EA449" s="21">
        <v>0</v>
      </c>
      <c r="EB449" s="21">
        <v>0</v>
      </c>
      <c r="EC449" s="21">
        <v>0</v>
      </c>
      <c r="ED449" s="21">
        <v>0</v>
      </c>
      <c r="EE449" s="21">
        <v>0</v>
      </c>
      <c r="EF449" s="21">
        <v>0</v>
      </c>
    </row>
    <row r="450" spans="1:136" ht="14.5" x14ac:dyDescent="0.35">
      <c r="A450" s="20" t="s">
        <v>12</v>
      </c>
      <c r="B450" s="20" t="s">
        <v>353</v>
      </c>
      <c r="C450" s="20" t="s">
        <v>108</v>
      </c>
      <c r="D450" s="20" t="s">
        <v>334</v>
      </c>
      <c r="E450" s="20" t="s">
        <v>10</v>
      </c>
      <c r="F450" s="20" t="s">
        <v>83</v>
      </c>
      <c r="G450" s="21">
        <v>16</v>
      </c>
      <c r="H450" s="21">
        <v>80</v>
      </c>
      <c r="I450" s="21">
        <v>64</v>
      </c>
      <c r="J450" s="21">
        <v>16</v>
      </c>
      <c r="K450" s="21">
        <v>0</v>
      </c>
      <c r="L450" s="21">
        <v>0</v>
      </c>
      <c r="M450" s="21">
        <v>0</v>
      </c>
      <c r="N450" s="21">
        <v>0</v>
      </c>
      <c r="O450" s="21">
        <v>0</v>
      </c>
      <c r="P450" s="21">
        <v>0</v>
      </c>
      <c r="Q450" s="21">
        <v>0</v>
      </c>
      <c r="R450" s="21">
        <v>0</v>
      </c>
      <c r="S450" s="21">
        <v>0</v>
      </c>
      <c r="T450" s="21">
        <v>0</v>
      </c>
      <c r="U450" s="21">
        <v>0</v>
      </c>
      <c r="V450" s="21">
        <v>0</v>
      </c>
      <c r="W450" s="21">
        <v>0</v>
      </c>
      <c r="X450" s="21">
        <v>0</v>
      </c>
      <c r="Y450" s="21">
        <v>0</v>
      </c>
      <c r="Z450" s="21">
        <v>0</v>
      </c>
      <c r="AA450" s="21">
        <v>0</v>
      </c>
      <c r="AB450" s="21">
        <v>0</v>
      </c>
      <c r="AC450" s="21">
        <v>0</v>
      </c>
      <c r="AD450" s="21">
        <v>0</v>
      </c>
      <c r="AE450" s="21">
        <v>0</v>
      </c>
      <c r="AF450" s="21">
        <v>0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21">
        <v>0</v>
      </c>
      <c r="AO450" s="21">
        <v>0</v>
      </c>
      <c r="AP450" s="21">
        <v>0</v>
      </c>
      <c r="AQ450" s="21">
        <v>0</v>
      </c>
      <c r="AR450" s="21">
        <v>0</v>
      </c>
      <c r="AS450" s="21">
        <v>0</v>
      </c>
      <c r="AT450" s="21">
        <v>0</v>
      </c>
      <c r="AU450" s="21">
        <v>0</v>
      </c>
      <c r="AV450" s="21">
        <v>0</v>
      </c>
      <c r="AW450" s="21">
        <v>0</v>
      </c>
      <c r="AX450" s="21">
        <v>0</v>
      </c>
      <c r="AY450" s="21">
        <v>0</v>
      </c>
      <c r="AZ450" s="21">
        <v>0</v>
      </c>
      <c r="BA450" s="21">
        <v>0</v>
      </c>
      <c r="BB450" s="21">
        <v>0</v>
      </c>
      <c r="BC450" s="21">
        <v>0</v>
      </c>
      <c r="BD450" s="21">
        <v>0</v>
      </c>
      <c r="BE450" s="21">
        <v>0</v>
      </c>
      <c r="BF450" s="21">
        <v>0</v>
      </c>
      <c r="BG450" s="21">
        <v>0</v>
      </c>
      <c r="BH450" s="21">
        <v>0</v>
      </c>
      <c r="BI450" s="21">
        <v>0</v>
      </c>
      <c r="BJ450" s="21">
        <v>0</v>
      </c>
      <c r="BK450" s="21">
        <v>0</v>
      </c>
      <c r="BL450" s="21">
        <v>0</v>
      </c>
      <c r="BM450" s="21">
        <v>0</v>
      </c>
      <c r="BN450" s="21">
        <v>0</v>
      </c>
      <c r="BO450" s="21">
        <v>0</v>
      </c>
      <c r="BP450" s="21">
        <v>0</v>
      </c>
      <c r="BQ450" s="21">
        <v>0</v>
      </c>
      <c r="BR450" s="21">
        <v>0</v>
      </c>
      <c r="BS450" s="21">
        <v>0</v>
      </c>
      <c r="BT450" s="21">
        <v>0</v>
      </c>
      <c r="BU450" s="21">
        <v>0</v>
      </c>
      <c r="BV450" s="21">
        <v>0</v>
      </c>
      <c r="BW450" s="21">
        <v>0</v>
      </c>
      <c r="BX450" s="21">
        <v>0</v>
      </c>
      <c r="BY450" s="21">
        <v>0</v>
      </c>
      <c r="BZ450" s="21">
        <v>0</v>
      </c>
      <c r="CA450" s="21">
        <v>0</v>
      </c>
      <c r="CB450" s="21">
        <v>0</v>
      </c>
      <c r="CC450" s="21">
        <v>0</v>
      </c>
      <c r="CD450" s="21">
        <v>0</v>
      </c>
      <c r="CE450" s="21">
        <v>0</v>
      </c>
      <c r="CF450" s="21">
        <v>0</v>
      </c>
      <c r="CG450" s="21">
        <v>0</v>
      </c>
      <c r="CH450" s="21">
        <v>0</v>
      </c>
      <c r="CI450" s="21">
        <v>0</v>
      </c>
      <c r="CJ450" s="21">
        <v>0</v>
      </c>
      <c r="CK450" s="21">
        <v>0</v>
      </c>
      <c r="CL450" s="21">
        <v>0</v>
      </c>
      <c r="CM450" s="21">
        <v>0</v>
      </c>
      <c r="CN450" s="21">
        <v>0</v>
      </c>
      <c r="CO450" s="21">
        <v>0</v>
      </c>
      <c r="CP450" s="21">
        <v>0</v>
      </c>
      <c r="CQ450" s="21">
        <v>0</v>
      </c>
      <c r="CR450" s="21">
        <v>0</v>
      </c>
      <c r="CS450" s="21">
        <v>0</v>
      </c>
      <c r="CT450" s="21">
        <v>0</v>
      </c>
      <c r="CU450" s="21">
        <v>0</v>
      </c>
      <c r="CV450" s="21">
        <v>0</v>
      </c>
      <c r="CW450" s="21">
        <v>0</v>
      </c>
      <c r="CX450" s="21">
        <v>0</v>
      </c>
      <c r="CY450" s="21">
        <v>0</v>
      </c>
      <c r="CZ450" s="21">
        <v>0</v>
      </c>
      <c r="DA450" s="21">
        <v>0</v>
      </c>
      <c r="DB450" s="21">
        <v>0</v>
      </c>
      <c r="DC450" s="21">
        <v>0</v>
      </c>
      <c r="DD450" s="21">
        <v>0</v>
      </c>
      <c r="DE450" s="21">
        <v>0</v>
      </c>
      <c r="DF450" s="21">
        <v>0</v>
      </c>
      <c r="DG450" s="21">
        <v>0</v>
      </c>
      <c r="DH450" s="21">
        <v>0</v>
      </c>
      <c r="DI450" s="21">
        <v>0</v>
      </c>
      <c r="DJ450" s="21">
        <v>0</v>
      </c>
      <c r="DK450" s="21">
        <v>0</v>
      </c>
      <c r="DL450" s="21">
        <v>0</v>
      </c>
      <c r="DM450" s="21">
        <v>0</v>
      </c>
      <c r="DN450" s="21">
        <v>16</v>
      </c>
      <c r="DO450" s="21">
        <v>16</v>
      </c>
      <c r="DP450" s="21">
        <v>16</v>
      </c>
      <c r="DQ450" s="21">
        <v>16</v>
      </c>
      <c r="DR450" s="21">
        <v>0</v>
      </c>
      <c r="DS450" s="21">
        <v>0</v>
      </c>
      <c r="DT450" s="21">
        <v>0</v>
      </c>
      <c r="DU450" s="21">
        <v>0</v>
      </c>
      <c r="DV450" s="21">
        <v>0</v>
      </c>
      <c r="DW450" s="21">
        <v>0</v>
      </c>
      <c r="DX450" s="21">
        <v>0</v>
      </c>
      <c r="DY450" s="21">
        <v>0</v>
      </c>
      <c r="DZ450" s="21">
        <v>0</v>
      </c>
      <c r="EA450" s="21">
        <v>0</v>
      </c>
      <c r="EB450" s="21">
        <v>0</v>
      </c>
      <c r="EC450" s="21">
        <v>0</v>
      </c>
      <c r="ED450" s="21">
        <v>0</v>
      </c>
      <c r="EE450" s="21">
        <v>0</v>
      </c>
      <c r="EF450" s="21">
        <v>0</v>
      </c>
    </row>
    <row r="451" spans="1:136" ht="14.5" x14ac:dyDescent="0.35">
      <c r="A451" s="20" t="s">
        <v>12</v>
      </c>
      <c r="B451" s="20" t="s">
        <v>354</v>
      </c>
      <c r="C451" s="20" t="s">
        <v>109</v>
      </c>
      <c r="D451" s="20" t="s">
        <v>336</v>
      </c>
      <c r="E451" s="20" t="s">
        <v>16</v>
      </c>
      <c r="F451" s="20" t="s">
        <v>90</v>
      </c>
      <c r="G451" s="21">
        <v>7</v>
      </c>
      <c r="H451" s="21">
        <v>7</v>
      </c>
      <c r="I451" s="21">
        <v>0</v>
      </c>
      <c r="J451" s="21">
        <v>7</v>
      </c>
      <c r="K451" s="21">
        <v>0</v>
      </c>
      <c r="L451" s="21">
        <v>0</v>
      </c>
      <c r="M451" s="21">
        <v>0</v>
      </c>
      <c r="N451" s="21">
        <v>0</v>
      </c>
      <c r="O451" s="21">
        <v>0</v>
      </c>
      <c r="P451" s="21">
        <v>0</v>
      </c>
      <c r="Q451" s="21">
        <v>0</v>
      </c>
      <c r="R451" s="21">
        <v>0</v>
      </c>
      <c r="S451" s="21">
        <v>0</v>
      </c>
      <c r="T451" s="21">
        <v>0</v>
      </c>
      <c r="U451" s="21">
        <v>0</v>
      </c>
      <c r="V451" s="21">
        <v>0</v>
      </c>
      <c r="W451" s="21">
        <v>0</v>
      </c>
      <c r="X451" s="21">
        <v>0</v>
      </c>
      <c r="Y451" s="21">
        <v>0</v>
      </c>
      <c r="Z451" s="21">
        <v>0</v>
      </c>
      <c r="AA451" s="21">
        <v>0</v>
      </c>
      <c r="AB451" s="21">
        <v>0</v>
      </c>
      <c r="AC451" s="21">
        <v>0</v>
      </c>
      <c r="AD451" s="21">
        <v>0</v>
      </c>
      <c r="AE451" s="21">
        <v>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1">
        <v>0</v>
      </c>
      <c r="AN451" s="21">
        <v>0</v>
      </c>
      <c r="AO451" s="21">
        <v>0</v>
      </c>
      <c r="AP451" s="21">
        <v>0</v>
      </c>
      <c r="AQ451" s="21">
        <v>0</v>
      </c>
      <c r="AR451" s="21">
        <v>0</v>
      </c>
      <c r="AS451" s="21">
        <v>0</v>
      </c>
      <c r="AT451" s="21">
        <v>0</v>
      </c>
      <c r="AU451" s="21">
        <v>0</v>
      </c>
      <c r="AV451" s="21">
        <v>0</v>
      </c>
      <c r="AW451" s="21">
        <v>0</v>
      </c>
      <c r="AX451" s="21">
        <v>0</v>
      </c>
      <c r="AY451" s="21">
        <v>0</v>
      </c>
      <c r="AZ451" s="21">
        <v>0</v>
      </c>
      <c r="BA451" s="21">
        <v>0</v>
      </c>
      <c r="BB451" s="21">
        <v>0</v>
      </c>
      <c r="BC451" s="21">
        <v>0</v>
      </c>
      <c r="BD451" s="21">
        <v>0</v>
      </c>
      <c r="BE451" s="21">
        <v>0</v>
      </c>
      <c r="BF451" s="21">
        <v>0</v>
      </c>
      <c r="BG451" s="21">
        <v>0</v>
      </c>
      <c r="BH451" s="21">
        <v>0</v>
      </c>
      <c r="BI451" s="21">
        <v>0</v>
      </c>
      <c r="BJ451" s="21">
        <v>0</v>
      </c>
      <c r="BK451" s="21">
        <v>0</v>
      </c>
      <c r="BL451" s="21">
        <v>0</v>
      </c>
      <c r="BM451" s="21">
        <v>0</v>
      </c>
      <c r="BN451" s="21">
        <v>0</v>
      </c>
      <c r="BO451" s="21">
        <v>0</v>
      </c>
      <c r="BP451" s="21">
        <v>0</v>
      </c>
      <c r="BQ451" s="21">
        <v>0</v>
      </c>
      <c r="BR451" s="21">
        <v>0</v>
      </c>
      <c r="BS451" s="21">
        <v>0</v>
      </c>
      <c r="BT451" s="21">
        <v>0</v>
      </c>
      <c r="BU451" s="21">
        <v>0</v>
      </c>
      <c r="BV451" s="21">
        <v>0</v>
      </c>
      <c r="BW451" s="21">
        <v>0</v>
      </c>
      <c r="BX451" s="21">
        <v>0</v>
      </c>
      <c r="BY451" s="21">
        <v>0</v>
      </c>
      <c r="BZ451" s="21">
        <v>0</v>
      </c>
      <c r="CA451" s="21">
        <v>0</v>
      </c>
      <c r="CB451" s="21">
        <v>0</v>
      </c>
      <c r="CC451" s="21">
        <v>0</v>
      </c>
      <c r="CD451" s="21">
        <v>0</v>
      </c>
      <c r="CE451" s="21">
        <v>0</v>
      </c>
      <c r="CF451" s="21">
        <v>0</v>
      </c>
      <c r="CG451" s="21">
        <v>0</v>
      </c>
      <c r="CH451" s="21">
        <v>0</v>
      </c>
      <c r="CI451" s="21">
        <v>0</v>
      </c>
      <c r="CJ451" s="21">
        <v>0</v>
      </c>
      <c r="CK451" s="21">
        <v>0</v>
      </c>
      <c r="CL451" s="21">
        <v>0</v>
      </c>
      <c r="CM451" s="21">
        <v>0</v>
      </c>
      <c r="CN451" s="21">
        <v>0</v>
      </c>
      <c r="CO451" s="21">
        <v>0</v>
      </c>
      <c r="CP451" s="21">
        <v>0</v>
      </c>
      <c r="CQ451" s="21">
        <v>0</v>
      </c>
      <c r="CR451" s="21">
        <v>0</v>
      </c>
      <c r="CS451" s="21">
        <v>0</v>
      </c>
      <c r="CT451" s="21">
        <v>0</v>
      </c>
      <c r="CU451" s="21">
        <v>0</v>
      </c>
      <c r="CV451" s="21">
        <v>0</v>
      </c>
      <c r="CW451" s="21">
        <v>0</v>
      </c>
      <c r="CX451" s="21">
        <v>0</v>
      </c>
      <c r="CY451" s="21">
        <v>0</v>
      </c>
      <c r="CZ451" s="21">
        <v>0</v>
      </c>
      <c r="DA451" s="21">
        <v>0</v>
      </c>
      <c r="DB451" s="21">
        <v>0</v>
      </c>
      <c r="DC451" s="21">
        <v>0</v>
      </c>
      <c r="DD451" s="21">
        <v>0</v>
      </c>
      <c r="DE451" s="21">
        <v>0</v>
      </c>
      <c r="DF451" s="21">
        <v>0</v>
      </c>
      <c r="DG451" s="21">
        <v>0</v>
      </c>
      <c r="DH451" s="21">
        <v>0</v>
      </c>
      <c r="DI451" s="21">
        <v>0</v>
      </c>
      <c r="DJ451" s="21">
        <v>0</v>
      </c>
      <c r="DK451" s="21">
        <v>0</v>
      </c>
      <c r="DL451" s="21">
        <v>0</v>
      </c>
      <c r="DM451" s="21">
        <v>0</v>
      </c>
      <c r="DN451" s="21">
        <v>0</v>
      </c>
      <c r="DO451" s="21">
        <v>0</v>
      </c>
      <c r="DP451" s="21">
        <v>0</v>
      </c>
      <c r="DQ451" s="21">
        <v>0</v>
      </c>
      <c r="DR451" s="21">
        <v>0</v>
      </c>
      <c r="DS451" s="21">
        <v>0</v>
      </c>
      <c r="DT451" s="21">
        <v>0</v>
      </c>
      <c r="DU451" s="21">
        <v>0</v>
      </c>
      <c r="DV451" s="21">
        <v>0</v>
      </c>
      <c r="DW451" s="21">
        <v>0</v>
      </c>
      <c r="DX451" s="21">
        <v>0</v>
      </c>
      <c r="DY451" s="21">
        <v>0</v>
      </c>
      <c r="DZ451" s="21">
        <v>0</v>
      </c>
      <c r="EA451" s="21">
        <v>0</v>
      </c>
      <c r="EB451" s="21">
        <v>0</v>
      </c>
      <c r="EC451" s="21">
        <v>0</v>
      </c>
      <c r="ED451" s="21">
        <v>0</v>
      </c>
      <c r="EE451" s="21">
        <v>0</v>
      </c>
      <c r="EF451" s="21">
        <v>0</v>
      </c>
    </row>
    <row r="452" spans="1:136" ht="14.5" x14ac:dyDescent="0.35">
      <c r="A452" s="20" t="s">
        <v>12</v>
      </c>
      <c r="B452" s="20" t="s">
        <v>355</v>
      </c>
      <c r="C452" s="20" t="s">
        <v>109</v>
      </c>
      <c r="D452" s="20" t="s">
        <v>339</v>
      </c>
      <c r="E452" s="20" t="s">
        <v>14</v>
      </c>
      <c r="F452" s="20" t="s">
        <v>83</v>
      </c>
      <c r="G452" s="21">
        <v>40</v>
      </c>
      <c r="H452" s="21">
        <v>200</v>
      </c>
      <c r="I452" s="21">
        <v>160</v>
      </c>
      <c r="J452" s="21">
        <v>40</v>
      </c>
      <c r="K452" s="21">
        <v>0</v>
      </c>
      <c r="L452" s="21">
        <v>0</v>
      </c>
      <c r="M452" s="21">
        <v>0</v>
      </c>
      <c r="N452" s="21">
        <v>0</v>
      </c>
      <c r="O452" s="21">
        <v>0</v>
      </c>
      <c r="P452" s="21">
        <v>0</v>
      </c>
      <c r="Q452" s="21">
        <v>0</v>
      </c>
      <c r="R452" s="21">
        <v>0</v>
      </c>
      <c r="S452" s="21">
        <v>0</v>
      </c>
      <c r="T452" s="21">
        <v>0</v>
      </c>
      <c r="U452" s="21">
        <v>0</v>
      </c>
      <c r="V452" s="21">
        <v>0</v>
      </c>
      <c r="W452" s="21">
        <v>0</v>
      </c>
      <c r="X452" s="21">
        <v>0</v>
      </c>
      <c r="Y452" s="21">
        <v>0</v>
      </c>
      <c r="Z452" s="21">
        <v>0</v>
      </c>
      <c r="AA452" s="21">
        <v>0</v>
      </c>
      <c r="AB452" s="21">
        <v>0</v>
      </c>
      <c r="AC452" s="21">
        <v>0</v>
      </c>
      <c r="AD452" s="21">
        <v>0</v>
      </c>
      <c r="AE452" s="21">
        <v>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0</v>
      </c>
      <c r="AN452" s="21">
        <v>0</v>
      </c>
      <c r="AO452" s="21">
        <v>0</v>
      </c>
      <c r="AP452" s="21">
        <v>0</v>
      </c>
      <c r="AQ452" s="21">
        <v>0</v>
      </c>
      <c r="AR452" s="21">
        <v>0</v>
      </c>
      <c r="AS452" s="21">
        <v>0</v>
      </c>
      <c r="AT452" s="21">
        <v>0</v>
      </c>
      <c r="AU452" s="21">
        <v>0</v>
      </c>
      <c r="AV452" s="21">
        <v>0</v>
      </c>
      <c r="AW452" s="21">
        <v>0</v>
      </c>
      <c r="AX452" s="21">
        <v>0</v>
      </c>
      <c r="AY452" s="21">
        <v>0</v>
      </c>
      <c r="AZ452" s="21">
        <v>0</v>
      </c>
      <c r="BA452" s="21">
        <v>0</v>
      </c>
      <c r="BB452" s="21">
        <v>0</v>
      </c>
      <c r="BC452" s="21">
        <v>0</v>
      </c>
      <c r="BD452" s="21">
        <v>0</v>
      </c>
      <c r="BE452" s="21">
        <v>0</v>
      </c>
      <c r="BF452" s="21">
        <v>0</v>
      </c>
      <c r="BG452" s="21">
        <v>0</v>
      </c>
      <c r="BH452" s="21">
        <v>0</v>
      </c>
      <c r="BI452" s="21">
        <v>0</v>
      </c>
      <c r="BJ452" s="21">
        <v>0</v>
      </c>
      <c r="BK452" s="21">
        <v>0</v>
      </c>
      <c r="BL452" s="21">
        <v>0</v>
      </c>
      <c r="BM452" s="21">
        <v>0</v>
      </c>
      <c r="BN452" s="21">
        <v>0</v>
      </c>
      <c r="BO452" s="21">
        <v>0</v>
      </c>
      <c r="BP452" s="21">
        <v>0</v>
      </c>
      <c r="BQ452" s="21">
        <v>0</v>
      </c>
      <c r="BR452" s="21">
        <v>0</v>
      </c>
      <c r="BS452" s="21">
        <v>0</v>
      </c>
      <c r="BT452" s="21">
        <v>0</v>
      </c>
      <c r="BU452" s="21">
        <v>0</v>
      </c>
      <c r="BV452" s="21">
        <v>0</v>
      </c>
      <c r="BW452" s="21">
        <v>0</v>
      </c>
      <c r="BX452" s="21">
        <v>0</v>
      </c>
      <c r="BY452" s="21">
        <v>0</v>
      </c>
      <c r="BZ452" s="21">
        <v>0</v>
      </c>
      <c r="CA452" s="21">
        <v>0</v>
      </c>
      <c r="CB452" s="21">
        <v>0</v>
      </c>
      <c r="CC452" s="21">
        <v>0</v>
      </c>
      <c r="CD452" s="21">
        <v>0</v>
      </c>
      <c r="CE452" s="21">
        <v>0</v>
      </c>
      <c r="CF452" s="21">
        <v>0</v>
      </c>
      <c r="CG452" s="21">
        <v>0</v>
      </c>
      <c r="CH452" s="21">
        <v>0</v>
      </c>
      <c r="CI452" s="21">
        <v>0</v>
      </c>
      <c r="CJ452" s="21">
        <v>0</v>
      </c>
      <c r="CK452" s="21">
        <v>0</v>
      </c>
      <c r="CL452" s="21">
        <v>0</v>
      </c>
      <c r="CM452" s="21">
        <v>0</v>
      </c>
      <c r="CN452" s="21">
        <v>0</v>
      </c>
      <c r="CO452" s="21">
        <v>0</v>
      </c>
      <c r="CP452" s="21">
        <v>0</v>
      </c>
      <c r="CQ452" s="21">
        <v>0</v>
      </c>
      <c r="CR452" s="21">
        <v>0</v>
      </c>
      <c r="CS452" s="21">
        <v>0</v>
      </c>
      <c r="CT452" s="21">
        <v>0</v>
      </c>
      <c r="CU452" s="21">
        <v>0</v>
      </c>
      <c r="CV452" s="21">
        <v>0</v>
      </c>
      <c r="CW452" s="21">
        <v>0</v>
      </c>
      <c r="CX452" s="21">
        <v>0</v>
      </c>
      <c r="CY452" s="21">
        <v>0</v>
      </c>
      <c r="CZ452" s="21">
        <v>0</v>
      </c>
      <c r="DA452" s="21">
        <v>0</v>
      </c>
      <c r="DB452" s="21">
        <v>0</v>
      </c>
      <c r="DC452" s="21">
        <v>0</v>
      </c>
      <c r="DD452" s="21">
        <v>0</v>
      </c>
      <c r="DE452" s="21">
        <v>0</v>
      </c>
      <c r="DF452" s="21">
        <v>0</v>
      </c>
      <c r="DG452" s="21">
        <v>0</v>
      </c>
      <c r="DH452" s="21">
        <v>0</v>
      </c>
      <c r="DI452" s="21">
        <v>0</v>
      </c>
      <c r="DJ452" s="21">
        <v>0</v>
      </c>
      <c r="DK452" s="21">
        <v>0</v>
      </c>
      <c r="DL452" s="21">
        <v>0</v>
      </c>
      <c r="DM452" s="21">
        <v>0</v>
      </c>
      <c r="DN452" s="21">
        <v>40</v>
      </c>
      <c r="DO452" s="21">
        <v>40</v>
      </c>
      <c r="DP452" s="21">
        <v>40</v>
      </c>
      <c r="DQ452" s="21">
        <v>40</v>
      </c>
      <c r="DR452" s="21">
        <v>0</v>
      </c>
      <c r="DS452" s="21">
        <v>0</v>
      </c>
      <c r="DT452" s="21">
        <v>0</v>
      </c>
      <c r="DU452" s="21">
        <v>0</v>
      </c>
      <c r="DV452" s="21">
        <v>0</v>
      </c>
      <c r="DW452" s="21">
        <v>0</v>
      </c>
      <c r="DX452" s="21">
        <v>0</v>
      </c>
      <c r="DY452" s="21">
        <v>0</v>
      </c>
      <c r="DZ452" s="21">
        <v>0</v>
      </c>
      <c r="EA452" s="21">
        <v>0</v>
      </c>
      <c r="EB452" s="21">
        <v>0</v>
      </c>
      <c r="EC452" s="21">
        <v>0</v>
      </c>
      <c r="ED452" s="21">
        <v>0</v>
      </c>
      <c r="EE452" s="21">
        <v>0</v>
      </c>
      <c r="EF452" s="21">
        <v>0</v>
      </c>
    </row>
    <row r="453" spans="1:136" ht="14.5" x14ac:dyDescent="0.35">
      <c r="A453" s="20" t="s">
        <v>12</v>
      </c>
      <c r="B453" s="20" t="s">
        <v>356</v>
      </c>
      <c r="C453" s="20" t="s">
        <v>110</v>
      </c>
      <c r="D453" s="20" t="s">
        <v>336</v>
      </c>
      <c r="E453" s="20" t="s">
        <v>16</v>
      </c>
      <c r="F453" s="20" t="s">
        <v>87</v>
      </c>
      <c r="G453" s="21">
        <v>13</v>
      </c>
      <c r="H453" s="21">
        <v>13</v>
      </c>
      <c r="I453" s="21">
        <v>0</v>
      </c>
      <c r="J453" s="21">
        <v>13</v>
      </c>
      <c r="K453" s="21">
        <v>0</v>
      </c>
      <c r="L453" s="21">
        <v>0</v>
      </c>
      <c r="M453" s="21">
        <v>0</v>
      </c>
      <c r="N453" s="21">
        <v>0</v>
      </c>
      <c r="O453" s="21">
        <v>0</v>
      </c>
      <c r="P453" s="21">
        <v>0</v>
      </c>
      <c r="Q453" s="21">
        <v>0</v>
      </c>
      <c r="R453" s="21">
        <v>0</v>
      </c>
      <c r="S453" s="21">
        <v>0</v>
      </c>
      <c r="T453" s="21">
        <v>0</v>
      </c>
      <c r="U453" s="21">
        <v>0</v>
      </c>
      <c r="V453" s="21">
        <v>0</v>
      </c>
      <c r="W453" s="21">
        <v>0</v>
      </c>
      <c r="X453" s="21">
        <v>0</v>
      </c>
      <c r="Y453" s="21">
        <v>0</v>
      </c>
      <c r="Z453" s="21">
        <v>0</v>
      </c>
      <c r="AA453" s="21">
        <v>0</v>
      </c>
      <c r="AB453" s="21">
        <v>0</v>
      </c>
      <c r="AC453" s="21">
        <v>0</v>
      </c>
      <c r="AD453" s="21">
        <v>0</v>
      </c>
      <c r="AE453" s="21">
        <v>0</v>
      </c>
      <c r="AF453" s="21">
        <v>0</v>
      </c>
      <c r="AG453" s="21">
        <v>0</v>
      </c>
      <c r="AH453" s="21">
        <v>0</v>
      </c>
      <c r="AI453" s="21">
        <v>0</v>
      </c>
      <c r="AJ453" s="21">
        <v>0</v>
      </c>
      <c r="AK453" s="21">
        <v>0</v>
      </c>
      <c r="AL453" s="21">
        <v>0</v>
      </c>
      <c r="AM453" s="21">
        <v>0</v>
      </c>
      <c r="AN453" s="21">
        <v>0</v>
      </c>
      <c r="AO453" s="21">
        <v>0</v>
      </c>
      <c r="AP453" s="21">
        <v>0</v>
      </c>
      <c r="AQ453" s="21">
        <v>0</v>
      </c>
      <c r="AR453" s="21">
        <v>0</v>
      </c>
      <c r="AS453" s="21">
        <v>0</v>
      </c>
      <c r="AT453" s="21">
        <v>0</v>
      </c>
      <c r="AU453" s="21">
        <v>0</v>
      </c>
      <c r="AV453" s="21">
        <v>0</v>
      </c>
      <c r="AW453" s="21">
        <v>0</v>
      </c>
      <c r="AX453" s="21">
        <v>0</v>
      </c>
      <c r="AY453" s="21">
        <v>0</v>
      </c>
      <c r="AZ453" s="21">
        <v>0</v>
      </c>
      <c r="BA453" s="21">
        <v>0</v>
      </c>
      <c r="BB453" s="21">
        <v>0</v>
      </c>
      <c r="BC453" s="21">
        <v>0</v>
      </c>
      <c r="BD453" s="21">
        <v>0</v>
      </c>
      <c r="BE453" s="21">
        <v>0</v>
      </c>
      <c r="BF453" s="21">
        <v>0</v>
      </c>
      <c r="BG453" s="21">
        <v>0</v>
      </c>
      <c r="BH453" s="21">
        <v>0</v>
      </c>
      <c r="BI453" s="21">
        <v>0</v>
      </c>
      <c r="BJ453" s="21">
        <v>0</v>
      </c>
      <c r="BK453" s="21">
        <v>0</v>
      </c>
      <c r="BL453" s="21">
        <v>0</v>
      </c>
      <c r="BM453" s="21">
        <v>0</v>
      </c>
      <c r="BN453" s="21">
        <v>0</v>
      </c>
      <c r="BO453" s="21">
        <v>0</v>
      </c>
      <c r="BP453" s="21">
        <v>0</v>
      </c>
      <c r="BQ453" s="21">
        <v>0</v>
      </c>
      <c r="BR453" s="21">
        <v>0</v>
      </c>
      <c r="BS453" s="21">
        <v>0</v>
      </c>
      <c r="BT453" s="21">
        <v>0</v>
      </c>
      <c r="BU453" s="21">
        <v>0</v>
      </c>
      <c r="BV453" s="21">
        <v>0</v>
      </c>
      <c r="BW453" s="21">
        <v>0</v>
      </c>
      <c r="BX453" s="21">
        <v>0</v>
      </c>
      <c r="BY453" s="21">
        <v>0</v>
      </c>
      <c r="BZ453" s="21">
        <v>0</v>
      </c>
      <c r="CA453" s="21">
        <v>0</v>
      </c>
      <c r="CB453" s="21">
        <v>0</v>
      </c>
      <c r="CC453" s="21">
        <v>0</v>
      </c>
      <c r="CD453" s="21">
        <v>0</v>
      </c>
      <c r="CE453" s="21">
        <v>0</v>
      </c>
      <c r="CF453" s="21">
        <v>0</v>
      </c>
      <c r="CG453" s="21">
        <v>0</v>
      </c>
      <c r="CH453" s="21">
        <v>0</v>
      </c>
      <c r="CI453" s="21">
        <v>0</v>
      </c>
      <c r="CJ453" s="21">
        <v>0</v>
      </c>
      <c r="CK453" s="21">
        <v>0</v>
      </c>
      <c r="CL453" s="21">
        <v>0</v>
      </c>
      <c r="CM453" s="21">
        <v>0</v>
      </c>
      <c r="CN453" s="21">
        <v>0</v>
      </c>
      <c r="CO453" s="21">
        <v>0</v>
      </c>
      <c r="CP453" s="21">
        <v>0</v>
      </c>
      <c r="CQ453" s="21">
        <v>0</v>
      </c>
      <c r="CR453" s="21">
        <v>0</v>
      </c>
      <c r="CS453" s="21">
        <v>0</v>
      </c>
      <c r="CT453" s="21">
        <v>0</v>
      </c>
      <c r="CU453" s="21">
        <v>0</v>
      </c>
      <c r="CV453" s="21">
        <v>0</v>
      </c>
      <c r="CW453" s="21">
        <v>0</v>
      </c>
      <c r="CX453" s="21">
        <v>0</v>
      </c>
      <c r="CY453" s="21">
        <v>0</v>
      </c>
      <c r="CZ453" s="21">
        <v>0</v>
      </c>
      <c r="DA453" s="21">
        <v>0</v>
      </c>
      <c r="DB453" s="21">
        <v>0</v>
      </c>
      <c r="DC453" s="21">
        <v>0</v>
      </c>
      <c r="DD453" s="21">
        <v>0</v>
      </c>
      <c r="DE453" s="21">
        <v>0</v>
      </c>
      <c r="DF453" s="21">
        <v>0</v>
      </c>
      <c r="DG453" s="21">
        <v>0</v>
      </c>
      <c r="DH453" s="21">
        <v>0</v>
      </c>
      <c r="DI453" s="21">
        <v>0</v>
      </c>
      <c r="DJ453" s="21">
        <v>0</v>
      </c>
      <c r="DK453" s="21">
        <v>0</v>
      </c>
      <c r="DL453" s="21">
        <v>0</v>
      </c>
      <c r="DM453" s="21">
        <v>0</v>
      </c>
      <c r="DN453" s="21">
        <v>0</v>
      </c>
      <c r="DO453" s="21">
        <v>0</v>
      </c>
      <c r="DP453" s="21">
        <v>0</v>
      </c>
      <c r="DQ453" s="21">
        <v>0</v>
      </c>
      <c r="DR453" s="21">
        <v>0</v>
      </c>
      <c r="DS453" s="21">
        <v>0</v>
      </c>
      <c r="DT453" s="21">
        <v>0</v>
      </c>
      <c r="DU453" s="21">
        <v>0</v>
      </c>
      <c r="DV453" s="21">
        <v>0</v>
      </c>
      <c r="DW453" s="21">
        <v>0</v>
      </c>
      <c r="DX453" s="21">
        <v>0</v>
      </c>
      <c r="DY453" s="21">
        <v>0</v>
      </c>
      <c r="DZ453" s="21">
        <v>0</v>
      </c>
      <c r="EA453" s="21">
        <v>0</v>
      </c>
      <c r="EB453" s="21">
        <v>0</v>
      </c>
      <c r="EC453" s="21">
        <v>0</v>
      </c>
      <c r="ED453" s="21">
        <v>0</v>
      </c>
      <c r="EE453" s="21">
        <v>0</v>
      </c>
      <c r="EF453" s="21">
        <v>0</v>
      </c>
    </row>
    <row r="454" spans="1:136" ht="14.5" x14ac:dyDescent="0.35">
      <c r="A454" s="20" t="s">
        <v>12</v>
      </c>
      <c r="B454" s="20" t="s">
        <v>356</v>
      </c>
      <c r="C454" s="20" t="s">
        <v>110</v>
      </c>
      <c r="D454" s="20" t="s">
        <v>336</v>
      </c>
      <c r="E454" s="20" t="s">
        <v>16</v>
      </c>
      <c r="F454" s="20" t="s">
        <v>90</v>
      </c>
      <c r="G454" s="21">
        <v>10</v>
      </c>
      <c r="H454" s="21">
        <v>10</v>
      </c>
      <c r="I454" s="21">
        <v>0</v>
      </c>
      <c r="J454" s="21">
        <v>10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>
        <v>0</v>
      </c>
      <c r="T454" s="21">
        <v>0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21">
        <v>0</v>
      </c>
      <c r="AA454" s="21">
        <v>0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21">
        <v>0</v>
      </c>
      <c r="AO454" s="21">
        <v>0</v>
      </c>
      <c r="AP454" s="21">
        <v>0</v>
      </c>
      <c r="AQ454" s="21">
        <v>0</v>
      </c>
      <c r="AR454" s="21">
        <v>0</v>
      </c>
      <c r="AS454" s="21">
        <v>0</v>
      </c>
      <c r="AT454" s="21">
        <v>0</v>
      </c>
      <c r="AU454" s="21">
        <v>0</v>
      </c>
      <c r="AV454" s="21">
        <v>0</v>
      </c>
      <c r="AW454" s="21">
        <v>0</v>
      </c>
      <c r="AX454" s="21">
        <v>0</v>
      </c>
      <c r="AY454" s="21">
        <v>0</v>
      </c>
      <c r="AZ454" s="21">
        <v>0</v>
      </c>
      <c r="BA454" s="21">
        <v>0</v>
      </c>
      <c r="BB454" s="21">
        <v>0</v>
      </c>
      <c r="BC454" s="21">
        <v>0</v>
      </c>
      <c r="BD454" s="21">
        <v>0</v>
      </c>
      <c r="BE454" s="21">
        <v>0</v>
      </c>
      <c r="BF454" s="21">
        <v>0</v>
      </c>
      <c r="BG454" s="21">
        <v>0</v>
      </c>
      <c r="BH454" s="21">
        <v>0</v>
      </c>
      <c r="BI454" s="21">
        <v>0</v>
      </c>
      <c r="BJ454" s="21">
        <v>0</v>
      </c>
      <c r="BK454" s="21">
        <v>0</v>
      </c>
      <c r="BL454" s="21">
        <v>0</v>
      </c>
      <c r="BM454" s="21">
        <v>0</v>
      </c>
      <c r="BN454" s="21">
        <v>0</v>
      </c>
      <c r="BO454" s="21">
        <v>0</v>
      </c>
      <c r="BP454" s="21">
        <v>0</v>
      </c>
      <c r="BQ454" s="21">
        <v>0</v>
      </c>
      <c r="BR454" s="21">
        <v>0</v>
      </c>
      <c r="BS454" s="21">
        <v>0</v>
      </c>
      <c r="BT454" s="21">
        <v>0</v>
      </c>
      <c r="BU454" s="21">
        <v>0</v>
      </c>
      <c r="BV454" s="21">
        <v>0</v>
      </c>
      <c r="BW454" s="21">
        <v>0</v>
      </c>
      <c r="BX454" s="21">
        <v>0</v>
      </c>
      <c r="BY454" s="21">
        <v>0</v>
      </c>
      <c r="BZ454" s="21">
        <v>0</v>
      </c>
      <c r="CA454" s="21">
        <v>0</v>
      </c>
      <c r="CB454" s="21">
        <v>0</v>
      </c>
      <c r="CC454" s="21">
        <v>0</v>
      </c>
      <c r="CD454" s="21">
        <v>0</v>
      </c>
      <c r="CE454" s="21">
        <v>0</v>
      </c>
      <c r="CF454" s="21">
        <v>0</v>
      </c>
      <c r="CG454" s="21">
        <v>0</v>
      </c>
      <c r="CH454" s="21">
        <v>0</v>
      </c>
      <c r="CI454" s="21">
        <v>0</v>
      </c>
      <c r="CJ454" s="21">
        <v>0</v>
      </c>
      <c r="CK454" s="21">
        <v>0</v>
      </c>
      <c r="CL454" s="21">
        <v>0</v>
      </c>
      <c r="CM454" s="21">
        <v>0</v>
      </c>
      <c r="CN454" s="21">
        <v>0</v>
      </c>
      <c r="CO454" s="21">
        <v>0</v>
      </c>
      <c r="CP454" s="21">
        <v>0</v>
      </c>
      <c r="CQ454" s="21">
        <v>0</v>
      </c>
      <c r="CR454" s="21">
        <v>0</v>
      </c>
      <c r="CS454" s="21">
        <v>0</v>
      </c>
      <c r="CT454" s="21">
        <v>0</v>
      </c>
      <c r="CU454" s="21">
        <v>0</v>
      </c>
      <c r="CV454" s="21">
        <v>0</v>
      </c>
      <c r="CW454" s="21">
        <v>0</v>
      </c>
      <c r="CX454" s="21">
        <v>0</v>
      </c>
      <c r="CY454" s="21">
        <v>0</v>
      </c>
      <c r="CZ454" s="21">
        <v>0</v>
      </c>
      <c r="DA454" s="21">
        <v>0</v>
      </c>
      <c r="DB454" s="21">
        <v>0</v>
      </c>
      <c r="DC454" s="21">
        <v>0</v>
      </c>
      <c r="DD454" s="21">
        <v>0</v>
      </c>
      <c r="DE454" s="21">
        <v>0</v>
      </c>
      <c r="DF454" s="21">
        <v>0</v>
      </c>
      <c r="DG454" s="21">
        <v>0</v>
      </c>
      <c r="DH454" s="21">
        <v>0</v>
      </c>
      <c r="DI454" s="21">
        <v>0</v>
      </c>
      <c r="DJ454" s="21">
        <v>0</v>
      </c>
      <c r="DK454" s="21">
        <v>0</v>
      </c>
      <c r="DL454" s="21">
        <v>0</v>
      </c>
      <c r="DM454" s="21">
        <v>0</v>
      </c>
      <c r="DN454" s="21">
        <v>0</v>
      </c>
      <c r="DO454" s="21">
        <v>0</v>
      </c>
      <c r="DP454" s="21">
        <v>0</v>
      </c>
      <c r="DQ454" s="21">
        <v>0</v>
      </c>
      <c r="DR454" s="21">
        <v>0</v>
      </c>
      <c r="DS454" s="21">
        <v>0</v>
      </c>
      <c r="DT454" s="21">
        <v>0</v>
      </c>
      <c r="DU454" s="21">
        <v>0</v>
      </c>
      <c r="DV454" s="21">
        <v>0</v>
      </c>
      <c r="DW454" s="21">
        <v>0</v>
      </c>
      <c r="DX454" s="21">
        <v>0</v>
      </c>
      <c r="DY454" s="21">
        <v>0</v>
      </c>
      <c r="DZ454" s="21">
        <v>0</v>
      </c>
      <c r="EA454" s="21">
        <v>0</v>
      </c>
      <c r="EB454" s="21">
        <v>0</v>
      </c>
      <c r="EC454" s="21">
        <v>0</v>
      </c>
      <c r="ED454" s="21">
        <v>0</v>
      </c>
      <c r="EE454" s="21">
        <v>0</v>
      </c>
      <c r="EF454" s="21">
        <v>0</v>
      </c>
    </row>
    <row r="455" spans="1:136" ht="14.5" x14ac:dyDescent="0.35">
      <c r="A455" s="20" t="s">
        <v>12</v>
      </c>
      <c r="B455" s="20" t="s">
        <v>357</v>
      </c>
      <c r="C455" s="20" t="s">
        <v>110</v>
      </c>
      <c r="D455" s="20" t="s">
        <v>334</v>
      </c>
      <c r="E455" s="20" t="s">
        <v>10</v>
      </c>
      <c r="F455" s="20" t="s">
        <v>92</v>
      </c>
      <c r="G455" s="21">
        <v>0</v>
      </c>
      <c r="H455" s="21">
        <v>20</v>
      </c>
      <c r="I455" s="21">
        <v>20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  <c r="Q455" s="21">
        <v>0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21">
        <v>0</v>
      </c>
      <c r="AA455" s="21">
        <v>0</v>
      </c>
      <c r="AB455" s="21">
        <v>0</v>
      </c>
      <c r="AC455" s="21">
        <v>0</v>
      </c>
      <c r="AD455" s="21">
        <v>0</v>
      </c>
      <c r="AE455" s="21">
        <v>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1">
        <v>0</v>
      </c>
      <c r="AL455" s="21">
        <v>0</v>
      </c>
      <c r="AM455" s="21">
        <v>0</v>
      </c>
      <c r="AN455" s="21">
        <v>0</v>
      </c>
      <c r="AO455" s="21">
        <v>0</v>
      </c>
      <c r="AP455" s="21">
        <v>0</v>
      </c>
      <c r="AQ455" s="21">
        <v>0</v>
      </c>
      <c r="AR455" s="21">
        <v>0</v>
      </c>
      <c r="AS455" s="21">
        <v>0</v>
      </c>
      <c r="AT455" s="21">
        <v>0</v>
      </c>
      <c r="AU455" s="21">
        <v>0</v>
      </c>
      <c r="AV455" s="21">
        <v>0</v>
      </c>
      <c r="AW455" s="21">
        <v>0</v>
      </c>
      <c r="AX455" s="21">
        <v>0</v>
      </c>
      <c r="AY455" s="21">
        <v>0</v>
      </c>
      <c r="AZ455" s="21">
        <v>0</v>
      </c>
      <c r="BA455" s="21">
        <v>0</v>
      </c>
      <c r="BB455" s="21">
        <v>0</v>
      </c>
      <c r="BC455" s="21">
        <v>0</v>
      </c>
      <c r="BD455" s="21">
        <v>0</v>
      </c>
      <c r="BE455" s="21">
        <v>0</v>
      </c>
      <c r="BF455" s="21">
        <v>0</v>
      </c>
      <c r="BG455" s="21">
        <v>0</v>
      </c>
      <c r="BH455" s="21">
        <v>0</v>
      </c>
      <c r="BI455" s="21">
        <v>0</v>
      </c>
      <c r="BJ455" s="21">
        <v>0</v>
      </c>
      <c r="BK455" s="21">
        <v>0</v>
      </c>
      <c r="BL455" s="21">
        <v>0</v>
      </c>
      <c r="BM455" s="21">
        <v>0</v>
      </c>
      <c r="BN455" s="21">
        <v>0</v>
      </c>
      <c r="BO455" s="21">
        <v>0</v>
      </c>
      <c r="BP455" s="21">
        <v>0</v>
      </c>
      <c r="BQ455" s="21">
        <v>0</v>
      </c>
      <c r="BR455" s="21">
        <v>0</v>
      </c>
      <c r="BS455" s="21">
        <v>0</v>
      </c>
      <c r="BT455" s="21">
        <v>0</v>
      </c>
      <c r="BU455" s="21">
        <v>0</v>
      </c>
      <c r="BV455" s="21">
        <v>0</v>
      </c>
      <c r="BW455" s="21">
        <v>0</v>
      </c>
      <c r="BX455" s="21">
        <v>0</v>
      </c>
      <c r="BY455" s="21">
        <v>0</v>
      </c>
      <c r="BZ455" s="21">
        <v>0</v>
      </c>
      <c r="CA455" s="21">
        <v>0</v>
      </c>
      <c r="CB455" s="21">
        <v>0</v>
      </c>
      <c r="CC455" s="21">
        <v>0</v>
      </c>
      <c r="CD455" s="21">
        <v>0</v>
      </c>
      <c r="CE455" s="21">
        <v>0</v>
      </c>
      <c r="CF455" s="21">
        <v>0</v>
      </c>
      <c r="CG455" s="21">
        <v>0</v>
      </c>
      <c r="CH455" s="21">
        <v>0</v>
      </c>
      <c r="CI455" s="21">
        <v>0</v>
      </c>
      <c r="CJ455" s="21">
        <v>0</v>
      </c>
      <c r="CK455" s="21">
        <v>0</v>
      </c>
      <c r="CL455" s="21">
        <v>0</v>
      </c>
      <c r="CM455" s="21">
        <v>0</v>
      </c>
      <c r="CN455" s="21">
        <v>0</v>
      </c>
      <c r="CO455" s="21">
        <v>0</v>
      </c>
      <c r="CP455" s="21">
        <v>0</v>
      </c>
      <c r="CQ455" s="21">
        <v>0</v>
      </c>
      <c r="CR455" s="21">
        <v>0</v>
      </c>
      <c r="CS455" s="21">
        <v>0</v>
      </c>
      <c r="CT455" s="21">
        <v>0</v>
      </c>
      <c r="CU455" s="21">
        <v>0</v>
      </c>
      <c r="CV455" s="21">
        <v>0</v>
      </c>
      <c r="CW455" s="21">
        <v>0</v>
      </c>
      <c r="CX455" s="21">
        <v>0</v>
      </c>
      <c r="CY455" s="21">
        <v>0</v>
      </c>
      <c r="CZ455" s="21">
        <v>10</v>
      </c>
      <c r="DA455" s="21">
        <v>10</v>
      </c>
      <c r="DB455" s="21">
        <v>0</v>
      </c>
      <c r="DC455" s="21">
        <v>0</v>
      </c>
      <c r="DD455" s="21">
        <v>0</v>
      </c>
      <c r="DE455" s="21">
        <v>0</v>
      </c>
      <c r="DF455" s="21">
        <v>0</v>
      </c>
      <c r="DG455" s="21">
        <v>0</v>
      </c>
      <c r="DH455" s="21">
        <v>0</v>
      </c>
      <c r="DI455" s="21">
        <v>0</v>
      </c>
      <c r="DJ455" s="21">
        <v>0</v>
      </c>
      <c r="DK455" s="21">
        <v>0</v>
      </c>
      <c r="DL455" s="21">
        <v>0</v>
      </c>
      <c r="DM455" s="21">
        <v>0</v>
      </c>
      <c r="DN455" s="21">
        <v>0</v>
      </c>
      <c r="DO455" s="21">
        <v>0</v>
      </c>
      <c r="DP455" s="21">
        <v>0</v>
      </c>
      <c r="DQ455" s="21">
        <v>0</v>
      </c>
      <c r="DR455" s="21">
        <v>0</v>
      </c>
      <c r="DS455" s="21">
        <v>0</v>
      </c>
      <c r="DT455" s="21">
        <v>0</v>
      </c>
      <c r="DU455" s="21">
        <v>0</v>
      </c>
      <c r="DV455" s="21">
        <v>0</v>
      </c>
      <c r="DW455" s="21">
        <v>0</v>
      </c>
      <c r="DX455" s="21">
        <v>0</v>
      </c>
      <c r="DY455" s="21">
        <v>0</v>
      </c>
      <c r="DZ455" s="21">
        <v>0</v>
      </c>
      <c r="EA455" s="21">
        <v>0</v>
      </c>
      <c r="EB455" s="21">
        <v>0</v>
      </c>
      <c r="EC455" s="21">
        <v>0</v>
      </c>
      <c r="ED455" s="21">
        <v>0</v>
      </c>
      <c r="EE455" s="21">
        <v>0</v>
      </c>
      <c r="EF455" s="21">
        <v>0</v>
      </c>
    </row>
    <row r="456" spans="1:136" ht="14.5" x14ac:dyDescent="0.35">
      <c r="A456" s="20" t="s">
        <v>12</v>
      </c>
      <c r="B456" s="20" t="s">
        <v>358</v>
      </c>
      <c r="C456" s="20" t="s">
        <v>111</v>
      </c>
      <c r="D456" s="20" t="s">
        <v>334</v>
      </c>
      <c r="E456" s="20" t="s">
        <v>10</v>
      </c>
      <c r="F456" s="20" t="s">
        <v>87</v>
      </c>
      <c r="G456" s="21">
        <v>9</v>
      </c>
      <c r="H456" s="21">
        <v>9</v>
      </c>
      <c r="I456" s="21">
        <v>0</v>
      </c>
      <c r="J456" s="21">
        <v>9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  <c r="Q456" s="21">
        <v>0</v>
      </c>
      <c r="R456" s="21">
        <v>0</v>
      </c>
      <c r="S456" s="21">
        <v>0</v>
      </c>
      <c r="T456" s="21">
        <v>0</v>
      </c>
      <c r="U456" s="21">
        <v>0</v>
      </c>
      <c r="V456" s="21">
        <v>0</v>
      </c>
      <c r="W456" s="21">
        <v>0</v>
      </c>
      <c r="X456" s="21">
        <v>0</v>
      </c>
      <c r="Y456" s="21">
        <v>0</v>
      </c>
      <c r="Z456" s="21">
        <v>0</v>
      </c>
      <c r="AA456" s="21">
        <v>0</v>
      </c>
      <c r="AB456" s="21">
        <v>0</v>
      </c>
      <c r="AC456" s="21">
        <v>0</v>
      </c>
      <c r="AD456" s="21">
        <v>0</v>
      </c>
      <c r="AE456" s="21">
        <v>0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0</v>
      </c>
      <c r="AN456" s="21">
        <v>0</v>
      </c>
      <c r="AO456" s="21">
        <v>0</v>
      </c>
      <c r="AP456" s="21">
        <v>0</v>
      </c>
      <c r="AQ456" s="21">
        <v>0</v>
      </c>
      <c r="AR456" s="21">
        <v>0</v>
      </c>
      <c r="AS456" s="21">
        <v>0</v>
      </c>
      <c r="AT456" s="21">
        <v>0</v>
      </c>
      <c r="AU456" s="21">
        <v>0</v>
      </c>
      <c r="AV456" s="21">
        <v>0</v>
      </c>
      <c r="AW456" s="21">
        <v>0</v>
      </c>
      <c r="AX456" s="21">
        <v>0</v>
      </c>
      <c r="AY456" s="21">
        <v>0</v>
      </c>
      <c r="AZ456" s="21">
        <v>0</v>
      </c>
      <c r="BA456" s="21">
        <v>0</v>
      </c>
      <c r="BB456" s="21">
        <v>0</v>
      </c>
      <c r="BC456" s="21">
        <v>0</v>
      </c>
      <c r="BD456" s="21">
        <v>0</v>
      </c>
      <c r="BE456" s="21">
        <v>0</v>
      </c>
      <c r="BF456" s="21">
        <v>0</v>
      </c>
      <c r="BG456" s="21">
        <v>0</v>
      </c>
      <c r="BH456" s="21">
        <v>0</v>
      </c>
      <c r="BI456" s="21">
        <v>0</v>
      </c>
      <c r="BJ456" s="21">
        <v>0</v>
      </c>
      <c r="BK456" s="21">
        <v>0</v>
      </c>
      <c r="BL456" s="21">
        <v>0</v>
      </c>
      <c r="BM456" s="21">
        <v>0</v>
      </c>
      <c r="BN456" s="21">
        <v>0</v>
      </c>
      <c r="BO456" s="21">
        <v>0</v>
      </c>
      <c r="BP456" s="21">
        <v>0</v>
      </c>
      <c r="BQ456" s="21">
        <v>0</v>
      </c>
      <c r="BR456" s="21">
        <v>0</v>
      </c>
      <c r="BS456" s="21">
        <v>0</v>
      </c>
      <c r="BT456" s="21">
        <v>0</v>
      </c>
      <c r="BU456" s="21">
        <v>0</v>
      </c>
      <c r="BV456" s="21">
        <v>0</v>
      </c>
      <c r="BW456" s="21">
        <v>0</v>
      </c>
      <c r="BX456" s="21">
        <v>0</v>
      </c>
      <c r="BY456" s="21">
        <v>0</v>
      </c>
      <c r="BZ456" s="21">
        <v>0</v>
      </c>
      <c r="CA456" s="21">
        <v>0</v>
      </c>
      <c r="CB456" s="21">
        <v>0</v>
      </c>
      <c r="CC456" s="21">
        <v>0</v>
      </c>
      <c r="CD456" s="21">
        <v>0</v>
      </c>
      <c r="CE456" s="21">
        <v>0</v>
      </c>
      <c r="CF456" s="21">
        <v>0</v>
      </c>
      <c r="CG456" s="21">
        <v>0</v>
      </c>
      <c r="CH456" s="21">
        <v>0</v>
      </c>
      <c r="CI456" s="21">
        <v>0</v>
      </c>
      <c r="CJ456" s="21">
        <v>0</v>
      </c>
      <c r="CK456" s="21">
        <v>0</v>
      </c>
      <c r="CL456" s="21">
        <v>0</v>
      </c>
      <c r="CM456" s="21">
        <v>0</v>
      </c>
      <c r="CN456" s="21">
        <v>0</v>
      </c>
      <c r="CO456" s="21">
        <v>0</v>
      </c>
      <c r="CP456" s="21">
        <v>0</v>
      </c>
      <c r="CQ456" s="21">
        <v>0</v>
      </c>
      <c r="CR456" s="21">
        <v>0</v>
      </c>
      <c r="CS456" s="21">
        <v>0</v>
      </c>
      <c r="CT456" s="21">
        <v>0</v>
      </c>
      <c r="CU456" s="21">
        <v>0</v>
      </c>
      <c r="CV456" s="21">
        <v>0</v>
      </c>
      <c r="CW456" s="21">
        <v>0</v>
      </c>
      <c r="CX456" s="21">
        <v>0</v>
      </c>
      <c r="CY456" s="21">
        <v>0</v>
      </c>
      <c r="CZ456" s="21">
        <v>0</v>
      </c>
      <c r="DA456" s="21">
        <v>0</v>
      </c>
      <c r="DB456" s="21">
        <v>0</v>
      </c>
      <c r="DC456" s="21">
        <v>0</v>
      </c>
      <c r="DD456" s="21">
        <v>0</v>
      </c>
      <c r="DE456" s="21">
        <v>0</v>
      </c>
      <c r="DF456" s="21">
        <v>0</v>
      </c>
      <c r="DG456" s="21">
        <v>0</v>
      </c>
      <c r="DH456" s="21">
        <v>0</v>
      </c>
      <c r="DI456" s="21">
        <v>0</v>
      </c>
      <c r="DJ456" s="21">
        <v>0</v>
      </c>
      <c r="DK456" s="21">
        <v>0</v>
      </c>
      <c r="DL456" s="21">
        <v>0</v>
      </c>
      <c r="DM456" s="21">
        <v>0</v>
      </c>
      <c r="DN456" s="21">
        <v>0</v>
      </c>
      <c r="DO456" s="21">
        <v>0</v>
      </c>
      <c r="DP456" s="21">
        <v>0</v>
      </c>
      <c r="DQ456" s="21">
        <v>0</v>
      </c>
      <c r="DR456" s="21">
        <v>0</v>
      </c>
      <c r="DS456" s="21">
        <v>0</v>
      </c>
      <c r="DT456" s="21">
        <v>0</v>
      </c>
      <c r="DU456" s="21">
        <v>0</v>
      </c>
      <c r="DV456" s="21">
        <v>0</v>
      </c>
      <c r="DW456" s="21">
        <v>0</v>
      </c>
      <c r="DX456" s="21">
        <v>0</v>
      </c>
      <c r="DY456" s="21">
        <v>0</v>
      </c>
      <c r="DZ456" s="21">
        <v>0</v>
      </c>
      <c r="EA456" s="21">
        <v>0</v>
      </c>
      <c r="EB456" s="21">
        <v>0</v>
      </c>
      <c r="EC456" s="21">
        <v>0</v>
      </c>
      <c r="ED456" s="21">
        <v>0</v>
      </c>
      <c r="EE456" s="21">
        <v>0</v>
      </c>
      <c r="EF456" s="21">
        <v>0</v>
      </c>
    </row>
    <row r="457" spans="1:136" ht="14.5" x14ac:dyDescent="0.35">
      <c r="A457" s="20" t="s">
        <v>12</v>
      </c>
      <c r="B457" s="20" t="s">
        <v>359</v>
      </c>
      <c r="C457" s="20" t="s">
        <v>111</v>
      </c>
      <c r="D457" s="20" t="s">
        <v>336</v>
      </c>
      <c r="E457" s="20" t="s">
        <v>16</v>
      </c>
      <c r="F457" s="20" t="s">
        <v>90</v>
      </c>
      <c r="G457" s="21">
        <v>4</v>
      </c>
      <c r="H457" s="21">
        <v>4</v>
      </c>
      <c r="I457" s="21">
        <v>0</v>
      </c>
      <c r="J457" s="21">
        <v>4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  <c r="Q457" s="21">
        <v>0</v>
      </c>
      <c r="R457" s="21">
        <v>0</v>
      </c>
      <c r="S457" s="21">
        <v>0</v>
      </c>
      <c r="T457" s="21">
        <v>0</v>
      </c>
      <c r="U457" s="21">
        <v>0</v>
      </c>
      <c r="V457" s="21">
        <v>0</v>
      </c>
      <c r="W457" s="21">
        <v>0</v>
      </c>
      <c r="X457" s="21">
        <v>0</v>
      </c>
      <c r="Y457" s="21">
        <v>0</v>
      </c>
      <c r="Z457" s="21">
        <v>0</v>
      </c>
      <c r="AA457" s="21">
        <v>0</v>
      </c>
      <c r="AB457" s="21">
        <v>0</v>
      </c>
      <c r="AC457" s="21">
        <v>0</v>
      </c>
      <c r="AD457" s="21">
        <v>0</v>
      </c>
      <c r="AE457" s="21">
        <v>0</v>
      </c>
      <c r="AF457" s="21">
        <v>0</v>
      </c>
      <c r="AG457" s="21">
        <v>0</v>
      </c>
      <c r="AH457" s="21">
        <v>0</v>
      </c>
      <c r="AI457" s="21">
        <v>0</v>
      </c>
      <c r="AJ457" s="21">
        <v>0</v>
      </c>
      <c r="AK457" s="21">
        <v>0</v>
      </c>
      <c r="AL457" s="21">
        <v>0</v>
      </c>
      <c r="AM457" s="21">
        <v>0</v>
      </c>
      <c r="AN457" s="21">
        <v>0</v>
      </c>
      <c r="AO457" s="21">
        <v>0</v>
      </c>
      <c r="AP457" s="21">
        <v>0</v>
      </c>
      <c r="AQ457" s="21">
        <v>0</v>
      </c>
      <c r="AR457" s="21">
        <v>0</v>
      </c>
      <c r="AS457" s="21">
        <v>0</v>
      </c>
      <c r="AT457" s="21">
        <v>0</v>
      </c>
      <c r="AU457" s="21">
        <v>0</v>
      </c>
      <c r="AV457" s="21">
        <v>0</v>
      </c>
      <c r="AW457" s="21">
        <v>0</v>
      </c>
      <c r="AX457" s="21">
        <v>0</v>
      </c>
      <c r="AY457" s="21">
        <v>0</v>
      </c>
      <c r="AZ457" s="21">
        <v>0</v>
      </c>
      <c r="BA457" s="21">
        <v>0</v>
      </c>
      <c r="BB457" s="21">
        <v>0</v>
      </c>
      <c r="BC457" s="21">
        <v>0</v>
      </c>
      <c r="BD457" s="21">
        <v>0</v>
      </c>
      <c r="BE457" s="21">
        <v>0</v>
      </c>
      <c r="BF457" s="21">
        <v>0</v>
      </c>
      <c r="BG457" s="21">
        <v>0</v>
      </c>
      <c r="BH457" s="21">
        <v>0</v>
      </c>
      <c r="BI457" s="21">
        <v>0</v>
      </c>
      <c r="BJ457" s="21">
        <v>0</v>
      </c>
      <c r="BK457" s="21">
        <v>0</v>
      </c>
      <c r="BL457" s="21">
        <v>0</v>
      </c>
      <c r="BM457" s="21">
        <v>0</v>
      </c>
      <c r="BN457" s="21">
        <v>0</v>
      </c>
      <c r="BO457" s="21">
        <v>0</v>
      </c>
      <c r="BP457" s="21">
        <v>0</v>
      </c>
      <c r="BQ457" s="21">
        <v>0</v>
      </c>
      <c r="BR457" s="21">
        <v>0</v>
      </c>
      <c r="BS457" s="21">
        <v>0</v>
      </c>
      <c r="BT457" s="21">
        <v>0</v>
      </c>
      <c r="BU457" s="21">
        <v>0</v>
      </c>
      <c r="BV457" s="21">
        <v>0</v>
      </c>
      <c r="BW457" s="21">
        <v>0</v>
      </c>
      <c r="BX457" s="21">
        <v>0</v>
      </c>
      <c r="BY457" s="21">
        <v>0</v>
      </c>
      <c r="BZ457" s="21">
        <v>0</v>
      </c>
      <c r="CA457" s="21">
        <v>0</v>
      </c>
      <c r="CB457" s="21">
        <v>0</v>
      </c>
      <c r="CC457" s="21">
        <v>0</v>
      </c>
      <c r="CD457" s="21">
        <v>0</v>
      </c>
      <c r="CE457" s="21">
        <v>0</v>
      </c>
      <c r="CF457" s="21">
        <v>0</v>
      </c>
      <c r="CG457" s="21">
        <v>0</v>
      </c>
      <c r="CH457" s="21">
        <v>0</v>
      </c>
      <c r="CI457" s="21">
        <v>0</v>
      </c>
      <c r="CJ457" s="21">
        <v>0</v>
      </c>
      <c r="CK457" s="21">
        <v>0</v>
      </c>
      <c r="CL457" s="21">
        <v>0</v>
      </c>
      <c r="CM457" s="21">
        <v>0</v>
      </c>
      <c r="CN457" s="21">
        <v>0</v>
      </c>
      <c r="CO457" s="21">
        <v>0</v>
      </c>
      <c r="CP457" s="21">
        <v>0</v>
      </c>
      <c r="CQ457" s="21">
        <v>0</v>
      </c>
      <c r="CR457" s="21">
        <v>0</v>
      </c>
      <c r="CS457" s="21">
        <v>0</v>
      </c>
      <c r="CT457" s="21">
        <v>0</v>
      </c>
      <c r="CU457" s="21">
        <v>0</v>
      </c>
      <c r="CV457" s="21">
        <v>0</v>
      </c>
      <c r="CW457" s="21">
        <v>0</v>
      </c>
      <c r="CX457" s="21">
        <v>0</v>
      </c>
      <c r="CY457" s="21">
        <v>0</v>
      </c>
      <c r="CZ457" s="21">
        <v>0</v>
      </c>
      <c r="DA457" s="21">
        <v>0</v>
      </c>
      <c r="DB457" s="21">
        <v>0</v>
      </c>
      <c r="DC457" s="21">
        <v>0</v>
      </c>
      <c r="DD457" s="21">
        <v>0</v>
      </c>
      <c r="DE457" s="21">
        <v>0</v>
      </c>
      <c r="DF457" s="21">
        <v>0</v>
      </c>
      <c r="DG457" s="21">
        <v>0</v>
      </c>
      <c r="DH457" s="21">
        <v>0</v>
      </c>
      <c r="DI457" s="21">
        <v>0</v>
      </c>
      <c r="DJ457" s="21">
        <v>0</v>
      </c>
      <c r="DK457" s="21">
        <v>0</v>
      </c>
      <c r="DL457" s="21">
        <v>0</v>
      </c>
      <c r="DM457" s="21">
        <v>0</v>
      </c>
      <c r="DN457" s="21">
        <v>0</v>
      </c>
      <c r="DO457" s="21">
        <v>0</v>
      </c>
      <c r="DP457" s="21">
        <v>0</v>
      </c>
      <c r="DQ457" s="21">
        <v>0</v>
      </c>
      <c r="DR457" s="21">
        <v>0</v>
      </c>
      <c r="DS457" s="21">
        <v>0</v>
      </c>
      <c r="DT457" s="21">
        <v>0</v>
      </c>
      <c r="DU457" s="21">
        <v>0</v>
      </c>
      <c r="DV457" s="21">
        <v>0</v>
      </c>
      <c r="DW457" s="21">
        <v>0</v>
      </c>
      <c r="DX457" s="21">
        <v>0</v>
      </c>
      <c r="DY457" s="21">
        <v>0</v>
      </c>
      <c r="DZ457" s="21">
        <v>0</v>
      </c>
      <c r="EA457" s="21">
        <v>0</v>
      </c>
      <c r="EB457" s="21">
        <v>0</v>
      </c>
      <c r="EC457" s="21">
        <v>0</v>
      </c>
      <c r="ED457" s="21">
        <v>0</v>
      </c>
      <c r="EE457" s="21">
        <v>0</v>
      </c>
      <c r="EF457" s="21">
        <v>0</v>
      </c>
    </row>
    <row r="458" spans="1:136" ht="14.5" x14ac:dyDescent="0.35">
      <c r="A458" s="20" t="s">
        <v>12</v>
      </c>
      <c r="B458" s="20" t="s">
        <v>360</v>
      </c>
      <c r="C458" s="20" t="s">
        <v>135</v>
      </c>
      <c r="D458" s="20" t="s">
        <v>334</v>
      </c>
      <c r="E458" s="20" t="s">
        <v>10</v>
      </c>
      <c r="F458" s="20" t="s">
        <v>87</v>
      </c>
      <c r="G458" s="21">
        <v>7</v>
      </c>
      <c r="H458" s="21">
        <v>7</v>
      </c>
      <c r="I458" s="21">
        <v>0</v>
      </c>
      <c r="J458" s="21">
        <v>7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  <c r="Q458" s="21">
        <v>0</v>
      </c>
      <c r="R458" s="21">
        <v>0</v>
      </c>
      <c r="S458" s="21">
        <v>0</v>
      </c>
      <c r="T458" s="21">
        <v>0</v>
      </c>
      <c r="U458" s="21">
        <v>0</v>
      </c>
      <c r="V458" s="21">
        <v>0</v>
      </c>
      <c r="W458" s="21">
        <v>0</v>
      </c>
      <c r="X458" s="21">
        <v>0</v>
      </c>
      <c r="Y458" s="21">
        <v>0</v>
      </c>
      <c r="Z458" s="21">
        <v>0</v>
      </c>
      <c r="AA458" s="21">
        <v>0</v>
      </c>
      <c r="AB458" s="21">
        <v>0</v>
      </c>
      <c r="AC458" s="21">
        <v>0</v>
      </c>
      <c r="AD458" s="21">
        <v>0</v>
      </c>
      <c r="AE458" s="21">
        <v>0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0</v>
      </c>
      <c r="AN458" s="21">
        <v>0</v>
      </c>
      <c r="AO458" s="21">
        <v>0</v>
      </c>
      <c r="AP458" s="21">
        <v>0</v>
      </c>
      <c r="AQ458" s="21">
        <v>0</v>
      </c>
      <c r="AR458" s="21">
        <v>0</v>
      </c>
      <c r="AS458" s="21">
        <v>0</v>
      </c>
      <c r="AT458" s="21">
        <v>0</v>
      </c>
      <c r="AU458" s="21">
        <v>0</v>
      </c>
      <c r="AV458" s="21">
        <v>0</v>
      </c>
      <c r="AW458" s="21">
        <v>0</v>
      </c>
      <c r="AX458" s="21">
        <v>0</v>
      </c>
      <c r="AY458" s="21">
        <v>0</v>
      </c>
      <c r="AZ458" s="21">
        <v>0</v>
      </c>
      <c r="BA458" s="21">
        <v>0</v>
      </c>
      <c r="BB458" s="21">
        <v>0</v>
      </c>
      <c r="BC458" s="21">
        <v>0</v>
      </c>
      <c r="BD458" s="21">
        <v>0</v>
      </c>
      <c r="BE458" s="21">
        <v>0</v>
      </c>
      <c r="BF458" s="21">
        <v>0</v>
      </c>
      <c r="BG458" s="21">
        <v>0</v>
      </c>
      <c r="BH458" s="21">
        <v>0</v>
      </c>
      <c r="BI458" s="21">
        <v>0</v>
      </c>
      <c r="BJ458" s="21">
        <v>0</v>
      </c>
      <c r="BK458" s="21">
        <v>0</v>
      </c>
      <c r="BL458" s="21">
        <v>0</v>
      </c>
      <c r="BM458" s="21">
        <v>0</v>
      </c>
      <c r="BN458" s="21">
        <v>0</v>
      </c>
      <c r="BO458" s="21">
        <v>0</v>
      </c>
      <c r="BP458" s="21">
        <v>0</v>
      </c>
      <c r="BQ458" s="21">
        <v>0</v>
      </c>
      <c r="BR458" s="21">
        <v>0</v>
      </c>
      <c r="BS458" s="21">
        <v>0</v>
      </c>
      <c r="BT458" s="21">
        <v>0</v>
      </c>
      <c r="BU458" s="21">
        <v>0</v>
      </c>
      <c r="BV458" s="21">
        <v>0</v>
      </c>
      <c r="BW458" s="21">
        <v>0</v>
      </c>
      <c r="BX458" s="21">
        <v>0</v>
      </c>
      <c r="BY458" s="21">
        <v>0</v>
      </c>
      <c r="BZ458" s="21">
        <v>0</v>
      </c>
      <c r="CA458" s="21">
        <v>0</v>
      </c>
      <c r="CB458" s="21">
        <v>0</v>
      </c>
      <c r="CC458" s="21">
        <v>0</v>
      </c>
      <c r="CD458" s="21">
        <v>0</v>
      </c>
      <c r="CE458" s="21">
        <v>0</v>
      </c>
      <c r="CF458" s="21">
        <v>0</v>
      </c>
      <c r="CG458" s="21">
        <v>0</v>
      </c>
      <c r="CH458" s="21">
        <v>0</v>
      </c>
      <c r="CI458" s="21">
        <v>0</v>
      </c>
      <c r="CJ458" s="21">
        <v>0</v>
      </c>
      <c r="CK458" s="21">
        <v>0</v>
      </c>
      <c r="CL458" s="21">
        <v>0</v>
      </c>
      <c r="CM458" s="21">
        <v>0</v>
      </c>
      <c r="CN458" s="21">
        <v>0</v>
      </c>
      <c r="CO458" s="21">
        <v>0</v>
      </c>
      <c r="CP458" s="21">
        <v>0</v>
      </c>
      <c r="CQ458" s="21">
        <v>0</v>
      </c>
      <c r="CR458" s="21">
        <v>0</v>
      </c>
      <c r="CS458" s="21">
        <v>0</v>
      </c>
      <c r="CT458" s="21">
        <v>0</v>
      </c>
      <c r="CU458" s="21">
        <v>0</v>
      </c>
      <c r="CV458" s="21">
        <v>0</v>
      </c>
      <c r="CW458" s="21">
        <v>0</v>
      </c>
      <c r="CX458" s="21">
        <v>0</v>
      </c>
      <c r="CY458" s="21">
        <v>0</v>
      </c>
      <c r="CZ458" s="21">
        <v>0</v>
      </c>
      <c r="DA458" s="21">
        <v>0</v>
      </c>
      <c r="DB458" s="21">
        <v>0</v>
      </c>
      <c r="DC458" s="21">
        <v>0</v>
      </c>
      <c r="DD458" s="21">
        <v>0</v>
      </c>
      <c r="DE458" s="21">
        <v>0</v>
      </c>
      <c r="DF458" s="21">
        <v>0</v>
      </c>
      <c r="DG458" s="21">
        <v>0</v>
      </c>
      <c r="DH458" s="21">
        <v>0</v>
      </c>
      <c r="DI458" s="21">
        <v>0</v>
      </c>
      <c r="DJ458" s="21">
        <v>0</v>
      </c>
      <c r="DK458" s="21">
        <v>0</v>
      </c>
      <c r="DL458" s="21">
        <v>0</v>
      </c>
      <c r="DM458" s="21">
        <v>0</v>
      </c>
      <c r="DN458" s="21">
        <v>0</v>
      </c>
      <c r="DO458" s="21">
        <v>0</v>
      </c>
      <c r="DP458" s="21">
        <v>0</v>
      </c>
      <c r="DQ458" s="21">
        <v>0</v>
      </c>
      <c r="DR458" s="21">
        <v>0</v>
      </c>
      <c r="DS458" s="21">
        <v>0</v>
      </c>
      <c r="DT458" s="21">
        <v>0</v>
      </c>
      <c r="DU458" s="21">
        <v>0</v>
      </c>
      <c r="DV458" s="21">
        <v>0</v>
      </c>
      <c r="DW458" s="21">
        <v>0</v>
      </c>
      <c r="DX458" s="21">
        <v>0</v>
      </c>
      <c r="DY458" s="21">
        <v>0</v>
      </c>
      <c r="DZ458" s="21">
        <v>0</v>
      </c>
      <c r="EA458" s="21">
        <v>0</v>
      </c>
      <c r="EB458" s="21">
        <v>0</v>
      </c>
      <c r="EC458" s="21">
        <v>0</v>
      </c>
      <c r="ED458" s="21">
        <v>0</v>
      </c>
      <c r="EE458" s="21">
        <v>0</v>
      </c>
      <c r="EF458" s="21">
        <v>0</v>
      </c>
    </row>
    <row r="459" spans="1:136" ht="14.5" x14ac:dyDescent="0.35">
      <c r="A459" s="20" t="s">
        <v>12</v>
      </c>
      <c r="B459" s="20" t="s">
        <v>360</v>
      </c>
      <c r="C459" s="20" t="s">
        <v>135</v>
      </c>
      <c r="D459" s="20" t="s">
        <v>334</v>
      </c>
      <c r="E459" s="20" t="s">
        <v>10</v>
      </c>
      <c r="F459" s="20" t="s">
        <v>90</v>
      </c>
      <c r="G459" s="21">
        <v>26.1</v>
      </c>
      <c r="H459" s="21">
        <v>26.1</v>
      </c>
      <c r="I459" s="21">
        <v>0</v>
      </c>
      <c r="J459" s="21">
        <v>26.1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  <c r="Q459" s="21">
        <v>0</v>
      </c>
      <c r="R459" s="21">
        <v>0</v>
      </c>
      <c r="S459" s="21">
        <v>0</v>
      </c>
      <c r="T459" s="21">
        <v>0</v>
      </c>
      <c r="U459" s="21">
        <v>0</v>
      </c>
      <c r="V459" s="21">
        <v>0</v>
      </c>
      <c r="W459" s="21">
        <v>0</v>
      </c>
      <c r="X459" s="21">
        <v>0</v>
      </c>
      <c r="Y459" s="21">
        <v>0</v>
      </c>
      <c r="Z459" s="21">
        <v>0</v>
      </c>
      <c r="AA459" s="21">
        <v>0</v>
      </c>
      <c r="AB459" s="21">
        <v>0</v>
      </c>
      <c r="AC459" s="21">
        <v>0</v>
      </c>
      <c r="AD459" s="21">
        <v>0</v>
      </c>
      <c r="AE459" s="21">
        <v>0</v>
      </c>
      <c r="AF459" s="21">
        <v>0</v>
      </c>
      <c r="AG459" s="21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1">
        <v>0</v>
      </c>
      <c r="AN459" s="21">
        <v>0</v>
      </c>
      <c r="AO459" s="21">
        <v>0</v>
      </c>
      <c r="AP459" s="21">
        <v>0</v>
      </c>
      <c r="AQ459" s="21">
        <v>0</v>
      </c>
      <c r="AR459" s="21">
        <v>0</v>
      </c>
      <c r="AS459" s="21">
        <v>0</v>
      </c>
      <c r="AT459" s="21">
        <v>0</v>
      </c>
      <c r="AU459" s="21">
        <v>0</v>
      </c>
      <c r="AV459" s="21">
        <v>0</v>
      </c>
      <c r="AW459" s="21">
        <v>0</v>
      </c>
      <c r="AX459" s="21">
        <v>0</v>
      </c>
      <c r="AY459" s="21">
        <v>0</v>
      </c>
      <c r="AZ459" s="21">
        <v>0</v>
      </c>
      <c r="BA459" s="21">
        <v>0</v>
      </c>
      <c r="BB459" s="21">
        <v>0</v>
      </c>
      <c r="BC459" s="21">
        <v>0</v>
      </c>
      <c r="BD459" s="21">
        <v>0</v>
      </c>
      <c r="BE459" s="21">
        <v>0</v>
      </c>
      <c r="BF459" s="21">
        <v>0</v>
      </c>
      <c r="BG459" s="21">
        <v>0</v>
      </c>
      <c r="BH459" s="21">
        <v>0</v>
      </c>
      <c r="BI459" s="21">
        <v>0</v>
      </c>
      <c r="BJ459" s="21">
        <v>0</v>
      </c>
      <c r="BK459" s="21">
        <v>0</v>
      </c>
      <c r="BL459" s="21">
        <v>0</v>
      </c>
      <c r="BM459" s="21">
        <v>0</v>
      </c>
      <c r="BN459" s="21">
        <v>0</v>
      </c>
      <c r="BO459" s="21">
        <v>0</v>
      </c>
      <c r="BP459" s="21">
        <v>0</v>
      </c>
      <c r="BQ459" s="21">
        <v>0</v>
      </c>
      <c r="BR459" s="21">
        <v>0</v>
      </c>
      <c r="BS459" s="21">
        <v>0</v>
      </c>
      <c r="BT459" s="21">
        <v>0</v>
      </c>
      <c r="BU459" s="21">
        <v>0</v>
      </c>
      <c r="BV459" s="21">
        <v>0</v>
      </c>
      <c r="BW459" s="21">
        <v>0</v>
      </c>
      <c r="BX459" s="21">
        <v>0</v>
      </c>
      <c r="BY459" s="21">
        <v>0</v>
      </c>
      <c r="BZ459" s="21">
        <v>0</v>
      </c>
      <c r="CA459" s="21">
        <v>0</v>
      </c>
      <c r="CB459" s="21">
        <v>0</v>
      </c>
      <c r="CC459" s="21">
        <v>0</v>
      </c>
      <c r="CD459" s="21">
        <v>0</v>
      </c>
      <c r="CE459" s="21">
        <v>0</v>
      </c>
      <c r="CF459" s="21">
        <v>0</v>
      </c>
      <c r="CG459" s="21">
        <v>0</v>
      </c>
      <c r="CH459" s="21">
        <v>0</v>
      </c>
      <c r="CI459" s="21">
        <v>0</v>
      </c>
      <c r="CJ459" s="21">
        <v>0</v>
      </c>
      <c r="CK459" s="21">
        <v>0</v>
      </c>
      <c r="CL459" s="21">
        <v>0</v>
      </c>
      <c r="CM459" s="21">
        <v>0</v>
      </c>
      <c r="CN459" s="21">
        <v>0</v>
      </c>
      <c r="CO459" s="21">
        <v>0</v>
      </c>
      <c r="CP459" s="21">
        <v>0</v>
      </c>
      <c r="CQ459" s="21">
        <v>0</v>
      </c>
      <c r="CR459" s="21">
        <v>0</v>
      </c>
      <c r="CS459" s="21">
        <v>0</v>
      </c>
      <c r="CT459" s="21">
        <v>0</v>
      </c>
      <c r="CU459" s="21">
        <v>0</v>
      </c>
      <c r="CV459" s="21">
        <v>0</v>
      </c>
      <c r="CW459" s="21">
        <v>0</v>
      </c>
      <c r="CX459" s="21">
        <v>0</v>
      </c>
      <c r="CY459" s="21">
        <v>0</v>
      </c>
      <c r="CZ459" s="21">
        <v>0</v>
      </c>
      <c r="DA459" s="21">
        <v>0</v>
      </c>
      <c r="DB459" s="21">
        <v>0</v>
      </c>
      <c r="DC459" s="21">
        <v>0</v>
      </c>
      <c r="DD459" s="21">
        <v>0</v>
      </c>
      <c r="DE459" s="21">
        <v>0</v>
      </c>
      <c r="DF459" s="21">
        <v>0</v>
      </c>
      <c r="DG459" s="21">
        <v>0</v>
      </c>
      <c r="DH459" s="21">
        <v>0</v>
      </c>
      <c r="DI459" s="21">
        <v>0</v>
      </c>
      <c r="DJ459" s="21">
        <v>0</v>
      </c>
      <c r="DK459" s="21">
        <v>0</v>
      </c>
      <c r="DL459" s="21">
        <v>0</v>
      </c>
      <c r="DM459" s="21">
        <v>0</v>
      </c>
      <c r="DN459" s="21">
        <v>0</v>
      </c>
      <c r="DO459" s="21">
        <v>0</v>
      </c>
      <c r="DP459" s="21">
        <v>0</v>
      </c>
      <c r="DQ459" s="21">
        <v>0</v>
      </c>
      <c r="DR459" s="21">
        <v>0</v>
      </c>
      <c r="DS459" s="21">
        <v>0</v>
      </c>
      <c r="DT459" s="21">
        <v>0</v>
      </c>
      <c r="DU459" s="21">
        <v>0</v>
      </c>
      <c r="DV459" s="21">
        <v>0</v>
      </c>
      <c r="DW459" s="21">
        <v>0</v>
      </c>
      <c r="DX459" s="21">
        <v>0</v>
      </c>
      <c r="DY459" s="21">
        <v>0</v>
      </c>
      <c r="DZ459" s="21">
        <v>0</v>
      </c>
      <c r="EA459" s="21">
        <v>0</v>
      </c>
      <c r="EB459" s="21">
        <v>0</v>
      </c>
      <c r="EC459" s="21">
        <v>0</v>
      </c>
      <c r="ED459" s="21">
        <v>0</v>
      </c>
      <c r="EE459" s="21">
        <v>0</v>
      </c>
      <c r="EF459" s="21">
        <v>0</v>
      </c>
    </row>
    <row r="460" spans="1:136" ht="14.5" x14ac:dyDescent="0.35">
      <c r="A460" s="20" t="s">
        <v>12</v>
      </c>
      <c r="B460" s="20" t="s">
        <v>361</v>
      </c>
      <c r="C460" s="20" t="s">
        <v>112</v>
      </c>
      <c r="D460" s="20" t="s">
        <v>334</v>
      </c>
      <c r="E460" s="20" t="s">
        <v>10</v>
      </c>
      <c r="F460" s="20" t="s">
        <v>87</v>
      </c>
      <c r="G460" s="21">
        <v>18</v>
      </c>
      <c r="H460" s="21">
        <v>18</v>
      </c>
      <c r="I460" s="21">
        <v>0</v>
      </c>
      <c r="J460" s="21">
        <v>18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  <c r="Q460" s="21">
        <v>0</v>
      </c>
      <c r="R460" s="21">
        <v>0</v>
      </c>
      <c r="S460" s="21">
        <v>0</v>
      </c>
      <c r="T460" s="21">
        <v>0</v>
      </c>
      <c r="U460" s="21">
        <v>0</v>
      </c>
      <c r="V460" s="21">
        <v>0</v>
      </c>
      <c r="W460" s="21">
        <v>0</v>
      </c>
      <c r="X460" s="21">
        <v>0</v>
      </c>
      <c r="Y460" s="21">
        <v>0</v>
      </c>
      <c r="Z460" s="21">
        <v>0</v>
      </c>
      <c r="AA460" s="21">
        <v>0</v>
      </c>
      <c r="AB460" s="21">
        <v>0</v>
      </c>
      <c r="AC460" s="21">
        <v>0</v>
      </c>
      <c r="AD460" s="21">
        <v>0</v>
      </c>
      <c r="AE460" s="21">
        <v>0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0</v>
      </c>
      <c r="AN460" s="21">
        <v>0</v>
      </c>
      <c r="AO460" s="21">
        <v>0</v>
      </c>
      <c r="AP460" s="21">
        <v>0</v>
      </c>
      <c r="AQ460" s="21">
        <v>0</v>
      </c>
      <c r="AR460" s="21">
        <v>0</v>
      </c>
      <c r="AS460" s="21">
        <v>0</v>
      </c>
      <c r="AT460" s="21">
        <v>0</v>
      </c>
      <c r="AU460" s="21">
        <v>0</v>
      </c>
      <c r="AV460" s="21">
        <v>0</v>
      </c>
      <c r="AW460" s="21">
        <v>0</v>
      </c>
      <c r="AX460" s="21">
        <v>0</v>
      </c>
      <c r="AY460" s="21">
        <v>0</v>
      </c>
      <c r="AZ460" s="21">
        <v>0</v>
      </c>
      <c r="BA460" s="21">
        <v>0</v>
      </c>
      <c r="BB460" s="21">
        <v>0</v>
      </c>
      <c r="BC460" s="21">
        <v>0</v>
      </c>
      <c r="BD460" s="21">
        <v>0</v>
      </c>
      <c r="BE460" s="21">
        <v>0</v>
      </c>
      <c r="BF460" s="21">
        <v>0</v>
      </c>
      <c r="BG460" s="21">
        <v>0</v>
      </c>
      <c r="BH460" s="21">
        <v>0</v>
      </c>
      <c r="BI460" s="21">
        <v>0</v>
      </c>
      <c r="BJ460" s="21">
        <v>0</v>
      </c>
      <c r="BK460" s="21">
        <v>0</v>
      </c>
      <c r="BL460" s="21">
        <v>0</v>
      </c>
      <c r="BM460" s="21">
        <v>0</v>
      </c>
      <c r="BN460" s="21">
        <v>0</v>
      </c>
      <c r="BO460" s="21">
        <v>0</v>
      </c>
      <c r="BP460" s="21">
        <v>0</v>
      </c>
      <c r="BQ460" s="21">
        <v>0</v>
      </c>
      <c r="BR460" s="21">
        <v>0</v>
      </c>
      <c r="BS460" s="21">
        <v>0</v>
      </c>
      <c r="BT460" s="21">
        <v>0</v>
      </c>
      <c r="BU460" s="21">
        <v>0</v>
      </c>
      <c r="BV460" s="21">
        <v>0</v>
      </c>
      <c r="BW460" s="21">
        <v>0</v>
      </c>
      <c r="BX460" s="21">
        <v>0</v>
      </c>
      <c r="BY460" s="21">
        <v>0</v>
      </c>
      <c r="BZ460" s="21">
        <v>0</v>
      </c>
      <c r="CA460" s="21">
        <v>0</v>
      </c>
      <c r="CB460" s="21">
        <v>0</v>
      </c>
      <c r="CC460" s="21">
        <v>0</v>
      </c>
      <c r="CD460" s="21">
        <v>0</v>
      </c>
      <c r="CE460" s="21">
        <v>0</v>
      </c>
      <c r="CF460" s="21">
        <v>0</v>
      </c>
      <c r="CG460" s="21">
        <v>0</v>
      </c>
      <c r="CH460" s="21">
        <v>0</v>
      </c>
      <c r="CI460" s="21">
        <v>0</v>
      </c>
      <c r="CJ460" s="21">
        <v>0</v>
      </c>
      <c r="CK460" s="21">
        <v>0</v>
      </c>
      <c r="CL460" s="21">
        <v>0</v>
      </c>
      <c r="CM460" s="21">
        <v>0</v>
      </c>
      <c r="CN460" s="21">
        <v>0</v>
      </c>
      <c r="CO460" s="21">
        <v>0</v>
      </c>
      <c r="CP460" s="21">
        <v>0</v>
      </c>
      <c r="CQ460" s="21">
        <v>0</v>
      </c>
      <c r="CR460" s="21">
        <v>0</v>
      </c>
      <c r="CS460" s="21">
        <v>0</v>
      </c>
      <c r="CT460" s="21">
        <v>0</v>
      </c>
      <c r="CU460" s="21">
        <v>0</v>
      </c>
      <c r="CV460" s="21">
        <v>0</v>
      </c>
      <c r="CW460" s="21">
        <v>0</v>
      </c>
      <c r="CX460" s="21">
        <v>0</v>
      </c>
      <c r="CY460" s="21">
        <v>0</v>
      </c>
      <c r="CZ460" s="21">
        <v>0</v>
      </c>
      <c r="DA460" s="21">
        <v>0</v>
      </c>
      <c r="DB460" s="21">
        <v>0</v>
      </c>
      <c r="DC460" s="21">
        <v>0</v>
      </c>
      <c r="DD460" s="21">
        <v>0</v>
      </c>
      <c r="DE460" s="21">
        <v>0</v>
      </c>
      <c r="DF460" s="21">
        <v>0</v>
      </c>
      <c r="DG460" s="21">
        <v>0</v>
      </c>
      <c r="DH460" s="21">
        <v>0</v>
      </c>
      <c r="DI460" s="21">
        <v>0</v>
      </c>
      <c r="DJ460" s="21">
        <v>0</v>
      </c>
      <c r="DK460" s="21">
        <v>0</v>
      </c>
      <c r="DL460" s="21">
        <v>0</v>
      </c>
      <c r="DM460" s="21">
        <v>0</v>
      </c>
      <c r="DN460" s="21">
        <v>0</v>
      </c>
      <c r="DO460" s="21">
        <v>0</v>
      </c>
      <c r="DP460" s="21">
        <v>0</v>
      </c>
      <c r="DQ460" s="21">
        <v>0</v>
      </c>
      <c r="DR460" s="21">
        <v>0</v>
      </c>
      <c r="DS460" s="21">
        <v>0</v>
      </c>
      <c r="DT460" s="21">
        <v>0</v>
      </c>
      <c r="DU460" s="21">
        <v>0</v>
      </c>
      <c r="DV460" s="21">
        <v>0</v>
      </c>
      <c r="DW460" s="21">
        <v>0</v>
      </c>
      <c r="DX460" s="21">
        <v>0</v>
      </c>
      <c r="DY460" s="21">
        <v>0</v>
      </c>
      <c r="DZ460" s="21">
        <v>0</v>
      </c>
      <c r="EA460" s="21">
        <v>0</v>
      </c>
      <c r="EB460" s="21">
        <v>0</v>
      </c>
      <c r="EC460" s="21">
        <v>0</v>
      </c>
      <c r="ED460" s="21">
        <v>0</v>
      </c>
      <c r="EE460" s="21">
        <v>0</v>
      </c>
      <c r="EF460" s="21">
        <v>0</v>
      </c>
    </row>
    <row r="461" spans="1:136" ht="14.5" x14ac:dyDescent="0.35">
      <c r="A461" s="20" t="s">
        <v>12</v>
      </c>
      <c r="B461" s="20" t="s">
        <v>361</v>
      </c>
      <c r="C461" s="20" t="s">
        <v>112</v>
      </c>
      <c r="D461" s="20" t="s">
        <v>334</v>
      </c>
      <c r="E461" s="20" t="s">
        <v>10</v>
      </c>
      <c r="F461" s="20" t="s">
        <v>90</v>
      </c>
      <c r="G461" s="21">
        <v>42</v>
      </c>
      <c r="H461" s="21">
        <v>42</v>
      </c>
      <c r="I461" s="21">
        <v>0</v>
      </c>
      <c r="J461" s="21">
        <v>42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21">
        <v>0</v>
      </c>
      <c r="S461" s="21">
        <v>0</v>
      </c>
      <c r="T461" s="21">
        <v>0</v>
      </c>
      <c r="U461" s="21">
        <v>0</v>
      </c>
      <c r="V461" s="21">
        <v>0</v>
      </c>
      <c r="W461" s="21">
        <v>0</v>
      </c>
      <c r="X461" s="21">
        <v>0</v>
      </c>
      <c r="Y461" s="21">
        <v>0</v>
      </c>
      <c r="Z461" s="21">
        <v>0</v>
      </c>
      <c r="AA461" s="21">
        <v>0</v>
      </c>
      <c r="AB461" s="21">
        <v>0</v>
      </c>
      <c r="AC461" s="21">
        <v>0</v>
      </c>
      <c r="AD461" s="21">
        <v>0</v>
      </c>
      <c r="AE461" s="21">
        <v>0</v>
      </c>
      <c r="AF461" s="21">
        <v>0</v>
      </c>
      <c r="AG461" s="21">
        <v>0</v>
      </c>
      <c r="AH461" s="21">
        <v>0</v>
      </c>
      <c r="AI461" s="21">
        <v>0</v>
      </c>
      <c r="AJ461" s="21">
        <v>0</v>
      </c>
      <c r="AK461" s="21">
        <v>0</v>
      </c>
      <c r="AL461" s="21">
        <v>0</v>
      </c>
      <c r="AM461" s="21">
        <v>0</v>
      </c>
      <c r="AN461" s="21">
        <v>0</v>
      </c>
      <c r="AO461" s="21">
        <v>0</v>
      </c>
      <c r="AP461" s="21">
        <v>0</v>
      </c>
      <c r="AQ461" s="21">
        <v>0</v>
      </c>
      <c r="AR461" s="21">
        <v>0</v>
      </c>
      <c r="AS461" s="21">
        <v>0</v>
      </c>
      <c r="AT461" s="21">
        <v>0</v>
      </c>
      <c r="AU461" s="21">
        <v>0</v>
      </c>
      <c r="AV461" s="21">
        <v>0</v>
      </c>
      <c r="AW461" s="21">
        <v>0</v>
      </c>
      <c r="AX461" s="21">
        <v>0</v>
      </c>
      <c r="AY461" s="21">
        <v>0</v>
      </c>
      <c r="AZ461" s="21">
        <v>0</v>
      </c>
      <c r="BA461" s="21">
        <v>0</v>
      </c>
      <c r="BB461" s="21">
        <v>0</v>
      </c>
      <c r="BC461" s="21">
        <v>0</v>
      </c>
      <c r="BD461" s="21">
        <v>0</v>
      </c>
      <c r="BE461" s="21">
        <v>0</v>
      </c>
      <c r="BF461" s="21">
        <v>0</v>
      </c>
      <c r="BG461" s="21">
        <v>0</v>
      </c>
      <c r="BH461" s="21">
        <v>0</v>
      </c>
      <c r="BI461" s="21">
        <v>0</v>
      </c>
      <c r="BJ461" s="21">
        <v>0</v>
      </c>
      <c r="BK461" s="21">
        <v>0</v>
      </c>
      <c r="BL461" s="21">
        <v>0</v>
      </c>
      <c r="BM461" s="21">
        <v>0</v>
      </c>
      <c r="BN461" s="21">
        <v>0</v>
      </c>
      <c r="BO461" s="21">
        <v>0</v>
      </c>
      <c r="BP461" s="21">
        <v>0</v>
      </c>
      <c r="BQ461" s="21">
        <v>0</v>
      </c>
      <c r="BR461" s="21">
        <v>0</v>
      </c>
      <c r="BS461" s="21">
        <v>0</v>
      </c>
      <c r="BT461" s="21">
        <v>0</v>
      </c>
      <c r="BU461" s="21">
        <v>0</v>
      </c>
      <c r="BV461" s="21">
        <v>0</v>
      </c>
      <c r="BW461" s="21">
        <v>0</v>
      </c>
      <c r="BX461" s="21">
        <v>0</v>
      </c>
      <c r="BY461" s="21">
        <v>0</v>
      </c>
      <c r="BZ461" s="21">
        <v>0</v>
      </c>
      <c r="CA461" s="21">
        <v>0</v>
      </c>
      <c r="CB461" s="21">
        <v>0</v>
      </c>
      <c r="CC461" s="21">
        <v>0</v>
      </c>
      <c r="CD461" s="21">
        <v>0</v>
      </c>
      <c r="CE461" s="21">
        <v>0</v>
      </c>
      <c r="CF461" s="21">
        <v>0</v>
      </c>
      <c r="CG461" s="21">
        <v>0</v>
      </c>
      <c r="CH461" s="21">
        <v>0</v>
      </c>
      <c r="CI461" s="21">
        <v>0</v>
      </c>
      <c r="CJ461" s="21">
        <v>0</v>
      </c>
      <c r="CK461" s="21">
        <v>0</v>
      </c>
      <c r="CL461" s="21">
        <v>0</v>
      </c>
      <c r="CM461" s="21">
        <v>0</v>
      </c>
      <c r="CN461" s="21">
        <v>0</v>
      </c>
      <c r="CO461" s="21">
        <v>0</v>
      </c>
      <c r="CP461" s="21">
        <v>0</v>
      </c>
      <c r="CQ461" s="21">
        <v>0</v>
      </c>
      <c r="CR461" s="21">
        <v>0</v>
      </c>
      <c r="CS461" s="21">
        <v>0</v>
      </c>
      <c r="CT461" s="21">
        <v>0</v>
      </c>
      <c r="CU461" s="21">
        <v>0</v>
      </c>
      <c r="CV461" s="21">
        <v>0</v>
      </c>
      <c r="CW461" s="21">
        <v>0</v>
      </c>
      <c r="CX461" s="21">
        <v>0</v>
      </c>
      <c r="CY461" s="21">
        <v>0</v>
      </c>
      <c r="CZ461" s="21">
        <v>0</v>
      </c>
      <c r="DA461" s="21">
        <v>0</v>
      </c>
      <c r="DB461" s="21">
        <v>0</v>
      </c>
      <c r="DC461" s="21">
        <v>0</v>
      </c>
      <c r="DD461" s="21">
        <v>0</v>
      </c>
      <c r="DE461" s="21">
        <v>0</v>
      </c>
      <c r="DF461" s="21">
        <v>0</v>
      </c>
      <c r="DG461" s="21">
        <v>0</v>
      </c>
      <c r="DH461" s="21">
        <v>0</v>
      </c>
      <c r="DI461" s="21">
        <v>0</v>
      </c>
      <c r="DJ461" s="21">
        <v>0</v>
      </c>
      <c r="DK461" s="21">
        <v>0</v>
      </c>
      <c r="DL461" s="21">
        <v>0</v>
      </c>
      <c r="DM461" s="21">
        <v>0</v>
      </c>
      <c r="DN461" s="21">
        <v>0</v>
      </c>
      <c r="DO461" s="21">
        <v>0</v>
      </c>
      <c r="DP461" s="21">
        <v>0</v>
      </c>
      <c r="DQ461" s="21">
        <v>0</v>
      </c>
      <c r="DR461" s="21">
        <v>0</v>
      </c>
      <c r="DS461" s="21">
        <v>0</v>
      </c>
      <c r="DT461" s="21">
        <v>0</v>
      </c>
      <c r="DU461" s="21">
        <v>0</v>
      </c>
      <c r="DV461" s="21">
        <v>0</v>
      </c>
      <c r="DW461" s="21">
        <v>0</v>
      </c>
      <c r="DX461" s="21">
        <v>0</v>
      </c>
      <c r="DY461" s="21">
        <v>0</v>
      </c>
      <c r="DZ461" s="21">
        <v>0</v>
      </c>
      <c r="EA461" s="21">
        <v>0</v>
      </c>
      <c r="EB461" s="21">
        <v>0</v>
      </c>
      <c r="EC461" s="21">
        <v>0</v>
      </c>
      <c r="ED461" s="21">
        <v>0</v>
      </c>
      <c r="EE461" s="21">
        <v>0</v>
      </c>
      <c r="EF461" s="21">
        <v>0</v>
      </c>
    </row>
    <row r="462" spans="1:136" ht="14.5" x14ac:dyDescent="0.35">
      <c r="A462" s="20" t="s">
        <v>12</v>
      </c>
      <c r="B462" s="20" t="s">
        <v>362</v>
      </c>
      <c r="C462" s="20" t="s">
        <v>112</v>
      </c>
      <c r="D462" s="20" t="s">
        <v>336</v>
      </c>
      <c r="E462" s="20" t="s">
        <v>16</v>
      </c>
      <c r="F462" s="20" t="s">
        <v>113</v>
      </c>
      <c r="G462" s="21">
        <v>5</v>
      </c>
      <c r="H462" s="21">
        <v>5</v>
      </c>
      <c r="I462" s="21">
        <v>0</v>
      </c>
      <c r="J462" s="21">
        <v>5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  <c r="Q462" s="21">
        <v>0</v>
      </c>
      <c r="R462" s="21">
        <v>0</v>
      </c>
      <c r="S462" s="21">
        <v>0</v>
      </c>
      <c r="T462" s="21">
        <v>0</v>
      </c>
      <c r="U462" s="21">
        <v>0</v>
      </c>
      <c r="V462" s="21">
        <v>0</v>
      </c>
      <c r="W462" s="21">
        <v>0</v>
      </c>
      <c r="X462" s="21">
        <v>0</v>
      </c>
      <c r="Y462" s="21">
        <v>0</v>
      </c>
      <c r="Z462" s="21">
        <v>0</v>
      </c>
      <c r="AA462" s="21">
        <v>0</v>
      </c>
      <c r="AB462" s="21">
        <v>0</v>
      </c>
      <c r="AC462" s="21">
        <v>0</v>
      </c>
      <c r="AD462" s="21">
        <v>0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21">
        <v>0</v>
      </c>
      <c r="AO462" s="21">
        <v>0</v>
      </c>
      <c r="AP462" s="21">
        <v>0</v>
      </c>
      <c r="AQ462" s="21">
        <v>0</v>
      </c>
      <c r="AR462" s="21">
        <v>0</v>
      </c>
      <c r="AS462" s="21">
        <v>0</v>
      </c>
      <c r="AT462" s="21">
        <v>0</v>
      </c>
      <c r="AU462" s="21">
        <v>0</v>
      </c>
      <c r="AV462" s="21">
        <v>0</v>
      </c>
      <c r="AW462" s="21">
        <v>0</v>
      </c>
      <c r="AX462" s="21">
        <v>0</v>
      </c>
      <c r="AY462" s="21">
        <v>0</v>
      </c>
      <c r="AZ462" s="21">
        <v>0</v>
      </c>
      <c r="BA462" s="21">
        <v>0</v>
      </c>
      <c r="BB462" s="21">
        <v>0</v>
      </c>
      <c r="BC462" s="21">
        <v>0</v>
      </c>
      <c r="BD462" s="21">
        <v>0</v>
      </c>
      <c r="BE462" s="21">
        <v>0</v>
      </c>
      <c r="BF462" s="21">
        <v>0</v>
      </c>
      <c r="BG462" s="21">
        <v>0</v>
      </c>
      <c r="BH462" s="21">
        <v>0</v>
      </c>
      <c r="BI462" s="21">
        <v>0</v>
      </c>
      <c r="BJ462" s="21">
        <v>0</v>
      </c>
      <c r="BK462" s="21">
        <v>0</v>
      </c>
      <c r="BL462" s="21">
        <v>0</v>
      </c>
      <c r="BM462" s="21">
        <v>0</v>
      </c>
      <c r="BN462" s="21">
        <v>0</v>
      </c>
      <c r="BO462" s="21">
        <v>0</v>
      </c>
      <c r="BP462" s="21">
        <v>0</v>
      </c>
      <c r="BQ462" s="21">
        <v>0</v>
      </c>
      <c r="BR462" s="21">
        <v>0</v>
      </c>
      <c r="BS462" s="21">
        <v>0</v>
      </c>
      <c r="BT462" s="21">
        <v>0</v>
      </c>
      <c r="BU462" s="21">
        <v>0</v>
      </c>
      <c r="BV462" s="21">
        <v>0</v>
      </c>
      <c r="BW462" s="21">
        <v>0</v>
      </c>
      <c r="BX462" s="21">
        <v>0</v>
      </c>
      <c r="BY462" s="21">
        <v>0</v>
      </c>
      <c r="BZ462" s="21">
        <v>0</v>
      </c>
      <c r="CA462" s="21">
        <v>0</v>
      </c>
      <c r="CB462" s="21">
        <v>0</v>
      </c>
      <c r="CC462" s="21">
        <v>0</v>
      </c>
      <c r="CD462" s="21">
        <v>0</v>
      </c>
      <c r="CE462" s="21">
        <v>0</v>
      </c>
      <c r="CF462" s="21">
        <v>0</v>
      </c>
      <c r="CG462" s="21">
        <v>0</v>
      </c>
      <c r="CH462" s="21">
        <v>0</v>
      </c>
      <c r="CI462" s="21">
        <v>0</v>
      </c>
      <c r="CJ462" s="21">
        <v>0</v>
      </c>
      <c r="CK462" s="21">
        <v>0</v>
      </c>
      <c r="CL462" s="21">
        <v>0</v>
      </c>
      <c r="CM462" s="21">
        <v>0</v>
      </c>
      <c r="CN462" s="21">
        <v>0</v>
      </c>
      <c r="CO462" s="21">
        <v>0</v>
      </c>
      <c r="CP462" s="21">
        <v>0</v>
      </c>
      <c r="CQ462" s="21">
        <v>0</v>
      </c>
      <c r="CR462" s="21">
        <v>0</v>
      </c>
      <c r="CS462" s="21">
        <v>0</v>
      </c>
      <c r="CT462" s="21">
        <v>0</v>
      </c>
      <c r="CU462" s="21">
        <v>0</v>
      </c>
      <c r="CV462" s="21">
        <v>0</v>
      </c>
      <c r="CW462" s="21">
        <v>0</v>
      </c>
      <c r="CX462" s="21">
        <v>0</v>
      </c>
      <c r="CY462" s="21">
        <v>0</v>
      </c>
      <c r="CZ462" s="21">
        <v>0</v>
      </c>
      <c r="DA462" s="21">
        <v>0</v>
      </c>
      <c r="DB462" s="21">
        <v>0</v>
      </c>
      <c r="DC462" s="21">
        <v>0</v>
      </c>
      <c r="DD462" s="21">
        <v>0</v>
      </c>
      <c r="DE462" s="21">
        <v>0</v>
      </c>
      <c r="DF462" s="21">
        <v>0</v>
      </c>
      <c r="DG462" s="21">
        <v>0</v>
      </c>
      <c r="DH462" s="21">
        <v>0</v>
      </c>
      <c r="DI462" s="21">
        <v>0</v>
      </c>
      <c r="DJ462" s="21">
        <v>0</v>
      </c>
      <c r="DK462" s="21">
        <v>0</v>
      </c>
      <c r="DL462" s="21">
        <v>0</v>
      </c>
      <c r="DM462" s="21">
        <v>0</v>
      </c>
      <c r="DN462" s="21">
        <v>0</v>
      </c>
      <c r="DO462" s="21">
        <v>0</v>
      </c>
      <c r="DP462" s="21">
        <v>0</v>
      </c>
      <c r="DQ462" s="21">
        <v>0</v>
      </c>
      <c r="DR462" s="21">
        <v>0</v>
      </c>
      <c r="DS462" s="21">
        <v>0</v>
      </c>
      <c r="DT462" s="21">
        <v>0</v>
      </c>
      <c r="DU462" s="21">
        <v>0</v>
      </c>
      <c r="DV462" s="21">
        <v>0</v>
      </c>
      <c r="DW462" s="21">
        <v>0</v>
      </c>
      <c r="DX462" s="21">
        <v>0</v>
      </c>
      <c r="DY462" s="21">
        <v>0</v>
      </c>
      <c r="DZ462" s="21">
        <v>0</v>
      </c>
      <c r="EA462" s="21">
        <v>0</v>
      </c>
      <c r="EB462" s="21">
        <v>0</v>
      </c>
      <c r="EC462" s="21">
        <v>0</v>
      </c>
      <c r="ED462" s="21">
        <v>0</v>
      </c>
      <c r="EE462" s="21">
        <v>0</v>
      </c>
      <c r="EF462" s="21">
        <v>0</v>
      </c>
    </row>
    <row r="463" spans="1:136" ht="14.5" x14ac:dyDescent="0.35">
      <c r="A463" s="20" t="s">
        <v>12</v>
      </c>
      <c r="B463" s="20" t="s">
        <v>363</v>
      </c>
      <c r="C463" s="20" t="s">
        <v>114</v>
      </c>
      <c r="D463" s="20" t="s">
        <v>343</v>
      </c>
      <c r="E463" s="20" t="s">
        <v>16</v>
      </c>
      <c r="F463" s="20" t="s">
        <v>77</v>
      </c>
      <c r="G463" s="21">
        <v>7.5</v>
      </c>
      <c r="H463" s="21">
        <v>7.5</v>
      </c>
      <c r="I463" s="21">
        <v>0</v>
      </c>
      <c r="J463" s="21">
        <v>7.5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  <c r="Q463" s="21">
        <v>0</v>
      </c>
      <c r="R463" s="21">
        <v>0</v>
      </c>
      <c r="S463" s="21">
        <v>0</v>
      </c>
      <c r="T463" s="21">
        <v>0</v>
      </c>
      <c r="U463" s="21">
        <v>0</v>
      </c>
      <c r="V463" s="21">
        <v>0</v>
      </c>
      <c r="W463" s="21">
        <v>0</v>
      </c>
      <c r="X463" s="21">
        <v>0</v>
      </c>
      <c r="Y463" s="21">
        <v>0</v>
      </c>
      <c r="Z463" s="21">
        <v>0</v>
      </c>
      <c r="AA463" s="21">
        <v>0</v>
      </c>
      <c r="AB463" s="21">
        <v>0</v>
      </c>
      <c r="AC463" s="21">
        <v>0</v>
      </c>
      <c r="AD463" s="21">
        <v>0</v>
      </c>
      <c r="AE463" s="21">
        <v>0</v>
      </c>
      <c r="AF463" s="21">
        <v>0</v>
      </c>
      <c r="AG463" s="21">
        <v>0</v>
      </c>
      <c r="AH463" s="21">
        <v>0</v>
      </c>
      <c r="AI463" s="21">
        <v>0</v>
      </c>
      <c r="AJ463" s="21">
        <v>0</v>
      </c>
      <c r="AK463" s="21">
        <v>0</v>
      </c>
      <c r="AL463" s="21">
        <v>0</v>
      </c>
      <c r="AM463" s="21">
        <v>0</v>
      </c>
      <c r="AN463" s="21">
        <v>0</v>
      </c>
      <c r="AO463" s="21">
        <v>0</v>
      </c>
      <c r="AP463" s="21">
        <v>0</v>
      </c>
      <c r="AQ463" s="21">
        <v>0</v>
      </c>
      <c r="AR463" s="21">
        <v>0</v>
      </c>
      <c r="AS463" s="21">
        <v>0</v>
      </c>
      <c r="AT463" s="21">
        <v>0</v>
      </c>
      <c r="AU463" s="21">
        <v>0</v>
      </c>
      <c r="AV463" s="21">
        <v>0</v>
      </c>
      <c r="AW463" s="21">
        <v>0</v>
      </c>
      <c r="AX463" s="21">
        <v>0</v>
      </c>
      <c r="AY463" s="21">
        <v>0</v>
      </c>
      <c r="AZ463" s="21">
        <v>0</v>
      </c>
      <c r="BA463" s="21">
        <v>0</v>
      </c>
      <c r="BB463" s="21">
        <v>0</v>
      </c>
      <c r="BC463" s="21">
        <v>0</v>
      </c>
      <c r="BD463" s="21">
        <v>0</v>
      </c>
      <c r="BE463" s="21">
        <v>0</v>
      </c>
      <c r="BF463" s="21">
        <v>0</v>
      </c>
      <c r="BG463" s="21">
        <v>0</v>
      </c>
      <c r="BH463" s="21">
        <v>0</v>
      </c>
      <c r="BI463" s="21">
        <v>0</v>
      </c>
      <c r="BJ463" s="21">
        <v>0</v>
      </c>
      <c r="BK463" s="21">
        <v>0</v>
      </c>
      <c r="BL463" s="21">
        <v>0</v>
      </c>
      <c r="BM463" s="21">
        <v>0</v>
      </c>
      <c r="BN463" s="21">
        <v>0</v>
      </c>
      <c r="BO463" s="21">
        <v>0</v>
      </c>
      <c r="BP463" s="21">
        <v>0</v>
      </c>
      <c r="BQ463" s="21">
        <v>0</v>
      </c>
      <c r="BR463" s="21">
        <v>0</v>
      </c>
      <c r="BS463" s="21">
        <v>0</v>
      </c>
      <c r="BT463" s="21">
        <v>0</v>
      </c>
      <c r="BU463" s="21">
        <v>0</v>
      </c>
      <c r="BV463" s="21">
        <v>0</v>
      </c>
      <c r="BW463" s="21">
        <v>0</v>
      </c>
      <c r="BX463" s="21">
        <v>0</v>
      </c>
      <c r="BY463" s="21">
        <v>0</v>
      </c>
      <c r="BZ463" s="21">
        <v>0</v>
      </c>
      <c r="CA463" s="21">
        <v>0</v>
      </c>
      <c r="CB463" s="21">
        <v>0</v>
      </c>
      <c r="CC463" s="21">
        <v>0</v>
      </c>
      <c r="CD463" s="21">
        <v>0</v>
      </c>
      <c r="CE463" s="21">
        <v>0</v>
      </c>
      <c r="CF463" s="21">
        <v>0</v>
      </c>
      <c r="CG463" s="21">
        <v>0</v>
      </c>
      <c r="CH463" s="21">
        <v>0</v>
      </c>
      <c r="CI463" s="21">
        <v>0</v>
      </c>
      <c r="CJ463" s="21">
        <v>0</v>
      </c>
      <c r="CK463" s="21">
        <v>0</v>
      </c>
      <c r="CL463" s="21">
        <v>0</v>
      </c>
      <c r="CM463" s="21">
        <v>0</v>
      </c>
      <c r="CN463" s="21">
        <v>0</v>
      </c>
      <c r="CO463" s="21">
        <v>0</v>
      </c>
      <c r="CP463" s="21">
        <v>0</v>
      </c>
      <c r="CQ463" s="21">
        <v>0</v>
      </c>
      <c r="CR463" s="21">
        <v>0</v>
      </c>
      <c r="CS463" s="21">
        <v>0</v>
      </c>
      <c r="CT463" s="21">
        <v>0</v>
      </c>
      <c r="CU463" s="21">
        <v>0</v>
      </c>
      <c r="CV463" s="21">
        <v>0</v>
      </c>
      <c r="CW463" s="21">
        <v>0</v>
      </c>
      <c r="CX463" s="21">
        <v>0</v>
      </c>
      <c r="CY463" s="21">
        <v>0</v>
      </c>
      <c r="CZ463" s="21">
        <v>0</v>
      </c>
      <c r="DA463" s="21">
        <v>0</v>
      </c>
      <c r="DB463" s="21">
        <v>0</v>
      </c>
      <c r="DC463" s="21">
        <v>0</v>
      </c>
      <c r="DD463" s="21">
        <v>0</v>
      </c>
      <c r="DE463" s="21">
        <v>0</v>
      </c>
      <c r="DF463" s="21">
        <v>0</v>
      </c>
      <c r="DG463" s="21">
        <v>0</v>
      </c>
      <c r="DH463" s="21">
        <v>0</v>
      </c>
      <c r="DI463" s="21">
        <v>0</v>
      </c>
      <c r="DJ463" s="21">
        <v>0</v>
      </c>
      <c r="DK463" s="21">
        <v>0</v>
      </c>
      <c r="DL463" s="21">
        <v>0</v>
      </c>
      <c r="DM463" s="21">
        <v>0</v>
      </c>
      <c r="DN463" s="21">
        <v>0</v>
      </c>
      <c r="DO463" s="21">
        <v>0</v>
      </c>
      <c r="DP463" s="21">
        <v>0</v>
      </c>
      <c r="DQ463" s="21">
        <v>0</v>
      </c>
      <c r="DR463" s="21">
        <v>0</v>
      </c>
      <c r="DS463" s="21">
        <v>0</v>
      </c>
      <c r="DT463" s="21">
        <v>0</v>
      </c>
      <c r="DU463" s="21">
        <v>0</v>
      </c>
      <c r="DV463" s="21">
        <v>0</v>
      </c>
      <c r="DW463" s="21">
        <v>0</v>
      </c>
      <c r="DX463" s="21">
        <v>0</v>
      </c>
      <c r="DY463" s="21">
        <v>0</v>
      </c>
      <c r="DZ463" s="21">
        <v>0</v>
      </c>
      <c r="EA463" s="21">
        <v>0</v>
      </c>
      <c r="EB463" s="21">
        <v>0</v>
      </c>
      <c r="EC463" s="21">
        <v>0</v>
      </c>
      <c r="ED463" s="21">
        <v>0</v>
      </c>
      <c r="EE463" s="21">
        <v>0</v>
      </c>
      <c r="EF463" s="21">
        <v>0</v>
      </c>
    </row>
    <row r="464" spans="1:136" ht="14.5" x14ac:dyDescent="0.35">
      <c r="A464" s="20" t="s">
        <v>12</v>
      </c>
      <c r="B464" s="20" t="s">
        <v>364</v>
      </c>
      <c r="C464" s="20" t="s">
        <v>114</v>
      </c>
      <c r="D464" s="20" t="s">
        <v>339</v>
      </c>
      <c r="E464" s="20" t="s">
        <v>14</v>
      </c>
      <c r="F464" s="20" t="s">
        <v>87</v>
      </c>
      <c r="G464" s="21">
        <v>16</v>
      </c>
      <c r="H464" s="21">
        <v>16</v>
      </c>
      <c r="I464" s="21">
        <v>0</v>
      </c>
      <c r="J464" s="21">
        <v>16</v>
      </c>
      <c r="K464" s="21">
        <v>0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  <c r="W464" s="21">
        <v>0</v>
      </c>
      <c r="X464" s="21">
        <v>0</v>
      </c>
      <c r="Y464" s="21">
        <v>0</v>
      </c>
      <c r="Z464" s="21">
        <v>0</v>
      </c>
      <c r="AA464" s="21">
        <v>0</v>
      </c>
      <c r="AB464" s="21">
        <v>0</v>
      </c>
      <c r="AC464" s="21">
        <v>0</v>
      </c>
      <c r="AD464" s="21">
        <v>0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21">
        <v>0</v>
      </c>
      <c r="AO464" s="21">
        <v>0</v>
      </c>
      <c r="AP464" s="21">
        <v>0</v>
      </c>
      <c r="AQ464" s="21">
        <v>0</v>
      </c>
      <c r="AR464" s="21">
        <v>0</v>
      </c>
      <c r="AS464" s="21">
        <v>0</v>
      </c>
      <c r="AT464" s="21">
        <v>0</v>
      </c>
      <c r="AU464" s="21">
        <v>0</v>
      </c>
      <c r="AV464" s="21">
        <v>0</v>
      </c>
      <c r="AW464" s="21">
        <v>0</v>
      </c>
      <c r="AX464" s="21">
        <v>0</v>
      </c>
      <c r="AY464" s="21">
        <v>0</v>
      </c>
      <c r="AZ464" s="21">
        <v>0</v>
      </c>
      <c r="BA464" s="21">
        <v>0</v>
      </c>
      <c r="BB464" s="21">
        <v>0</v>
      </c>
      <c r="BC464" s="21">
        <v>0</v>
      </c>
      <c r="BD464" s="21">
        <v>0</v>
      </c>
      <c r="BE464" s="21">
        <v>0</v>
      </c>
      <c r="BF464" s="21">
        <v>0</v>
      </c>
      <c r="BG464" s="21">
        <v>0</v>
      </c>
      <c r="BH464" s="21">
        <v>0</v>
      </c>
      <c r="BI464" s="21">
        <v>0</v>
      </c>
      <c r="BJ464" s="21">
        <v>0</v>
      </c>
      <c r="BK464" s="21">
        <v>0</v>
      </c>
      <c r="BL464" s="21">
        <v>0</v>
      </c>
      <c r="BM464" s="21">
        <v>0</v>
      </c>
      <c r="BN464" s="21">
        <v>0</v>
      </c>
      <c r="BO464" s="21">
        <v>0</v>
      </c>
      <c r="BP464" s="21">
        <v>0</v>
      </c>
      <c r="BQ464" s="21">
        <v>0</v>
      </c>
      <c r="BR464" s="21">
        <v>0</v>
      </c>
      <c r="BS464" s="21">
        <v>0</v>
      </c>
      <c r="BT464" s="21">
        <v>0</v>
      </c>
      <c r="BU464" s="21">
        <v>0</v>
      </c>
      <c r="BV464" s="21">
        <v>0</v>
      </c>
      <c r="BW464" s="21">
        <v>0</v>
      </c>
      <c r="BX464" s="21">
        <v>0</v>
      </c>
      <c r="BY464" s="21">
        <v>0</v>
      </c>
      <c r="BZ464" s="21">
        <v>0</v>
      </c>
      <c r="CA464" s="21">
        <v>0</v>
      </c>
      <c r="CB464" s="21">
        <v>0</v>
      </c>
      <c r="CC464" s="21">
        <v>0</v>
      </c>
      <c r="CD464" s="21">
        <v>0</v>
      </c>
      <c r="CE464" s="21">
        <v>0</v>
      </c>
      <c r="CF464" s="21">
        <v>0</v>
      </c>
      <c r="CG464" s="21">
        <v>0</v>
      </c>
      <c r="CH464" s="21">
        <v>0</v>
      </c>
      <c r="CI464" s="21">
        <v>0</v>
      </c>
      <c r="CJ464" s="21">
        <v>0</v>
      </c>
      <c r="CK464" s="21">
        <v>0</v>
      </c>
      <c r="CL464" s="21">
        <v>0</v>
      </c>
      <c r="CM464" s="21">
        <v>0</v>
      </c>
      <c r="CN464" s="21">
        <v>0</v>
      </c>
      <c r="CO464" s="21">
        <v>0</v>
      </c>
      <c r="CP464" s="21">
        <v>0</v>
      </c>
      <c r="CQ464" s="21">
        <v>0</v>
      </c>
      <c r="CR464" s="21">
        <v>0</v>
      </c>
      <c r="CS464" s="21">
        <v>0</v>
      </c>
      <c r="CT464" s="21">
        <v>0</v>
      </c>
      <c r="CU464" s="21">
        <v>0</v>
      </c>
      <c r="CV464" s="21">
        <v>0</v>
      </c>
      <c r="CW464" s="21">
        <v>0</v>
      </c>
      <c r="CX464" s="21">
        <v>0</v>
      </c>
      <c r="CY464" s="21">
        <v>0</v>
      </c>
      <c r="CZ464" s="21">
        <v>0</v>
      </c>
      <c r="DA464" s="21">
        <v>0</v>
      </c>
      <c r="DB464" s="21">
        <v>0</v>
      </c>
      <c r="DC464" s="21">
        <v>0</v>
      </c>
      <c r="DD464" s="21">
        <v>0</v>
      </c>
      <c r="DE464" s="21">
        <v>0</v>
      </c>
      <c r="DF464" s="21">
        <v>0</v>
      </c>
      <c r="DG464" s="21">
        <v>0</v>
      </c>
      <c r="DH464" s="21">
        <v>0</v>
      </c>
      <c r="DI464" s="21">
        <v>0</v>
      </c>
      <c r="DJ464" s="21">
        <v>0</v>
      </c>
      <c r="DK464" s="21">
        <v>0</v>
      </c>
      <c r="DL464" s="21">
        <v>0</v>
      </c>
      <c r="DM464" s="21">
        <v>0</v>
      </c>
      <c r="DN464" s="21">
        <v>0</v>
      </c>
      <c r="DO464" s="21">
        <v>0</v>
      </c>
      <c r="DP464" s="21">
        <v>0</v>
      </c>
      <c r="DQ464" s="21">
        <v>0</v>
      </c>
      <c r="DR464" s="21">
        <v>0</v>
      </c>
      <c r="DS464" s="21">
        <v>0</v>
      </c>
      <c r="DT464" s="21">
        <v>0</v>
      </c>
      <c r="DU464" s="21">
        <v>0</v>
      </c>
      <c r="DV464" s="21">
        <v>0</v>
      </c>
      <c r="DW464" s="21">
        <v>0</v>
      </c>
      <c r="DX464" s="21">
        <v>0</v>
      </c>
      <c r="DY464" s="21">
        <v>0</v>
      </c>
      <c r="DZ464" s="21">
        <v>0</v>
      </c>
      <c r="EA464" s="21">
        <v>0</v>
      </c>
      <c r="EB464" s="21">
        <v>0</v>
      </c>
      <c r="EC464" s="21">
        <v>0</v>
      </c>
      <c r="ED464" s="21">
        <v>0</v>
      </c>
      <c r="EE464" s="21">
        <v>0</v>
      </c>
      <c r="EF464" s="21">
        <v>0</v>
      </c>
    </row>
    <row r="465" spans="1:136" ht="14.5" x14ac:dyDescent="0.35">
      <c r="A465" s="20" t="s">
        <v>12</v>
      </c>
      <c r="B465" s="20" t="s">
        <v>365</v>
      </c>
      <c r="C465" s="20" t="s">
        <v>114</v>
      </c>
      <c r="D465" s="20" t="s">
        <v>334</v>
      </c>
      <c r="E465" s="20" t="s">
        <v>10</v>
      </c>
      <c r="F465" s="20" t="s">
        <v>90</v>
      </c>
      <c r="G465" s="21">
        <v>32</v>
      </c>
      <c r="H465" s="21">
        <v>32</v>
      </c>
      <c r="I465" s="21">
        <v>0</v>
      </c>
      <c r="J465" s="21">
        <v>32</v>
      </c>
      <c r="K465" s="21">
        <v>0</v>
      </c>
      <c r="L465" s="21">
        <v>0</v>
      </c>
      <c r="M465" s="21">
        <v>0</v>
      </c>
      <c r="N465" s="21">
        <v>0</v>
      </c>
      <c r="O465" s="21">
        <v>0</v>
      </c>
      <c r="P465" s="21">
        <v>0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  <c r="W465" s="21">
        <v>0</v>
      </c>
      <c r="X465" s="21">
        <v>0</v>
      </c>
      <c r="Y465" s="21">
        <v>0</v>
      </c>
      <c r="Z465" s="21">
        <v>0</v>
      </c>
      <c r="AA465" s="21">
        <v>0</v>
      </c>
      <c r="AB465" s="21">
        <v>0</v>
      </c>
      <c r="AC465" s="21">
        <v>0</v>
      </c>
      <c r="AD465" s="21">
        <v>0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0</v>
      </c>
      <c r="AK465" s="21">
        <v>0</v>
      </c>
      <c r="AL465" s="21">
        <v>0</v>
      </c>
      <c r="AM465" s="21">
        <v>0</v>
      </c>
      <c r="AN465" s="21">
        <v>0</v>
      </c>
      <c r="AO465" s="21">
        <v>0</v>
      </c>
      <c r="AP465" s="21">
        <v>0</v>
      </c>
      <c r="AQ465" s="21">
        <v>0</v>
      </c>
      <c r="AR465" s="21">
        <v>0</v>
      </c>
      <c r="AS465" s="21">
        <v>0</v>
      </c>
      <c r="AT465" s="21">
        <v>0</v>
      </c>
      <c r="AU465" s="21">
        <v>0</v>
      </c>
      <c r="AV465" s="21">
        <v>0</v>
      </c>
      <c r="AW465" s="21">
        <v>0</v>
      </c>
      <c r="AX465" s="21">
        <v>0</v>
      </c>
      <c r="AY465" s="21">
        <v>0</v>
      </c>
      <c r="AZ465" s="21">
        <v>0</v>
      </c>
      <c r="BA465" s="21">
        <v>0</v>
      </c>
      <c r="BB465" s="21">
        <v>0</v>
      </c>
      <c r="BC465" s="21">
        <v>0</v>
      </c>
      <c r="BD465" s="21">
        <v>0</v>
      </c>
      <c r="BE465" s="21">
        <v>0</v>
      </c>
      <c r="BF465" s="21">
        <v>0</v>
      </c>
      <c r="BG465" s="21">
        <v>0</v>
      </c>
      <c r="BH465" s="21">
        <v>0</v>
      </c>
      <c r="BI465" s="21">
        <v>0</v>
      </c>
      <c r="BJ465" s="21">
        <v>0</v>
      </c>
      <c r="BK465" s="21">
        <v>0</v>
      </c>
      <c r="BL465" s="21">
        <v>0</v>
      </c>
      <c r="BM465" s="21">
        <v>0</v>
      </c>
      <c r="BN465" s="21">
        <v>0</v>
      </c>
      <c r="BO465" s="21">
        <v>0</v>
      </c>
      <c r="BP465" s="21">
        <v>0</v>
      </c>
      <c r="BQ465" s="21">
        <v>0</v>
      </c>
      <c r="BR465" s="21">
        <v>0</v>
      </c>
      <c r="BS465" s="21">
        <v>0</v>
      </c>
      <c r="BT465" s="21">
        <v>0</v>
      </c>
      <c r="BU465" s="21">
        <v>0</v>
      </c>
      <c r="BV465" s="21">
        <v>0</v>
      </c>
      <c r="BW465" s="21">
        <v>0</v>
      </c>
      <c r="BX465" s="21">
        <v>0</v>
      </c>
      <c r="BY465" s="21">
        <v>0</v>
      </c>
      <c r="BZ465" s="21">
        <v>0</v>
      </c>
      <c r="CA465" s="21">
        <v>0</v>
      </c>
      <c r="CB465" s="21">
        <v>0</v>
      </c>
      <c r="CC465" s="21">
        <v>0</v>
      </c>
      <c r="CD465" s="21">
        <v>0</v>
      </c>
      <c r="CE465" s="21">
        <v>0</v>
      </c>
      <c r="CF465" s="21">
        <v>0</v>
      </c>
      <c r="CG465" s="21">
        <v>0</v>
      </c>
      <c r="CH465" s="21">
        <v>0</v>
      </c>
      <c r="CI465" s="21">
        <v>0</v>
      </c>
      <c r="CJ465" s="21">
        <v>0</v>
      </c>
      <c r="CK465" s="21">
        <v>0</v>
      </c>
      <c r="CL465" s="21">
        <v>0</v>
      </c>
      <c r="CM465" s="21">
        <v>0</v>
      </c>
      <c r="CN465" s="21">
        <v>0</v>
      </c>
      <c r="CO465" s="21">
        <v>0</v>
      </c>
      <c r="CP465" s="21">
        <v>0</v>
      </c>
      <c r="CQ465" s="21">
        <v>0</v>
      </c>
      <c r="CR465" s="21">
        <v>0</v>
      </c>
      <c r="CS465" s="21">
        <v>0</v>
      </c>
      <c r="CT465" s="21">
        <v>0</v>
      </c>
      <c r="CU465" s="21">
        <v>0</v>
      </c>
      <c r="CV465" s="21">
        <v>0</v>
      </c>
      <c r="CW465" s="21">
        <v>0</v>
      </c>
      <c r="CX465" s="21">
        <v>0</v>
      </c>
      <c r="CY465" s="21">
        <v>0</v>
      </c>
      <c r="CZ465" s="21">
        <v>0</v>
      </c>
      <c r="DA465" s="21">
        <v>0</v>
      </c>
      <c r="DB465" s="21">
        <v>0</v>
      </c>
      <c r="DC465" s="21">
        <v>0</v>
      </c>
      <c r="DD465" s="21">
        <v>0</v>
      </c>
      <c r="DE465" s="21">
        <v>0</v>
      </c>
      <c r="DF465" s="21">
        <v>0</v>
      </c>
      <c r="DG465" s="21">
        <v>0</v>
      </c>
      <c r="DH465" s="21">
        <v>0</v>
      </c>
      <c r="DI465" s="21">
        <v>0</v>
      </c>
      <c r="DJ465" s="21">
        <v>0</v>
      </c>
      <c r="DK465" s="21">
        <v>0</v>
      </c>
      <c r="DL465" s="21">
        <v>0</v>
      </c>
      <c r="DM465" s="21">
        <v>0</v>
      </c>
      <c r="DN465" s="21">
        <v>0</v>
      </c>
      <c r="DO465" s="21">
        <v>0</v>
      </c>
      <c r="DP465" s="21">
        <v>0</v>
      </c>
      <c r="DQ465" s="21">
        <v>0</v>
      </c>
      <c r="DR465" s="21">
        <v>0</v>
      </c>
      <c r="DS465" s="21">
        <v>0</v>
      </c>
      <c r="DT465" s="21">
        <v>0</v>
      </c>
      <c r="DU465" s="21">
        <v>0</v>
      </c>
      <c r="DV465" s="21">
        <v>0</v>
      </c>
      <c r="DW465" s="21">
        <v>0</v>
      </c>
      <c r="DX465" s="21">
        <v>0</v>
      </c>
      <c r="DY465" s="21">
        <v>0</v>
      </c>
      <c r="DZ465" s="21">
        <v>0</v>
      </c>
      <c r="EA465" s="21">
        <v>0</v>
      </c>
      <c r="EB465" s="21">
        <v>0</v>
      </c>
      <c r="EC465" s="21">
        <v>0</v>
      </c>
      <c r="ED465" s="21">
        <v>0</v>
      </c>
      <c r="EE465" s="21">
        <v>0</v>
      </c>
      <c r="EF465" s="21">
        <v>0</v>
      </c>
    </row>
    <row r="466" spans="1:136" ht="14.5" x14ac:dyDescent="0.35">
      <c r="A466" s="20" t="s">
        <v>12</v>
      </c>
      <c r="B466" s="20" t="s">
        <v>365</v>
      </c>
      <c r="C466" s="20" t="s">
        <v>114</v>
      </c>
      <c r="D466" s="20" t="s">
        <v>334</v>
      </c>
      <c r="E466" s="20" t="s">
        <v>10</v>
      </c>
      <c r="F466" s="20" t="s">
        <v>113</v>
      </c>
      <c r="G466" s="21">
        <v>7</v>
      </c>
      <c r="H466" s="21">
        <v>7</v>
      </c>
      <c r="I466" s="21">
        <v>0</v>
      </c>
      <c r="J466" s="21">
        <v>7</v>
      </c>
      <c r="K466" s="21">
        <v>0</v>
      </c>
      <c r="L466" s="21">
        <v>0</v>
      </c>
      <c r="M466" s="21">
        <v>0</v>
      </c>
      <c r="N466" s="21">
        <v>0</v>
      </c>
      <c r="O466" s="21">
        <v>0</v>
      </c>
      <c r="P466" s="21">
        <v>0</v>
      </c>
      <c r="Q466" s="21">
        <v>0</v>
      </c>
      <c r="R466" s="21">
        <v>0</v>
      </c>
      <c r="S466" s="21">
        <v>0</v>
      </c>
      <c r="T466" s="21">
        <v>0</v>
      </c>
      <c r="U466" s="21">
        <v>0</v>
      </c>
      <c r="V466" s="21">
        <v>0</v>
      </c>
      <c r="W466" s="21">
        <v>0</v>
      </c>
      <c r="X466" s="21">
        <v>0</v>
      </c>
      <c r="Y466" s="21">
        <v>0</v>
      </c>
      <c r="Z466" s="21">
        <v>0</v>
      </c>
      <c r="AA466" s="21">
        <v>0</v>
      </c>
      <c r="AB466" s="21">
        <v>0</v>
      </c>
      <c r="AC466" s="21">
        <v>0</v>
      </c>
      <c r="AD466" s="21">
        <v>0</v>
      </c>
      <c r="AE466" s="21">
        <v>0</v>
      </c>
      <c r="AF466" s="21">
        <v>0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0</v>
      </c>
      <c r="AN466" s="21">
        <v>0</v>
      </c>
      <c r="AO466" s="21">
        <v>0</v>
      </c>
      <c r="AP466" s="21">
        <v>0</v>
      </c>
      <c r="AQ466" s="21">
        <v>0</v>
      </c>
      <c r="AR466" s="21">
        <v>0</v>
      </c>
      <c r="AS466" s="21">
        <v>0</v>
      </c>
      <c r="AT466" s="21">
        <v>0</v>
      </c>
      <c r="AU466" s="21">
        <v>0</v>
      </c>
      <c r="AV466" s="21">
        <v>0</v>
      </c>
      <c r="AW466" s="21">
        <v>0</v>
      </c>
      <c r="AX466" s="21">
        <v>0</v>
      </c>
      <c r="AY466" s="21">
        <v>0</v>
      </c>
      <c r="AZ466" s="21">
        <v>0</v>
      </c>
      <c r="BA466" s="21">
        <v>0</v>
      </c>
      <c r="BB466" s="21">
        <v>0</v>
      </c>
      <c r="BC466" s="21">
        <v>0</v>
      </c>
      <c r="BD466" s="21">
        <v>0</v>
      </c>
      <c r="BE466" s="21">
        <v>0</v>
      </c>
      <c r="BF466" s="21">
        <v>0</v>
      </c>
      <c r="BG466" s="21">
        <v>0</v>
      </c>
      <c r="BH466" s="21">
        <v>0</v>
      </c>
      <c r="BI466" s="21">
        <v>0</v>
      </c>
      <c r="BJ466" s="21">
        <v>0</v>
      </c>
      <c r="BK466" s="21">
        <v>0</v>
      </c>
      <c r="BL466" s="21">
        <v>0</v>
      </c>
      <c r="BM466" s="21">
        <v>0</v>
      </c>
      <c r="BN466" s="21">
        <v>0</v>
      </c>
      <c r="BO466" s="21">
        <v>0</v>
      </c>
      <c r="BP466" s="21">
        <v>0</v>
      </c>
      <c r="BQ466" s="21">
        <v>0</v>
      </c>
      <c r="BR466" s="21">
        <v>0</v>
      </c>
      <c r="BS466" s="21">
        <v>0</v>
      </c>
      <c r="BT466" s="21">
        <v>0</v>
      </c>
      <c r="BU466" s="21">
        <v>0</v>
      </c>
      <c r="BV466" s="21">
        <v>0</v>
      </c>
      <c r="BW466" s="21">
        <v>0</v>
      </c>
      <c r="BX466" s="21">
        <v>0</v>
      </c>
      <c r="BY466" s="21">
        <v>0</v>
      </c>
      <c r="BZ466" s="21">
        <v>0</v>
      </c>
      <c r="CA466" s="21">
        <v>0</v>
      </c>
      <c r="CB466" s="21">
        <v>0</v>
      </c>
      <c r="CC466" s="21">
        <v>0</v>
      </c>
      <c r="CD466" s="21">
        <v>0</v>
      </c>
      <c r="CE466" s="21">
        <v>0</v>
      </c>
      <c r="CF466" s="21">
        <v>0</v>
      </c>
      <c r="CG466" s="21">
        <v>0</v>
      </c>
      <c r="CH466" s="21">
        <v>0</v>
      </c>
      <c r="CI466" s="21">
        <v>0</v>
      </c>
      <c r="CJ466" s="21">
        <v>0</v>
      </c>
      <c r="CK466" s="21">
        <v>0</v>
      </c>
      <c r="CL466" s="21">
        <v>0</v>
      </c>
      <c r="CM466" s="21">
        <v>0</v>
      </c>
      <c r="CN466" s="21">
        <v>0</v>
      </c>
      <c r="CO466" s="21">
        <v>0</v>
      </c>
      <c r="CP466" s="21">
        <v>0</v>
      </c>
      <c r="CQ466" s="21">
        <v>0</v>
      </c>
      <c r="CR466" s="21">
        <v>0</v>
      </c>
      <c r="CS466" s="21">
        <v>0</v>
      </c>
      <c r="CT466" s="21">
        <v>0</v>
      </c>
      <c r="CU466" s="21">
        <v>0</v>
      </c>
      <c r="CV466" s="21">
        <v>0</v>
      </c>
      <c r="CW466" s="21">
        <v>0</v>
      </c>
      <c r="CX466" s="21">
        <v>0</v>
      </c>
      <c r="CY466" s="21">
        <v>0</v>
      </c>
      <c r="CZ466" s="21">
        <v>0</v>
      </c>
      <c r="DA466" s="21">
        <v>0</v>
      </c>
      <c r="DB466" s="21">
        <v>0</v>
      </c>
      <c r="DC466" s="21">
        <v>0</v>
      </c>
      <c r="DD466" s="21">
        <v>0</v>
      </c>
      <c r="DE466" s="21">
        <v>0</v>
      </c>
      <c r="DF466" s="21">
        <v>0</v>
      </c>
      <c r="DG466" s="21">
        <v>0</v>
      </c>
      <c r="DH466" s="21">
        <v>0</v>
      </c>
      <c r="DI466" s="21">
        <v>0</v>
      </c>
      <c r="DJ466" s="21">
        <v>0</v>
      </c>
      <c r="DK466" s="21">
        <v>0</v>
      </c>
      <c r="DL466" s="21">
        <v>0</v>
      </c>
      <c r="DM466" s="21">
        <v>0</v>
      </c>
      <c r="DN466" s="21">
        <v>0</v>
      </c>
      <c r="DO466" s="21">
        <v>0</v>
      </c>
      <c r="DP466" s="21">
        <v>0</v>
      </c>
      <c r="DQ466" s="21">
        <v>0</v>
      </c>
      <c r="DR466" s="21">
        <v>0</v>
      </c>
      <c r="DS466" s="21">
        <v>0</v>
      </c>
      <c r="DT466" s="21">
        <v>0</v>
      </c>
      <c r="DU466" s="21">
        <v>0</v>
      </c>
      <c r="DV466" s="21">
        <v>0</v>
      </c>
      <c r="DW466" s="21">
        <v>0</v>
      </c>
      <c r="DX466" s="21">
        <v>0</v>
      </c>
      <c r="DY466" s="21">
        <v>0</v>
      </c>
      <c r="DZ466" s="21">
        <v>0</v>
      </c>
      <c r="EA466" s="21">
        <v>0</v>
      </c>
      <c r="EB466" s="21">
        <v>0</v>
      </c>
      <c r="EC466" s="21">
        <v>0</v>
      </c>
      <c r="ED466" s="21">
        <v>0</v>
      </c>
      <c r="EE466" s="21">
        <v>0</v>
      </c>
      <c r="EF466" s="21">
        <v>0</v>
      </c>
    </row>
    <row r="467" spans="1:136" ht="14.5" x14ac:dyDescent="0.35">
      <c r="A467" s="20" t="s">
        <v>12</v>
      </c>
      <c r="B467" s="20" t="s">
        <v>366</v>
      </c>
      <c r="C467" s="20" t="s">
        <v>115</v>
      </c>
      <c r="D467" s="20" t="s">
        <v>336</v>
      </c>
      <c r="E467" s="20" t="s">
        <v>16</v>
      </c>
      <c r="F467" s="20" t="s">
        <v>77</v>
      </c>
      <c r="G467" s="21">
        <v>7.5</v>
      </c>
      <c r="H467" s="21">
        <v>7.5</v>
      </c>
      <c r="I467" s="21">
        <v>0</v>
      </c>
      <c r="J467" s="21">
        <v>7.5</v>
      </c>
      <c r="K467" s="21">
        <v>0</v>
      </c>
      <c r="L467" s="21">
        <v>0</v>
      </c>
      <c r="M467" s="21">
        <v>0</v>
      </c>
      <c r="N467" s="21">
        <v>0</v>
      </c>
      <c r="O467" s="21">
        <v>0</v>
      </c>
      <c r="P467" s="21">
        <v>0</v>
      </c>
      <c r="Q467" s="21">
        <v>0</v>
      </c>
      <c r="R467" s="21">
        <v>0</v>
      </c>
      <c r="S467" s="21">
        <v>0</v>
      </c>
      <c r="T467" s="21">
        <v>0</v>
      </c>
      <c r="U467" s="21">
        <v>0</v>
      </c>
      <c r="V467" s="21">
        <v>0</v>
      </c>
      <c r="W467" s="21">
        <v>0</v>
      </c>
      <c r="X467" s="21">
        <v>0</v>
      </c>
      <c r="Y467" s="21">
        <v>0</v>
      </c>
      <c r="Z467" s="21">
        <v>0</v>
      </c>
      <c r="AA467" s="21">
        <v>0</v>
      </c>
      <c r="AB467" s="21">
        <v>0</v>
      </c>
      <c r="AC467" s="21">
        <v>0</v>
      </c>
      <c r="AD467" s="21">
        <v>0</v>
      </c>
      <c r="AE467" s="21">
        <v>0</v>
      </c>
      <c r="AF467" s="21">
        <v>0</v>
      </c>
      <c r="AG467" s="21">
        <v>0</v>
      </c>
      <c r="AH467" s="21">
        <v>0</v>
      </c>
      <c r="AI467" s="21">
        <v>0</v>
      </c>
      <c r="AJ467" s="21">
        <v>0</v>
      </c>
      <c r="AK467" s="21">
        <v>0</v>
      </c>
      <c r="AL467" s="21">
        <v>0</v>
      </c>
      <c r="AM467" s="21">
        <v>0</v>
      </c>
      <c r="AN467" s="21">
        <v>0</v>
      </c>
      <c r="AO467" s="21">
        <v>0</v>
      </c>
      <c r="AP467" s="21">
        <v>0</v>
      </c>
      <c r="AQ467" s="21">
        <v>0</v>
      </c>
      <c r="AR467" s="21">
        <v>0</v>
      </c>
      <c r="AS467" s="21">
        <v>0</v>
      </c>
      <c r="AT467" s="21">
        <v>0</v>
      </c>
      <c r="AU467" s="21">
        <v>0</v>
      </c>
      <c r="AV467" s="21">
        <v>0</v>
      </c>
      <c r="AW467" s="21">
        <v>0</v>
      </c>
      <c r="AX467" s="21">
        <v>0</v>
      </c>
      <c r="AY467" s="21">
        <v>0</v>
      </c>
      <c r="AZ467" s="21">
        <v>0</v>
      </c>
      <c r="BA467" s="21">
        <v>0</v>
      </c>
      <c r="BB467" s="21">
        <v>0</v>
      </c>
      <c r="BC467" s="21">
        <v>0</v>
      </c>
      <c r="BD467" s="21">
        <v>0</v>
      </c>
      <c r="BE467" s="21">
        <v>0</v>
      </c>
      <c r="BF467" s="21">
        <v>0</v>
      </c>
      <c r="BG467" s="21">
        <v>0</v>
      </c>
      <c r="BH467" s="21">
        <v>0</v>
      </c>
      <c r="BI467" s="21">
        <v>0</v>
      </c>
      <c r="BJ467" s="21">
        <v>0</v>
      </c>
      <c r="BK467" s="21">
        <v>0</v>
      </c>
      <c r="BL467" s="21">
        <v>0</v>
      </c>
      <c r="BM467" s="21">
        <v>0</v>
      </c>
      <c r="BN467" s="21">
        <v>0</v>
      </c>
      <c r="BO467" s="21">
        <v>0</v>
      </c>
      <c r="BP467" s="21">
        <v>0</v>
      </c>
      <c r="BQ467" s="21">
        <v>0</v>
      </c>
      <c r="BR467" s="21">
        <v>0</v>
      </c>
      <c r="BS467" s="21">
        <v>0</v>
      </c>
      <c r="BT467" s="21">
        <v>0</v>
      </c>
      <c r="BU467" s="21">
        <v>0</v>
      </c>
      <c r="BV467" s="21">
        <v>0</v>
      </c>
      <c r="BW467" s="21">
        <v>0</v>
      </c>
      <c r="BX467" s="21">
        <v>0</v>
      </c>
      <c r="BY467" s="21">
        <v>0</v>
      </c>
      <c r="BZ467" s="21">
        <v>0</v>
      </c>
      <c r="CA467" s="21">
        <v>0</v>
      </c>
      <c r="CB467" s="21">
        <v>0</v>
      </c>
      <c r="CC467" s="21">
        <v>0</v>
      </c>
      <c r="CD467" s="21">
        <v>0</v>
      </c>
      <c r="CE467" s="21">
        <v>0</v>
      </c>
      <c r="CF467" s="21">
        <v>0</v>
      </c>
      <c r="CG467" s="21">
        <v>0</v>
      </c>
      <c r="CH467" s="21">
        <v>0</v>
      </c>
      <c r="CI467" s="21">
        <v>0</v>
      </c>
      <c r="CJ467" s="21">
        <v>0</v>
      </c>
      <c r="CK467" s="21">
        <v>0</v>
      </c>
      <c r="CL467" s="21">
        <v>0</v>
      </c>
      <c r="CM467" s="21">
        <v>0</v>
      </c>
      <c r="CN467" s="21">
        <v>0</v>
      </c>
      <c r="CO467" s="21">
        <v>0</v>
      </c>
      <c r="CP467" s="21">
        <v>0</v>
      </c>
      <c r="CQ467" s="21">
        <v>0</v>
      </c>
      <c r="CR467" s="21">
        <v>0</v>
      </c>
      <c r="CS467" s="21">
        <v>0</v>
      </c>
      <c r="CT467" s="21">
        <v>0</v>
      </c>
      <c r="CU467" s="21">
        <v>0</v>
      </c>
      <c r="CV467" s="21">
        <v>0</v>
      </c>
      <c r="CW467" s="21">
        <v>0</v>
      </c>
      <c r="CX467" s="21">
        <v>0</v>
      </c>
      <c r="CY467" s="21">
        <v>0</v>
      </c>
      <c r="CZ467" s="21">
        <v>0</v>
      </c>
      <c r="DA467" s="21">
        <v>0</v>
      </c>
      <c r="DB467" s="21">
        <v>0</v>
      </c>
      <c r="DC467" s="21">
        <v>0</v>
      </c>
      <c r="DD467" s="21">
        <v>0</v>
      </c>
      <c r="DE467" s="21">
        <v>0</v>
      </c>
      <c r="DF467" s="21">
        <v>0</v>
      </c>
      <c r="DG467" s="21">
        <v>0</v>
      </c>
      <c r="DH467" s="21">
        <v>0</v>
      </c>
      <c r="DI467" s="21">
        <v>0</v>
      </c>
      <c r="DJ467" s="21">
        <v>0</v>
      </c>
      <c r="DK467" s="21">
        <v>0</v>
      </c>
      <c r="DL467" s="21">
        <v>0</v>
      </c>
      <c r="DM467" s="21">
        <v>0</v>
      </c>
      <c r="DN467" s="21">
        <v>0</v>
      </c>
      <c r="DO467" s="21">
        <v>0</v>
      </c>
      <c r="DP467" s="21">
        <v>0</v>
      </c>
      <c r="DQ467" s="21">
        <v>0</v>
      </c>
      <c r="DR467" s="21">
        <v>0</v>
      </c>
      <c r="DS467" s="21">
        <v>0</v>
      </c>
      <c r="DT467" s="21">
        <v>0</v>
      </c>
      <c r="DU467" s="21">
        <v>0</v>
      </c>
      <c r="DV467" s="21">
        <v>0</v>
      </c>
      <c r="DW467" s="21">
        <v>0</v>
      </c>
      <c r="DX467" s="21">
        <v>0</v>
      </c>
      <c r="DY467" s="21">
        <v>0</v>
      </c>
      <c r="DZ467" s="21">
        <v>0</v>
      </c>
      <c r="EA467" s="21">
        <v>0</v>
      </c>
      <c r="EB467" s="21">
        <v>0</v>
      </c>
      <c r="EC467" s="21">
        <v>0</v>
      </c>
      <c r="ED467" s="21">
        <v>0</v>
      </c>
      <c r="EE467" s="21">
        <v>0</v>
      </c>
      <c r="EF467" s="21">
        <v>0</v>
      </c>
    </row>
    <row r="468" spans="1:136" ht="14.5" x14ac:dyDescent="0.35">
      <c r="A468" s="20" t="s">
        <v>12</v>
      </c>
      <c r="B468" s="20" t="s">
        <v>367</v>
      </c>
      <c r="C468" s="20" t="s">
        <v>115</v>
      </c>
      <c r="D468" s="20" t="s">
        <v>339</v>
      </c>
      <c r="E468" s="20" t="s">
        <v>14</v>
      </c>
      <c r="F468" s="20" t="s">
        <v>87</v>
      </c>
      <c r="G468" s="21">
        <v>18</v>
      </c>
      <c r="H468" s="21">
        <v>18</v>
      </c>
      <c r="I468" s="21">
        <v>0</v>
      </c>
      <c r="J468" s="21">
        <v>18</v>
      </c>
      <c r="K468" s="21">
        <v>0</v>
      </c>
      <c r="L468" s="21">
        <v>0</v>
      </c>
      <c r="M468" s="21">
        <v>0</v>
      </c>
      <c r="N468" s="21">
        <v>0</v>
      </c>
      <c r="O468" s="21">
        <v>0</v>
      </c>
      <c r="P468" s="21">
        <v>0</v>
      </c>
      <c r="Q468" s="21">
        <v>0</v>
      </c>
      <c r="R468" s="21">
        <v>0</v>
      </c>
      <c r="S468" s="21">
        <v>0</v>
      </c>
      <c r="T468" s="21">
        <v>0</v>
      </c>
      <c r="U468" s="21">
        <v>0</v>
      </c>
      <c r="V468" s="21">
        <v>0</v>
      </c>
      <c r="W468" s="21">
        <v>0</v>
      </c>
      <c r="X468" s="21">
        <v>0</v>
      </c>
      <c r="Y468" s="21">
        <v>0</v>
      </c>
      <c r="Z468" s="21">
        <v>0</v>
      </c>
      <c r="AA468" s="21">
        <v>0</v>
      </c>
      <c r="AB468" s="21">
        <v>0</v>
      </c>
      <c r="AC468" s="21">
        <v>0</v>
      </c>
      <c r="AD468" s="21">
        <v>0</v>
      </c>
      <c r="AE468" s="21">
        <v>0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0</v>
      </c>
      <c r="AN468" s="21">
        <v>0</v>
      </c>
      <c r="AO468" s="21">
        <v>0</v>
      </c>
      <c r="AP468" s="21">
        <v>0</v>
      </c>
      <c r="AQ468" s="21">
        <v>0</v>
      </c>
      <c r="AR468" s="21">
        <v>0</v>
      </c>
      <c r="AS468" s="21">
        <v>0</v>
      </c>
      <c r="AT468" s="21">
        <v>0</v>
      </c>
      <c r="AU468" s="21">
        <v>0</v>
      </c>
      <c r="AV468" s="21">
        <v>0</v>
      </c>
      <c r="AW468" s="21">
        <v>0</v>
      </c>
      <c r="AX468" s="21">
        <v>0</v>
      </c>
      <c r="AY468" s="21">
        <v>0</v>
      </c>
      <c r="AZ468" s="21">
        <v>0</v>
      </c>
      <c r="BA468" s="21">
        <v>0</v>
      </c>
      <c r="BB468" s="21">
        <v>0</v>
      </c>
      <c r="BC468" s="21">
        <v>0</v>
      </c>
      <c r="BD468" s="21">
        <v>0</v>
      </c>
      <c r="BE468" s="21">
        <v>0</v>
      </c>
      <c r="BF468" s="21">
        <v>0</v>
      </c>
      <c r="BG468" s="21">
        <v>0</v>
      </c>
      <c r="BH468" s="21">
        <v>0</v>
      </c>
      <c r="BI468" s="21">
        <v>0</v>
      </c>
      <c r="BJ468" s="21">
        <v>0</v>
      </c>
      <c r="BK468" s="21">
        <v>0</v>
      </c>
      <c r="BL468" s="21">
        <v>0</v>
      </c>
      <c r="BM468" s="21">
        <v>0</v>
      </c>
      <c r="BN468" s="21">
        <v>0</v>
      </c>
      <c r="BO468" s="21">
        <v>0</v>
      </c>
      <c r="BP468" s="21">
        <v>0</v>
      </c>
      <c r="BQ468" s="21">
        <v>0</v>
      </c>
      <c r="BR468" s="21">
        <v>0</v>
      </c>
      <c r="BS468" s="21">
        <v>0</v>
      </c>
      <c r="BT468" s="21">
        <v>0</v>
      </c>
      <c r="BU468" s="21">
        <v>0</v>
      </c>
      <c r="BV468" s="21">
        <v>0</v>
      </c>
      <c r="BW468" s="21">
        <v>0</v>
      </c>
      <c r="BX468" s="21">
        <v>0</v>
      </c>
      <c r="BY468" s="21">
        <v>0</v>
      </c>
      <c r="BZ468" s="21">
        <v>0</v>
      </c>
      <c r="CA468" s="21">
        <v>0</v>
      </c>
      <c r="CB468" s="21">
        <v>0</v>
      </c>
      <c r="CC468" s="21">
        <v>0</v>
      </c>
      <c r="CD468" s="21">
        <v>0</v>
      </c>
      <c r="CE468" s="21">
        <v>0</v>
      </c>
      <c r="CF468" s="21">
        <v>0</v>
      </c>
      <c r="CG468" s="21">
        <v>0</v>
      </c>
      <c r="CH468" s="21">
        <v>0</v>
      </c>
      <c r="CI468" s="21">
        <v>0</v>
      </c>
      <c r="CJ468" s="21">
        <v>0</v>
      </c>
      <c r="CK468" s="21">
        <v>0</v>
      </c>
      <c r="CL468" s="21">
        <v>0</v>
      </c>
      <c r="CM468" s="21">
        <v>0</v>
      </c>
      <c r="CN468" s="21">
        <v>0</v>
      </c>
      <c r="CO468" s="21">
        <v>0</v>
      </c>
      <c r="CP468" s="21">
        <v>0</v>
      </c>
      <c r="CQ468" s="21">
        <v>0</v>
      </c>
      <c r="CR468" s="21">
        <v>0</v>
      </c>
      <c r="CS468" s="21">
        <v>0</v>
      </c>
      <c r="CT468" s="21">
        <v>0</v>
      </c>
      <c r="CU468" s="21">
        <v>0</v>
      </c>
      <c r="CV468" s="21">
        <v>0</v>
      </c>
      <c r="CW468" s="21">
        <v>0</v>
      </c>
      <c r="CX468" s="21">
        <v>0</v>
      </c>
      <c r="CY468" s="21">
        <v>0</v>
      </c>
      <c r="CZ468" s="21">
        <v>0</v>
      </c>
      <c r="DA468" s="21">
        <v>0</v>
      </c>
      <c r="DB468" s="21">
        <v>0</v>
      </c>
      <c r="DC468" s="21">
        <v>0</v>
      </c>
      <c r="DD468" s="21">
        <v>0</v>
      </c>
      <c r="DE468" s="21">
        <v>0</v>
      </c>
      <c r="DF468" s="21">
        <v>0</v>
      </c>
      <c r="DG468" s="21">
        <v>0</v>
      </c>
      <c r="DH468" s="21">
        <v>0</v>
      </c>
      <c r="DI468" s="21">
        <v>0</v>
      </c>
      <c r="DJ468" s="21">
        <v>0</v>
      </c>
      <c r="DK468" s="21">
        <v>0</v>
      </c>
      <c r="DL468" s="21">
        <v>0</v>
      </c>
      <c r="DM468" s="21">
        <v>0</v>
      </c>
      <c r="DN468" s="21">
        <v>0</v>
      </c>
      <c r="DO468" s="21">
        <v>0</v>
      </c>
      <c r="DP468" s="21">
        <v>0</v>
      </c>
      <c r="DQ468" s="21">
        <v>0</v>
      </c>
      <c r="DR468" s="21">
        <v>0</v>
      </c>
      <c r="DS468" s="21">
        <v>0</v>
      </c>
      <c r="DT468" s="21">
        <v>0</v>
      </c>
      <c r="DU468" s="21">
        <v>0</v>
      </c>
      <c r="DV468" s="21">
        <v>0</v>
      </c>
      <c r="DW468" s="21">
        <v>0</v>
      </c>
      <c r="DX468" s="21">
        <v>0</v>
      </c>
      <c r="DY468" s="21">
        <v>0</v>
      </c>
      <c r="DZ468" s="21">
        <v>0</v>
      </c>
      <c r="EA468" s="21">
        <v>0</v>
      </c>
      <c r="EB468" s="21">
        <v>0</v>
      </c>
      <c r="EC468" s="21">
        <v>0</v>
      </c>
      <c r="ED468" s="21">
        <v>0</v>
      </c>
      <c r="EE468" s="21">
        <v>0</v>
      </c>
      <c r="EF468" s="21">
        <v>0</v>
      </c>
    </row>
    <row r="469" spans="1:136" ht="14.5" x14ac:dyDescent="0.35">
      <c r="A469" s="20" t="s">
        <v>12</v>
      </c>
      <c r="B469" s="20" t="s">
        <v>368</v>
      </c>
      <c r="C469" s="20" t="s">
        <v>115</v>
      </c>
      <c r="D469" s="20" t="s">
        <v>334</v>
      </c>
      <c r="E469" s="20" t="s">
        <v>10</v>
      </c>
      <c r="F469" s="20" t="s">
        <v>90</v>
      </c>
      <c r="G469" s="21">
        <v>4</v>
      </c>
      <c r="H469" s="21">
        <v>4</v>
      </c>
      <c r="I469" s="21">
        <v>0</v>
      </c>
      <c r="J469" s="21">
        <v>4</v>
      </c>
      <c r="K469" s="21">
        <v>0</v>
      </c>
      <c r="L469" s="21">
        <v>0</v>
      </c>
      <c r="M469" s="21">
        <v>0</v>
      </c>
      <c r="N469" s="21">
        <v>0</v>
      </c>
      <c r="O469" s="21">
        <v>0</v>
      </c>
      <c r="P469" s="21">
        <v>0</v>
      </c>
      <c r="Q469" s="21">
        <v>0</v>
      </c>
      <c r="R469" s="21">
        <v>0</v>
      </c>
      <c r="S469" s="21">
        <v>0</v>
      </c>
      <c r="T469" s="21">
        <v>0</v>
      </c>
      <c r="U469" s="21">
        <v>0</v>
      </c>
      <c r="V469" s="21">
        <v>0</v>
      </c>
      <c r="W469" s="21">
        <v>0</v>
      </c>
      <c r="X469" s="21">
        <v>0</v>
      </c>
      <c r="Y469" s="21">
        <v>0</v>
      </c>
      <c r="Z469" s="21">
        <v>0</v>
      </c>
      <c r="AA469" s="21">
        <v>0</v>
      </c>
      <c r="AB469" s="21">
        <v>0</v>
      </c>
      <c r="AC469" s="21">
        <v>0</v>
      </c>
      <c r="AD469" s="21">
        <v>0</v>
      </c>
      <c r="AE469" s="21">
        <v>0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0</v>
      </c>
      <c r="AL469" s="21">
        <v>0</v>
      </c>
      <c r="AM469" s="21">
        <v>0</v>
      </c>
      <c r="AN469" s="21">
        <v>0</v>
      </c>
      <c r="AO469" s="21">
        <v>0</v>
      </c>
      <c r="AP469" s="21">
        <v>0</v>
      </c>
      <c r="AQ469" s="21">
        <v>0</v>
      </c>
      <c r="AR469" s="21">
        <v>0</v>
      </c>
      <c r="AS469" s="21">
        <v>0</v>
      </c>
      <c r="AT469" s="21">
        <v>0</v>
      </c>
      <c r="AU469" s="21">
        <v>0</v>
      </c>
      <c r="AV469" s="21">
        <v>0</v>
      </c>
      <c r="AW469" s="21">
        <v>0</v>
      </c>
      <c r="AX469" s="21">
        <v>0</v>
      </c>
      <c r="AY469" s="21">
        <v>0</v>
      </c>
      <c r="AZ469" s="21">
        <v>0</v>
      </c>
      <c r="BA469" s="21">
        <v>0</v>
      </c>
      <c r="BB469" s="21">
        <v>0</v>
      </c>
      <c r="BC469" s="21">
        <v>0</v>
      </c>
      <c r="BD469" s="21">
        <v>0</v>
      </c>
      <c r="BE469" s="21">
        <v>0</v>
      </c>
      <c r="BF469" s="21">
        <v>0</v>
      </c>
      <c r="BG469" s="21">
        <v>0</v>
      </c>
      <c r="BH469" s="21">
        <v>0</v>
      </c>
      <c r="BI469" s="21">
        <v>0</v>
      </c>
      <c r="BJ469" s="21">
        <v>0</v>
      </c>
      <c r="BK469" s="21">
        <v>0</v>
      </c>
      <c r="BL469" s="21">
        <v>0</v>
      </c>
      <c r="BM469" s="21">
        <v>0</v>
      </c>
      <c r="BN469" s="21">
        <v>0</v>
      </c>
      <c r="BO469" s="21">
        <v>0</v>
      </c>
      <c r="BP469" s="21">
        <v>0</v>
      </c>
      <c r="BQ469" s="21">
        <v>0</v>
      </c>
      <c r="BR469" s="21">
        <v>0</v>
      </c>
      <c r="BS469" s="21">
        <v>0</v>
      </c>
      <c r="BT469" s="21">
        <v>0</v>
      </c>
      <c r="BU469" s="21">
        <v>0</v>
      </c>
      <c r="BV469" s="21">
        <v>0</v>
      </c>
      <c r="BW469" s="21">
        <v>0</v>
      </c>
      <c r="BX469" s="21">
        <v>0</v>
      </c>
      <c r="BY469" s="21">
        <v>0</v>
      </c>
      <c r="BZ469" s="21">
        <v>0</v>
      </c>
      <c r="CA469" s="21">
        <v>0</v>
      </c>
      <c r="CB469" s="21">
        <v>0</v>
      </c>
      <c r="CC469" s="21">
        <v>0</v>
      </c>
      <c r="CD469" s="21">
        <v>0</v>
      </c>
      <c r="CE469" s="21">
        <v>0</v>
      </c>
      <c r="CF469" s="21">
        <v>0</v>
      </c>
      <c r="CG469" s="21">
        <v>0</v>
      </c>
      <c r="CH469" s="21">
        <v>0</v>
      </c>
      <c r="CI469" s="21">
        <v>0</v>
      </c>
      <c r="CJ469" s="21">
        <v>0</v>
      </c>
      <c r="CK469" s="21">
        <v>0</v>
      </c>
      <c r="CL469" s="21">
        <v>0</v>
      </c>
      <c r="CM469" s="21">
        <v>0</v>
      </c>
      <c r="CN469" s="21">
        <v>0</v>
      </c>
      <c r="CO469" s="21">
        <v>0</v>
      </c>
      <c r="CP469" s="21">
        <v>0</v>
      </c>
      <c r="CQ469" s="21">
        <v>0</v>
      </c>
      <c r="CR469" s="21">
        <v>0</v>
      </c>
      <c r="CS469" s="21">
        <v>0</v>
      </c>
      <c r="CT469" s="21">
        <v>0</v>
      </c>
      <c r="CU469" s="21">
        <v>0</v>
      </c>
      <c r="CV469" s="21">
        <v>0</v>
      </c>
      <c r="CW469" s="21">
        <v>0</v>
      </c>
      <c r="CX469" s="21">
        <v>0</v>
      </c>
      <c r="CY469" s="21">
        <v>0</v>
      </c>
      <c r="CZ469" s="21">
        <v>0</v>
      </c>
      <c r="DA469" s="21">
        <v>0</v>
      </c>
      <c r="DB469" s="21">
        <v>0</v>
      </c>
      <c r="DC469" s="21">
        <v>0</v>
      </c>
      <c r="DD469" s="21">
        <v>0</v>
      </c>
      <c r="DE469" s="21">
        <v>0</v>
      </c>
      <c r="DF469" s="21">
        <v>0</v>
      </c>
      <c r="DG469" s="21">
        <v>0</v>
      </c>
      <c r="DH469" s="21">
        <v>0</v>
      </c>
      <c r="DI469" s="21">
        <v>0</v>
      </c>
      <c r="DJ469" s="21">
        <v>0</v>
      </c>
      <c r="DK469" s="21">
        <v>0</v>
      </c>
      <c r="DL469" s="21">
        <v>0</v>
      </c>
      <c r="DM469" s="21">
        <v>0</v>
      </c>
      <c r="DN469" s="21">
        <v>0</v>
      </c>
      <c r="DO469" s="21">
        <v>0</v>
      </c>
      <c r="DP469" s="21">
        <v>0</v>
      </c>
      <c r="DQ469" s="21">
        <v>0</v>
      </c>
      <c r="DR469" s="21">
        <v>0</v>
      </c>
      <c r="DS469" s="21">
        <v>0</v>
      </c>
      <c r="DT469" s="21">
        <v>0</v>
      </c>
      <c r="DU469" s="21">
        <v>0</v>
      </c>
      <c r="DV469" s="21">
        <v>0</v>
      </c>
      <c r="DW469" s="21">
        <v>0</v>
      </c>
      <c r="DX469" s="21">
        <v>0</v>
      </c>
      <c r="DY469" s="21">
        <v>0</v>
      </c>
      <c r="DZ469" s="21">
        <v>0</v>
      </c>
      <c r="EA469" s="21">
        <v>0</v>
      </c>
      <c r="EB469" s="21">
        <v>0</v>
      </c>
      <c r="EC469" s="21">
        <v>0</v>
      </c>
      <c r="ED469" s="21">
        <v>0</v>
      </c>
      <c r="EE469" s="21">
        <v>0</v>
      </c>
      <c r="EF469" s="21">
        <v>0</v>
      </c>
    </row>
    <row r="470" spans="1:136" ht="14.5" x14ac:dyDescent="0.35">
      <c r="A470" s="20" t="s">
        <v>12</v>
      </c>
      <c r="B470" s="20" t="s">
        <v>367</v>
      </c>
      <c r="C470" s="20" t="s">
        <v>115</v>
      </c>
      <c r="D470" s="20" t="s">
        <v>339</v>
      </c>
      <c r="E470" s="20" t="s">
        <v>14</v>
      </c>
      <c r="F470" s="20" t="s">
        <v>113</v>
      </c>
      <c r="G470" s="21">
        <v>4</v>
      </c>
      <c r="H470" s="21">
        <v>4</v>
      </c>
      <c r="I470" s="21">
        <v>0</v>
      </c>
      <c r="J470" s="21">
        <v>4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>
        <v>0</v>
      </c>
      <c r="T470" s="21">
        <v>0</v>
      </c>
      <c r="U470" s="21">
        <v>0</v>
      </c>
      <c r="V470" s="21">
        <v>0</v>
      </c>
      <c r="W470" s="21">
        <v>0</v>
      </c>
      <c r="X470" s="21">
        <v>0</v>
      </c>
      <c r="Y470" s="21">
        <v>0</v>
      </c>
      <c r="Z470" s="21">
        <v>0</v>
      </c>
      <c r="AA470" s="21">
        <v>0</v>
      </c>
      <c r="AB470" s="21">
        <v>0</v>
      </c>
      <c r="AC470" s="21">
        <v>0</v>
      </c>
      <c r="AD470" s="21">
        <v>0</v>
      </c>
      <c r="AE470" s="21">
        <v>0</v>
      </c>
      <c r="AF470" s="21">
        <v>0</v>
      </c>
      <c r="AG470" s="21">
        <v>0</v>
      </c>
      <c r="AH470" s="21">
        <v>0</v>
      </c>
      <c r="AI470" s="21">
        <v>0</v>
      </c>
      <c r="AJ470" s="21">
        <v>0</v>
      </c>
      <c r="AK470" s="21">
        <v>0</v>
      </c>
      <c r="AL470" s="21">
        <v>0</v>
      </c>
      <c r="AM470" s="21">
        <v>0</v>
      </c>
      <c r="AN470" s="21">
        <v>0</v>
      </c>
      <c r="AO470" s="21">
        <v>0</v>
      </c>
      <c r="AP470" s="21">
        <v>0</v>
      </c>
      <c r="AQ470" s="21">
        <v>0</v>
      </c>
      <c r="AR470" s="21">
        <v>0</v>
      </c>
      <c r="AS470" s="21">
        <v>0</v>
      </c>
      <c r="AT470" s="21">
        <v>0</v>
      </c>
      <c r="AU470" s="21">
        <v>0</v>
      </c>
      <c r="AV470" s="21">
        <v>0</v>
      </c>
      <c r="AW470" s="21">
        <v>0</v>
      </c>
      <c r="AX470" s="21">
        <v>0</v>
      </c>
      <c r="AY470" s="21">
        <v>0</v>
      </c>
      <c r="AZ470" s="21">
        <v>0</v>
      </c>
      <c r="BA470" s="21">
        <v>0</v>
      </c>
      <c r="BB470" s="21">
        <v>0</v>
      </c>
      <c r="BC470" s="21">
        <v>0</v>
      </c>
      <c r="BD470" s="21">
        <v>0</v>
      </c>
      <c r="BE470" s="21">
        <v>0</v>
      </c>
      <c r="BF470" s="21">
        <v>0</v>
      </c>
      <c r="BG470" s="21">
        <v>0</v>
      </c>
      <c r="BH470" s="21">
        <v>0</v>
      </c>
      <c r="BI470" s="21">
        <v>0</v>
      </c>
      <c r="BJ470" s="21">
        <v>0</v>
      </c>
      <c r="BK470" s="21">
        <v>0</v>
      </c>
      <c r="BL470" s="21">
        <v>0</v>
      </c>
      <c r="BM470" s="21">
        <v>0</v>
      </c>
      <c r="BN470" s="21">
        <v>0</v>
      </c>
      <c r="BO470" s="21">
        <v>0</v>
      </c>
      <c r="BP470" s="21">
        <v>0</v>
      </c>
      <c r="BQ470" s="21">
        <v>0</v>
      </c>
      <c r="BR470" s="21">
        <v>0</v>
      </c>
      <c r="BS470" s="21">
        <v>0</v>
      </c>
      <c r="BT470" s="21">
        <v>0</v>
      </c>
      <c r="BU470" s="21">
        <v>0</v>
      </c>
      <c r="BV470" s="21">
        <v>0</v>
      </c>
      <c r="BW470" s="21">
        <v>0</v>
      </c>
      <c r="BX470" s="21">
        <v>0</v>
      </c>
      <c r="BY470" s="21">
        <v>0</v>
      </c>
      <c r="BZ470" s="21">
        <v>0</v>
      </c>
      <c r="CA470" s="21">
        <v>0</v>
      </c>
      <c r="CB470" s="21">
        <v>0</v>
      </c>
      <c r="CC470" s="21">
        <v>0</v>
      </c>
      <c r="CD470" s="21">
        <v>0</v>
      </c>
      <c r="CE470" s="21">
        <v>0</v>
      </c>
      <c r="CF470" s="21">
        <v>0</v>
      </c>
      <c r="CG470" s="21">
        <v>0</v>
      </c>
      <c r="CH470" s="21">
        <v>0</v>
      </c>
      <c r="CI470" s="21">
        <v>0</v>
      </c>
      <c r="CJ470" s="21">
        <v>0</v>
      </c>
      <c r="CK470" s="21">
        <v>0</v>
      </c>
      <c r="CL470" s="21">
        <v>0</v>
      </c>
      <c r="CM470" s="21">
        <v>0</v>
      </c>
      <c r="CN470" s="21">
        <v>0</v>
      </c>
      <c r="CO470" s="21">
        <v>0</v>
      </c>
      <c r="CP470" s="21">
        <v>0</v>
      </c>
      <c r="CQ470" s="21">
        <v>0</v>
      </c>
      <c r="CR470" s="21">
        <v>0</v>
      </c>
      <c r="CS470" s="21">
        <v>0</v>
      </c>
      <c r="CT470" s="21">
        <v>0</v>
      </c>
      <c r="CU470" s="21">
        <v>0</v>
      </c>
      <c r="CV470" s="21">
        <v>0</v>
      </c>
      <c r="CW470" s="21">
        <v>0</v>
      </c>
      <c r="CX470" s="21">
        <v>0</v>
      </c>
      <c r="CY470" s="21">
        <v>0</v>
      </c>
      <c r="CZ470" s="21">
        <v>0</v>
      </c>
      <c r="DA470" s="21">
        <v>0</v>
      </c>
      <c r="DB470" s="21">
        <v>0</v>
      </c>
      <c r="DC470" s="21">
        <v>0</v>
      </c>
      <c r="DD470" s="21">
        <v>0</v>
      </c>
      <c r="DE470" s="21">
        <v>0</v>
      </c>
      <c r="DF470" s="21">
        <v>0</v>
      </c>
      <c r="DG470" s="21">
        <v>0</v>
      </c>
      <c r="DH470" s="21">
        <v>0</v>
      </c>
      <c r="DI470" s="21">
        <v>0</v>
      </c>
      <c r="DJ470" s="21">
        <v>0</v>
      </c>
      <c r="DK470" s="21">
        <v>0</v>
      </c>
      <c r="DL470" s="21">
        <v>0</v>
      </c>
      <c r="DM470" s="21">
        <v>0</v>
      </c>
      <c r="DN470" s="21">
        <v>0</v>
      </c>
      <c r="DO470" s="21">
        <v>0</v>
      </c>
      <c r="DP470" s="21">
        <v>0</v>
      </c>
      <c r="DQ470" s="21">
        <v>0</v>
      </c>
      <c r="DR470" s="21">
        <v>0</v>
      </c>
      <c r="DS470" s="21">
        <v>0</v>
      </c>
      <c r="DT470" s="21">
        <v>0</v>
      </c>
      <c r="DU470" s="21">
        <v>0</v>
      </c>
      <c r="DV470" s="21">
        <v>0</v>
      </c>
      <c r="DW470" s="21">
        <v>0</v>
      </c>
      <c r="DX470" s="21">
        <v>0</v>
      </c>
      <c r="DY470" s="21">
        <v>0</v>
      </c>
      <c r="DZ470" s="21">
        <v>0</v>
      </c>
      <c r="EA470" s="21">
        <v>0</v>
      </c>
      <c r="EB470" s="21">
        <v>0</v>
      </c>
      <c r="EC470" s="21">
        <v>0</v>
      </c>
      <c r="ED470" s="21">
        <v>0</v>
      </c>
      <c r="EE470" s="21">
        <v>0</v>
      </c>
      <c r="EF470" s="21">
        <v>0</v>
      </c>
    </row>
    <row r="471" spans="1:136" ht="14.5" x14ac:dyDescent="0.35">
      <c r="A471" s="20" t="s">
        <v>12</v>
      </c>
      <c r="B471" s="20" t="s">
        <v>369</v>
      </c>
      <c r="C471" s="20" t="s">
        <v>116</v>
      </c>
      <c r="D471" s="20" t="s">
        <v>336</v>
      </c>
      <c r="E471" s="20" t="s">
        <v>16</v>
      </c>
      <c r="F471" s="20" t="s">
        <v>77</v>
      </c>
      <c r="G471" s="21">
        <v>21.5</v>
      </c>
      <c r="H471" s="21">
        <v>21.5</v>
      </c>
      <c r="I471" s="21">
        <v>0</v>
      </c>
      <c r="J471" s="21">
        <v>21.5</v>
      </c>
      <c r="K471" s="21">
        <v>0</v>
      </c>
      <c r="L471" s="21">
        <v>0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1">
        <v>0</v>
      </c>
      <c r="S471" s="21">
        <v>0</v>
      </c>
      <c r="T471" s="21">
        <v>0</v>
      </c>
      <c r="U471" s="21">
        <v>0</v>
      </c>
      <c r="V471" s="21">
        <v>0</v>
      </c>
      <c r="W471" s="21">
        <v>0</v>
      </c>
      <c r="X471" s="21">
        <v>0</v>
      </c>
      <c r="Y471" s="21">
        <v>0</v>
      </c>
      <c r="Z471" s="21">
        <v>0</v>
      </c>
      <c r="AA471" s="21">
        <v>0</v>
      </c>
      <c r="AB471" s="21">
        <v>0</v>
      </c>
      <c r="AC471" s="21">
        <v>0</v>
      </c>
      <c r="AD471" s="21">
        <v>0</v>
      </c>
      <c r="AE471" s="21">
        <v>0</v>
      </c>
      <c r="AF471" s="21">
        <v>0</v>
      </c>
      <c r="AG471" s="21">
        <v>0</v>
      </c>
      <c r="AH471" s="21">
        <v>0</v>
      </c>
      <c r="AI471" s="21">
        <v>0</v>
      </c>
      <c r="AJ471" s="21">
        <v>0</v>
      </c>
      <c r="AK471" s="21">
        <v>0</v>
      </c>
      <c r="AL471" s="21">
        <v>0</v>
      </c>
      <c r="AM471" s="21">
        <v>0</v>
      </c>
      <c r="AN471" s="21">
        <v>0</v>
      </c>
      <c r="AO471" s="21">
        <v>0</v>
      </c>
      <c r="AP471" s="21">
        <v>0</v>
      </c>
      <c r="AQ471" s="21">
        <v>0</v>
      </c>
      <c r="AR471" s="21">
        <v>0</v>
      </c>
      <c r="AS471" s="21">
        <v>0</v>
      </c>
      <c r="AT471" s="21">
        <v>0</v>
      </c>
      <c r="AU471" s="21">
        <v>0</v>
      </c>
      <c r="AV471" s="21">
        <v>0</v>
      </c>
      <c r="AW471" s="21">
        <v>0</v>
      </c>
      <c r="AX471" s="21">
        <v>0</v>
      </c>
      <c r="AY471" s="21">
        <v>0</v>
      </c>
      <c r="AZ471" s="21">
        <v>0</v>
      </c>
      <c r="BA471" s="21">
        <v>0</v>
      </c>
      <c r="BB471" s="21">
        <v>0</v>
      </c>
      <c r="BC471" s="21">
        <v>0</v>
      </c>
      <c r="BD471" s="21">
        <v>0</v>
      </c>
      <c r="BE471" s="21">
        <v>0</v>
      </c>
      <c r="BF471" s="21">
        <v>0</v>
      </c>
      <c r="BG471" s="21">
        <v>0</v>
      </c>
      <c r="BH471" s="21">
        <v>0</v>
      </c>
      <c r="BI471" s="21">
        <v>0</v>
      </c>
      <c r="BJ471" s="21">
        <v>0</v>
      </c>
      <c r="BK471" s="21">
        <v>0</v>
      </c>
      <c r="BL471" s="21">
        <v>0</v>
      </c>
      <c r="BM471" s="21">
        <v>0</v>
      </c>
      <c r="BN471" s="21">
        <v>0</v>
      </c>
      <c r="BO471" s="21">
        <v>0</v>
      </c>
      <c r="BP471" s="21">
        <v>0</v>
      </c>
      <c r="BQ471" s="21">
        <v>0</v>
      </c>
      <c r="BR471" s="21">
        <v>0</v>
      </c>
      <c r="BS471" s="21">
        <v>0</v>
      </c>
      <c r="BT471" s="21">
        <v>0</v>
      </c>
      <c r="BU471" s="21">
        <v>0</v>
      </c>
      <c r="BV471" s="21">
        <v>0</v>
      </c>
      <c r="BW471" s="21">
        <v>0</v>
      </c>
      <c r="BX471" s="21">
        <v>0</v>
      </c>
      <c r="BY471" s="21">
        <v>0</v>
      </c>
      <c r="BZ471" s="21">
        <v>0</v>
      </c>
      <c r="CA471" s="21">
        <v>0</v>
      </c>
      <c r="CB471" s="21">
        <v>0</v>
      </c>
      <c r="CC471" s="21">
        <v>0</v>
      </c>
      <c r="CD471" s="21">
        <v>0</v>
      </c>
      <c r="CE471" s="21">
        <v>0</v>
      </c>
      <c r="CF471" s="21">
        <v>0</v>
      </c>
      <c r="CG471" s="21">
        <v>0</v>
      </c>
      <c r="CH471" s="21">
        <v>0</v>
      </c>
      <c r="CI471" s="21">
        <v>0</v>
      </c>
      <c r="CJ471" s="21">
        <v>0</v>
      </c>
      <c r="CK471" s="21">
        <v>0</v>
      </c>
      <c r="CL471" s="21">
        <v>0</v>
      </c>
      <c r="CM471" s="21">
        <v>0</v>
      </c>
      <c r="CN471" s="21">
        <v>0</v>
      </c>
      <c r="CO471" s="21">
        <v>0</v>
      </c>
      <c r="CP471" s="21">
        <v>0</v>
      </c>
      <c r="CQ471" s="21">
        <v>0</v>
      </c>
      <c r="CR471" s="21">
        <v>0</v>
      </c>
      <c r="CS471" s="21">
        <v>0</v>
      </c>
      <c r="CT471" s="21">
        <v>0</v>
      </c>
      <c r="CU471" s="21">
        <v>0</v>
      </c>
      <c r="CV471" s="21">
        <v>0</v>
      </c>
      <c r="CW471" s="21">
        <v>0</v>
      </c>
      <c r="CX471" s="21">
        <v>0</v>
      </c>
      <c r="CY471" s="21">
        <v>0</v>
      </c>
      <c r="CZ471" s="21">
        <v>0</v>
      </c>
      <c r="DA471" s="21">
        <v>0</v>
      </c>
      <c r="DB471" s="21">
        <v>0</v>
      </c>
      <c r="DC471" s="21">
        <v>0</v>
      </c>
      <c r="DD471" s="21">
        <v>0</v>
      </c>
      <c r="DE471" s="21">
        <v>0</v>
      </c>
      <c r="DF471" s="21">
        <v>0</v>
      </c>
      <c r="DG471" s="21">
        <v>0</v>
      </c>
      <c r="DH471" s="21">
        <v>0</v>
      </c>
      <c r="DI471" s="21">
        <v>0</v>
      </c>
      <c r="DJ471" s="21">
        <v>0</v>
      </c>
      <c r="DK471" s="21">
        <v>0</v>
      </c>
      <c r="DL471" s="21">
        <v>0</v>
      </c>
      <c r="DM471" s="21">
        <v>0</v>
      </c>
      <c r="DN471" s="21">
        <v>0</v>
      </c>
      <c r="DO471" s="21">
        <v>0</v>
      </c>
      <c r="DP471" s="21">
        <v>0</v>
      </c>
      <c r="DQ471" s="21">
        <v>0</v>
      </c>
      <c r="DR471" s="21">
        <v>0</v>
      </c>
      <c r="DS471" s="21">
        <v>0</v>
      </c>
      <c r="DT471" s="21">
        <v>0</v>
      </c>
      <c r="DU471" s="21">
        <v>0</v>
      </c>
      <c r="DV471" s="21">
        <v>0</v>
      </c>
      <c r="DW471" s="21">
        <v>0</v>
      </c>
      <c r="DX471" s="21">
        <v>0</v>
      </c>
      <c r="DY471" s="21">
        <v>0</v>
      </c>
      <c r="DZ471" s="21">
        <v>0</v>
      </c>
      <c r="EA471" s="21">
        <v>0</v>
      </c>
      <c r="EB471" s="21">
        <v>0</v>
      </c>
      <c r="EC471" s="21">
        <v>0</v>
      </c>
      <c r="ED471" s="21">
        <v>0</v>
      </c>
      <c r="EE471" s="21">
        <v>0</v>
      </c>
      <c r="EF471" s="21">
        <v>0</v>
      </c>
    </row>
    <row r="472" spans="1:136" ht="14.5" x14ac:dyDescent="0.35">
      <c r="A472" s="20" t="s">
        <v>12</v>
      </c>
      <c r="B472" s="20" t="s">
        <v>370</v>
      </c>
      <c r="C472" s="20" t="s">
        <v>116</v>
      </c>
      <c r="D472" s="20" t="s">
        <v>339</v>
      </c>
      <c r="E472" s="20" t="s">
        <v>14</v>
      </c>
      <c r="F472" s="20" t="s">
        <v>87</v>
      </c>
      <c r="G472" s="21">
        <v>5</v>
      </c>
      <c r="H472" s="21">
        <v>5</v>
      </c>
      <c r="I472" s="21">
        <v>0</v>
      </c>
      <c r="J472" s="21">
        <v>5</v>
      </c>
      <c r="K472" s="21">
        <v>0</v>
      </c>
      <c r="L472" s="21">
        <v>0</v>
      </c>
      <c r="M472" s="21">
        <v>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>
        <v>0</v>
      </c>
      <c r="T472" s="21">
        <v>0</v>
      </c>
      <c r="U472" s="21">
        <v>0</v>
      </c>
      <c r="V472" s="21">
        <v>0</v>
      </c>
      <c r="W472" s="21">
        <v>0</v>
      </c>
      <c r="X472" s="21">
        <v>0</v>
      </c>
      <c r="Y472" s="21">
        <v>0</v>
      </c>
      <c r="Z472" s="21">
        <v>0</v>
      </c>
      <c r="AA472" s="21">
        <v>0</v>
      </c>
      <c r="AB472" s="21">
        <v>0</v>
      </c>
      <c r="AC472" s="21">
        <v>0</v>
      </c>
      <c r="AD472" s="21">
        <v>0</v>
      </c>
      <c r="AE472" s="21">
        <v>0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0</v>
      </c>
      <c r="AN472" s="21">
        <v>0</v>
      </c>
      <c r="AO472" s="21">
        <v>0</v>
      </c>
      <c r="AP472" s="21">
        <v>0</v>
      </c>
      <c r="AQ472" s="21">
        <v>0</v>
      </c>
      <c r="AR472" s="21">
        <v>0</v>
      </c>
      <c r="AS472" s="21">
        <v>0</v>
      </c>
      <c r="AT472" s="21">
        <v>0</v>
      </c>
      <c r="AU472" s="21">
        <v>0</v>
      </c>
      <c r="AV472" s="21">
        <v>0</v>
      </c>
      <c r="AW472" s="21">
        <v>0</v>
      </c>
      <c r="AX472" s="21">
        <v>0</v>
      </c>
      <c r="AY472" s="21">
        <v>0</v>
      </c>
      <c r="AZ472" s="21">
        <v>0</v>
      </c>
      <c r="BA472" s="21">
        <v>0</v>
      </c>
      <c r="BB472" s="21">
        <v>0</v>
      </c>
      <c r="BC472" s="21">
        <v>0</v>
      </c>
      <c r="BD472" s="21">
        <v>0</v>
      </c>
      <c r="BE472" s="21">
        <v>0</v>
      </c>
      <c r="BF472" s="21">
        <v>0</v>
      </c>
      <c r="BG472" s="21">
        <v>0</v>
      </c>
      <c r="BH472" s="21">
        <v>0</v>
      </c>
      <c r="BI472" s="21">
        <v>0</v>
      </c>
      <c r="BJ472" s="21">
        <v>0</v>
      </c>
      <c r="BK472" s="21">
        <v>0</v>
      </c>
      <c r="BL472" s="21">
        <v>0</v>
      </c>
      <c r="BM472" s="21">
        <v>0</v>
      </c>
      <c r="BN472" s="21">
        <v>0</v>
      </c>
      <c r="BO472" s="21">
        <v>0</v>
      </c>
      <c r="BP472" s="21">
        <v>0</v>
      </c>
      <c r="BQ472" s="21">
        <v>0</v>
      </c>
      <c r="BR472" s="21">
        <v>0</v>
      </c>
      <c r="BS472" s="21">
        <v>0</v>
      </c>
      <c r="BT472" s="21">
        <v>0</v>
      </c>
      <c r="BU472" s="21">
        <v>0</v>
      </c>
      <c r="BV472" s="21">
        <v>0</v>
      </c>
      <c r="BW472" s="21">
        <v>0</v>
      </c>
      <c r="BX472" s="21">
        <v>0</v>
      </c>
      <c r="BY472" s="21">
        <v>0</v>
      </c>
      <c r="BZ472" s="21">
        <v>0</v>
      </c>
      <c r="CA472" s="21">
        <v>0</v>
      </c>
      <c r="CB472" s="21">
        <v>0</v>
      </c>
      <c r="CC472" s="21">
        <v>0</v>
      </c>
      <c r="CD472" s="21">
        <v>0</v>
      </c>
      <c r="CE472" s="21">
        <v>0</v>
      </c>
      <c r="CF472" s="21">
        <v>0</v>
      </c>
      <c r="CG472" s="21">
        <v>0</v>
      </c>
      <c r="CH472" s="21">
        <v>0</v>
      </c>
      <c r="CI472" s="21">
        <v>0</v>
      </c>
      <c r="CJ472" s="21">
        <v>0</v>
      </c>
      <c r="CK472" s="21">
        <v>0</v>
      </c>
      <c r="CL472" s="21">
        <v>0</v>
      </c>
      <c r="CM472" s="21">
        <v>0</v>
      </c>
      <c r="CN472" s="21">
        <v>0</v>
      </c>
      <c r="CO472" s="21">
        <v>0</v>
      </c>
      <c r="CP472" s="21">
        <v>0</v>
      </c>
      <c r="CQ472" s="21">
        <v>0</v>
      </c>
      <c r="CR472" s="21">
        <v>0</v>
      </c>
      <c r="CS472" s="21">
        <v>0</v>
      </c>
      <c r="CT472" s="21">
        <v>0</v>
      </c>
      <c r="CU472" s="21">
        <v>0</v>
      </c>
      <c r="CV472" s="21">
        <v>0</v>
      </c>
      <c r="CW472" s="21">
        <v>0</v>
      </c>
      <c r="CX472" s="21">
        <v>0</v>
      </c>
      <c r="CY472" s="21">
        <v>0</v>
      </c>
      <c r="CZ472" s="21">
        <v>0</v>
      </c>
      <c r="DA472" s="21">
        <v>0</v>
      </c>
      <c r="DB472" s="21">
        <v>0</v>
      </c>
      <c r="DC472" s="21">
        <v>0</v>
      </c>
      <c r="DD472" s="21">
        <v>0</v>
      </c>
      <c r="DE472" s="21">
        <v>0</v>
      </c>
      <c r="DF472" s="21">
        <v>0</v>
      </c>
      <c r="DG472" s="21">
        <v>0</v>
      </c>
      <c r="DH472" s="21">
        <v>0</v>
      </c>
      <c r="DI472" s="21">
        <v>0</v>
      </c>
      <c r="DJ472" s="21">
        <v>0</v>
      </c>
      <c r="DK472" s="21">
        <v>0</v>
      </c>
      <c r="DL472" s="21">
        <v>0</v>
      </c>
      <c r="DM472" s="21">
        <v>0</v>
      </c>
      <c r="DN472" s="21">
        <v>0</v>
      </c>
      <c r="DO472" s="21">
        <v>0</v>
      </c>
      <c r="DP472" s="21">
        <v>0</v>
      </c>
      <c r="DQ472" s="21">
        <v>0</v>
      </c>
      <c r="DR472" s="21">
        <v>0</v>
      </c>
      <c r="DS472" s="21">
        <v>0</v>
      </c>
      <c r="DT472" s="21">
        <v>0</v>
      </c>
      <c r="DU472" s="21">
        <v>0</v>
      </c>
      <c r="DV472" s="21">
        <v>0</v>
      </c>
      <c r="DW472" s="21">
        <v>0</v>
      </c>
      <c r="DX472" s="21">
        <v>0</v>
      </c>
      <c r="DY472" s="21">
        <v>0</v>
      </c>
      <c r="DZ472" s="21">
        <v>0</v>
      </c>
      <c r="EA472" s="21">
        <v>0</v>
      </c>
      <c r="EB472" s="21">
        <v>0</v>
      </c>
      <c r="EC472" s="21">
        <v>0</v>
      </c>
      <c r="ED472" s="21">
        <v>0</v>
      </c>
      <c r="EE472" s="21">
        <v>0</v>
      </c>
      <c r="EF472" s="21">
        <v>0</v>
      </c>
    </row>
    <row r="473" spans="1:136" ht="14.5" x14ac:dyDescent="0.35">
      <c r="A473" s="20" t="s">
        <v>12</v>
      </c>
      <c r="B473" s="20" t="s">
        <v>371</v>
      </c>
      <c r="C473" s="20" t="s">
        <v>116</v>
      </c>
      <c r="D473" s="20" t="s">
        <v>334</v>
      </c>
      <c r="E473" s="20" t="s">
        <v>10</v>
      </c>
      <c r="F473" s="20" t="s">
        <v>90</v>
      </c>
      <c r="G473" s="21">
        <v>18</v>
      </c>
      <c r="H473" s="21">
        <v>18</v>
      </c>
      <c r="I473" s="21">
        <v>0</v>
      </c>
      <c r="J473" s="21">
        <v>18</v>
      </c>
      <c r="K473" s="21">
        <v>0</v>
      </c>
      <c r="L473" s="21">
        <v>0</v>
      </c>
      <c r="M473" s="21">
        <v>0</v>
      </c>
      <c r="N473" s="21">
        <v>0</v>
      </c>
      <c r="O473" s="21">
        <v>0</v>
      </c>
      <c r="P473" s="21">
        <v>0</v>
      </c>
      <c r="Q473" s="21">
        <v>0</v>
      </c>
      <c r="R473" s="21">
        <v>0</v>
      </c>
      <c r="S473" s="21">
        <v>0</v>
      </c>
      <c r="T473" s="21">
        <v>0</v>
      </c>
      <c r="U473" s="21">
        <v>0</v>
      </c>
      <c r="V473" s="21">
        <v>0</v>
      </c>
      <c r="W473" s="21">
        <v>0</v>
      </c>
      <c r="X473" s="21">
        <v>0</v>
      </c>
      <c r="Y473" s="21">
        <v>0</v>
      </c>
      <c r="Z473" s="21">
        <v>0</v>
      </c>
      <c r="AA473" s="21">
        <v>0</v>
      </c>
      <c r="AB473" s="21">
        <v>0</v>
      </c>
      <c r="AC473" s="21">
        <v>0</v>
      </c>
      <c r="AD473" s="21">
        <v>0</v>
      </c>
      <c r="AE473" s="21">
        <v>0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0</v>
      </c>
      <c r="AL473" s="21">
        <v>0</v>
      </c>
      <c r="AM473" s="21">
        <v>0</v>
      </c>
      <c r="AN473" s="21">
        <v>0</v>
      </c>
      <c r="AO473" s="21">
        <v>0</v>
      </c>
      <c r="AP473" s="21">
        <v>0</v>
      </c>
      <c r="AQ473" s="21">
        <v>0</v>
      </c>
      <c r="AR473" s="21">
        <v>0</v>
      </c>
      <c r="AS473" s="21">
        <v>0</v>
      </c>
      <c r="AT473" s="21">
        <v>0</v>
      </c>
      <c r="AU473" s="21">
        <v>0</v>
      </c>
      <c r="AV473" s="21">
        <v>0</v>
      </c>
      <c r="AW473" s="21">
        <v>0</v>
      </c>
      <c r="AX473" s="21">
        <v>0</v>
      </c>
      <c r="AY473" s="21">
        <v>0</v>
      </c>
      <c r="AZ473" s="21">
        <v>0</v>
      </c>
      <c r="BA473" s="21">
        <v>0</v>
      </c>
      <c r="BB473" s="21">
        <v>0</v>
      </c>
      <c r="BC473" s="21">
        <v>0</v>
      </c>
      <c r="BD473" s="21">
        <v>0</v>
      </c>
      <c r="BE473" s="21">
        <v>0</v>
      </c>
      <c r="BF473" s="21">
        <v>0</v>
      </c>
      <c r="BG473" s="21">
        <v>0</v>
      </c>
      <c r="BH473" s="21">
        <v>0</v>
      </c>
      <c r="BI473" s="21">
        <v>0</v>
      </c>
      <c r="BJ473" s="21">
        <v>0</v>
      </c>
      <c r="BK473" s="21">
        <v>0</v>
      </c>
      <c r="BL473" s="21">
        <v>0</v>
      </c>
      <c r="BM473" s="21">
        <v>0</v>
      </c>
      <c r="BN473" s="21">
        <v>0</v>
      </c>
      <c r="BO473" s="21">
        <v>0</v>
      </c>
      <c r="BP473" s="21">
        <v>0</v>
      </c>
      <c r="BQ473" s="21">
        <v>0</v>
      </c>
      <c r="BR473" s="21">
        <v>0</v>
      </c>
      <c r="BS473" s="21">
        <v>0</v>
      </c>
      <c r="BT473" s="21">
        <v>0</v>
      </c>
      <c r="BU473" s="21">
        <v>0</v>
      </c>
      <c r="BV473" s="21">
        <v>0</v>
      </c>
      <c r="BW473" s="21">
        <v>0</v>
      </c>
      <c r="BX473" s="21">
        <v>0</v>
      </c>
      <c r="BY473" s="21">
        <v>0</v>
      </c>
      <c r="BZ473" s="21">
        <v>0</v>
      </c>
      <c r="CA473" s="21">
        <v>0</v>
      </c>
      <c r="CB473" s="21">
        <v>0</v>
      </c>
      <c r="CC473" s="21">
        <v>0</v>
      </c>
      <c r="CD473" s="21">
        <v>0</v>
      </c>
      <c r="CE473" s="21">
        <v>0</v>
      </c>
      <c r="CF473" s="21">
        <v>0</v>
      </c>
      <c r="CG473" s="21">
        <v>0</v>
      </c>
      <c r="CH473" s="21">
        <v>0</v>
      </c>
      <c r="CI473" s="21">
        <v>0</v>
      </c>
      <c r="CJ473" s="21">
        <v>0</v>
      </c>
      <c r="CK473" s="21">
        <v>0</v>
      </c>
      <c r="CL473" s="21">
        <v>0</v>
      </c>
      <c r="CM473" s="21">
        <v>0</v>
      </c>
      <c r="CN473" s="21">
        <v>0</v>
      </c>
      <c r="CO473" s="21">
        <v>0</v>
      </c>
      <c r="CP473" s="21">
        <v>0</v>
      </c>
      <c r="CQ473" s="21">
        <v>0</v>
      </c>
      <c r="CR473" s="21">
        <v>0</v>
      </c>
      <c r="CS473" s="21">
        <v>0</v>
      </c>
      <c r="CT473" s="21">
        <v>0</v>
      </c>
      <c r="CU473" s="21">
        <v>0</v>
      </c>
      <c r="CV473" s="21">
        <v>0</v>
      </c>
      <c r="CW473" s="21">
        <v>0</v>
      </c>
      <c r="CX473" s="21">
        <v>0</v>
      </c>
      <c r="CY473" s="21">
        <v>0</v>
      </c>
      <c r="CZ473" s="21">
        <v>0</v>
      </c>
      <c r="DA473" s="21">
        <v>0</v>
      </c>
      <c r="DB473" s="21">
        <v>0</v>
      </c>
      <c r="DC473" s="21">
        <v>0</v>
      </c>
      <c r="DD473" s="21">
        <v>0</v>
      </c>
      <c r="DE473" s="21">
        <v>0</v>
      </c>
      <c r="DF473" s="21">
        <v>0</v>
      </c>
      <c r="DG473" s="21">
        <v>0</v>
      </c>
      <c r="DH473" s="21">
        <v>0</v>
      </c>
      <c r="DI473" s="21">
        <v>0</v>
      </c>
      <c r="DJ473" s="21">
        <v>0</v>
      </c>
      <c r="DK473" s="21">
        <v>0</v>
      </c>
      <c r="DL473" s="21">
        <v>0</v>
      </c>
      <c r="DM473" s="21">
        <v>0</v>
      </c>
      <c r="DN473" s="21">
        <v>0</v>
      </c>
      <c r="DO473" s="21">
        <v>0</v>
      </c>
      <c r="DP473" s="21">
        <v>0</v>
      </c>
      <c r="DQ473" s="21">
        <v>0</v>
      </c>
      <c r="DR473" s="21">
        <v>0</v>
      </c>
      <c r="DS473" s="21">
        <v>0</v>
      </c>
      <c r="DT473" s="21">
        <v>0</v>
      </c>
      <c r="DU473" s="21">
        <v>0</v>
      </c>
      <c r="DV473" s="21">
        <v>0</v>
      </c>
      <c r="DW473" s="21">
        <v>0</v>
      </c>
      <c r="DX473" s="21">
        <v>0</v>
      </c>
      <c r="DY473" s="21">
        <v>0</v>
      </c>
      <c r="DZ473" s="21">
        <v>0</v>
      </c>
      <c r="EA473" s="21">
        <v>0</v>
      </c>
      <c r="EB473" s="21">
        <v>0</v>
      </c>
      <c r="EC473" s="21">
        <v>0</v>
      </c>
      <c r="ED473" s="21">
        <v>0</v>
      </c>
      <c r="EE473" s="21">
        <v>0</v>
      </c>
      <c r="EF473" s="21">
        <v>0</v>
      </c>
    </row>
    <row r="474" spans="1:136" ht="14.5" x14ac:dyDescent="0.35">
      <c r="A474" s="20" t="s">
        <v>12</v>
      </c>
      <c r="B474" s="20" t="s">
        <v>370</v>
      </c>
      <c r="C474" s="20" t="s">
        <v>116</v>
      </c>
      <c r="D474" s="20" t="s">
        <v>339</v>
      </c>
      <c r="E474" s="20" t="s">
        <v>14</v>
      </c>
      <c r="F474" s="20" t="s">
        <v>102</v>
      </c>
      <c r="G474" s="21">
        <v>2</v>
      </c>
      <c r="H474" s="21">
        <v>2</v>
      </c>
      <c r="I474" s="21">
        <v>0</v>
      </c>
      <c r="J474" s="21">
        <v>2</v>
      </c>
      <c r="K474" s="21">
        <v>0</v>
      </c>
      <c r="L474" s="21">
        <v>0</v>
      </c>
      <c r="M474" s="21">
        <v>0</v>
      </c>
      <c r="N474" s="21">
        <v>0</v>
      </c>
      <c r="O474" s="21">
        <v>0</v>
      </c>
      <c r="P474" s="21">
        <v>0</v>
      </c>
      <c r="Q474" s="21">
        <v>0</v>
      </c>
      <c r="R474" s="21">
        <v>0</v>
      </c>
      <c r="S474" s="21">
        <v>0</v>
      </c>
      <c r="T474" s="21">
        <v>0</v>
      </c>
      <c r="U474" s="21">
        <v>0</v>
      </c>
      <c r="V474" s="21">
        <v>0</v>
      </c>
      <c r="W474" s="21">
        <v>0</v>
      </c>
      <c r="X474" s="21">
        <v>0</v>
      </c>
      <c r="Y474" s="21">
        <v>0</v>
      </c>
      <c r="Z474" s="21">
        <v>0</v>
      </c>
      <c r="AA474" s="21">
        <v>0</v>
      </c>
      <c r="AB474" s="21">
        <v>0</v>
      </c>
      <c r="AC474" s="21">
        <v>0</v>
      </c>
      <c r="AD474" s="21">
        <v>0</v>
      </c>
      <c r="AE474" s="21">
        <v>0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21">
        <v>0</v>
      </c>
      <c r="AO474" s="21">
        <v>0</v>
      </c>
      <c r="AP474" s="21">
        <v>0</v>
      </c>
      <c r="AQ474" s="21">
        <v>0</v>
      </c>
      <c r="AR474" s="21">
        <v>0</v>
      </c>
      <c r="AS474" s="21">
        <v>0</v>
      </c>
      <c r="AT474" s="21">
        <v>0</v>
      </c>
      <c r="AU474" s="21">
        <v>0</v>
      </c>
      <c r="AV474" s="21">
        <v>0</v>
      </c>
      <c r="AW474" s="21">
        <v>0</v>
      </c>
      <c r="AX474" s="21">
        <v>0</v>
      </c>
      <c r="AY474" s="21">
        <v>0</v>
      </c>
      <c r="AZ474" s="21">
        <v>0</v>
      </c>
      <c r="BA474" s="21">
        <v>0</v>
      </c>
      <c r="BB474" s="21">
        <v>0</v>
      </c>
      <c r="BC474" s="21">
        <v>0</v>
      </c>
      <c r="BD474" s="21">
        <v>0</v>
      </c>
      <c r="BE474" s="21">
        <v>0</v>
      </c>
      <c r="BF474" s="21">
        <v>0</v>
      </c>
      <c r="BG474" s="21">
        <v>0</v>
      </c>
      <c r="BH474" s="21">
        <v>0</v>
      </c>
      <c r="BI474" s="21">
        <v>0</v>
      </c>
      <c r="BJ474" s="21">
        <v>0</v>
      </c>
      <c r="BK474" s="21">
        <v>0</v>
      </c>
      <c r="BL474" s="21">
        <v>0</v>
      </c>
      <c r="BM474" s="21">
        <v>0</v>
      </c>
      <c r="BN474" s="21">
        <v>0</v>
      </c>
      <c r="BO474" s="21">
        <v>0</v>
      </c>
      <c r="BP474" s="21">
        <v>0</v>
      </c>
      <c r="BQ474" s="21">
        <v>0</v>
      </c>
      <c r="BR474" s="21">
        <v>0</v>
      </c>
      <c r="BS474" s="21">
        <v>0</v>
      </c>
      <c r="BT474" s="21">
        <v>0</v>
      </c>
      <c r="BU474" s="21">
        <v>0</v>
      </c>
      <c r="BV474" s="21">
        <v>0</v>
      </c>
      <c r="BW474" s="21">
        <v>0</v>
      </c>
      <c r="BX474" s="21">
        <v>0</v>
      </c>
      <c r="BY474" s="21">
        <v>0</v>
      </c>
      <c r="BZ474" s="21">
        <v>0</v>
      </c>
      <c r="CA474" s="21">
        <v>0</v>
      </c>
      <c r="CB474" s="21">
        <v>0</v>
      </c>
      <c r="CC474" s="21">
        <v>0</v>
      </c>
      <c r="CD474" s="21">
        <v>0</v>
      </c>
      <c r="CE474" s="21">
        <v>0</v>
      </c>
      <c r="CF474" s="21">
        <v>0</v>
      </c>
      <c r="CG474" s="21">
        <v>0</v>
      </c>
      <c r="CH474" s="21">
        <v>0</v>
      </c>
      <c r="CI474" s="21">
        <v>0</v>
      </c>
      <c r="CJ474" s="21">
        <v>0</v>
      </c>
      <c r="CK474" s="21">
        <v>0</v>
      </c>
      <c r="CL474" s="21">
        <v>0</v>
      </c>
      <c r="CM474" s="21">
        <v>0</v>
      </c>
      <c r="CN474" s="21">
        <v>0</v>
      </c>
      <c r="CO474" s="21">
        <v>0</v>
      </c>
      <c r="CP474" s="21">
        <v>0</v>
      </c>
      <c r="CQ474" s="21">
        <v>0</v>
      </c>
      <c r="CR474" s="21">
        <v>0</v>
      </c>
      <c r="CS474" s="21">
        <v>0</v>
      </c>
      <c r="CT474" s="21">
        <v>0</v>
      </c>
      <c r="CU474" s="21">
        <v>0</v>
      </c>
      <c r="CV474" s="21">
        <v>0</v>
      </c>
      <c r="CW474" s="21">
        <v>0</v>
      </c>
      <c r="CX474" s="21">
        <v>0</v>
      </c>
      <c r="CY474" s="21">
        <v>0</v>
      </c>
      <c r="CZ474" s="21">
        <v>0</v>
      </c>
      <c r="DA474" s="21">
        <v>0</v>
      </c>
      <c r="DB474" s="21">
        <v>0</v>
      </c>
      <c r="DC474" s="21">
        <v>0</v>
      </c>
      <c r="DD474" s="21">
        <v>0</v>
      </c>
      <c r="DE474" s="21">
        <v>0</v>
      </c>
      <c r="DF474" s="21">
        <v>0</v>
      </c>
      <c r="DG474" s="21">
        <v>0</v>
      </c>
      <c r="DH474" s="21">
        <v>0</v>
      </c>
      <c r="DI474" s="21">
        <v>0</v>
      </c>
      <c r="DJ474" s="21">
        <v>0</v>
      </c>
      <c r="DK474" s="21">
        <v>0</v>
      </c>
      <c r="DL474" s="21">
        <v>0</v>
      </c>
      <c r="DM474" s="21">
        <v>0</v>
      </c>
      <c r="DN474" s="21">
        <v>0</v>
      </c>
      <c r="DO474" s="21">
        <v>0</v>
      </c>
      <c r="DP474" s="21">
        <v>0</v>
      </c>
      <c r="DQ474" s="21">
        <v>0</v>
      </c>
      <c r="DR474" s="21">
        <v>0</v>
      </c>
      <c r="DS474" s="21">
        <v>0</v>
      </c>
      <c r="DT474" s="21">
        <v>0</v>
      </c>
      <c r="DU474" s="21">
        <v>0</v>
      </c>
      <c r="DV474" s="21">
        <v>0</v>
      </c>
      <c r="DW474" s="21">
        <v>0</v>
      </c>
      <c r="DX474" s="21">
        <v>0</v>
      </c>
      <c r="DY474" s="21">
        <v>0</v>
      </c>
      <c r="DZ474" s="21">
        <v>0</v>
      </c>
      <c r="EA474" s="21">
        <v>0</v>
      </c>
      <c r="EB474" s="21">
        <v>0</v>
      </c>
      <c r="EC474" s="21">
        <v>0</v>
      </c>
      <c r="ED474" s="21">
        <v>0</v>
      </c>
      <c r="EE474" s="21">
        <v>0</v>
      </c>
      <c r="EF474" s="21">
        <v>0</v>
      </c>
    </row>
    <row r="475" spans="1:136" ht="14.5" x14ac:dyDescent="0.35">
      <c r="A475" s="20" t="s">
        <v>12</v>
      </c>
      <c r="B475" s="20" t="s">
        <v>372</v>
      </c>
      <c r="C475" s="20" t="s">
        <v>117</v>
      </c>
      <c r="D475" s="20" t="s">
        <v>336</v>
      </c>
      <c r="E475" s="20" t="s">
        <v>16</v>
      </c>
      <c r="F475" s="20" t="s">
        <v>77</v>
      </c>
      <c r="G475" s="21">
        <v>12.5</v>
      </c>
      <c r="H475" s="21">
        <v>12.5</v>
      </c>
      <c r="I475" s="21">
        <v>0</v>
      </c>
      <c r="J475" s="21">
        <v>12.5</v>
      </c>
      <c r="K475" s="21">
        <v>0</v>
      </c>
      <c r="L475" s="21">
        <v>0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>
        <v>0</v>
      </c>
      <c r="T475" s="21">
        <v>0</v>
      </c>
      <c r="U475" s="21">
        <v>0</v>
      </c>
      <c r="V475" s="21">
        <v>0</v>
      </c>
      <c r="W475" s="21">
        <v>0</v>
      </c>
      <c r="X475" s="21">
        <v>0</v>
      </c>
      <c r="Y475" s="21">
        <v>0</v>
      </c>
      <c r="Z475" s="21">
        <v>0</v>
      </c>
      <c r="AA475" s="21">
        <v>0</v>
      </c>
      <c r="AB475" s="21">
        <v>0</v>
      </c>
      <c r="AC475" s="21">
        <v>0</v>
      </c>
      <c r="AD475" s="21">
        <v>0</v>
      </c>
      <c r="AE475" s="21">
        <v>0</v>
      </c>
      <c r="AF475" s="21">
        <v>0</v>
      </c>
      <c r="AG475" s="21">
        <v>0</v>
      </c>
      <c r="AH475" s="21">
        <v>0</v>
      </c>
      <c r="AI475" s="21">
        <v>0</v>
      </c>
      <c r="AJ475" s="21">
        <v>0</v>
      </c>
      <c r="AK475" s="21">
        <v>0</v>
      </c>
      <c r="AL475" s="21">
        <v>0</v>
      </c>
      <c r="AM475" s="21">
        <v>0</v>
      </c>
      <c r="AN475" s="21">
        <v>0</v>
      </c>
      <c r="AO475" s="21">
        <v>0</v>
      </c>
      <c r="AP475" s="21">
        <v>0</v>
      </c>
      <c r="AQ475" s="21">
        <v>0</v>
      </c>
      <c r="AR475" s="21">
        <v>0</v>
      </c>
      <c r="AS475" s="21">
        <v>0</v>
      </c>
      <c r="AT475" s="21">
        <v>0</v>
      </c>
      <c r="AU475" s="21">
        <v>0</v>
      </c>
      <c r="AV475" s="21">
        <v>0</v>
      </c>
      <c r="AW475" s="21">
        <v>0</v>
      </c>
      <c r="AX475" s="21">
        <v>0</v>
      </c>
      <c r="AY475" s="21">
        <v>0</v>
      </c>
      <c r="AZ475" s="21">
        <v>0</v>
      </c>
      <c r="BA475" s="21">
        <v>0</v>
      </c>
      <c r="BB475" s="21">
        <v>0</v>
      </c>
      <c r="BC475" s="21">
        <v>0</v>
      </c>
      <c r="BD475" s="21">
        <v>0</v>
      </c>
      <c r="BE475" s="21">
        <v>0</v>
      </c>
      <c r="BF475" s="21">
        <v>0</v>
      </c>
      <c r="BG475" s="21">
        <v>0</v>
      </c>
      <c r="BH475" s="21">
        <v>0</v>
      </c>
      <c r="BI475" s="21">
        <v>0</v>
      </c>
      <c r="BJ475" s="21">
        <v>0</v>
      </c>
      <c r="BK475" s="21">
        <v>0</v>
      </c>
      <c r="BL475" s="21">
        <v>0</v>
      </c>
      <c r="BM475" s="21">
        <v>0</v>
      </c>
      <c r="BN475" s="21">
        <v>0</v>
      </c>
      <c r="BO475" s="21">
        <v>0</v>
      </c>
      <c r="BP475" s="21">
        <v>0</v>
      </c>
      <c r="BQ475" s="21">
        <v>0</v>
      </c>
      <c r="BR475" s="21">
        <v>0</v>
      </c>
      <c r="BS475" s="21">
        <v>0</v>
      </c>
      <c r="BT475" s="21">
        <v>0</v>
      </c>
      <c r="BU475" s="21">
        <v>0</v>
      </c>
      <c r="BV475" s="21">
        <v>0</v>
      </c>
      <c r="BW475" s="21">
        <v>0</v>
      </c>
      <c r="BX475" s="21">
        <v>0</v>
      </c>
      <c r="BY475" s="21">
        <v>0</v>
      </c>
      <c r="BZ475" s="21">
        <v>0</v>
      </c>
      <c r="CA475" s="21">
        <v>0</v>
      </c>
      <c r="CB475" s="21">
        <v>0</v>
      </c>
      <c r="CC475" s="21">
        <v>0</v>
      </c>
      <c r="CD475" s="21">
        <v>0</v>
      </c>
      <c r="CE475" s="21">
        <v>0</v>
      </c>
      <c r="CF475" s="21">
        <v>0</v>
      </c>
      <c r="CG475" s="21">
        <v>0</v>
      </c>
      <c r="CH475" s="21">
        <v>0</v>
      </c>
      <c r="CI475" s="21">
        <v>0</v>
      </c>
      <c r="CJ475" s="21">
        <v>0</v>
      </c>
      <c r="CK475" s="21">
        <v>0</v>
      </c>
      <c r="CL475" s="21">
        <v>0</v>
      </c>
      <c r="CM475" s="21">
        <v>0</v>
      </c>
      <c r="CN475" s="21">
        <v>0</v>
      </c>
      <c r="CO475" s="21">
        <v>0</v>
      </c>
      <c r="CP475" s="21">
        <v>0</v>
      </c>
      <c r="CQ475" s="21">
        <v>0</v>
      </c>
      <c r="CR475" s="21">
        <v>0</v>
      </c>
      <c r="CS475" s="21">
        <v>0</v>
      </c>
      <c r="CT475" s="21">
        <v>0</v>
      </c>
      <c r="CU475" s="21">
        <v>0</v>
      </c>
      <c r="CV475" s="21">
        <v>0</v>
      </c>
      <c r="CW475" s="21">
        <v>0</v>
      </c>
      <c r="CX475" s="21">
        <v>0</v>
      </c>
      <c r="CY475" s="21">
        <v>0</v>
      </c>
      <c r="CZ475" s="21">
        <v>0</v>
      </c>
      <c r="DA475" s="21">
        <v>0</v>
      </c>
      <c r="DB475" s="21">
        <v>0</v>
      </c>
      <c r="DC475" s="21">
        <v>0</v>
      </c>
      <c r="DD475" s="21">
        <v>0</v>
      </c>
      <c r="DE475" s="21">
        <v>0</v>
      </c>
      <c r="DF475" s="21">
        <v>0</v>
      </c>
      <c r="DG475" s="21">
        <v>0</v>
      </c>
      <c r="DH475" s="21">
        <v>0</v>
      </c>
      <c r="DI475" s="21">
        <v>0</v>
      </c>
      <c r="DJ475" s="21">
        <v>0</v>
      </c>
      <c r="DK475" s="21">
        <v>0</v>
      </c>
      <c r="DL475" s="21">
        <v>0</v>
      </c>
      <c r="DM475" s="21">
        <v>0</v>
      </c>
      <c r="DN475" s="21">
        <v>0</v>
      </c>
      <c r="DO475" s="21">
        <v>0</v>
      </c>
      <c r="DP475" s="21">
        <v>0</v>
      </c>
      <c r="DQ475" s="21">
        <v>0</v>
      </c>
      <c r="DR475" s="21">
        <v>0</v>
      </c>
      <c r="DS475" s="21">
        <v>0</v>
      </c>
      <c r="DT475" s="21">
        <v>0</v>
      </c>
      <c r="DU475" s="21">
        <v>0</v>
      </c>
      <c r="DV475" s="21">
        <v>0</v>
      </c>
      <c r="DW475" s="21">
        <v>0</v>
      </c>
      <c r="DX475" s="21">
        <v>0</v>
      </c>
      <c r="DY475" s="21">
        <v>0</v>
      </c>
      <c r="DZ475" s="21">
        <v>0</v>
      </c>
      <c r="EA475" s="21">
        <v>0</v>
      </c>
      <c r="EB475" s="21">
        <v>0</v>
      </c>
      <c r="EC475" s="21">
        <v>0</v>
      </c>
      <c r="ED475" s="21">
        <v>0</v>
      </c>
      <c r="EE475" s="21">
        <v>0</v>
      </c>
      <c r="EF475" s="21">
        <v>0</v>
      </c>
    </row>
    <row r="476" spans="1:136" ht="14.5" x14ac:dyDescent="0.35">
      <c r="A476" s="20" t="s">
        <v>12</v>
      </c>
      <c r="B476" s="20" t="s">
        <v>373</v>
      </c>
      <c r="C476" s="20" t="s">
        <v>117</v>
      </c>
      <c r="D476" s="20" t="s">
        <v>339</v>
      </c>
      <c r="E476" s="20" t="s">
        <v>14</v>
      </c>
      <c r="F476" s="20" t="s">
        <v>87</v>
      </c>
      <c r="G476" s="21">
        <v>20</v>
      </c>
      <c r="H476" s="21">
        <v>20</v>
      </c>
      <c r="I476" s="21">
        <v>0</v>
      </c>
      <c r="J476" s="21">
        <v>20</v>
      </c>
      <c r="K476" s="21">
        <v>0</v>
      </c>
      <c r="L476" s="21">
        <v>0</v>
      </c>
      <c r="M476" s="21">
        <v>0</v>
      </c>
      <c r="N476" s="21">
        <v>0</v>
      </c>
      <c r="O476" s="21">
        <v>0</v>
      </c>
      <c r="P476" s="21">
        <v>0</v>
      </c>
      <c r="Q476" s="21">
        <v>0</v>
      </c>
      <c r="R476" s="21">
        <v>0</v>
      </c>
      <c r="S476" s="21">
        <v>0</v>
      </c>
      <c r="T476" s="21">
        <v>0</v>
      </c>
      <c r="U476" s="21">
        <v>0</v>
      </c>
      <c r="V476" s="21">
        <v>0</v>
      </c>
      <c r="W476" s="21">
        <v>0</v>
      </c>
      <c r="X476" s="21">
        <v>0</v>
      </c>
      <c r="Y476" s="21">
        <v>0</v>
      </c>
      <c r="Z476" s="21">
        <v>0</v>
      </c>
      <c r="AA476" s="21">
        <v>0</v>
      </c>
      <c r="AB476" s="21">
        <v>0</v>
      </c>
      <c r="AC476" s="21">
        <v>0</v>
      </c>
      <c r="AD476" s="21">
        <v>0</v>
      </c>
      <c r="AE476" s="21">
        <v>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0</v>
      </c>
      <c r="AN476" s="21">
        <v>0</v>
      </c>
      <c r="AO476" s="21">
        <v>0</v>
      </c>
      <c r="AP476" s="21">
        <v>0</v>
      </c>
      <c r="AQ476" s="21">
        <v>0</v>
      </c>
      <c r="AR476" s="21">
        <v>0</v>
      </c>
      <c r="AS476" s="21">
        <v>0</v>
      </c>
      <c r="AT476" s="21">
        <v>0</v>
      </c>
      <c r="AU476" s="21">
        <v>0</v>
      </c>
      <c r="AV476" s="21">
        <v>0</v>
      </c>
      <c r="AW476" s="21">
        <v>0</v>
      </c>
      <c r="AX476" s="21">
        <v>0</v>
      </c>
      <c r="AY476" s="21">
        <v>0</v>
      </c>
      <c r="AZ476" s="21">
        <v>0</v>
      </c>
      <c r="BA476" s="21">
        <v>0</v>
      </c>
      <c r="BB476" s="21">
        <v>0</v>
      </c>
      <c r="BC476" s="21">
        <v>0</v>
      </c>
      <c r="BD476" s="21">
        <v>0</v>
      </c>
      <c r="BE476" s="21">
        <v>0</v>
      </c>
      <c r="BF476" s="21">
        <v>0</v>
      </c>
      <c r="BG476" s="21">
        <v>0</v>
      </c>
      <c r="BH476" s="21">
        <v>0</v>
      </c>
      <c r="BI476" s="21">
        <v>0</v>
      </c>
      <c r="BJ476" s="21">
        <v>0</v>
      </c>
      <c r="BK476" s="21">
        <v>0</v>
      </c>
      <c r="BL476" s="21">
        <v>0</v>
      </c>
      <c r="BM476" s="21">
        <v>0</v>
      </c>
      <c r="BN476" s="21">
        <v>0</v>
      </c>
      <c r="BO476" s="21">
        <v>0</v>
      </c>
      <c r="BP476" s="21">
        <v>0</v>
      </c>
      <c r="BQ476" s="21">
        <v>0</v>
      </c>
      <c r="BR476" s="21">
        <v>0</v>
      </c>
      <c r="BS476" s="21">
        <v>0</v>
      </c>
      <c r="BT476" s="21">
        <v>0</v>
      </c>
      <c r="BU476" s="21">
        <v>0</v>
      </c>
      <c r="BV476" s="21">
        <v>0</v>
      </c>
      <c r="BW476" s="21">
        <v>0</v>
      </c>
      <c r="BX476" s="21">
        <v>0</v>
      </c>
      <c r="BY476" s="21">
        <v>0</v>
      </c>
      <c r="BZ476" s="21">
        <v>0</v>
      </c>
      <c r="CA476" s="21">
        <v>0</v>
      </c>
      <c r="CB476" s="21">
        <v>0</v>
      </c>
      <c r="CC476" s="21">
        <v>0</v>
      </c>
      <c r="CD476" s="21">
        <v>0</v>
      </c>
      <c r="CE476" s="21">
        <v>0</v>
      </c>
      <c r="CF476" s="21">
        <v>0</v>
      </c>
      <c r="CG476" s="21">
        <v>0</v>
      </c>
      <c r="CH476" s="21">
        <v>0</v>
      </c>
      <c r="CI476" s="21">
        <v>0</v>
      </c>
      <c r="CJ476" s="21">
        <v>0</v>
      </c>
      <c r="CK476" s="21">
        <v>0</v>
      </c>
      <c r="CL476" s="21">
        <v>0</v>
      </c>
      <c r="CM476" s="21">
        <v>0</v>
      </c>
      <c r="CN476" s="21">
        <v>0</v>
      </c>
      <c r="CO476" s="21">
        <v>0</v>
      </c>
      <c r="CP476" s="21">
        <v>0</v>
      </c>
      <c r="CQ476" s="21">
        <v>0</v>
      </c>
      <c r="CR476" s="21">
        <v>0</v>
      </c>
      <c r="CS476" s="21">
        <v>0</v>
      </c>
      <c r="CT476" s="21">
        <v>0</v>
      </c>
      <c r="CU476" s="21">
        <v>0</v>
      </c>
      <c r="CV476" s="21">
        <v>0</v>
      </c>
      <c r="CW476" s="21">
        <v>0</v>
      </c>
      <c r="CX476" s="21">
        <v>0</v>
      </c>
      <c r="CY476" s="21">
        <v>0</v>
      </c>
      <c r="CZ476" s="21">
        <v>0</v>
      </c>
      <c r="DA476" s="21">
        <v>0</v>
      </c>
      <c r="DB476" s="21">
        <v>0</v>
      </c>
      <c r="DC476" s="21">
        <v>0</v>
      </c>
      <c r="DD476" s="21">
        <v>0</v>
      </c>
      <c r="DE476" s="21">
        <v>0</v>
      </c>
      <c r="DF476" s="21">
        <v>0</v>
      </c>
      <c r="DG476" s="21">
        <v>0</v>
      </c>
      <c r="DH476" s="21">
        <v>0</v>
      </c>
      <c r="DI476" s="21">
        <v>0</v>
      </c>
      <c r="DJ476" s="21">
        <v>0</v>
      </c>
      <c r="DK476" s="21">
        <v>0</v>
      </c>
      <c r="DL476" s="21">
        <v>0</v>
      </c>
      <c r="DM476" s="21">
        <v>0</v>
      </c>
      <c r="DN476" s="21">
        <v>0</v>
      </c>
      <c r="DO476" s="21">
        <v>0</v>
      </c>
      <c r="DP476" s="21">
        <v>0</v>
      </c>
      <c r="DQ476" s="21">
        <v>0</v>
      </c>
      <c r="DR476" s="21">
        <v>0</v>
      </c>
      <c r="DS476" s="21">
        <v>0</v>
      </c>
      <c r="DT476" s="21">
        <v>0</v>
      </c>
      <c r="DU476" s="21">
        <v>0</v>
      </c>
      <c r="DV476" s="21">
        <v>0</v>
      </c>
      <c r="DW476" s="21">
        <v>0</v>
      </c>
      <c r="DX476" s="21">
        <v>0</v>
      </c>
      <c r="DY476" s="21">
        <v>0</v>
      </c>
      <c r="DZ476" s="21">
        <v>0</v>
      </c>
      <c r="EA476" s="21">
        <v>0</v>
      </c>
      <c r="EB476" s="21">
        <v>0</v>
      </c>
      <c r="EC476" s="21">
        <v>0</v>
      </c>
      <c r="ED476" s="21">
        <v>0</v>
      </c>
      <c r="EE476" s="21">
        <v>0</v>
      </c>
      <c r="EF476" s="21">
        <v>0</v>
      </c>
    </row>
    <row r="477" spans="1:136" ht="14.5" x14ac:dyDescent="0.35">
      <c r="A477" s="20" t="s">
        <v>12</v>
      </c>
      <c r="B477" s="20" t="s">
        <v>373</v>
      </c>
      <c r="C477" s="20" t="s">
        <v>117</v>
      </c>
      <c r="D477" s="20" t="s">
        <v>339</v>
      </c>
      <c r="E477" s="20" t="s">
        <v>14</v>
      </c>
      <c r="F477" s="20" t="s">
        <v>90</v>
      </c>
      <c r="G477" s="21">
        <v>16</v>
      </c>
      <c r="H477" s="21">
        <v>16</v>
      </c>
      <c r="I477" s="21">
        <v>0</v>
      </c>
      <c r="J477" s="21">
        <v>16</v>
      </c>
      <c r="K477" s="21">
        <v>0</v>
      </c>
      <c r="L477" s="21">
        <v>0</v>
      </c>
      <c r="M477" s="21">
        <v>0</v>
      </c>
      <c r="N477" s="21">
        <v>0</v>
      </c>
      <c r="O477" s="21">
        <v>0</v>
      </c>
      <c r="P477" s="21">
        <v>0</v>
      </c>
      <c r="Q477" s="21">
        <v>0</v>
      </c>
      <c r="R477" s="21">
        <v>0</v>
      </c>
      <c r="S477" s="21">
        <v>0</v>
      </c>
      <c r="T477" s="21">
        <v>0</v>
      </c>
      <c r="U477" s="21">
        <v>0</v>
      </c>
      <c r="V477" s="21">
        <v>0</v>
      </c>
      <c r="W477" s="21">
        <v>0</v>
      </c>
      <c r="X477" s="21">
        <v>0</v>
      </c>
      <c r="Y477" s="21">
        <v>0</v>
      </c>
      <c r="Z477" s="21">
        <v>0</v>
      </c>
      <c r="AA477" s="21">
        <v>0</v>
      </c>
      <c r="AB477" s="21">
        <v>0</v>
      </c>
      <c r="AC477" s="21">
        <v>0</v>
      </c>
      <c r="AD477" s="21">
        <v>0</v>
      </c>
      <c r="AE477" s="21">
        <v>0</v>
      </c>
      <c r="AF477" s="21">
        <v>0</v>
      </c>
      <c r="AG477" s="21">
        <v>0</v>
      </c>
      <c r="AH477" s="21">
        <v>0</v>
      </c>
      <c r="AI477" s="21">
        <v>0</v>
      </c>
      <c r="AJ477" s="21">
        <v>0</v>
      </c>
      <c r="AK477" s="21">
        <v>0</v>
      </c>
      <c r="AL477" s="21">
        <v>0</v>
      </c>
      <c r="AM477" s="21">
        <v>0</v>
      </c>
      <c r="AN477" s="21">
        <v>0</v>
      </c>
      <c r="AO477" s="21">
        <v>0</v>
      </c>
      <c r="AP477" s="21">
        <v>0</v>
      </c>
      <c r="AQ477" s="21">
        <v>0</v>
      </c>
      <c r="AR477" s="21">
        <v>0</v>
      </c>
      <c r="AS477" s="21">
        <v>0</v>
      </c>
      <c r="AT477" s="21">
        <v>0</v>
      </c>
      <c r="AU477" s="21">
        <v>0</v>
      </c>
      <c r="AV477" s="21">
        <v>0</v>
      </c>
      <c r="AW477" s="21">
        <v>0</v>
      </c>
      <c r="AX477" s="21">
        <v>0</v>
      </c>
      <c r="AY477" s="21">
        <v>0</v>
      </c>
      <c r="AZ477" s="21">
        <v>0</v>
      </c>
      <c r="BA477" s="21">
        <v>0</v>
      </c>
      <c r="BB477" s="21">
        <v>0</v>
      </c>
      <c r="BC477" s="21">
        <v>0</v>
      </c>
      <c r="BD477" s="21">
        <v>0</v>
      </c>
      <c r="BE477" s="21">
        <v>0</v>
      </c>
      <c r="BF477" s="21">
        <v>0</v>
      </c>
      <c r="BG477" s="21">
        <v>0</v>
      </c>
      <c r="BH477" s="21">
        <v>0</v>
      </c>
      <c r="BI477" s="21">
        <v>0</v>
      </c>
      <c r="BJ477" s="21">
        <v>0</v>
      </c>
      <c r="BK477" s="21">
        <v>0</v>
      </c>
      <c r="BL477" s="21">
        <v>0</v>
      </c>
      <c r="BM477" s="21">
        <v>0</v>
      </c>
      <c r="BN477" s="21">
        <v>0</v>
      </c>
      <c r="BO477" s="21">
        <v>0</v>
      </c>
      <c r="BP477" s="21">
        <v>0</v>
      </c>
      <c r="BQ477" s="21">
        <v>0</v>
      </c>
      <c r="BR477" s="21">
        <v>0</v>
      </c>
      <c r="BS477" s="21">
        <v>0</v>
      </c>
      <c r="BT477" s="21">
        <v>0</v>
      </c>
      <c r="BU477" s="21">
        <v>0</v>
      </c>
      <c r="BV477" s="21">
        <v>0</v>
      </c>
      <c r="BW477" s="21">
        <v>0</v>
      </c>
      <c r="BX477" s="21">
        <v>0</v>
      </c>
      <c r="BY477" s="21">
        <v>0</v>
      </c>
      <c r="BZ477" s="21">
        <v>0</v>
      </c>
      <c r="CA477" s="21">
        <v>0</v>
      </c>
      <c r="CB477" s="21">
        <v>0</v>
      </c>
      <c r="CC477" s="21">
        <v>0</v>
      </c>
      <c r="CD477" s="21">
        <v>0</v>
      </c>
      <c r="CE477" s="21">
        <v>0</v>
      </c>
      <c r="CF477" s="21">
        <v>0</v>
      </c>
      <c r="CG477" s="21">
        <v>0</v>
      </c>
      <c r="CH477" s="21">
        <v>0</v>
      </c>
      <c r="CI477" s="21">
        <v>0</v>
      </c>
      <c r="CJ477" s="21">
        <v>0</v>
      </c>
      <c r="CK477" s="21">
        <v>0</v>
      </c>
      <c r="CL477" s="21">
        <v>0</v>
      </c>
      <c r="CM477" s="21">
        <v>0</v>
      </c>
      <c r="CN477" s="21">
        <v>0</v>
      </c>
      <c r="CO477" s="21">
        <v>0</v>
      </c>
      <c r="CP477" s="21">
        <v>0</v>
      </c>
      <c r="CQ477" s="21">
        <v>0</v>
      </c>
      <c r="CR477" s="21">
        <v>0</v>
      </c>
      <c r="CS477" s="21">
        <v>0</v>
      </c>
      <c r="CT477" s="21">
        <v>0</v>
      </c>
      <c r="CU477" s="21">
        <v>0</v>
      </c>
      <c r="CV477" s="21">
        <v>0</v>
      </c>
      <c r="CW477" s="21">
        <v>0</v>
      </c>
      <c r="CX477" s="21">
        <v>0</v>
      </c>
      <c r="CY477" s="21">
        <v>0</v>
      </c>
      <c r="CZ477" s="21">
        <v>0</v>
      </c>
      <c r="DA477" s="21">
        <v>0</v>
      </c>
      <c r="DB477" s="21">
        <v>0</v>
      </c>
      <c r="DC477" s="21">
        <v>0</v>
      </c>
      <c r="DD477" s="21">
        <v>0</v>
      </c>
      <c r="DE477" s="21">
        <v>0</v>
      </c>
      <c r="DF477" s="21">
        <v>0</v>
      </c>
      <c r="DG477" s="21">
        <v>0</v>
      </c>
      <c r="DH477" s="21">
        <v>0</v>
      </c>
      <c r="DI477" s="21">
        <v>0</v>
      </c>
      <c r="DJ477" s="21">
        <v>0</v>
      </c>
      <c r="DK477" s="21">
        <v>0</v>
      </c>
      <c r="DL477" s="21">
        <v>0</v>
      </c>
      <c r="DM477" s="21">
        <v>0</v>
      </c>
      <c r="DN477" s="21">
        <v>0</v>
      </c>
      <c r="DO477" s="21">
        <v>0</v>
      </c>
      <c r="DP477" s="21">
        <v>0</v>
      </c>
      <c r="DQ477" s="21">
        <v>0</v>
      </c>
      <c r="DR477" s="21">
        <v>0</v>
      </c>
      <c r="DS477" s="21">
        <v>0</v>
      </c>
      <c r="DT477" s="21">
        <v>0</v>
      </c>
      <c r="DU477" s="21">
        <v>0</v>
      </c>
      <c r="DV477" s="21">
        <v>0</v>
      </c>
      <c r="DW477" s="21">
        <v>0</v>
      </c>
      <c r="DX477" s="21">
        <v>0</v>
      </c>
      <c r="DY477" s="21">
        <v>0</v>
      </c>
      <c r="DZ477" s="21">
        <v>0</v>
      </c>
      <c r="EA477" s="21">
        <v>0</v>
      </c>
      <c r="EB477" s="21">
        <v>0</v>
      </c>
      <c r="EC477" s="21">
        <v>0</v>
      </c>
      <c r="ED477" s="21">
        <v>0</v>
      </c>
      <c r="EE477" s="21">
        <v>0</v>
      </c>
      <c r="EF477" s="21">
        <v>0</v>
      </c>
    </row>
    <row r="478" spans="1:136" ht="14.5" x14ac:dyDescent="0.35">
      <c r="A478" s="20" t="s">
        <v>12</v>
      </c>
      <c r="B478" s="20" t="s">
        <v>374</v>
      </c>
      <c r="C478" s="20" t="s">
        <v>118</v>
      </c>
      <c r="D478" s="20" t="s">
        <v>336</v>
      </c>
      <c r="E478" s="20" t="s">
        <v>16</v>
      </c>
      <c r="F478" s="20" t="s">
        <v>77</v>
      </c>
      <c r="G478" s="21">
        <v>12</v>
      </c>
      <c r="H478" s="21">
        <v>12</v>
      </c>
      <c r="I478" s="21">
        <v>0</v>
      </c>
      <c r="J478" s="21">
        <v>12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0</v>
      </c>
      <c r="S478" s="21">
        <v>0</v>
      </c>
      <c r="T478" s="21">
        <v>0</v>
      </c>
      <c r="U478" s="21">
        <v>0</v>
      </c>
      <c r="V478" s="21">
        <v>0</v>
      </c>
      <c r="W478" s="21">
        <v>0</v>
      </c>
      <c r="X478" s="21">
        <v>0</v>
      </c>
      <c r="Y478" s="21">
        <v>0</v>
      </c>
      <c r="Z478" s="21">
        <v>0</v>
      </c>
      <c r="AA478" s="21">
        <v>0</v>
      </c>
      <c r="AB478" s="21">
        <v>0</v>
      </c>
      <c r="AC478" s="21">
        <v>0</v>
      </c>
      <c r="AD478" s="21">
        <v>0</v>
      </c>
      <c r="AE478" s="21">
        <v>0</v>
      </c>
      <c r="AF478" s="21">
        <v>0</v>
      </c>
      <c r="AG478" s="21">
        <v>0</v>
      </c>
      <c r="AH478" s="21">
        <v>0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21">
        <v>0</v>
      </c>
      <c r="AO478" s="21">
        <v>0</v>
      </c>
      <c r="AP478" s="21">
        <v>0</v>
      </c>
      <c r="AQ478" s="21">
        <v>0</v>
      </c>
      <c r="AR478" s="21">
        <v>0</v>
      </c>
      <c r="AS478" s="21">
        <v>0</v>
      </c>
      <c r="AT478" s="21">
        <v>0</v>
      </c>
      <c r="AU478" s="21">
        <v>0</v>
      </c>
      <c r="AV478" s="21">
        <v>0</v>
      </c>
      <c r="AW478" s="21">
        <v>0</v>
      </c>
      <c r="AX478" s="21">
        <v>0</v>
      </c>
      <c r="AY478" s="21">
        <v>0</v>
      </c>
      <c r="AZ478" s="21">
        <v>0</v>
      </c>
      <c r="BA478" s="21">
        <v>0</v>
      </c>
      <c r="BB478" s="21">
        <v>0</v>
      </c>
      <c r="BC478" s="21">
        <v>0</v>
      </c>
      <c r="BD478" s="21">
        <v>0</v>
      </c>
      <c r="BE478" s="21">
        <v>0</v>
      </c>
      <c r="BF478" s="21">
        <v>0</v>
      </c>
      <c r="BG478" s="21">
        <v>0</v>
      </c>
      <c r="BH478" s="21">
        <v>0</v>
      </c>
      <c r="BI478" s="21">
        <v>0</v>
      </c>
      <c r="BJ478" s="21">
        <v>0</v>
      </c>
      <c r="BK478" s="21">
        <v>0</v>
      </c>
      <c r="BL478" s="21">
        <v>0</v>
      </c>
      <c r="BM478" s="21">
        <v>0</v>
      </c>
      <c r="BN478" s="21">
        <v>0</v>
      </c>
      <c r="BO478" s="21">
        <v>0</v>
      </c>
      <c r="BP478" s="21">
        <v>0</v>
      </c>
      <c r="BQ478" s="21">
        <v>0</v>
      </c>
      <c r="BR478" s="21">
        <v>0</v>
      </c>
      <c r="BS478" s="21">
        <v>0</v>
      </c>
      <c r="BT478" s="21">
        <v>0</v>
      </c>
      <c r="BU478" s="21">
        <v>0</v>
      </c>
      <c r="BV478" s="21">
        <v>0</v>
      </c>
      <c r="BW478" s="21">
        <v>0</v>
      </c>
      <c r="BX478" s="21">
        <v>0</v>
      </c>
      <c r="BY478" s="21">
        <v>0</v>
      </c>
      <c r="BZ478" s="21">
        <v>0</v>
      </c>
      <c r="CA478" s="21">
        <v>0</v>
      </c>
      <c r="CB478" s="21">
        <v>0</v>
      </c>
      <c r="CC478" s="21">
        <v>0</v>
      </c>
      <c r="CD478" s="21">
        <v>0</v>
      </c>
      <c r="CE478" s="21">
        <v>0</v>
      </c>
      <c r="CF478" s="21">
        <v>0</v>
      </c>
      <c r="CG478" s="21">
        <v>0</v>
      </c>
      <c r="CH478" s="21">
        <v>0</v>
      </c>
      <c r="CI478" s="21">
        <v>0</v>
      </c>
      <c r="CJ478" s="21">
        <v>0</v>
      </c>
      <c r="CK478" s="21">
        <v>0</v>
      </c>
      <c r="CL478" s="21">
        <v>0</v>
      </c>
      <c r="CM478" s="21">
        <v>0</v>
      </c>
      <c r="CN478" s="21">
        <v>0</v>
      </c>
      <c r="CO478" s="21">
        <v>0</v>
      </c>
      <c r="CP478" s="21">
        <v>0</v>
      </c>
      <c r="CQ478" s="21">
        <v>0</v>
      </c>
      <c r="CR478" s="21">
        <v>0</v>
      </c>
      <c r="CS478" s="21">
        <v>0</v>
      </c>
      <c r="CT478" s="21">
        <v>0</v>
      </c>
      <c r="CU478" s="21">
        <v>0</v>
      </c>
      <c r="CV478" s="21">
        <v>0</v>
      </c>
      <c r="CW478" s="21">
        <v>0</v>
      </c>
      <c r="CX478" s="21">
        <v>0</v>
      </c>
      <c r="CY478" s="21">
        <v>0</v>
      </c>
      <c r="CZ478" s="21">
        <v>0</v>
      </c>
      <c r="DA478" s="21">
        <v>0</v>
      </c>
      <c r="DB478" s="21">
        <v>0</v>
      </c>
      <c r="DC478" s="21">
        <v>0</v>
      </c>
      <c r="DD478" s="21">
        <v>0</v>
      </c>
      <c r="DE478" s="21">
        <v>0</v>
      </c>
      <c r="DF478" s="21">
        <v>0</v>
      </c>
      <c r="DG478" s="21">
        <v>0</v>
      </c>
      <c r="DH478" s="21">
        <v>0</v>
      </c>
      <c r="DI478" s="21">
        <v>0</v>
      </c>
      <c r="DJ478" s="21">
        <v>0</v>
      </c>
      <c r="DK478" s="21">
        <v>0</v>
      </c>
      <c r="DL478" s="21">
        <v>0</v>
      </c>
      <c r="DM478" s="21">
        <v>0</v>
      </c>
      <c r="DN478" s="21">
        <v>0</v>
      </c>
      <c r="DO478" s="21">
        <v>0</v>
      </c>
      <c r="DP478" s="21">
        <v>0</v>
      </c>
      <c r="DQ478" s="21">
        <v>0</v>
      </c>
      <c r="DR478" s="21">
        <v>0</v>
      </c>
      <c r="DS478" s="21">
        <v>0</v>
      </c>
      <c r="DT478" s="21">
        <v>0</v>
      </c>
      <c r="DU478" s="21">
        <v>0</v>
      </c>
      <c r="DV478" s="21">
        <v>0</v>
      </c>
      <c r="DW478" s="21">
        <v>0</v>
      </c>
      <c r="DX478" s="21">
        <v>0</v>
      </c>
      <c r="DY478" s="21">
        <v>0</v>
      </c>
      <c r="DZ478" s="21">
        <v>0</v>
      </c>
      <c r="EA478" s="21">
        <v>0</v>
      </c>
      <c r="EB478" s="21">
        <v>0</v>
      </c>
      <c r="EC478" s="21">
        <v>0</v>
      </c>
      <c r="ED478" s="21">
        <v>0</v>
      </c>
      <c r="EE478" s="21">
        <v>0</v>
      </c>
      <c r="EF478" s="21">
        <v>0</v>
      </c>
    </row>
    <row r="479" spans="1:136" ht="14.5" x14ac:dyDescent="0.35">
      <c r="A479" s="20" t="s">
        <v>12</v>
      </c>
      <c r="B479" s="20" t="s">
        <v>375</v>
      </c>
      <c r="C479" s="20" t="s">
        <v>118</v>
      </c>
      <c r="D479" s="20" t="s">
        <v>339</v>
      </c>
      <c r="E479" s="20" t="s">
        <v>14</v>
      </c>
      <c r="F479" s="20" t="s">
        <v>87</v>
      </c>
      <c r="G479" s="21">
        <v>15</v>
      </c>
      <c r="H479" s="21">
        <v>15</v>
      </c>
      <c r="I479" s="21">
        <v>0</v>
      </c>
      <c r="J479" s="21">
        <v>15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  <c r="Q479" s="21">
        <v>0</v>
      </c>
      <c r="R479" s="21">
        <v>0</v>
      </c>
      <c r="S479" s="21">
        <v>0</v>
      </c>
      <c r="T479" s="21">
        <v>0</v>
      </c>
      <c r="U479" s="21">
        <v>0</v>
      </c>
      <c r="V479" s="21">
        <v>0</v>
      </c>
      <c r="W479" s="21">
        <v>0</v>
      </c>
      <c r="X479" s="21">
        <v>0</v>
      </c>
      <c r="Y479" s="21">
        <v>0</v>
      </c>
      <c r="Z479" s="21">
        <v>0</v>
      </c>
      <c r="AA479" s="21">
        <v>0</v>
      </c>
      <c r="AB479" s="21">
        <v>0</v>
      </c>
      <c r="AC479" s="21">
        <v>0</v>
      </c>
      <c r="AD479" s="21">
        <v>0</v>
      </c>
      <c r="AE479" s="21">
        <v>0</v>
      </c>
      <c r="AF479" s="21">
        <v>0</v>
      </c>
      <c r="AG479" s="21">
        <v>0</v>
      </c>
      <c r="AH479" s="21">
        <v>0</v>
      </c>
      <c r="AI479" s="21">
        <v>0</v>
      </c>
      <c r="AJ479" s="21">
        <v>0</v>
      </c>
      <c r="AK479" s="21">
        <v>0</v>
      </c>
      <c r="AL479" s="21">
        <v>0</v>
      </c>
      <c r="AM479" s="21">
        <v>0</v>
      </c>
      <c r="AN479" s="21">
        <v>0</v>
      </c>
      <c r="AO479" s="21">
        <v>0</v>
      </c>
      <c r="AP479" s="21">
        <v>0</v>
      </c>
      <c r="AQ479" s="21">
        <v>0</v>
      </c>
      <c r="AR479" s="21">
        <v>0</v>
      </c>
      <c r="AS479" s="21">
        <v>0</v>
      </c>
      <c r="AT479" s="21">
        <v>0</v>
      </c>
      <c r="AU479" s="21">
        <v>0</v>
      </c>
      <c r="AV479" s="21">
        <v>0</v>
      </c>
      <c r="AW479" s="21">
        <v>0</v>
      </c>
      <c r="AX479" s="21">
        <v>0</v>
      </c>
      <c r="AY479" s="21">
        <v>0</v>
      </c>
      <c r="AZ479" s="21">
        <v>0</v>
      </c>
      <c r="BA479" s="21">
        <v>0</v>
      </c>
      <c r="BB479" s="21">
        <v>0</v>
      </c>
      <c r="BC479" s="21">
        <v>0</v>
      </c>
      <c r="BD479" s="21">
        <v>0</v>
      </c>
      <c r="BE479" s="21">
        <v>0</v>
      </c>
      <c r="BF479" s="21">
        <v>0</v>
      </c>
      <c r="BG479" s="21">
        <v>0</v>
      </c>
      <c r="BH479" s="21">
        <v>0</v>
      </c>
      <c r="BI479" s="21">
        <v>0</v>
      </c>
      <c r="BJ479" s="21">
        <v>0</v>
      </c>
      <c r="BK479" s="21">
        <v>0</v>
      </c>
      <c r="BL479" s="21">
        <v>0</v>
      </c>
      <c r="BM479" s="21">
        <v>0</v>
      </c>
      <c r="BN479" s="21">
        <v>0</v>
      </c>
      <c r="BO479" s="21">
        <v>0</v>
      </c>
      <c r="BP479" s="21">
        <v>0</v>
      </c>
      <c r="BQ479" s="21">
        <v>0</v>
      </c>
      <c r="BR479" s="21">
        <v>0</v>
      </c>
      <c r="BS479" s="21">
        <v>0</v>
      </c>
      <c r="BT479" s="21">
        <v>0</v>
      </c>
      <c r="BU479" s="21">
        <v>0</v>
      </c>
      <c r="BV479" s="21">
        <v>0</v>
      </c>
      <c r="BW479" s="21">
        <v>0</v>
      </c>
      <c r="BX479" s="21">
        <v>0</v>
      </c>
      <c r="BY479" s="21">
        <v>0</v>
      </c>
      <c r="BZ479" s="21">
        <v>0</v>
      </c>
      <c r="CA479" s="21">
        <v>0</v>
      </c>
      <c r="CB479" s="21">
        <v>0</v>
      </c>
      <c r="CC479" s="21">
        <v>0</v>
      </c>
      <c r="CD479" s="21">
        <v>0</v>
      </c>
      <c r="CE479" s="21">
        <v>0</v>
      </c>
      <c r="CF479" s="21">
        <v>0</v>
      </c>
      <c r="CG479" s="21">
        <v>0</v>
      </c>
      <c r="CH479" s="21">
        <v>0</v>
      </c>
      <c r="CI479" s="21">
        <v>0</v>
      </c>
      <c r="CJ479" s="21">
        <v>0</v>
      </c>
      <c r="CK479" s="21">
        <v>0</v>
      </c>
      <c r="CL479" s="21">
        <v>0</v>
      </c>
      <c r="CM479" s="21">
        <v>0</v>
      </c>
      <c r="CN479" s="21">
        <v>0</v>
      </c>
      <c r="CO479" s="21">
        <v>0</v>
      </c>
      <c r="CP479" s="21">
        <v>0</v>
      </c>
      <c r="CQ479" s="21">
        <v>0</v>
      </c>
      <c r="CR479" s="21">
        <v>0</v>
      </c>
      <c r="CS479" s="21">
        <v>0</v>
      </c>
      <c r="CT479" s="21">
        <v>0</v>
      </c>
      <c r="CU479" s="21">
        <v>0</v>
      </c>
      <c r="CV479" s="21">
        <v>0</v>
      </c>
      <c r="CW479" s="21">
        <v>0</v>
      </c>
      <c r="CX479" s="21">
        <v>0</v>
      </c>
      <c r="CY479" s="21">
        <v>0</v>
      </c>
      <c r="CZ479" s="21">
        <v>0</v>
      </c>
      <c r="DA479" s="21">
        <v>0</v>
      </c>
      <c r="DB479" s="21">
        <v>0</v>
      </c>
      <c r="DC479" s="21">
        <v>0</v>
      </c>
      <c r="DD479" s="21">
        <v>0</v>
      </c>
      <c r="DE479" s="21">
        <v>0</v>
      </c>
      <c r="DF479" s="21">
        <v>0</v>
      </c>
      <c r="DG479" s="21">
        <v>0</v>
      </c>
      <c r="DH479" s="21">
        <v>0</v>
      </c>
      <c r="DI479" s="21">
        <v>0</v>
      </c>
      <c r="DJ479" s="21">
        <v>0</v>
      </c>
      <c r="DK479" s="21">
        <v>0</v>
      </c>
      <c r="DL479" s="21">
        <v>0</v>
      </c>
      <c r="DM479" s="21">
        <v>0</v>
      </c>
      <c r="DN479" s="21">
        <v>0</v>
      </c>
      <c r="DO479" s="21">
        <v>0</v>
      </c>
      <c r="DP479" s="21">
        <v>0</v>
      </c>
      <c r="DQ479" s="21">
        <v>0</v>
      </c>
      <c r="DR479" s="21">
        <v>0</v>
      </c>
      <c r="DS479" s="21">
        <v>0</v>
      </c>
      <c r="DT479" s="21">
        <v>0</v>
      </c>
      <c r="DU479" s="21">
        <v>0</v>
      </c>
      <c r="DV479" s="21">
        <v>0</v>
      </c>
      <c r="DW479" s="21">
        <v>0</v>
      </c>
      <c r="DX479" s="21">
        <v>0</v>
      </c>
      <c r="DY479" s="21">
        <v>0</v>
      </c>
      <c r="DZ479" s="21">
        <v>0</v>
      </c>
      <c r="EA479" s="21">
        <v>0</v>
      </c>
      <c r="EB479" s="21">
        <v>0</v>
      </c>
      <c r="EC479" s="21">
        <v>0</v>
      </c>
      <c r="ED479" s="21">
        <v>0</v>
      </c>
      <c r="EE479" s="21">
        <v>0</v>
      </c>
      <c r="EF479" s="21">
        <v>0</v>
      </c>
    </row>
    <row r="480" spans="1:136" ht="14.5" x14ac:dyDescent="0.35">
      <c r="A480" s="20" t="s">
        <v>12</v>
      </c>
      <c r="B480" s="20" t="s">
        <v>375</v>
      </c>
      <c r="C480" s="20" t="s">
        <v>118</v>
      </c>
      <c r="D480" s="20" t="s">
        <v>339</v>
      </c>
      <c r="E480" s="20" t="s">
        <v>14</v>
      </c>
      <c r="F480" s="20" t="s">
        <v>90</v>
      </c>
      <c r="G480" s="21">
        <v>3</v>
      </c>
      <c r="H480" s="21">
        <v>3</v>
      </c>
      <c r="I480" s="21">
        <v>0</v>
      </c>
      <c r="J480" s="21">
        <v>3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  <c r="Q480" s="21">
        <v>0</v>
      </c>
      <c r="R480" s="21">
        <v>0</v>
      </c>
      <c r="S480" s="21">
        <v>0</v>
      </c>
      <c r="T480" s="21">
        <v>0</v>
      </c>
      <c r="U480" s="21">
        <v>0</v>
      </c>
      <c r="V480" s="21">
        <v>0</v>
      </c>
      <c r="W480" s="21">
        <v>0</v>
      </c>
      <c r="X480" s="21">
        <v>0</v>
      </c>
      <c r="Y480" s="21">
        <v>0</v>
      </c>
      <c r="Z480" s="21">
        <v>0</v>
      </c>
      <c r="AA480" s="21">
        <v>0</v>
      </c>
      <c r="AB480" s="21">
        <v>0</v>
      </c>
      <c r="AC480" s="21">
        <v>0</v>
      </c>
      <c r="AD480" s="21">
        <v>0</v>
      </c>
      <c r="AE480" s="21">
        <v>0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1">
        <v>0</v>
      </c>
      <c r="AN480" s="21">
        <v>0</v>
      </c>
      <c r="AO480" s="21">
        <v>0</v>
      </c>
      <c r="AP480" s="21">
        <v>0</v>
      </c>
      <c r="AQ480" s="21">
        <v>0</v>
      </c>
      <c r="AR480" s="21">
        <v>0</v>
      </c>
      <c r="AS480" s="21">
        <v>0</v>
      </c>
      <c r="AT480" s="21">
        <v>0</v>
      </c>
      <c r="AU480" s="21">
        <v>0</v>
      </c>
      <c r="AV480" s="21">
        <v>0</v>
      </c>
      <c r="AW480" s="21">
        <v>0</v>
      </c>
      <c r="AX480" s="21">
        <v>0</v>
      </c>
      <c r="AY480" s="21">
        <v>0</v>
      </c>
      <c r="AZ480" s="21">
        <v>0</v>
      </c>
      <c r="BA480" s="21">
        <v>0</v>
      </c>
      <c r="BB480" s="21">
        <v>0</v>
      </c>
      <c r="BC480" s="21">
        <v>0</v>
      </c>
      <c r="BD480" s="21">
        <v>0</v>
      </c>
      <c r="BE480" s="21">
        <v>0</v>
      </c>
      <c r="BF480" s="21">
        <v>0</v>
      </c>
      <c r="BG480" s="21">
        <v>0</v>
      </c>
      <c r="BH480" s="21">
        <v>0</v>
      </c>
      <c r="BI480" s="21">
        <v>0</v>
      </c>
      <c r="BJ480" s="21">
        <v>0</v>
      </c>
      <c r="BK480" s="21">
        <v>0</v>
      </c>
      <c r="BL480" s="21">
        <v>0</v>
      </c>
      <c r="BM480" s="21">
        <v>0</v>
      </c>
      <c r="BN480" s="21">
        <v>0</v>
      </c>
      <c r="BO480" s="21">
        <v>0</v>
      </c>
      <c r="BP480" s="21">
        <v>0</v>
      </c>
      <c r="BQ480" s="21">
        <v>0</v>
      </c>
      <c r="BR480" s="21">
        <v>0</v>
      </c>
      <c r="BS480" s="21">
        <v>0</v>
      </c>
      <c r="BT480" s="21">
        <v>0</v>
      </c>
      <c r="BU480" s="21">
        <v>0</v>
      </c>
      <c r="BV480" s="21">
        <v>0</v>
      </c>
      <c r="BW480" s="21">
        <v>0</v>
      </c>
      <c r="BX480" s="21">
        <v>0</v>
      </c>
      <c r="BY480" s="21">
        <v>0</v>
      </c>
      <c r="BZ480" s="21">
        <v>0</v>
      </c>
      <c r="CA480" s="21">
        <v>0</v>
      </c>
      <c r="CB480" s="21">
        <v>0</v>
      </c>
      <c r="CC480" s="21">
        <v>0</v>
      </c>
      <c r="CD480" s="21">
        <v>0</v>
      </c>
      <c r="CE480" s="21">
        <v>0</v>
      </c>
      <c r="CF480" s="21">
        <v>0</v>
      </c>
      <c r="CG480" s="21">
        <v>0</v>
      </c>
      <c r="CH480" s="21">
        <v>0</v>
      </c>
      <c r="CI480" s="21">
        <v>0</v>
      </c>
      <c r="CJ480" s="21">
        <v>0</v>
      </c>
      <c r="CK480" s="21">
        <v>0</v>
      </c>
      <c r="CL480" s="21">
        <v>0</v>
      </c>
      <c r="CM480" s="21">
        <v>0</v>
      </c>
      <c r="CN480" s="21">
        <v>0</v>
      </c>
      <c r="CO480" s="21">
        <v>0</v>
      </c>
      <c r="CP480" s="21">
        <v>0</v>
      </c>
      <c r="CQ480" s="21">
        <v>0</v>
      </c>
      <c r="CR480" s="21">
        <v>0</v>
      </c>
      <c r="CS480" s="21">
        <v>0</v>
      </c>
      <c r="CT480" s="21">
        <v>0</v>
      </c>
      <c r="CU480" s="21">
        <v>0</v>
      </c>
      <c r="CV480" s="21">
        <v>0</v>
      </c>
      <c r="CW480" s="21">
        <v>0</v>
      </c>
      <c r="CX480" s="21">
        <v>0</v>
      </c>
      <c r="CY480" s="21">
        <v>0</v>
      </c>
      <c r="CZ480" s="21">
        <v>0</v>
      </c>
      <c r="DA480" s="21">
        <v>0</v>
      </c>
      <c r="DB480" s="21">
        <v>0</v>
      </c>
      <c r="DC480" s="21">
        <v>0</v>
      </c>
      <c r="DD480" s="21">
        <v>0</v>
      </c>
      <c r="DE480" s="21">
        <v>0</v>
      </c>
      <c r="DF480" s="21">
        <v>0</v>
      </c>
      <c r="DG480" s="21">
        <v>0</v>
      </c>
      <c r="DH480" s="21">
        <v>0</v>
      </c>
      <c r="DI480" s="21">
        <v>0</v>
      </c>
      <c r="DJ480" s="21">
        <v>0</v>
      </c>
      <c r="DK480" s="21">
        <v>0</v>
      </c>
      <c r="DL480" s="21">
        <v>0</v>
      </c>
      <c r="DM480" s="21">
        <v>0</v>
      </c>
      <c r="DN480" s="21">
        <v>0</v>
      </c>
      <c r="DO480" s="21">
        <v>0</v>
      </c>
      <c r="DP480" s="21">
        <v>0</v>
      </c>
      <c r="DQ480" s="21">
        <v>0</v>
      </c>
      <c r="DR480" s="21">
        <v>0</v>
      </c>
      <c r="DS480" s="21">
        <v>0</v>
      </c>
      <c r="DT480" s="21">
        <v>0</v>
      </c>
      <c r="DU480" s="21">
        <v>0</v>
      </c>
      <c r="DV480" s="21">
        <v>0</v>
      </c>
      <c r="DW480" s="21">
        <v>0</v>
      </c>
      <c r="DX480" s="21">
        <v>0</v>
      </c>
      <c r="DY480" s="21">
        <v>0</v>
      </c>
      <c r="DZ480" s="21">
        <v>0</v>
      </c>
      <c r="EA480" s="21">
        <v>0</v>
      </c>
      <c r="EB480" s="21">
        <v>0</v>
      </c>
      <c r="EC480" s="21">
        <v>0</v>
      </c>
      <c r="ED480" s="21">
        <v>0</v>
      </c>
      <c r="EE480" s="21">
        <v>0</v>
      </c>
      <c r="EF480" s="21">
        <v>0</v>
      </c>
    </row>
    <row r="481" spans="1:136" ht="14.5" x14ac:dyDescent="0.35">
      <c r="A481" s="20" t="s">
        <v>12</v>
      </c>
      <c r="B481" s="20" t="s">
        <v>376</v>
      </c>
      <c r="C481" s="20" t="s">
        <v>118</v>
      </c>
      <c r="D481" s="20" t="s">
        <v>334</v>
      </c>
      <c r="E481" s="20" t="s">
        <v>10</v>
      </c>
      <c r="F481" s="20" t="s">
        <v>102</v>
      </c>
      <c r="G481" s="21">
        <v>47</v>
      </c>
      <c r="H481" s="21">
        <v>47</v>
      </c>
      <c r="I481" s="21">
        <v>0</v>
      </c>
      <c r="J481" s="21">
        <v>47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  <c r="Q481" s="21">
        <v>0</v>
      </c>
      <c r="R481" s="21">
        <v>0</v>
      </c>
      <c r="S481" s="21">
        <v>0</v>
      </c>
      <c r="T481" s="21">
        <v>0</v>
      </c>
      <c r="U481" s="21">
        <v>0</v>
      </c>
      <c r="V481" s="21">
        <v>0</v>
      </c>
      <c r="W481" s="21">
        <v>0</v>
      </c>
      <c r="X481" s="21">
        <v>0</v>
      </c>
      <c r="Y481" s="21">
        <v>0</v>
      </c>
      <c r="Z481" s="21">
        <v>0</v>
      </c>
      <c r="AA481" s="21">
        <v>0</v>
      </c>
      <c r="AB481" s="21">
        <v>0</v>
      </c>
      <c r="AC481" s="21">
        <v>0</v>
      </c>
      <c r="AD481" s="21">
        <v>0</v>
      </c>
      <c r="AE481" s="21">
        <v>0</v>
      </c>
      <c r="AF481" s="21">
        <v>0</v>
      </c>
      <c r="AG481" s="21">
        <v>0</v>
      </c>
      <c r="AH481" s="21">
        <v>0</v>
      </c>
      <c r="AI481" s="21">
        <v>0</v>
      </c>
      <c r="AJ481" s="21">
        <v>0</v>
      </c>
      <c r="AK481" s="21">
        <v>0</v>
      </c>
      <c r="AL481" s="21">
        <v>0</v>
      </c>
      <c r="AM481" s="21">
        <v>0</v>
      </c>
      <c r="AN481" s="21">
        <v>0</v>
      </c>
      <c r="AO481" s="21">
        <v>0</v>
      </c>
      <c r="AP481" s="21">
        <v>0</v>
      </c>
      <c r="AQ481" s="21">
        <v>0</v>
      </c>
      <c r="AR481" s="21">
        <v>0</v>
      </c>
      <c r="AS481" s="21">
        <v>0</v>
      </c>
      <c r="AT481" s="21">
        <v>0</v>
      </c>
      <c r="AU481" s="21">
        <v>0</v>
      </c>
      <c r="AV481" s="21">
        <v>0</v>
      </c>
      <c r="AW481" s="21">
        <v>0</v>
      </c>
      <c r="AX481" s="21">
        <v>0</v>
      </c>
      <c r="AY481" s="21">
        <v>0</v>
      </c>
      <c r="AZ481" s="21">
        <v>0</v>
      </c>
      <c r="BA481" s="21">
        <v>0</v>
      </c>
      <c r="BB481" s="21">
        <v>0</v>
      </c>
      <c r="BC481" s="21">
        <v>0</v>
      </c>
      <c r="BD481" s="21">
        <v>0</v>
      </c>
      <c r="BE481" s="21">
        <v>0</v>
      </c>
      <c r="BF481" s="21">
        <v>0</v>
      </c>
      <c r="BG481" s="21">
        <v>0</v>
      </c>
      <c r="BH481" s="21">
        <v>0</v>
      </c>
      <c r="BI481" s="21">
        <v>0</v>
      </c>
      <c r="BJ481" s="21">
        <v>0</v>
      </c>
      <c r="BK481" s="21">
        <v>0</v>
      </c>
      <c r="BL481" s="21">
        <v>0</v>
      </c>
      <c r="BM481" s="21">
        <v>0</v>
      </c>
      <c r="BN481" s="21">
        <v>0</v>
      </c>
      <c r="BO481" s="21">
        <v>0</v>
      </c>
      <c r="BP481" s="21">
        <v>0</v>
      </c>
      <c r="BQ481" s="21">
        <v>0</v>
      </c>
      <c r="BR481" s="21">
        <v>0</v>
      </c>
      <c r="BS481" s="21">
        <v>0</v>
      </c>
      <c r="BT481" s="21">
        <v>0</v>
      </c>
      <c r="BU481" s="21">
        <v>0</v>
      </c>
      <c r="BV481" s="21">
        <v>0</v>
      </c>
      <c r="BW481" s="21">
        <v>0</v>
      </c>
      <c r="BX481" s="21">
        <v>0</v>
      </c>
      <c r="BY481" s="21">
        <v>0</v>
      </c>
      <c r="BZ481" s="21">
        <v>0</v>
      </c>
      <c r="CA481" s="21">
        <v>0</v>
      </c>
      <c r="CB481" s="21">
        <v>0</v>
      </c>
      <c r="CC481" s="21">
        <v>0</v>
      </c>
      <c r="CD481" s="21">
        <v>0</v>
      </c>
      <c r="CE481" s="21">
        <v>0</v>
      </c>
      <c r="CF481" s="21">
        <v>0</v>
      </c>
      <c r="CG481" s="21">
        <v>0</v>
      </c>
      <c r="CH481" s="21">
        <v>0</v>
      </c>
      <c r="CI481" s="21">
        <v>0</v>
      </c>
      <c r="CJ481" s="21">
        <v>0</v>
      </c>
      <c r="CK481" s="21">
        <v>0</v>
      </c>
      <c r="CL481" s="21">
        <v>0</v>
      </c>
      <c r="CM481" s="21">
        <v>0</v>
      </c>
      <c r="CN481" s="21">
        <v>0</v>
      </c>
      <c r="CO481" s="21">
        <v>0</v>
      </c>
      <c r="CP481" s="21">
        <v>0</v>
      </c>
      <c r="CQ481" s="21">
        <v>0</v>
      </c>
      <c r="CR481" s="21">
        <v>0</v>
      </c>
      <c r="CS481" s="21">
        <v>0</v>
      </c>
      <c r="CT481" s="21">
        <v>0</v>
      </c>
      <c r="CU481" s="21">
        <v>0</v>
      </c>
      <c r="CV481" s="21">
        <v>0</v>
      </c>
      <c r="CW481" s="21">
        <v>0</v>
      </c>
      <c r="CX481" s="21">
        <v>0</v>
      </c>
      <c r="CY481" s="21">
        <v>0</v>
      </c>
      <c r="CZ481" s="21">
        <v>0</v>
      </c>
      <c r="DA481" s="21">
        <v>0</v>
      </c>
      <c r="DB481" s="21">
        <v>0</v>
      </c>
      <c r="DC481" s="21">
        <v>0</v>
      </c>
      <c r="DD481" s="21">
        <v>0</v>
      </c>
      <c r="DE481" s="21">
        <v>0</v>
      </c>
      <c r="DF481" s="21">
        <v>0</v>
      </c>
      <c r="DG481" s="21">
        <v>0</v>
      </c>
      <c r="DH481" s="21">
        <v>0</v>
      </c>
      <c r="DI481" s="21">
        <v>0</v>
      </c>
      <c r="DJ481" s="21">
        <v>0</v>
      </c>
      <c r="DK481" s="21">
        <v>0</v>
      </c>
      <c r="DL481" s="21">
        <v>0</v>
      </c>
      <c r="DM481" s="21">
        <v>0</v>
      </c>
      <c r="DN481" s="21">
        <v>0</v>
      </c>
      <c r="DO481" s="21">
        <v>0</v>
      </c>
      <c r="DP481" s="21">
        <v>0</v>
      </c>
      <c r="DQ481" s="21">
        <v>0</v>
      </c>
      <c r="DR481" s="21">
        <v>0</v>
      </c>
      <c r="DS481" s="21">
        <v>0</v>
      </c>
      <c r="DT481" s="21">
        <v>0</v>
      </c>
      <c r="DU481" s="21">
        <v>0</v>
      </c>
      <c r="DV481" s="21">
        <v>0</v>
      </c>
      <c r="DW481" s="21">
        <v>0</v>
      </c>
      <c r="DX481" s="21">
        <v>0</v>
      </c>
      <c r="DY481" s="21">
        <v>0</v>
      </c>
      <c r="DZ481" s="21">
        <v>0</v>
      </c>
      <c r="EA481" s="21">
        <v>0</v>
      </c>
      <c r="EB481" s="21">
        <v>0</v>
      </c>
      <c r="EC481" s="21">
        <v>0</v>
      </c>
      <c r="ED481" s="21">
        <v>0</v>
      </c>
      <c r="EE481" s="21">
        <v>0</v>
      </c>
      <c r="EF481" s="21">
        <v>0</v>
      </c>
    </row>
    <row r="482" spans="1:136" ht="14.5" x14ac:dyDescent="0.35">
      <c r="A482" s="20" t="s">
        <v>12</v>
      </c>
      <c r="B482" s="20" t="s">
        <v>377</v>
      </c>
      <c r="C482" s="20" t="s">
        <v>119</v>
      </c>
      <c r="D482" s="20" t="s">
        <v>336</v>
      </c>
      <c r="E482" s="20" t="s">
        <v>16</v>
      </c>
      <c r="F482" s="20" t="s">
        <v>77</v>
      </c>
      <c r="G482" s="21">
        <v>17.5</v>
      </c>
      <c r="H482" s="21">
        <v>17.5</v>
      </c>
      <c r="I482" s="21">
        <v>0</v>
      </c>
      <c r="J482" s="21">
        <v>17.5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>
        <v>0</v>
      </c>
      <c r="T482" s="21">
        <v>0</v>
      </c>
      <c r="U482" s="21">
        <v>0</v>
      </c>
      <c r="V482" s="21">
        <v>0</v>
      </c>
      <c r="W482" s="21">
        <v>0</v>
      </c>
      <c r="X482" s="21">
        <v>0</v>
      </c>
      <c r="Y482" s="21">
        <v>0</v>
      </c>
      <c r="Z482" s="21">
        <v>0</v>
      </c>
      <c r="AA482" s="21">
        <v>0</v>
      </c>
      <c r="AB482" s="21">
        <v>0</v>
      </c>
      <c r="AC482" s="21">
        <v>0</v>
      </c>
      <c r="AD482" s="21">
        <v>0</v>
      </c>
      <c r="AE482" s="21">
        <v>0</v>
      </c>
      <c r="AF482" s="21">
        <v>0</v>
      </c>
      <c r="AG482" s="21">
        <v>0</v>
      </c>
      <c r="AH482" s="21">
        <v>0</v>
      </c>
      <c r="AI482" s="21">
        <v>0</v>
      </c>
      <c r="AJ482" s="21">
        <v>0</v>
      </c>
      <c r="AK482" s="21">
        <v>0</v>
      </c>
      <c r="AL482" s="21">
        <v>0</v>
      </c>
      <c r="AM482" s="21">
        <v>0</v>
      </c>
      <c r="AN482" s="21">
        <v>0</v>
      </c>
      <c r="AO482" s="21">
        <v>0</v>
      </c>
      <c r="AP482" s="21">
        <v>0</v>
      </c>
      <c r="AQ482" s="21">
        <v>0</v>
      </c>
      <c r="AR482" s="21">
        <v>0</v>
      </c>
      <c r="AS482" s="21">
        <v>0</v>
      </c>
      <c r="AT482" s="21">
        <v>0</v>
      </c>
      <c r="AU482" s="21">
        <v>0</v>
      </c>
      <c r="AV482" s="21">
        <v>0</v>
      </c>
      <c r="AW482" s="21">
        <v>0</v>
      </c>
      <c r="AX482" s="21">
        <v>0</v>
      </c>
      <c r="AY482" s="21">
        <v>0</v>
      </c>
      <c r="AZ482" s="21">
        <v>0</v>
      </c>
      <c r="BA482" s="21">
        <v>0</v>
      </c>
      <c r="BB482" s="21">
        <v>0</v>
      </c>
      <c r="BC482" s="21">
        <v>0</v>
      </c>
      <c r="BD482" s="21">
        <v>0</v>
      </c>
      <c r="BE482" s="21">
        <v>0</v>
      </c>
      <c r="BF482" s="21">
        <v>0</v>
      </c>
      <c r="BG482" s="21">
        <v>0</v>
      </c>
      <c r="BH482" s="21">
        <v>0</v>
      </c>
      <c r="BI482" s="21">
        <v>0</v>
      </c>
      <c r="BJ482" s="21">
        <v>0</v>
      </c>
      <c r="BK482" s="21">
        <v>0</v>
      </c>
      <c r="BL482" s="21">
        <v>0</v>
      </c>
      <c r="BM482" s="21">
        <v>0</v>
      </c>
      <c r="BN482" s="21">
        <v>0</v>
      </c>
      <c r="BO482" s="21">
        <v>0</v>
      </c>
      <c r="BP482" s="21">
        <v>0</v>
      </c>
      <c r="BQ482" s="21">
        <v>0</v>
      </c>
      <c r="BR482" s="21">
        <v>0</v>
      </c>
      <c r="BS482" s="21">
        <v>0</v>
      </c>
      <c r="BT482" s="21">
        <v>0</v>
      </c>
      <c r="BU482" s="21">
        <v>0</v>
      </c>
      <c r="BV482" s="21">
        <v>0</v>
      </c>
      <c r="BW482" s="21">
        <v>0</v>
      </c>
      <c r="BX482" s="21">
        <v>0</v>
      </c>
      <c r="BY482" s="21">
        <v>0</v>
      </c>
      <c r="BZ482" s="21">
        <v>0</v>
      </c>
      <c r="CA482" s="21">
        <v>0</v>
      </c>
      <c r="CB482" s="21">
        <v>0</v>
      </c>
      <c r="CC482" s="21">
        <v>0</v>
      </c>
      <c r="CD482" s="21">
        <v>0</v>
      </c>
      <c r="CE482" s="21">
        <v>0</v>
      </c>
      <c r="CF482" s="21">
        <v>0</v>
      </c>
      <c r="CG482" s="21">
        <v>0</v>
      </c>
      <c r="CH482" s="21">
        <v>0</v>
      </c>
      <c r="CI482" s="21">
        <v>0</v>
      </c>
      <c r="CJ482" s="21">
        <v>0</v>
      </c>
      <c r="CK482" s="21">
        <v>0</v>
      </c>
      <c r="CL482" s="21">
        <v>0</v>
      </c>
      <c r="CM482" s="21">
        <v>0</v>
      </c>
      <c r="CN482" s="21">
        <v>0</v>
      </c>
      <c r="CO482" s="21">
        <v>0</v>
      </c>
      <c r="CP482" s="21">
        <v>0</v>
      </c>
      <c r="CQ482" s="21">
        <v>0</v>
      </c>
      <c r="CR482" s="21">
        <v>0</v>
      </c>
      <c r="CS482" s="21">
        <v>0</v>
      </c>
      <c r="CT482" s="21">
        <v>0</v>
      </c>
      <c r="CU482" s="21">
        <v>0</v>
      </c>
      <c r="CV482" s="21">
        <v>0</v>
      </c>
      <c r="CW482" s="21">
        <v>0</v>
      </c>
      <c r="CX482" s="21">
        <v>0</v>
      </c>
      <c r="CY482" s="21">
        <v>0</v>
      </c>
      <c r="CZ482" s="21">
        <v>0</v>
      </c>
      <c r="DA482" s="21">
        <v>0</v>
      </c>
      <c r="DB482" s="21">
        <v>0</v>
      </c>
      <c r="DC482" s="21">
        <v>0</v>
      </c>
      <c r="DD482" s="21">
        <v>0</v>
      </c>
      <c r="DE482" s="21">
        <v>0</v>
      </c>
      <c r="DF482" s="21">
        <v>0</v>
      </c>
      <c r="DG482" s="21">
        <v>0</v>
      </c>
      <c r="DH482" s="21">
        <v>0</v>
      </c>
      <c r="DI482" s="21">
        <v>0</v>
      </c>
      <c r="DJ482" s="21">
        <v>0</v>
      </c>
      <c r="DK482" s="21">
        <v>0</v>
      </c>
      <c r="DL482" s="21">
        <v>0</v>
      </c>
      <c r="DM482" s="21">
        <v>0</v>
      </c>
      <c r="DN482" s="21">
        <v>0</v>
      </c>
      <c r="DO482" s="21">
        <v>0</v>
      </c>
      <c r="DP482" s="21">
        <v>0</v>
      </c>
      <c r="DQ482" s="21">
        <v>0</v>
      </c>
      <c r="DR482" s="21">
        <v>0</v>
      </c>
      <c r="DS482" s="21">
        <v>0</v>
      </c>
      <c r="DT482" s="21">
        <v>0</v>
      </c>
      <c r="DU482" s="21">
        <v>0</v>
      </c>
      <c r="DV482" s="21">
        <v>0</v>
      </c>
      <c r="DW482" s="21">
        <v>0</v>
      </c>
      <c r="DX482" s="21">
        <v>0</v>
      </c>
      <c r="DY482" s="21">
        <v>0</v>
      </c>
      <c r="DZ482" s="21">
        <v>0</v>
      </c>
      <c r="EA482" s="21">
        <v>0</v>
      </c>
      <c r="EB482" s="21">
        <v>0</v>
      </c>
      <c r="EC482" s="21">
        <v>0</v>
      </c>
      <c r="ED482" s="21">
        <v>0</v>
      </c>
      <c r="EE482" s="21">
        <v>0</v>
      </c>
      <c r="EF482" s="21">
        <v>0</v>
      </c>
    </row>
    <row r="483" spans="1:136" ht="14.5" x14ac:dyDescent="0.35">
      <c r="A483" s="20" t="s">
        <v>12</v>
      </c>
      <c r="B483" s="20" t="s">
        <v>378</v>
      </c>
      <c r="C483" s="20" t="s">
        <v>119</v>
      </c>
      <c r="D483" s="20" t="s">
        <v>339</v>
      </c>
      <c r="E483" s="20" t="s">
        <v>14</v>
      </c>
      <c r="F483" s="20" t="s">
        <v>87</v>
      </c>
      <c r="G483" s="21">
        <v>8</v>
      </c>
      <c r="H483" s="21">
        <v>8</v>
      </c>
      <c r="I483" s="21">
        <v>0</v>
      </c>
      <c r="J483" s="21">
        <v>8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  <c r="Q483" s="21">
        <v>0</v>
      </c>
      <c r="R483" s="21">
        <v>0</v>
      </c>
      <c r="S483" s="21">
        <v>0</v>
      </c>
      <c r="T483" s="21">
        <v>0</v>
      </c>
      <c r="U483" s="21">
        <v>0</v>
      </c>
      <c r="V483" s="21">
        <v>0</v>
      </c>
      <c r="W483" s="21">
        <v>0</v>
      </c>
      <c r="X483" s="21">
        <v>0</v>
      </c>
      <c r="Y483" s="21">
        <v>0</v>
      </c>
      <c r="Z483" s="21">
        <v>0</v>
      </c>
      <c r="AA483" s="21">
        <v>0</v>
      </c>
      <c r="AB483" s="21">
        <v>0</v>
      </c>
      <c r="AC483" s="21">
        <v>0</v>
      </c>
      <c r="AD483" s="21">
        <v>0</v>
      </c>
      <c r="AE483" s="21">
        <v>0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0</v>
      </c>
      <c r="AL483" s="21">
        <v>0</v>
      </c>
      <c r="AM483" s="21">
        <v>0</v>
      </c>
      <c r="AN483" s="21">
        <v>0</v>
      </c>
      <c r="AO483" s="21">
        <v>0</v>
      </c>
      <c r="AP483" s="21">
        <v>0</v>
      </c>
      <c r="AQ483" s="21">
        <v>0</v>
      </c>
      <c r="AR483" s="21">
        <v>0</v>
      </c>
      <c r="AS483" s="21">
        <v>0</v>
      </c>
      <c r="AT483" s="21">
        <v>0</v>
      </c>
      <c r="AU483" s="21">
        <v>0</v>
      </c>
      <c r="AV483" s="21">
        <v>0</v>
      </c>
      <c r="AW483" s="21">
        <v>0</v>
      </c>
      <c r="AX483" s="21">
        <v>0</v>
      </c>
      <c r="AY483" s="21">
        <v>0</v>
      </c>
      <c r="AZ483" s="21">
        <v>0</v>
      </c>
      <c r="BA483" s="21">
        <v>0</v>
      </c>
      <c r="BB483" s="21">
        <v>0</v>
      </c>
      <c r="BC483" s="21">
        <v>0</v>
      </c>
      <c r="BD483" s="21">
        <v>0</v>
      </c>
      <c r="BE483" s="21">
        <v>0</v>
      </c>
      <c r="BF483" s="21">
        <v>0</v>
      </c>
      <c r="BG483" s="21">
        <v>0</v>
      </c>
      <c r="BH483" s="21">
        <v>0</v>
      </c>
      <c r="BI483" s="21">
        <v>0</v>
      </c>
      <c r="BJ483" s="21">
        <v>0</v>
      </c>
      <c r="BK483" s="21">
        <v>0</v>
      </c>
      <c r="BL483" s="21">
        <v>0</v>
      </c>
      <c r="BM483" s="21">
        <v>0</v>
      </c>
      <c r="BN483" s="21">
        <v>0</v>
      </c>
      <c r="BO483" s="21">
        <v>0</v>
      </c>
      <c r="BP483" s="21">
        <v>0</v>
      </c>
      <c r="BQ483" s="21">
        <v>0</v>
      </c>
      <c r="BR483" s="21">
        <v>0</v>
      </c>
      <c r="BS483" s="21">
        <v>0</v>
      </c>
      <c r="BT483" s="21">
        <v>0</v>
      </c>
      <c r="BU483" s="21">
        <v>0</v>
      </c>
      <c r="BV483" s="21">
        <v>0</v>
      </c>
      <c r="BW483" s="21">
        <v>0</v>
      </c>
      <c r="BX483" s="21">
        <v>0</v>
      </c>
      <c r="BY483" s="21">
        <v>0</v>
      </c>
      <c r="BZ483" s="21">
        <v>0</v>
      </c>
      <c r="CA483" s="21">
        <v>0</v>
      </c>
      <c r="CB483" s="21">
        <v>0</v>
      </c>
      <c r="CC483" s="21">
        <v>0</v>
      </c>
      <c r="CD483" s="21">
        <v>0</v>
      </c>
      <c r="CE483" s="21">
        <v>0</v>
      </c>
      <c r="CF483" s="21">
        <v>0</v>
      </c>
      <c r="CG483" s="21">
        <v>0</v>
      </c>
      <c r="CH483" s="21">
        <v>0</v>
      </c>
      <c r="CI483" s="21">
        <v>0</v>
      </c>
      <c r="CJ483" s="21">
        <v>0</v>
      </c>
      <c r="CK483" s="21">
        <v>0</v>
      </c>
      <c r="CL483" s="21">
        <v>0</v>
      </c>
      <c r="CM483" s="21">
        <v>0</v>
      </c>
      <c r="CN483" s="21">
        <v>0</v>
      </c>
      <c r="CO483" s="21">
        <v>0</v>
      </c>
      <c r="CP483" s="21">
        <v>0</v>
      </c>
      <c r="CQ483" s="21">
        <v>0</v>
      </c>
      <c r="CR483" s="21">
        <v>0</v>
      </c>
      <c r="CS483" s="21">
        <v>0</v>
      </c>
      <c r="CT483" s="21">
        <v>0</v>
      </c>
      <c r="CU483" s="21">
        <v>0</v>
      </c>
      <c r="CV483" s="21">
        <v>0</v>
      </c>
      <c r="CW483" s="21">
        <v>0</v>
      </c>
      <c r="CX483" s="21">
        <v>0</v>
      </c>
      <c r="CY483" s="21">
        <v>0</v>
      </c>
      <c r="CZ483" s="21">
        <v>0</v>
      </c>
      <c r="DA483" s="21">
        <v>0</v>
      </c>
      <c r="DB483" s="21">
        <v>0</v>
      </c>
      <c r="DC483" s="21">
        <v>0</v>
      </c>
      <c r="DD483" s="21">
        <v>0</v>
      </c>
      <c r="DE483" s="21">
        <v>0</v>
      </c>
      <c r="DF483" s="21">
        <v>0</v>
      </c>
      <c r="DG483" s="21">
        <v>0</v>
      </c>
      <c r="DH483" s="21">
        <v>0</v>
      </c>
      <c r="DI483" s="21">
        <v>0</v>
      </c>
      <c r="DJ483" s="21">
        <v>0</v>
      </c>
      <c r="DK483" s="21">
        <v>0</v>
      </c>
      <c r="DL483" s="21">
        <v>0</v>
      </c>
      <c r="DM483" s="21">
        <v>0</v>
      </c>
      <c r="DN483" s="21">
        <v>0</v>
      </c>
      <c r="DO483" s="21">
        <v>0</v>
      </c>
      <c r="DP483" s="21">
        <v>0</v>
      </c>
      <c r="DQ483" s="21">
        <v>0</v>
      </c>
      <c r="DR483" s="21">
        <v>0</v>
      </c>
      <c r="DS483" s="21">
        <v>0</v>
      </c>
      <c r="DT483" s="21">
        <v>0</v>
      </c>
      <c r="DU483" s="21">
        <v>0</v>
      </c>
      <c r="DV483" s="21">
        <v>0</v>
      </c>
      <c r="DW483" s="21">
        <v>0</v>
      </c>
      <c r="DX483" s="21">
        <v>0</v>
      </c>
      <c r="DY483" s="21">
        <v>0</v>
      </c>
      <c r="DZ483" s="21">
        <v>0</v>
      </c>
      <c r="EA483" s="21">
        <v>0</v>
      </c>
      <c r="EB483" s="21">
        <v>0</v>
      </c>
      <c r="EC483" s="21">
        <v>0</v>
      </c>
      <c r="ED483" s="21">
        <v>0</v>
      </c>
      <c r="EE483" s="21">
        <v>0</v>
      </c>
      <c r="EF483" s="21">
        <v>0</v>
      </c>
    </row>
    <row r="484" spans="1:136" ht="14.5" x14ac:dyDescent="0.35">
      <c r="A484" s="20" t="s">
        <v>12</v>
      </c>
      <c r="B484" s="20" t="s">
        <v>378</v>
      </c>
      <c r="C484" s="20" t="s">
        <v>119</v>
      </c>
      <c r="D484" s="20" t="s">
        <v>339</v>
      </c>
      <c r="E484" s="20" t="s">
        <v>14</v>
      </c>
      <c r="F484" s="20" t="s">
        <v>90</v>
      </c>
      <c r="G484" s="21">
        <v>34</v>
      </c>
      <c r="H484" s="21">
        <v>34</v>
      </c>
      <c r="I484" s="21">
        <v>0</v>
      </c>
      <c r="J484" s="21">
        <v>34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  <c r="Q484" s="21">
        <v>0</v>
      </c>
      <c r="R484" s="21">
        <v>0</v>
      </c>
      <c r="S484" s="21">
        <v>0</v>
      </c>
      <c r="T484" s="21">
        <v>0</v>
      </c>
      <c r="U484" s="21">
        <v>0</v>
      </c>
      <c r="V484" s="21">
        <v>0</v>
      </c>
      <c r="W484" s="21">
        <v>0</v>
      </c>
      <c r="X484" s="21">
        <v>0</v>
      </c>
      <c r="Y484" s="21">
        <v>0</v>
      </c>
      <c r="Z484" s="21">
        <v>0</v>
      </c>
      <c r="AA484" s="21">
        <v>0</v>
      </c>
      <c r="AB484" s="21">
        <v>0</v>
      </c>
      <c r="AC484" s="21">
        <v>0</v>
      </c>
      <c r="AD484" s="21">
        <v>0</v>
      </c>
      <c r="AE484" s="21">
        <v>0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0</v>
      </c>
      <c r="AL484" s="21">
        <v>0</v>
      </c>
      <c r="AM484" s="21">
        <v>0</v>
      </c>
      <c r="AN484" s="21">
        <v>0</v>
      </c>
      <c r="AO484" s="21">
        <v>0</v>
      </c>
      <c r="AP484" s="21">
        <v>0</v>
      </c>
      <c r="AQ484" s="21">
        <v>0</v>
      </c>
      <c r="AR484" s="21">
        <v>0</v>
      </c>
      <c r="AS484" s="21">
        <v>0</v>
      </c>
      <c r="AT484" s="21">
        <v>0</v>
      </c>
      <c r="AU484" s="21">
        <v>0</v>
      </c>
      <c r="AV484" s="21">
        <v>0</v>
      </c>
      <c r="AW484" s="21">
        <v>0</v>
      </c>
      <c r="AX484" s="21">
        <v>0</v>
      </c>
      <c r="AY484" s="21">
        <v>0</v>
      </c>
      <c r="AZ484" s="21">
        <v>0</v>
      </c>
      <c r="BA484" s="21">
        <v>0</v>
      </c>
      <c r="BB484" s="21">
        <v>0</v>
      </c>
      <c r="BC484" s="21">
        <v>0</v>
      </c>
      <c r="BD484" s="21">
        <v>0</v>
      </c>
      <c r="BE484" s="21">
        <v>0</v>
      </c>
      <c r="BF484" s="21">
        <v>0</v>
      </c>
      <c r="BG484" s="21">
        <v>0</v>
      </c>
      <c r="BH484" s="21">
        <v>0</v>
      </c>
      <c r="BI484" s="21">
        <v>0</v>
      </c>
      <c r="BJ484" s="21">
        <v>0</v>
      </c>
      <c r="BK484" s="21">
        <v>0</v>
      </c>
      <c r="BL484" s="21">
        <v>0</v>
      </c>
      <c r="BM484" s="21">
        <v>0</v>
      </c>
      <c r="BN484" s="21">
        <v>0</v>
      </c>
      <c r="BO484" s="21">
        <v>0</v>
      </c>
      <c r="BP484" s="21">
        <v>0</v>
      </c>
      <c r="BQ484" s="21">
        <v>0</v>
      </c>
      <c r="BR484" s="21">
        <v>0</v>
      </c>
      <c r="BS484" s="21">
        <v>0</v>
      </c>
      <c r="BT484" s="21">
        <v>0</v>
      </c>
      <c r="BU484" s="21">
        <v>0</v>
      </c>
      <c r="BV484" s="21">
        <v>0</v>
      </c>
      <c r="BW484" s="21">
        <v>0</v>
      </c>
      <c r="BX484" s="21">
        <v>0</v>
      </c>
      <c r="BY484" s="21">
        <v>0</v>
      </c>
      <c r="BZ484" s="21">
        <v>0</v>
      </c>
      <c r="CA484" s="21">
        <v>0</v>
      </c>
      <c r="CB484" s="21">
        <v>0</v>
      </c>
      <c r="CC484" s="21">
        <v>0</v>
      </c>
      <c r="CD484" s="21">
        <v>0</v>
      </c>
      <c r="CE484" s="21">
        <v>0</v>
      </c>
      <c r="CF484" s="21">
        <v>0</v>
      </c>
      <c r="CG484" s="21">
        <v>0</v>
      </c>
      <c r="CH484" s="21">
        <v>0</v>
      </c>
      <c r="CI484" s="21">
        <v>0</v>
      </c>
      <c r="CJ484" s="21">
        <v>0</v>
      </c>
      <c r="CK484" s="21">
        <v>0</v>
      </c>
      <c r="CL484" s="21">
        <v>0</v>
      </c>
      <c r="CM484" s="21">
        <v>0</v>
      </c>
      <c r="CN484" s="21">
        <v>0</v>
      </c>
      <c r="CO484" s="21">
        <v>0</v>
      </c>
      <c r="CP484" s="21">
        <v>0</v>
      </c>
      <c r="CQ484" s="21">
        <v>0</v>
      </c>
      <c r="CR484" s="21">
        <v>0</v>
      </c>
      <c r="CS484" s="21">
        <v>0</v>
      </c>
      <c r="CT484" s="21">
        <v>0</v>
      </c>
      <c r="CU484" s="21">
        <v>0</v>
      </c>
      <c r="CV484" s="21">
        <v>0</v>
      </c>
      <c r="CW484" s="21">
        <v>0</v>
      </c>
      <c r="CX484" s="21">
        <v>0</v>
      </c>
      <c r="CY484" s="21">
        <v>0</v>
      </c>
      <c r="CZ484" s="21">
        <v>0</v>
      </c>
      <c r="DA484" s="21">
        <v>0</v>
      </c>
      <c r="DB484" s="21">
        <v>0</v>
      </c>
      <c r="DC484" s="21">
        <v>0</v>
      </c>
      <c r="DD484" s="21">
        <v>0</v>
      </c>
      <c r="DE484" s="21">
        <v>0</v>
      </c>
      <c r="DF484" s="21">
        <v>0</v>
      </c>
      <c r="DG484" s="21">
        <v>0</v>
      </c>
      <c r="DH484" s="21">
        <v>0</v>
      </c>
      <c r="DI484" s="21">
        <v>0</v>
      </c>
      <c r="DJ484" s="21">
        <v>0</v>
      </c>
      <c r="DK484" s="21">
        <v>0</v>
      </c>
      <c r="DL484" s="21">
        <v>0</v>
      </c>
      <c r="DM484" s="21">
        <v>0</v>
      </c>
      <c r="DN484" s="21">
        <v>0</v>
      </c>
      <c r="DO484" s="21">
        <v>0</v>
      </c>
      <c r="DP484" s="21">
        <v>0</v>
      </c>
      <c r="DQ484" s="21">
        <v>0</v>
      </c>
      <c r="DR484" s="21">
        <v>0</v>
      </c>
      <c r="DS484" s="21">
        <v>0</v>
      </c>
      <c r="DT484" s="21">
        <v>0</v>
      </c>
      <c r="DU484" s="21">
        <v>0</v>
      </c>
      <c r="DV484" s="21">
        <v>0</v>
      </c>
      <c r="DW484" s="21">
        <v>0</v>
      </c>
      <c r="DX484" s="21">
        <v>0</v>
      </c>
      <c r="DY484" s="21">
        <v>0</v>
      </c>
      <c r="DZ484" s="21">
        <v>0</v>
      </c>
      <c r="EA484" s="21">
        <v>0</v>
      </c>
      <c r="EB484" s="21">
        <v>0</v>
      </c>
      <c r="EC484" s="21">
        <v>0</v>
      </c>
      <c r="ED484" s="21">
        <v>0</v>
      </c>
      <c r="EE484" s="21">
        <v>0</v>
      </c>
      <c r="EF484" s="21">
        <v>0</v>
      </c>
    </row>
    <row r="485" spans="1:136" ht="14.5" x14ac:dyDescent="0.35">
      <c r="A485" s="20" t="s">
        <v>12</v>
      </c>
      <c r="B485" s="20" t="s">
        <v>379</v>
      </c>
      <c r="C485" s="20" t="s">
        <v>136</v>
      </c>
      <c r="D485" s="20" t="s">
        <v>334</v>
      </c>
      <c r="E485" s="20" t="s">
        <v>10</v>
      </c>
      <c r="F485" s="20" t="s">
        <v>77</v>
      </c>
      <c r="G485" s="21">
        <v>53.2</v>
      </c>
      <c r="H485" s="21">
        <v>53.2</v>
      </c>
      <c r="I485" s="21">
        <v>0</v>
      </c>
      <c r="J485" s="21">
        <v>53.2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21">
        <v>0</v>
      </c>
      <c r="S485" s="21">
        <v>0</v>
      </c>
      <c r="T485" s="21">
        <v>0</v>
      </c>
      <c r="U485" s="21">
        <v>0</v>
      </c>
      <c r="V485" s="21">
        <v>0</v>
      </c>
      <c r="W485" s="21">
        <v>0</v>
      </c>
      <c r="X485" s="21">
        <v>0</v>
      </c>
      <c r="Y485" s="21">
        <v>0</v>
      </c>
      <c r="Z485" s="21">
        <v>0</v>
      </c>
      <c r="AA485" s="21">
        <v>0</v>
      </c>
      <c r="AB485" s="21">
        <v>0</v>
      </c>
      <c r="AC485" s="21">
        <v>0</v>
      </c>
      <c r="AD485" s="21">
        <v>0</v>
      </c>
      <c r="AE485" s="21">
        <v>0</v>
      </c>
      <c r="AF485" s="21">
        <v>0</v>
      </c>
      <c r="AG485" s="21">
        <v>0</v>
      </c>
      <c r="AH485" s="21">
        <v>0</v>
      </c>
      <c r="AI485" s="21">
        <v>0</v>
      </c>
      <c r="AJ485" s="21">
        <v>0</v>
      </c>
      <c r="AK485" s="21">
        <v>0</v>
      </c>
      <c r="AL485" s="21">
        <v>0</v>
      </c>
      <c r="AM485" s="21">
        <v>0</v>
      </c>
      <c r="AN485" s="21">
        <v>0</v>
      </c>
      <c r="AO485" s="21">
        <v>0</v>
      </c>
      <c r="AP485" s="21">
        <v>0</v>
      </c>
      <c r="AQ485" s="21">
        <v>0</v>
      </c>
      <c r="AR485" s="21">
        <v>0</v>
      </c>
      <c r="AS485" s="21">
        <v>0</v>
      </c>
      <c r="AT485" s="21">
        <v>0</v>
      </c>
      <c r="AU485" s="21">
        <v>0</v>
      </c>
      <c r="AV485" s="21">
        <v>0</v>
      </c>
      <c r="AW485" s="21">
        <v>0</v>
      </c>
      <c r="AX485" s="21">
        <v>0</v>
      </c>
      <c r="AY485" s="21">
        <v>0</v>
      </c>
      <c r="AZ485" s="21">
        <v>0</v>
      </c>
      <c r="BA485" s="21">
        <v>0</v>
      </c>
      <c r="BB485" s="21">
        <v>0</v>
      </c>
      <c r="BC485" s="21">
        <v>0</v>
      </c>
      <c r="BD485" s="21">
        <v>0</v>
      </c>
      <c r="BE485" s="21">
        <v>0</v>
      </c>
      <c r="BF485" s="21">
        <v>0</v>
      </c>
      <c r="BG485" s="21">
        <v>0</v>
      </c>
      <c r="BH485" s="21">
        <v>0</v>
      </c>
      <c r="BI485" s="21">
        <v>0</v>
      </c>
      <c r="BJ485" s="21">
        <v>0</v>
      </c>
      <c r="BK485" s="21">
        <v>0</v>
      </c>
      <c r="BL485" s="21">
        <v>0</v>
      </c>
      <c r="BM485" s="21">
        <v>0</v>
      </c>
      <c r="BN485" s="21">
        <v>0</v>
      </c>
      <c r="BO485" s="21">
        <v>0</v>
      </c>
      <c r="BP485" s="21">
        <v>0</v>
      </c>
      <c r="BQ485" s="21">
        <v>0</v>
      </c>
      <c r="BR485" s="21">
        <v>0</v>
      </c>
      <c r="BS485" s="21">
        <v>0</v>
      </c>
      <c r="BT485" s="21">
        <v>0</v>
      </c>
      <c r="BU485" s="21">
        <v>0</v>
      </c>
      <c r="BV485" s="21">
        <v>0</v>
      </c>
      <c r="BW485" s="21">
        <v>0</v>
      </c>
      <c r="BX485" s="21">
        <v>0</v>
      </c>
      <c r="BY485" s="21">
        <v>0</v>
      </c>
      <c r="BZ485" s="21">
        <v>0</v>
      </c>
      <c r="CA485" s="21">
        <v>0</v>
      </c>
      <c r="CB485" s="21">
        <v>0</v>
      </c>
      <c r="CC485" s="21">
        <v>0</v>
      </c>
      <c r="CD485" s="21">
        <v>0</v>
      </c>
      <c r="CE485" s="21">
        <v>0</v>
      </c>
      <c r="CF485" s="21">
        <v>0</v>
      </c>
      <c r="CG485" s="21">
        <v>0</v>
      </c>
      <c r="CH485" s="21">
        <v>0</v>
      </c>
      <c r="CI485" s="21">
        <v>0</v>
      </c>
      <c r="CJ485" s="21">
        <v>0</v>
      </c>
      <c r="CK485" s="21">
        <v>0</v>
      </c>
      <c r="CL485" s="21">
        <v>0</v>
      </c>
      <c r="CM485" s="21">
        <v>0</v>
      </c>
      <c r="CN485" s="21">
        <v>0</v>
      </c>
      <c r="CO485" s="21">
        <v>0</v>
      </c>
      <c r="CP485" s="21">
        <v>0</v>
      </c>
      <c r="CQ485" s="21">
        <v>0</v>
      </c>
      <c r="CR485" s="21">
        <v>0</v>
      </c>
      <c r="CS485" s="21">
        <v>0</v>
      </c>
      <c r="CT485" s="21">
        <v>0</v>
      </c>
      <c r="CU485" s="21">
        <v>0</v>
      </c>
      <c r="CV485" s="21">
        <v>0</v>
      </c>
      <c r="CW485" s="21">
        <v>0</v>
      </c>
      <c r="CX485" s="21">
        <v>0</v>
      </c>
      <c r="CY485" s="21">
        <v>0</v>
      </c>
      <c r="CZ485" s="21">
        <v>0</v>
      </c>
      <c r="DA485" s="21">
        <v>0</v>
      </c>
      <c r="DB485" s="21">
        <v>0</v>
      </c>
      <c r="DC485" s="21">
        <v>0</v>
      </c>
      <c r="DD485" s="21">
        <v>0</v>
      </c>
      <c r="DE485" s="21">
        <v>0</v>
      </c>
      <c r="DF485" s="21">
        <v>0</v>
      </c>
      <c r="DG485" s="21">
        <v>0</v>
      </c>
      <c r="DH485" s="21">
        <v>0</v>
      </c>
      <c r="DI485" s="21">
        <v>0</v>
      </c>
      <c r="DJ485" s="21">
        <v>0</v>
      </c>
      <c r="DK485" s="21">
        <v>0</v>
      </c>
      <c r="DL485" s="21">
        <v>0</v>
      </c>
      <c r="DM485" s="21">
        <v>0</v>
      </c>
      <c r="DN485" s="21">
        <v>0</v>
      </c>
      <c r="DO485" s="21">
        <v>0</v>
      </c>
      <c r="DP485" s="21">
        <v>0</v>
      </c>
      <c r="DQ485" s="21">
        <v>0</v>
      </c>
      <c r="DR485" s="21">
        <v>0</v>
      </c>
      <c r="DS485" s="21">
        <v>0</v>
      </c>
      <c r="DT485" s="21">
        <v>0</v>
      </c>
      <c r="DU485" s="21">
        <v>0</v>
      </c>
      <c r="DV485" s="21">
        <v>0</v>
      </c>
      <c r="DW485" s="21">
        <v>0</v>
      </c>
      <c r="DX485" s="21">
        <v>0</v>
      </c>
      <c r="DY485" s="21">
        <v>0</v>
      </c>
      <c r="DZ485" s="21">
        <v>0</v>
      </c>
      <c r="EA485" s="21">
        <v>0</v>
      </c>
      <c r="EB485" s="21">
        <v>0</v>
      </c>
      <c r="EC485" s="21">
        <v>0</v>
      </c>
      <c r="ED485" s="21">
        <v>0</v>
      </c>
      <c r="EE485" s="21">
        <v>0</v>
      </c>
      <c r="EF485" s="21">
        <v>0</v>
      </c>
    </row>
    <row r="486" spans="1:136" ht="14.5" x14ac:dyDescent="0.35">
      <c r="A486" s="20" t="s">
        <v>12</v>
      </c>
      <c r="B486" s="20" t="s">
        <v>380</v>
      </c>
      <c r="C486" s="20" t="s">
        <v>136</v>
      </c>
      <c r="D486" s="20" t="s">
        <v>339</v>
      </c>
      <c r="E486" s="20" t="s">
        <v>14</v>
      </c>
      <c r="F486" s="20" t="s">
        <v>87</v>
      </c>
      <c r="G486" s="21">
        <v>3</v>
      </c>
      <c r="H486" s="21">
        <v>3</v>
      </c>
      <c r="I486" s="21">
        <v>0</v>
      </c>
      <c r="J486" s="21">
        <v>3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21">
        <v>0</v>
      </c>
      <c r="S486" s="21">
        <v>0</v>
      </c>
      <c r="T486" s="21">
        <v>0</v>
      </c>
      <c r="U486" s="21">
        <v>0</v>
      </c>
      <c r="V486" s="21">
        <v>0</v>
      </c>
      <c r="W486" s="21">
        <v>0</v>
      </c>
      <c r="X486" s="21">
        <v>0</v>
      </c>
      <c r="Y486" s="21">
        <v>0</v>
      </c>
      <c r="Z486" s="21">
        <v>0</v>
      </c>
      <c r="AA486" s="21">
        <v>0</v>
      </c>
      <c r="AB486" s="21">
        <v>0</v>
      </c>
      <c r="AC486" s="21">
        <v>0</v>
      </c>
      <c r="AD486" s="21">
        <v>0</v>
      </c>
      <c r="AE486" s="21">
        <v>0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1">
        <v>0</v>
      </c>
      <c r="AL486" s="21">
        <v>0</v>
      </c>
      <c r="AM486" s="21">
        <v>0</v>
      </c>
      <c r="AN486" s="21">
        <v>0</v>
      </c>
      <c r="AO486" s="21">
        <v>0</v>
      </c>
      <c r="AP486" s="21">
        <v>0</v>
      </c>
      <c r="AQ486" s="21">
        <v>0</v>
      </c>
      <c r="AR486" s="21">
        <v>0</v>
      </c>
      <c r="AS486" s="21">
        <v>0</v>
      </c>
      <c r="AT486" s="21">
        <v>0</v>
      </c>
      <c r="AU486" s="21">
        <v>0</v>
      </c>
      <c r="AV486" s="21">
        <v>0</v>
      </c>
      <c r="AW486" s="21">
        <v>0</v>
      </c>
      <c r="AX486" s="21">
        <v>0</v>
      </c>
      <c r="AY486" s="21">
        <v>0</v>
      </c>
      <c r="AZ486" s="21">
        <v>0</v>
      </c>
      <c r="BA486" s="21">
        <v>0</v>
      </c>
      <c r="BB486" s="21">
        <v>0</v>
      </c>
      <c r="BC486" s="21">
        <v>0</v>
      </c>
      <c r="BD486" s="21">
        <v>0</v>
      </c>
      <c r="BE486" s="21">
        <v>0</v>
      </c>
      <c r="BF486" s="21">
        <v>0</v>
      </c>
      <c r="BG486" s="21">
        <v>0</v>
      </c>
      <c r="BH486" s="21">
        <v>0</v>
      </c>
      <c r="BI486" s="21">
        <v>0</v>
      </c>
      <c r="BJ486" s="21">
        <v>0</v>
      </c>
      <c r="BK486" s="21">
        <v>0</v>
      </c>
      <c r="BL486" s="21">
        <v>0</v>
      </c>
      <c r="BM486" s="21">
        <v>0</v>
      </c>
      <c r="BN486" s="21">
        <v>0</v>
      </c>
      <c r="BO486" s="21">
        <v>0</v>
      </c>
      <c r="BP486" s="21">
        <v>0</v>
      </c>
      <c r="BQ486" s="21">
        <v>0</v>
      </c>
      <c r="BR486" s="21">
        <v>0</v>
      </c>
      <c r="BS486" s="21">
        <v>0</v>
      </c>
      <c r="BT486" s="21">
        <v>0</v>
      </c>
      <c r="BU486" s="21">
        <v>0</v>
      </c>
      <c r="BV486" s="21">
        <v>0</v>
      </c>
      <c r="BW486" s="21">
        <v>0</v>
      </c>
      <c r="BX486" s="21">
        <v>0</v>
      </c>
      <c r="BY486" s="21">
        <v>0</v>
      </c>
      <c r="BZ486" s="21">
        <v>0</v>
      </c>
      <c r="CA486" s="21">
        <v>0</v>
      </c>
      <c r="CB486" s="21">
        <v>0</v>
      </c>
      <c r="CC486" s="21">
        <v>0</v>
      </c>
      <c r="CD486" s="21">
        <v>0</v>
      </c>
      <c r="CE486" s="21">
        <v>0</v>
      </c>
      <c r="CF486" s="21">
        <v>0</v>
      </c>
      <c r="CG486" s="21">
        <v>0</v>
      </c>
      <c r="CH486" s="21">
        <v>0</v>
      </c>
      <c r="CI486" s="21">
        <v>0</v>
      </c>
      <c r="CJ486" s="21">
        <v>0</v>
      </c>
      <c r="CK486" s="21">
        <v>0</v>
      </c>
      <c r="CL486" s="21">
        <v>0</v>
      </c>
      <c r="CM486" s="21">
        <v>0</v>
      </c>
      <c r="CN486" s="21">
        <v>0</v>
      </c>
      <c r="CO486" s="21">
        <v>0</v>
      </c>
      <c r="CP486" s="21">
        <v>0</v>
      </c>
      <c r="CQ486" s="21">
        <v>0</v>
      </c>
      <c r="CR486" s="21">
        <v>0</v>
      </c>
      <c r="CS486" s="21">
        <v>0</v>
      </c>
      <c r="CT486" s="21">
        <v>0</v>
      </c>
      <c r="CU486" s="21">
        <v>0</v>
      </c>
      <c r="CV486" s="21">
        <v>0</v>
      </c>
      <c r="CW486" s="21">
        <v>0</v>
      </c>
      <c r="CX486" s="21">
        <v>0</v>
      </c>
      <c r="CY486" s="21">
        <v>0</v>
      </c>
      <c r="CZ486" s="21">
        <v>0</v>
      </c>
      <c r="DA486" s="21">
        <v>0</v>
      </c>
      <c r="DB486" s="21">
        <v>0</v>
      </c>
      <c r="DC486" s="21">
        <v>0</v>
      </c>
      <c r="DD486" s="21">
        <v>0</v>
      </c>
      <c r="DE486" s="21">
        <v>0</v>
      </c>
      <c r="DF486" s="21">
        <v>0</v>
      </c>
      <c r="DG486" s="21">
        <v>0</v>
      </c>
      <c r="DH486" s="21">
        <v>0</v>
      </c>
      <c r="DI486" s="21">
        <v>0</v>
      </c>
      <c r="DJ486" s="21">
        <v>0</v>
      </c>
      <c r="DK486" s="21">
        <v>0</v>
      </c>
      <c r="DL486" s="21">
        <v>0</v>
      </c>
      <c r="DM486" s="21">
        <v>0</v>
      </c>
      <c r="DN486" s="21">
        <v>0</v>
      </c>
      <c r="DO486" s="21">
        <v>0</v>
      </c>
      <c r="DP486" s="21">
        <v>0</v>
      </c>
      <c r="DQ486" s="21">
        <v>0</v>
      </c>
      <c r="DR486" s="21">
        <v>0</v>
      </c>
      <c r="DS486" s="21">
        <v>0</v>
      </c>
      <c r="DT486" s="21">
        <v>0</v>
      </c>
      <c r="DU486" s="21">
        <v>0</v>
      </c>
      <c r="DV486" s="21">
        <v>0</v>
      </c>
      <c r="DW486" s="21">
        <v>0</v>
      </c>
      <c r="DX486" s="21">
        <v>0</v>
      </c>
      <c r="DY486" s="21">
        <v>0</v>
      </c>
      <c r="DZ486" s="21">
        <v>0</v>
      </c>
      <c r="EA486" s="21">
        <v>0</v>
      </c>
      <c r="EB486" s="21">
        <v>0</v>
      </c>
      <c r="EC486" s="21">
        <v>0</v>
      </c>
      <c r="ED486" s="21">
        <v>0</v>
      </c>
      <c r="EE486" s="21">
        <v>0</v>
      </c>
      <c r="EF486" s="21">
        <v>0</v>
      </c>
    </row>
    <row r="487" spans="1:136" ht="14.5" x14ac:dyDescent="0.35">
      <c r="A487" s="20" t="s">
        <v>12</v>
      </c>
      <c r="B487" s="20" t="s">
        <v>380</v>
      </c>
      <c r="C487" s="20" t="s">
        <v>136</v>
      </c>
      <c r="D487" s="20" t="s">
        <v>339</v>
      </c>
      <c r="E487" s="20" t="s">
        <v>14</v>
      </c>
      <c r="F487" s="20" t="s">
        <v>90</v>
      </c>
      <c r="G487" s="21">
        <v>98</v>
      </c>
      <c r="H487" s="21">
        <v>98</v>
      </c>
      <c r="I487" s="21">
        <v>0</v>
      </c>
      <c r="J487" s="21">
        <v>98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  <c r="Q487" s="21">
        <v>0</v>
      </c>
      <c r="R487" s="21">
        <v>0</v>
      </c>
      <c r="S487" s="21">
        <v>0</v>
      </c>
      <c r="T487" s="21">
        <v>0</v>
      </c>
      <c r="U487" s="21">
        <v>0</v>
      </c>
      <c r="V487" s="21">
        <v>0</v>
      </c>
      <c r="W487" s="21">
        <v>0</v>
      </c>
      <c r="X487" s="21">
        <v>0</v>
      </c>
      <c r="Y487" s="21">
        <v>0</v>
      </c>
      <c r="Z487" s="21">
        <v>0</v>
      </c>
      <c r="AA487" s="21">
        <v>0</v>
      </c>
      <c r="AB487" s="21">
        <v>0</v>
      </c>
      <c r="AC487" s="21">
        <v>0</v>
      </c>
      <c r="AD487" s="21">
        <v>0</v>
      </c>
      <c r="AE487" s="21">
        <v>0</v>
      </c>
      <c r="AF487" s="21">
        <v>0</v>
      </c>
      <c r="AG487" s="21">
        <v>0</v>
      </c>
      <c r="AH487" s="21">
        <v>0</v>
      </c>
      <c r="AI487" s="21">
        <v>0</v>
      </c>
      <c r="AJ487" s="21">
        <v>0</v>
      </c>
      <c r="AK487" s="21">
        <v>0</v>
      </c>
      <c r="AL487" s="21">
        <v>0</v>
      </c>
      <c r="AM487" s="21">
        <v>0</v>
      </c>
      <c r="AN487" s="21">
        <v>0</v>
      </c>
      <c r="AO487" s="21">
        <v>0</v>
      </c>
      <c r="AP487" s="21">
        <v>0</v>
      </c>
      <c r="AQ487" s="21">
        <v>0</v>
      </c>
      <c r="AR487" s="21">
        <v>0</v>
      </c>
      <c r="AS487" s="21">
        <v>0</v>
      </c>
      <c r="AT487" s="21">
        <v>0</v>
      </c>
      <c r="AU487" s="21">
        <v>0</v>
      </c>
      <c r="AV487" s="21">
        <v>0</v>
      </c>
      <c r="AW487" s="21">
        <v>0</v>
      </c>
      <c r="AX487" s="21">
        <v>0</v>
      </c>
      <c r="AY487" s="21">
        <v>0</v>
      </c>
      <c r="AZ487" s="21">
        <v>0</v>
      </c>
      <c r="BA487" s="21">
        <v>0</v>
      </c>
      <c r="BB487" s="21">
        <v>0</v>
      </c>
      <c r="BC487" s="21">
        <v>0</v>
      </c>
      <c r="BD487" s="21">
        <v>0</v>
      </c>
      <c r="BE487" s="21">
        <v>0</v>
      </c>
      <c r="BF487" s="21">
        <v>0</v>
      </c>
      <c r="BG487" s="21">
        <v>0</v>
      </c>
      <c r="BH487" s="21">
        <v>0</v>
      </c>
      <c r="BI487" s="21">
        <v>0</v>
      </c>
      <c r="BJ487" s="21">
        <v>0</v>
      </c>
      <c r="BK487" s="21">
        <v>0</v>
      </c>
      <c r="BL487" s="21">
        <v>0</v>
      </c>
      <c r="BM487" s="21">
        <v>0</v>
      </c>
      <c r="BN487" s="21">
        <v>0</v>
      </c>
      <c r="BO487" s="21">
        <v>0</v>
      </c>
      <c r="BP487" s="21">
        <v>0</v>
      </c>
      <c r="BQ487" s="21">
        <v>0</v>
      </c>
      <c r="BR487" s="21">
        <v>0</v>
      </c>
      <c r="BS487" s="21">
        <v>0</v>
      </c>
      <c r="BT487" s="21">
        <v>0</v>
      </c>
      <c r="BU487" s="21">
        <v>0</v>
      </c>
      <c r="BV487" s="21">
        <v>0</v>
      </c>
      <c r="BW487" s="21">
        <v>0</v>
      </c>
      <c r="BX487" s="21">
        <v>0</v>
      </c>
      <c r="BY487" s="21">
        <v>0</v>
      </c>
      <c r="BZ487" s="21">
        <v>0</v>
      </c>
      <c r="CA487" s="21">
        <v>0</v>
      </c>
      <c r="CB487" s="21">
        <v>0</v>
      </c>
      <c r="CC487" s="21">
        <v>0</v>
      </c>
      <c r="CD487" s="21">
        <v>0</v>
      </c>
      <c r="CE487" s="21">
        <v>0</v>
      </c>
      <c r="CF487" s="21">
        <v>0</v>
      </c>
      <c r="CG487" s="21">
        <v>0</v>
      </c>
      <c r="CH487" s="21">
        <v>0</v>
      </c>
      <c r="CI487" s="21">
        <v>0</v>
      </c>
      <c r="CJ487" s="21">
        <v>0</v>
      </c>
      <c r="CK487" s="21">
        <v>0</v>
      </c>
      <c r="CL487" s="21">
        <v>0</v>
      </c>
      <c r="CM487" s="21">
        <v>0</v>
      </c>
      <c r="CN487" s="21">
        <v>0</v>
      </c>
      <c r="CO487" s="21">
        <v>0</v>
      </c>
      <c r="CP487" s="21">
        <v>0</v>
      </c>
      <c r="CQ487" s="21">
        <v>0</v>
      </c>
      <c r="CR487" s="21">
        <v>0</v>
      </c>
      <c r="CS487" s="21">
        <v>0</v>
      </c>
      <c r="CT487" s="21">
        <v>0</v>
      </c>
      <c r="CU487" s="21">
        <v>0</v>
      </c>
      <c r="CV487" s="21">
        <v>0</v>
      </c>
      <c r="CW487" s="21">
        <v>0</v>
      </c>
      <c r="CX487" s="21">
        <v>0</v>
      </c>
      <c r="CY487" s="21">
        <v>0</v>
      </c>
      <c r="CZ487" s="21">
        <v>0</v>
      </c>
      <c r="DA487" s="21">
        <v>0</v>
      </c>
      <c r="DB487" s="21">
        <v>0</v>
      </c>
      <c r="DC487" s="21">
        <v>0</v>
      </c>
      <c r="DD487" s="21">
        <v>0</v>
      </c>
      <c r="DE487" s="21">
        <v>0</v>
      </c>
      <c r="DF487" s="21">
        <v>0</v>
      </c>
      <c r="DG487" s="21">
        <v>0</v>
      </c>
      <c r="DH487" s="21">
        <v>0</v>
      </c>
      <c r="DI487" s="21">
        <v>0</v>
      </c>
      <c r="DJ487" s="21">
        <v>0</v>
      </c>
      <c r="DK487" s="21">
        <v>0</v>
      </c>
      <c r="DL487" s="21">
        <v>0</v>
      </c>
      <c r="DM487" s="21">
        <v>0</v>
      </c>
      <c r="DN487" s="21">
        <v>0</v>
      </c>
      <c r="DO487" s="21">
        <v>0</v>
      </c>
      <c r="DP487" s="21">
        <v>0</v>
      </c>
      <c r="DQ487" s="21">
        <v>0</v>
      </c>
      <c r="DR487" s="21">
        <v>0</v>
      </c>
      <c r="DS487" s="21">
        <v>0</v>
      </c>
      <c r="DT487" s="21">
        <v>0</v>
      </c>
      <c r="DU487" s="21">
        <v>0</v>
      </c>
      <c r="DV487" s="21">
        <v>0</v>
      </c>
      <c r="DW487" s="21">
        <v>0</v>
      </c>
      <c r="DX487" s="21">
        <v>0</v>
      </c>
      <c r="DY487" s="21">
        <v>0</v>
      </c>
      <c r="DZ487" s="21">
        <v>0</v>
      </c>
      <c r="EA487" s="21">
        <v>0</v>
      </c>
      <c r="EB487" s="21">
        <v>0</v>
      </c>
      <c r="EC487" s="21">
        <v>0</v>
      </c>
      <c r="ED487" s="21">
        <v>0</v>
      </c>
      <c r="EE487" s="21">
        <v>0</v>
      </c>
      <c r="EF487" s="21">
        <v>0</v>
      </c>
    </row>
    <row r="488" spans="1:136" ht="14.5" x14ac:dyDescent="0.35">
      <c r="A488" s="20" t="s">
        <v>12</v>
      </c>
      <c r="B488" s="20" t="s">
        <v>381</v>
      </c>
      <c r="C488" s="20" t="s">
        <v>137</v>
      </c>
      <c r="D488" s="20" t="s">
        <v>334</v>
      </c>
      <c r="E488" s="20" t="s">
        <v>10</v>
      </c>
      <c r="F488" s="20" t="s">
        <v>77</v>
      </c>
      <c r="G488" s="21">
        <v>4.5</v>
      </c>
      <c r="H488" s="21">
        <v>4.5</v>
      </c>
      <c r="I488" s="21">
        <v>0</v>
      </c>
      <c r="J488" s="21">
        <v>4.5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0</v>
      </c>
      <c r="Q488" s="21">
        <v>0</v>
      </c>
      <c r="R488" s="21">
        <v>0</v>
      </c>
      <c r="S488" s="21">
        <v>0</v>
      </c>
      <c r="T488" s="21">
        <v>0</v>
      </c>
      <c r="U488" s="21">
        <v>0</v>
      </c>
      <c r="V488" s="21">
        <v>0</v>
      </c>
      <c r="W488" s="21">
        <v>0</v>
      </c>
      <c r="X488" s="21">
        <v>0</v>
      </c>
      <c r="Y488" s="21">
        <v>0</v>
      </c>
      <c r="Z488" s="21">
        <v>0</v>
      </c>
      <c r="AA488" s="21">
        <v>0</v>
      </c>
      <c r="AB488" s="21">
        <v>0</v>
      </c>
      <c r="AC488" s="21">
        <v>0</v>
      </c>
      <c r="AD488" s="21">
        <v>0</v>
      </c>
      <c r="AE488" s="21">
        <v>0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0</v>
      </c>
      <c r="AM488" s="21">
        <v>0</v>
      </c>
      <c r="AN488" s="21">
        <v>0</v>
      </c>
      <c r="AO488" s="21">
        <v>0</v>
      </c>
      <c r="AP488" s="21">
        <v>0</v>
      </c>
      <c r="AQ488" s="21">
        <v>0</v>
      </c>
      <c r="AR488" s="21">
        <v>0</v>
      </c>
      <c r="AS488" s="21">
        <v>0</v>
      </c>
      <c r="AT488" s="21">
        <v>0</v>
      </c>
      <c r="AU488" s="21">
        <v>0</v>
      </c>
      <c r="AV488" s="21">
        <v>0</v>
      </c>
      <c r="AW488" s="21">
        <v>0</v>
      </c>
      <c r="AX488" s="21">
        <v>0</v>
      </c>
      <c r="AY488" s="21">
        <v>0</v>
      </c>
      <c r="AZ488" s="21">
        <v>0</v>
      </c>
      <c r="BA488" s="21">
        <v>0</v>
      </c>
      <c r="BB488" s="21">
        <v>0</v>
      </c>
      <c r="BC488" s="21">
        <v>0</v>
      </c>
      <c r="BD488" s="21">
        <v>0</v>
      </c>
      <c r="BE488" s="21">
        <v>0</v>
      </c>
      <c r="BF488" s="21">
        <v>0</v>
      </c>
      <c r="BG488" s="21">
        <v>0</v>
      </c>
      <c r="BH488" s="21">
        <v>0</v>
      </c>
      <c r="BI488" s="21">
        <v>0</v>
      </c>
      <c r="BJ488" s="21">
        <v>0</v>
      </c>
      <c r="BK488" s="21">
        <v>0</v>
      </c>
      <c r="BL488" s="21">
        <v>0</v>
      </c>
      <c r="BM488" s="21">
        <v>0</v>
      </c>
      <c r="BN488" s="21">
        <v>0</v>
      </c>
      <c r="BO488" s="21">
        <v>0</v>
      </c>
      <c r="BP488" s="21">
        <v>0</v>
      </c>
      <c r="BQ488" s="21">
        <v>0</v>
      </c>
      <c r="BR488" s="21">
        <v>0</v>
      </c>
      <c r="BS488" s="21">
        <v>0</v>
      </c>
      <c r="BT488" s="21">
        <v>0</v>
      </c>
      <c r="BU488" s="21">
        <v>0</v>
      </c>
      <c r="BV488" s="21">
        <v>0</v>
      </c>
      <c r="BW488" s="21">
        <v>0</v>
      </c>
      <c r="BX488" s="21">
        <v>0</v>
      </c>
      <c r="BY488" s="21">
        <v>0</v>
      </c>
      <c r="BZ488" s="21">
        <v>0</v>
      </c>
      <c r="CA488" s="21">
        <v>0</v>
      </c>
      <c r="CB488" s="21">
        <v>0</v>
      </c>
      <c r="CC488" s="21">
        <v>0</v>
      </c>
      <c r="CD488" s="21">
        <v>0</v>
      </c>
      <c r="CE488" s="21">
        <v>0</v>
      </c>
      <c r="CF488" s="21">
        <v>0</v>
      </c>
      <c r="CG488" s="21">
        <v>0</v>
      </c>
      <c r="CH488" s="21">
        <v>0</v>
      </c>
      <c r="CI488" s="21">
        <v>0</v>
      </c>
      <c r="CJ488" s="21">
        <v>0</v>
      </c>
      <c r="CK488" s="21">
        <v>0</v>
      </c>
      <c r="CL488" s="21">
        <v>0</v>
      </c>
      <c r="CM488" s="21">
        <v>0</v>
      </c>
      <c r="CN488" s="21">
        <v>0</v>
      </c>
      <c r="CO488" s="21">
        <v>0</v>
      </c>
      <c r="CP488" s="21">
        <v>0</v>
      </c>
      <c r="CQ488" s="21">
        <v>0</v>
      </c>
      <c r="CR488" s="21">
        <v>0</v>
      </c>
      <c r="CS488" s="21">
        <v>0</v>
      </c>
      <c r="CT488" s="21">
        <v>0</v>
      </c>
      <c r="CU488" s="21">
        <v>0</v>
      </c>
      <c r="CV488" s="21">
        <v>0</v>
      </c>
      <c r="CW488" s="21">
        <v>0</v>
      </c>
      <c r="CX488" s="21">
        <v>0</v>
      </c>
      <c r="CY488" s="21">
        <v>0</v>
      </c>
      <c r="CZ488" s="21">
        <v>0</v>
      </c>
      <c r="DA488" s="21">
        <v>0</v>
      </c>
      <c r="DB488" s="21">
        <v>0</v>
      </c>
      <c r="DC488" s="21">
        <v>0</v>
      </c>
      <c r="DD488" s="21">
        <v>0</v>
      </c>
      <c r="DE488" s="21">
        <v>0</v>
      </c>
      <c r="DF488" s="21">
        <v>0</v>
      </c>
      <c r="DG488" s="21">
        <v>0</v>
      </c>
      <c r="DH488" s="21">
        <v>0</v>
      </c>
      <c r="DI488" s="21">
        <v>0</v>
      </c>
      <c r="DJ488" s="21">
        <v>0</v>
      </c>
      <c r="DK488" s="21">
        <v>0</v>
      </c>
      <c r="DL488" s="21">
        <v>0</v>
      </c>
      <c r="DM488" s="21">
        <v>0</v>
      </c>
      <c r="DN488" s="21">
        <v>0</v>
      </c>
      <c r="DO488" s="21">
        <v>0</v>
      </c>
      <c r="DP488" s="21">
        <v>0</v>
      </c>
      <c r="DQ488" s="21">
        <v>0</v>
      </c>
      <c r="DR488" s="21">
        <v>0</v>
      </c>
      <c r="DS488" s="21">
        <v>0</v>
      </c>
      <c r="DT488" s="21">
        <v>0</v>
      </c>
      <c r="DU488" s="21">
        <v>0</v>
      </c>
      <c r="DV488" s="21">
        <v>0</v>
      </c>
      <c r="DW488" s="21">
        <v>0</v>
      </c>
      <c r="DX488" s="21">
        <v>0</v>
      </c>
      <c r="DY488" s="21">
        <v>0</v>
      </c>
      <c r="DZ488" s="21">
        <v>0</v>
      </c>
      <c r="EA488" s="21">
        <v>0</v>
      </c>
      <c r="EB488" s="21">
        <v>0</v>
      </c>
      <c r="EC488" s="21">
        <v>0</v>
      </c>
      <c r="ED488" s="21">
        <v>0</v>
      </c>
      <c r="EE488" s="21">
        <v>0</v>
      </c>
      <c r="EF488" s="21">
        <v>0</v>
      </c>
    </row>
    <row r="489" spans="1:136" ht="14.5" x14ac:dyDescent="0.35">
      <c r="A489" s="20" t="s">
        <v>12</v>
      </c>
      <c r="B489" s="20" t="s">
        <v>382</v>
      </c>
      <c r="C489" s="20" t="s">
        <v>137</v>
      </c>
      <c r="D489" s="20" t="s">
        <v>339</v>
      </c>
      <c r="E489" s="20" t="s">
        <v>14</v>
      </c>
      <c r="F489" s="20" t="s">
        <v>90</v>
      </c>
      <c r="G489" s="21">
        <v>52</v>
      </c>
      <c r="H489" s="21">
        <v>52</v>
      </c>
      <c r="I489" s="21">
        <v>0</v>
      </c>
      <c r="J489" s="21">
        <v>52</v>
      </c>
      <c r="K489" s="21">
        <v>0</v>
      </c>
      <c r="L489" s="21">
        <v>0</v>
      </c>
      <c r="M489" s="21">
        <v>0</v>
      </c>
      <c r="N489" s="21">
        <v>0</v>
      </c>
      <c r="O489" s="21">
        <v>0</v>
      </c>
      <c r="P489" s="21">
        <v>0</v>
      </c>
      <c r="Q489" s="21">
        <v>0</v>
      </c>
      <c r="R489" s="21">
        <v>0</v>
      </c>
      <c r="S489" s="21">
        <v>0</v>
      </c>
      <c r="T489" s="21">
        <v>0</v>
      </c>
      <c r="U489" s="21">
        <v>0</v>
      </c>
      <c r="V489" s="21">
        <v>0</v>
      </c>
      <c r="W489" s="21">
        <v>0</v>
      </c>
      <c r="X489" s="21">
        <v>0</v>
      </c>
      <c r="Y489" s="21">
        <v>0</v>
      </c>
      <c r="Z489" s="21">
        <v>0</v>
      </c>
      <c r="AA489" s="21">
        <v>0</v>
      </c>
      <c r="AB489" s="21">
        <v>0</v>
      </c>
      <c r="AC489" s="21">
        <v>0</v>
      </c>
      <c r="AD489" s="21">
        <v>0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0</v>
      </c>
      <c r="AL489" s="21">
        <v>0</v>
      </c>
      <c r="AM489" s="21">
        <v>0</v>
      </c>
      <c r="AN489" s="21">
        <v>0</v>
      </c>
      <c r="AO489" s="21">
        <v>0</v>
      </c>
      <c r="AP489" s="21">
        <v>0</v>
      </c>
      <c r="AQ489" s="21">
        <v>0</v>
      </c>
      <c r="AR489" s="21">
        <v>0</v>
      </c>
      <c r="AS489" s="21">
        <v>0</v>
      </c>
      <c r="AT489" s="21">
        <v>0</v>
      </c>
      <c r="AU489" s="21">
        <v>0</v>
      </c>
      <c r="AV489" s="21">
        <v>0</v>
      </c>
      <c r="AW489" s="21">
        <v>0</v>
      </c>
      <c r="AX489" s="21">
        <v>0</v>
      </c>
      <c r="AY489" s="21">
        <v>0</v>
      </c>
      <c r="AZ489" s="21">
        <v>0</v>
      </c>
      <c r="BA489" s="21">
        <v>0</v>
      </c>
      <c r="BB489" s="21">
        <v>0</v>
      </c>
      <c r="BC489" s="21">
        <v>0</v>
      </c>
      <c r="BD489" s="21">
        <v>0</v>
      </c>
      <c r="BE489" s="21">
        <v>0</v>
      </c>
      <c r="BF489" s="21">
        <v>0</v>
      </c>
      <c r="BG489" s="21">
        <v>0</v>
      </c>
      <c r="BH489" s="21">
        <v>0</v>
      </c>
      <c r="BI489" s="21">
        <v>0</v>
      </c>
      <c r="BJ489" s="21">
        <v>0</v>
      </c>
      <c r="BK489" s="21">
        <v>0</v>
      </c>
      <c r="BL489" s="21">
        <v>0</v>
      </c>
      <c r="BM489" s="21">
        <v>0</v>
      </c>
      <c r="BN489" s="21">
        <v>0</v>
      </c>
      <c r="BO489" s="21">
        <v>0</v>
      </c>
      <c r="BP489" s="21">
        <v>0</v>
      </c>
      <c r="BQ489" s="21">
        <v>0</v>
      </c>
      <c r="BR489" s="21">
        <v>0</v>
      </c>
      <c r="BS489" s="21">
        <v>0</v>
      </c>
      <c r="BT489" s="21">
        <v>0</v>
      </c>
      <c r="BU489" s="21">
        <v>0</v>
      </c>
      <c r="BV489" s="21">
        <v>0</v>
      </c>
      <c r="BW489" s="21">
        <v>0</v>
      </c>
      <c r="BX489" s="21">
        <v>0</v>
      </c>
      <c r="BY489" s="21">
        <v>0</v>
      </c>
      <c r="BZ489" s="21">
        <v>0</v>
      </c>
      <c r="CA489" s="21">
        <v>0</v>
      </c>
      <c r="CB489" s="21">
        <v>0</v>
      </c>
      <c r="CC489" s="21">
        <v>0</v>
      </c>
      <c r="CD489" s="21">
        <v>0</v>
      </c>
      <c r="CE489" s="21">
        <v>0</v>
      </c>
      <c r="CF489" s="21">
        <v>0</v>
      </c>
      <c r="CG489" s="21">
        <v>0</v>
      </c>
      <c r="CH489" s="21">
        <v>0</v>
      </c>
      <c r="CI489" s="21">
        <v>0</v>
      </c>
      <c r="CJ489" s="21">
        <v>0</v>
      </c>
      <c r="CK489" s="21">
        <v>0</v>
      </c>
      <c r="CL489" s="21">
        <v>0</v>
      </c>
      <c r="CM489" s="21">
        <v>0</v>
      </c>
      <c r="CN489" s="21">
        <v>0</v>
      </c>
      <c r="CO489" s="21">
        <v>0</v>
      </c>
      <c r="CP489" s="21">
        <v>0</v>
      </c>
      <c r="CQ489" s="21">
        <v>0</v>
      </c>
      <c r="CR489" s="21">
        <v>0</v>
      </c>
      <c r="CS489" s="21">
        <v>0</v>
      </c>
      <c r="CT489" s="21">
        <v>0</v>
      </c>
      <c r="CU489" s="21">
        <v>0</v>
      </c>
      <c r="CV489" s="21">
        <v>0</v>
      </c>
      <c r="CW489" s="21">
        <v>0</v>
      </c>
      <c r="CX489" s="21">
        <v>0</v>
      </c>
      <c r="CY489" s="21">
        <v>0</v>
      </c>
      <c r="CZ489" s="21">
        <v>0</v>
      </c>
      <c r="DA489" s="21">
        <v>0</v>
      </c>
      <c r="DB489" s="21">
        <v>0</v>
      </c>
      <c r="DC489" s="21">
        <v>0</v>
      </c>
      <c r="DD489" s="21">
        <v>0</v>
      </c>
      <c r="DE489" s="21">
        <v>0</v>
      </c>
      <c r="DF489" s="21">
        <v>0</v>
      </c>
      <c r="DG489" s="21">
        <v>0</v>
      </c>
      <c r="DH489" s="21">
        <v>0</v>
      </c>
      <c r="DI489" s="21">
        <v>0</v>
      </c>
      <c r="DJ489" s="21">
        <v>0</v>
      </c>
      <c r="DK489" s="21">
        <v>0</v>
      </c>
      <c r="DL489" s="21">
        <v>0</v>
      </c>
      <c r="DM489" s="21">
        <v>0</v>
      </c>
      <c r="DN489" s="21">
        <v>0</v>
      </c>
      <c r="DO489" s="21">
        <v>0</v>
      </c>
      <c r="DP489" s="21">
        <v>0</v>
      </c>
      <c r="DQ489" s="21">
        <v>0</v>
      </c>
      <c r="DR489" s="21">
        <v>0</v>
      </c>
      <c r="DS489" s="21">
        <v>0</v>
      </c>
      <c r="DT489" s="21">
        <v>0</v>
      </c>
      <c r="DU489" s="21">
        <v>0</v>
      </c>
      <c r="DV489" s="21">
        <v>0</v>
      </c>
      <c r="DW489" s="21">
        <v>0</v>
      </c>
      <c r="DX489" s="21">
        <v>0</v>
      </c>
      <c r="DY489" s="21">
        <v>0</v>
      </c>
      <c r="DZ489" s="21">
        <v>0</v>
      </c>
      <c r="EA489" s="21">
        <v>0</v>
      </c>
      <c r="EB489" s="21">
        <v>0</v>
      </c>
      <c r="EC489" s="21">
        <v>0</v>
      </c>
      <c r="ED489" s="21">
        <v>0</v>
      </c>
      <c r="EE489" s="21">
        <v>0</v>
      </c>
      <c r="EF489" s="21">
        <v>0</v>
      </c>
    </row>
    <row r="490" spans="1:136" ht="14.5" x14ac:dyDescent="0.35">
      <c r="A490" s="20" t="s">
        <v>12</v>
      </c>
      <c r="B490" s="20" t="s">
        <v>383</v>
      </c>
      <c r="C490" s="20" t="s">
        <v>162</v>
      </c>
      <c r="D490" s="20" t="s">
        <v>339</v>
      </c>
      <c r="E490" s="20" t="s">
        <v>14</v>
      </c>
      <c r="F490" s="20" t="s">
        <v>77</v>
      </c>
      <c r="G490" s="21">
        <v>54.5</v>
      </c>
      <c r="H490" s="21">
        <v>54.5</v>
      </c>
      <c r="I490" s="21">
        <v>0</v>
      </c>
      <c r="J490" s="21">
        <v>54.5</v>
      </c>
      <c r="K490" s="21">
        <v>0</v>
      </c>
      <c r="L490" s="21">
        <v>0</v>
      </c>
      <c r="M490" s="21">
        <v>0</v>
      </c>
      <c r="N490" s="21">
        <v>0</v>
      </c>
      <c r="O490" s="21">
        <v>0</v>
      </c>
      <c r="P490" s="21">
        <v>0</v>
      </c>
      <c r="Q490" s="21">
        <v>0</v>
      </c>
      <c r="R490" s="21">
        <v>0</v>
      </c>
      <c r="S490" s="21">
        <v>0</v>
      </c>
      <c r="T490" s="21">
        <v>0</v>
      </c>
      <c r="U490" s="21">
        <v>0</v>
      </c>
      <c r="V490" s="21">
        <v>0</v>
      </c>
      <c r="W490" s="21">
        <v>0</v>
      </c>
      <c r="X490" s="21">
        <v>0</v>
      </c>
      <c r="Y490" s="21">
        <v>0</v>
      </c>
      <c r="Z490" s="21">
        <v>0</v>
      </c>
      <c r="AA490" s="21">
        <v>0</v>
      </c>
      <c r="AB490" s="21">
        <v>0</v>
      </c>
      <c r="AC490" s="21">
        <v>0</v>
      </c>
      <c r="AD490" s="21">
        <v>0</v>
      </c>
      <c r="AE490" s="21">
        <v>0</v>
      </c>
      <c r="AF490" s="21">
        <v>0</v>
      </c>
      <c r="AG490" s="21">
        <v>0</v>
      </c>
      <c r="AH490" s="21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0</v>
      </c>
      <c r="AN490" s="21">
        <v>0</v>
      </c>
      <c r="AO490" s="21">
        <v>0</v>
      </c>
      <c r="AP490" s="21">
        <v>0</v>
      </c>
      <c r="AQ490" s="21">
        <v>0</v>
      </c>
      <c r="AR490" s="21">
        <v>0</v>
      </c>
      <c r="AS490" s="21">
        <v>0</v>
      </c>
      <c r="AT490" s="21">
        <v>0</v>
      </c>
      <c r="AU490" s="21">
        <v>0</v>
      </c>
      <c r="AV490" s="21">
        <v>0</v>
      </c>
      <c r="AW490" s="21">
        <v>0</v>
      </c>
      <c r="AX490" s="21">
        <v>0</v>
      </c>
      <c r="AY490" s="21">
        <v>0</v>
      </c>
      <c r="AZ490" s="21">
        <v>0</v>
      </c>
      <c r="BA490" s="21">
        <v>0</v>
      </c>
      <c r="BB490" s="21">
        <v>0</v>
      </c>
      <c r="BC490" s="21">
        <v>0</v>
      </c>
      <c r="BD490" s="21">
        <v>0</v>
      </c>
      <c r="BE490" s="21">
        <v>0</v>
      </c>
      <c r="BF490" s="21">
        <v>0</v>
      </c>
      <c r="BG490" s="21">
        <v>0</v>
      </c>
      <c r="BH490" s="21">
        <v>0</v>
      </c>
      <c r="BI490" s="21">
        <v>0</v>
      </c>
      <c r="BJ490" s="21">
        <v>0</v>
      </c>
      <c r="BK490" s="21">
        <v>0</v>
      </c>
      <c r="BL490" s="21">
        <v>0</v>
      </c>
      <c r="BM490" s="21">
        <v>0</v>
      </c>
      <c r="BN490" s="21">
        <v>0</v>
      </c>
      <c r="BO490" s="21">
        <v>0</v>
      </c>
      <c r="BP490" s="21">
        <v>0</v>
      </c>
      <c r="BQ490" s="21">
        <v>0</v>
      </c>
      <c r="BR490" s="21">
        <v>0</v>
      </c>
      <c r="BS490" s="21">
        <v>0</v>
      </c>
      <c r="BT490" s="21">
        <v>0</v>
      </c>
      <c r="BU490" s="21">
        <v>0</v>
      </c>
      <c r="BV490" s="21">
        <v>0</v>
      </c>
      <c r="BW490" s="21">
        <v>0</v>
      </c>
      <c r="BX490" s="21">
        <v>0</v>
      </c>
      <c r="BY490" s="21">
        <v>0</v>
      </c>
      <c r="BZ490" s="21">
        <v>0</v>
      </c>
      <c r="CA490" s="21">
        <v>0</v>
      </c>
      <c r="CB490" s="21">
        <v>0</v>
      </c>
      <c r="CC490" s="21">
        <v>0</v>
      </c>
      <c r="CD490" s="21">
        <v>0</v>
      </c>
      <c r="CE490" s="21">
        <v>0</v>
      </c>
      <c r="CF490" s="21">
        <v>0</v>
      </c>
      <c r="CG490" s="21">
        <v>0</v>
      </c>
      <c r="CH490" s="21">
        <v>0</v>
      </c>
      <c r="CI490" s="21">
        <v>0</v>
      </c>
      <c r="CJ490" s="21">
        <v>0</v>
      </c>
      <c r="CK490" s="21">
        <v>0</v>
      </c>
      <c r="CL490" s="21">
        <v>0</v>
      </c>
      <c r="CM490" s="21">
        <v>0</v>
      </c>
      <c r="CN490" s="21">
        <v>0</v>
      </c>
      <c r="CO490" s="21">
        <v>0</v>
      </c>
      <c r="CP490" s="21">
        <v>0</v>
      </c>
      <c r="CQ490" s="21">
        <v>0</v>
      </c>
      <c r="CR490" s="21">
        <v>0</v>
      </c>
      <c r="CS490" s="21">
        <v>0</v>
      </c>
      <c r="CT490" s="21">
        <v>0</v>
      </c>
      <c r="CU490" s="21">
        <v>0</v>
      </c>
      <c r="CV490" s="21">
        <v>0</v>
      </c>
      <c r="CW490" s="21">
        <v>0</v>
      </c>
      <c r="CX490" s="21">
        <v>0</v>
      </c>
      <c r="CY490" s="21">
        <v>0</v>
      </c>
      <c r="CZ490" s="21">
        <v>0</v>
      </c>
      <c r="DA490" s="21">
        <v>0</v>
      </c>
      <c r="DB490" s="21">
        <v>0</v>
      </c>
      <c r="DC490" s="21">
        <v>0</v>
      </c>
      <c r="DD490" s="21">
        <v>0</v>
      </c>
      <c r="DE490" s="21">
        <v>0</v>
      </c>
      <c r="DF490" s="21">
        <v>0</v>
      </c>
      <c r="DG490" s="21">
        <v>0</v>
      </c>
      <c r="DH490" s="21">
        <v>0</v>
      </c>
      <c r="DI490" s="21">
        <v>0</v>
      </c>
      <c r="DJ490" s="21">
        <v>0</v>
      </c>
      <c r="DK490" s="21">
        <v>0</v>
      </c>
      <c r="DL490" s="21">
        <v>0</v>
      </c>
      <c r="DM490" s="21">
        <v>0</v>
      </c>
      <c r="DN490" s="21">
        <v>0</v>
      </c>
      <c r="DO490" s="21">
        <v>0</v>
      </c>
      <c r="DP490" s="21">
        <v>0</v>
      </c>
      <c r="DQ490" s="21">
        <v>0</v>
      </c>
      <c r="DR490" s="21">
        <v>0</v>
      </c>
      <c r="DS490" s="21">
        <v>0</v>
      </c>
      <c r="DT490" s="21">
        <v>0</v>
      </c>
      <c r="DU490" s="21">
        <v>0</v>
      </c>
      <c r="DV490" s="21">
        <v>0</v>
      </c>
      <c r="DW490" s="21">
        <v>0</v>
      </c>
      <c r="DX490" s="21">
        <v>0</v>
      </c>
      <c r="DY490" s="21">
        <v>0</v>
      </c>
      <c r="DZ490" s="21">
        <v>0</v>
      </c>
      <c r="EA490" s="21">
        <v>0</v>
      </c>
      <c r="EB490" s="21">
        <v>0</v>
      </c>
      <c r="EC490" s="21">
        <v>0</v>
      </c>
      <c r="ED490" s="21">
        <v>0</v>
      </c>
      <c r="EE490" s="21">
        <v>0</v>
      </c>
      <c r="EF490" s="21">
        <v>0</v>
      </c>
    </row>
    <row r="491" spans="1:136" ht="14.5" x14ac:dyDescent="0.35">
      <c r="A491" s="20" t="s">
        <v>12</v>
      </c>
      <c r="B491" s="20" t="s">
        <v>383</v>
      </c>
      <c r="C491" s="20" t="s">
        <v>162</v>
      </c>
      <c r="D491" s="20" t="s">
        <v>339</v>
      </c>
      <c r="E491" s="20" t="s">
        <v>14</v>
      </c>
      <c r="F491" s="20" t="s">
        <v>90</v>
      </c>
      <c r="G491" s="21">
        <v>2</v>
      </c>
      <c r="H491" s="21">
        <v>2</v>
      </c>
      <c r="I491" s="21">
        <v>0</v>
      </c>
      <c r="J491" s="21">
        <v>2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1">
        <v>0</v>
      </c>
      <c r="S491" s="21">
        <v>0</v>
      </c>
      <c r="T491" s="21">
        <v>0</v>
      </c>
      <c r="U491" s="21">
        <v>0</v>
      </c>
      <c r="V491" s="21">
        <v>0</v>
      </c>
      <c r="W491" s="21">
        <v>0</v>
      </c>
      <c r="X491" s="21">
        <v>0</v>
      </c>
      <c r="Y491" s="21">
        <v>0</v>
      </c>
      <c r="Z491" s="21">
        <v>0</v>
      </c>
      <c r="AA491" s="21">
        <v>0</v>
      </c>
      <c r="AB491" s="21">
        <v>0</v>
      </c>
      <c r="AC491" s="21">
        <v>0</v>
      </c>
      <c r="AD491" s="21">
        <v>0</v>
      </c>
      <c r="AE491" s="21">
        <v>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1">
        <v>0</v>
      </c>
      <c r="AN491" s="21">
        <v>0</v>
      </c>
      <c r="AO491" s="21">
        <v>0</v>
      </c>
      <c r="AP491" s="21">
        <v>0</v>
      </c>
      <c r="AQ491" s="21">
        <v>0</v>
      </c>
      <c r="AR491" s="21">
        <v>0</v>
      </c>
      <c r="AS491" s="21">
        <v>0</v>
      </c>
      <c r="AT491" s="21">
        <v>0</v>
      </c>
      <c r="AU491" s="21">
        <v>0</v>
      </c>
      <c r="AV491" s="21">
        <v>0</v>
      </c>
      <c r="AW491" s="21">
        <v>0</v>
      </c>
      <c r="AX491" s="21">
        <v>0</v>
      </c>
      <c r="AY491" s="21">
        <v>0</v>
      </c>
      <c r="AZ491" s="21">
        <v>0</v>
      </c>
      <c r="BA491" s="21">
        <v>0</v>
      </c>
      <c r="BB491" s="21">
        <v>0</v>
      </c>
      <c r="BC491" s="21">
        <v>0</v>
      </c>
      <c r="BD491" s="21">
        <v>0</v>
      </c>
      <c r="BE491" s="21">
        <v>0</v>
      </c>
      <c r="BF491" s="21">
        <v>0</v>
      </c>
      <c r="BG491" s="21">
        <v>0</v>
      </c>
      <c r="BH491" s="21">
        <v>0</v>
      </c>
      <c r="BI491" s="21">
        <v>0</v>
      </c>
      <c r="BJ491" s="21">
        <v>0</v>
      </c>
      <c r="BK491" s="21">
        <v>0</v>
      </c>
      <c r="BL491" s="21">
        <v>0</v>
      </c>
      <c r="BM491" s="21">
        <v>0</v>
      </c>
      <c r="BN491" s="21">
        <v>0</v>
      </c>
      <c r="BO491" s="21">
        <v>0</v>
      </c>
      <c r="BP491" s="21">
        <v>0</v>
      </c>
      <c r="BQ491" s="21">
        <v>0</v>
      </c>
      <c r="BR491" s="21">
        <v>0</v>
      </c>
      <c r="BS491" s="21">
        <v>0</v>
      </c>
      <c r="BT491" s="21">
        <v>0</v>
      </c>
      <c r="BU491" s="21">
        <v>0</v>
      </c>
      <c r="BV491" s="21">
        <v>0</v>
      </c>
      <c r="BW491" s="21">
        <v>0</v>
      </c>
      <c r="BX491" s="21">
        <v>0</v>
      </c>
      <c r="BY491" s="21">
        <v>0</v>
      </c>
      <c r="BZ491" s="21">
        <v>0</v>
      </c>
      <c r="CA491" s="21">
        <v>0</v>
      </c>
      <c r="CB491" s="21">
        <v>0</v>
      </c>
      <c r="CC491" s="21">
        <v>0</v>
      </c>
      <c r="CD491" s="21">
        <v>0</v>
      </c>
      <c r="CE491" s="21">
        <v>0</v>
      </c>
      <c r="CF491" s="21">
        <v>0</v>
      </c>
      <c r="CG491" s="21">
        <v>0</v>
      </c>
      <c r="CH491" s="21">
        <v>0</v>
      </c>
      <c r="CI491" s="21">
        <v>0</v>
      </c>
      <c r="CJ491" s="21">
        <v>0</v>
      </c>
      <c r="CK491" s="21">
        <v>0</v>
      </c>
      <c r="CL491" s="21">
        <v>0</v>
      </c>
      <c r="CM491" s="21">
        <v>0</v>
      </c>
      <c r="CN491" s="21">
        <v>0</v>
      </c>
      <c r="CO491" s="21">
        <v>0</v>
      </c>
      <c r="CP491" s="21">
        <v>0</v>
      </c>
      <c r="CQ491" s="21">
        <v>0</v>
      </c>
      <c r="CR491" s="21">
        <v>0</v>
      </c>
      <c r="CS491" s="21">
        <v>0</v>
      </c>
      <c r="CT491" s="21">
        <v>0</v>
      </c>
      <c r="CU491" s="21">
        <v>0</v>
      </c>
      <c r="CV491" s="21">
        <v>0</v>
      </c>
      <c r="CW491" s="21">
        <v>0</v>
      </c>
      <c r="CX491" s="21">
        <v>0</v>
      </c>
      <c r="CY491" s="21">
        <v>0</v>
      </c>
      <c r="CZ491" s="21">
        <v>0</v>
      </c>
      <c r="DA491" s="21">
        <v>0</v>
      </c>
      <c r="DB491" s="21">
        <v>0</v>
      </c>
      <c r="DC491" s="21">
        <v>0</v>
      </c>
      <c r="DD491" s="21">
        <v>0</v>
      </c>
      <c r="DE491" s="21">
        <v>0</v>
      </c>
      <c r="DF491" s="21">
        <v>0</v>
      </c>
      <c r="DG491" s="21">
        <v>0</v>
      </c>
      <c r="DH491" s="21">
        <v>0</v>
      </c>
      <c r="DI491" s="21">
        <v>0</v>
      </c>
      <c r="DJ491" s="21">
        <v>0</v>
      </c>
      <c r="DK491" s="21">
        <v>0</v>
      </c>
      <c r="DL491" s="21">
        <v>0</v>
      </c>
      <c r="DM491" s="21">
        <v>0</v>
      </c>
      <c r="DN491" s="21">
        <v>0</v>
      </c>
      <c r="DO491" s="21">
        <v>0</v>
      </c>
      <c r="DP491" s="21">
        <v>0</v>
      </c>
      <c r="DQ491" s="21">
        <v>0</v>
      </c>
      <c r="DR491" s="21">
        <v>0</v>
      </c>
      <c r="DS491" s="21">
        <v>0</v>
      </c>
      <c r="DT491" s="21">
        <v>0</v>
      </c>
      <c r="DU491" s="21">
        <v>0</v>
      </c>
      <c r="DV491" s="21">
        <v>0</v>
      </c>
      <c r="DW491" s="21">
        <v>0</v>
      </c>
      <c r="DX491" s="21">
        <v>0</v>
      </c>
      <c r="DY491" s="21">
        <v>0</v>
      </c>
      <c r="DZ491" s="21">
        <v>0</v>
      </c>
      <c r="EA491" s="21">
        <v>0</v>
      </c>
      <c r="EB491" s="21">
        <v>0</v>
      </c>
      <c r="EC491" s="21">
        <v>0</v>
      </c>
      <c r="ED491" s="21">
        <v>0</v>
      </c>
      <c r="EE491" s="21">
        <v>0</v>
      </c>
      <c r="EF491" s="21">
        <v>0</v>
      </c>
    </row>
    <row r="492" spans="1:136" ht="14.5" x14ac:dyDescent="0.35">
      <c r="A492" s="20" t="s">
        <v>12</v>
      </c>
      <c r="B492" s="20" t="s">
        <v>384</v>
      </c>
      <c r="C492" s="20" t="s">
        <v>163</v>
      </c>
      <c r="D492" s="20" t="s">
        <v>339</v>
      </c>
      <c r="E492" s="20" t="s">
        <v>14</v>
      </c>
      <c r="F492" s="20" t="s">
        <v>90</v>
      </c>
      <c r="G492" s="21">
        <v>46</v>
      </c>
      <c r="H492" s="21">
        <v>46</v>
      </c>
      <c r="I492" s="21">
        <v>0</v>
      </c>
      <c r="J492" s="21">
        <v>46</v>
      </c>
      <c r="K492" s="21">
        <v>0</v>
      </c>
      <c r="L492" s="21">
        <v>0</v>
      </c>
      <c r="M492" s="21">
        <v>0</v>
      </c>
      <c r="N492" s="21">
        <v>0</v>
      </c>
      <c r="O492" s="21">
        <v>0</v>
      </c>
      <c r="P492" s="21">
        <v>0</v>
      </c>
      <c r="Q492" s="21">
        <v>0</v>
      </c>
      <c r="R492" s="21">
        <v>0</v>
      </c>
      <c r="S492" s="21">
        <v>0</v>
      </c>
      <c r="T492" s="21">
        <v>0</v>
      </c>
      <c r="U492" s="21">
        <v>0</v>
      </c>
      <c r="V492" s="21">
        <v>0</v>
      </c>
      <c r="W492" s="21">
        <v>0</v>
      </c>
      <c r="X492" s="21">
        <v>0</v>
      </c>
      <c r="Y492" s="21">
        <v>0</v>
      </c>
      <c r="Z492" s="21">
        <v>0</v>
      </c>
      <c r="AA492" s="21">
        <v>0</v>
      </c>
      <c r="AB492" s="21">
        <v>0</v>
      </c>
      <c r="AC492" s="21">
        <v>0</v>
      </c>
      <c r="AD492" s="21">
        <v>0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0</v>
      </c>
      <c r="AN492" s="21">
        <v>0</v>
      </c>
      <c r="AO492" s="21">
        <v>0</v>
      </c>
      <c r="AP492" s="21">
        <v>0</v>
      </c>
      <c r="AQ492" s="21">
        <v>0</v>
      </c>
      <c r="AR492" s="21">
        <v>0</v>
      </c>
      <c r="AS492" s="21">
        <v>0</v>
      </c>
      <c r="AT492" s="21">
        <v>0</v>
      </c>
      <c r="AU492" s="21">
        <v>0</v>
      </c>
      <c r="AV492" s="21">
        <v>0</v>
      </c>
      <c r="AW492" s="21">
        <v>0</v>
      </c>
      <c r="AX492" s="21">
        <v>0</v>
      </c>
      <c r="AY492" s="21">
        <v>0</v>
      </c>
      <c r="AZ492" s="21">
        <v>0</v>
      </c>
      <c r="BA492" s="21">
        <v>0</v>
      </c>
      <c r="BB492" s="21">
        <v>0</v>
      </c>
      <c r="BC492" s="21">
        <v>0</v>
      </c>
      <c r="BD492" s="21">
        <v>0</v>
      </c>
      <c r="BE492" s="21">
        <v>0</v>
      </c>
      <c r="BF492" s="21">
        <v>0</v>
      </c>
      <c r="BG492" s="21">
        <v>0</v>
      </c>
      <c r="BH492" s="21">
        <v>0</v>
      </c>
      <c r="BI492" s="21">
        <v>0</v>
      </c>
      <c r="BJ492" s="21">
        <v>0</v>
      </c>
      <c r="BK492" s="21">
        <v>0</v>
      </c>
      <c r="BL492" s="21">
        <v>0</v>
      </c>
      <c r="BM492" s="21">
        <v>0</v>
      </c>
      <c r="BN492" s="21">
        <v>0</v>
      </c>
      <c r="BO492" s="21">
        <v>0</v>
      </c>
      <c r="BP492" s="21">
        <v>0</v>
      </c>
      <c r="BQ492" s="21">
        <v>0</v>
      </c>
      <c r="BR492" s="21">
        <v>0</v>
      </c>
      <c r="BS492" s="21">
        <v>0</v>
      </c>
      <c r="BT492" s="21">
        <v>0</v>
      </c>
      <c r="BU492" s="21">
        <v>0</v>
      </c>
      <c r="BV492" s="21">
        <v>0</v>
      </c>
      <c r="BW492" s="21">
        <v>0</v>
      </c>
      <c r="BX492" s="21">
        <v>0</v>
      </c>
      <c r="BY492" s="21">
        <v>0</v>
      </c>
      <c r="BZ492" s="21">
        <v>0</v>
      </c>
      <c r="CA492" s="21">
        <v>0</v>
      </c>
      <c r="CB492" s="21">
        <v>0</v>
      </c>
      <c r="CC492" s="21">
        <v>0</v>
      </c>
      <c r="CD492" s="21">
        <v>0</v>
      </c>
      <c r="CE492" s="21">
        <v>0</v>
      </c>
      <c r="CF492" s="21">
        <v>0</v>
      </c>
      <c r="CG492" s="21">
        <v>0</v>
      </c>
      <c r="CH492" s="21">
        <v>0</v>
      </c>
      <c r="CI492" s="21">
        <v>0</v>
      </c>
      <c r="CJ492" s="21">
        <v>0</v>
      </c>
      <c r="CK492" s="21">
        <v>0</v>
      </c>
      <c r="CL492" s="21">
        <v>0</v>
      </c>
      <c r="CM492" s="21">
        <v>0</v>
      </c>
      <c r="CN492" s="21">
        <v>0</v>
      </c>
      <c r="CO492" s="21">
        <v>0</v>
      </c>
      <c r="CP492" s="21">
        <v>0</v>
      </c>
      <c r="CQ492" s="21">
        <v>0</v>
      </c>
      <c r="CR492" s="21">
        <v>0</v>
      </c>
      <c r="CS492" s="21">
        <v>0</v>
      </c>
      <c r="CT492" s="21">
        <v>0</v>
      </c>
      <c r="CU492" s="21">
        <v>0</v>
      </c>
      <c r="CV492" s="21">
        <v>0</v>
      </c>
      <c r="CW492" s="21">
        <v>0</v>
      </c>
      <c r="CX492" s="21">
        <v>0</v>
      </c>
      <c r="CY492" s="21">
        <v>0</v>
      </c>
      <c r="CZ492" s="21">
        <v>0</v>
      </c>
      <c r="DA492" s="21">
        <v>0</v>
      </c>
      <c r="DB492" s="21">
        <v>0</v>
      </c>
      <c r="DC492" s="21">
        <v>0</v>
      </c>
      <c r="DD492" s="21">
        <v>0</v>
      </c>
      <c r="DE492" s="21">
        <v>0</v>
      </c>
      <c r="DF492" s="21">
        <v>0</v>
      </c>
      <c r="DG492" s="21">
        <v>0</v>
      </c>
      <c r="DH492" s="21">
        <v>0</v>
      </c>
      <c r="DI492" s="21">
        <v>0</v>
      </c>
      <c r="DJ492" s="21">
        <v>0</v>
      </c>
      <c r="DK492" s="21">
        <v>0</v>
      </c>
      <c r="DL492" s="21">
        <v>0</v>
      </c>
      <c r="DM492" s="21">
        <v>0</v>
      </c>
      <c r="DN492" s="21">
        <v>0</v>
      </c>
      <c r="DO492" s="21">
        <v>0</v>
      </c>
      <c r="DP492" s="21">
        <v>0</v>
      </c>
      <c r="DQ492" s="21">
        <v>0</v>
      </c>
      <c r="DR492" s="21">
        <v>0</v>
      </c>
      <c r="DS492" s="21">
        <v>0</v>
      </c>
      <c r="DT492" s="21">
        <v>0</v>
      </c>
      <c r="DU492" s="21">
        <v>0</v>
      </c>
      <c r="DV492" s="21">
        <v>0</v>
      </c>
      <c r="DW492" s="21">
        <v>0</v>
      </c>
      <c r="DX492" s="21">
        <v>0</v>
      </c>
      <c r="DY492" s="21">
        <v>0</v>
      </c>
      <c r="DZ492" s="21">
        <v>0</v>
      </c>
      <c r="EA492" s="21">
        <v>0</v>
      </c>
      <c r="EB492" s="21">
        <v>0</v>
      </c>
      <c r="EC492" s="21">
        <v>0</v>
      </c>
      <c r="ED492" s="21">
        <v>0</v>
      </c>
      <c r="EE492" s="21">
        <v>0</v>
      </c>
      <c r="EF492" s="21">
        <v>0</v>
      </c>
    </row>
    <row r="493" spans="1:136" ht="14.5" x14ac:dyDescent="0.35">
      <c r="A493" s="20" t="s">
        <v>12</v>
      </c>
      <c r="B493" s="20" t="s">
        <v>385</v>
      </c>
      <c r="C493" s="20" t="s">
        <v>164</v>
      </c>
      <c r="D493" s="20" t="s">
        <v>339</v>
      </c>
      <c r="E493" s="20" t="s">
        <v>14</v>
      </c>
      <c r="F493" s="20" t="s">
        <v>90</v>
      </c>
      <c r="G493" s="21">
        <v>25</v>
      </c>
      <c r="H493" s="21">
        <v>25</v>
      </c>
      <c r="I493" s="21">
        <v>0</v>
      </c>
      <c r="J493" s="21">
        <v>25</v>
      </c>
      <c r="K493" s="21">
        <v>0</v>
      </c>
      <c r="L493" s="21">
        <v>0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1">
        <v>0</v>
      </c>
      <c r="S493" s="21">
        <v>0</v>
      </c>
      <c r="T493" s="21">
        <v>0</v>
      </c>
      <c r="U493" s="21">
        <v>0</v>
      </c>
      <c r="V493" s="21">
        <v>0</v>
      </c>
      <c r="W493" s="21">
        <v>0</v>
      </c>
      <c r="X493" s="21">
        <v>0</v>
      </c>
      <c r="Y493" s="21">
        <v>0</v>
      </c>
      <c r="Z493" s="21">
        <v>0</v>
      </c>
      <c r="AA493" s="21">
        <v>0</v>
      </c>
      <c r="AB493" s="21">
        <v>0</v>
      </c>
      <c r="AC493" s="21">
        <v>0</v>
      </c>
      <c r="AD493" s="21">
        <v>0</v>
      </c>
      <c r="AE493" s="21">
        <v>0</v>
      </c>
      <c r="AF493" s="21">
        <v>0</v>
      </c>
      <c r="AG493" s="21">
        <v>0</v>
      </c>
      <c r="AH493" s="21">
        <v>0</v>
      </c>
      <c r="AI493" s="21">
        <v>0</v>
      </c>
      <c r="AJ493" s="21">
        <v>0</v>
      </c>
      <c r="AK493" s="21">
        <v>0</v>
      </c>
      <c r="AL493" s="21">
        <v>0</v>
      </c>
      <c r="AM493" s="21">
        <v>0</v>
      </c>
      <c r="AN493" s="21">
        <v>0</v>
      </c>
      <c r="AO493" s="21">
        <v>0</v>
      </c>
      <c r="AP493" s="21">
        <v>0</v>
      </c>
      <c r="AQ493" s="21">
        <v>0</v>
      </c>
      <c r="AR493" s="21">
        <v>0</v>
      </c>
      <c r="AS493" s="21">
        <v>0</v>
      </c>
      <c r="AT493" s="21">
        <v>0</v>
      </c>
      <c r="AU493" s="21">
        <v>0</v>
      </c>
      <c r="AV493" s="21">
        <v>0</v>
      </c>
      <c r="AW493" s="21">
        <v>0</v>
      </c>
      <c r="AX493" s="21">
        <v>0</v>
      </c>
      <c r="AY493" s="21">
        <v>0</v>
      </c>
      <c r="AZ493" s="21">
        <v>0</v>
      </c>
      <c r="BA493" s="21">
        <v>0</v>
      </c>
      <c r="BB493" s="21">
        <v>0</v>
      </c>
      <c r="BC493" s="21">
        <v>0</v>
      </c>
      <c r="BD493" s="21">
        <v>0</v>
      </c>
      <c r="BE493" s="21">
        <v>0</v>
      </c>
      <c r="BF493" s="21">
        <v>0</v>
      </c>
      <c r="BG493" s="21">
        <v>0</v>
      </c>
      <c r="BH493" s="21">
        <v>0</v>
      </c>
      <c r="BI493" s="21">
        <v>0</v>
      </c>
      <c r="BJ493" s="21">
        <v>0</v>
      </c>
      <c r="BK493" s="21">
        <v>0</v>
      </c>
      <c r="BL493" s="21">
        <v>0</v>
      </c>
      <c r="BM493" s="21">
        <v>0</v>
      </c>
      <c r="BN493" s="21">
        <v>0</v>
      </c>
      <c r="BO493" s="21">
        <v>0</v>
      </c>
      <c r="BP493" s="21">
        <v>0</v>
      </c>
      <c r="BQ493" s="21">
        <v>0</v>
      </c>
      <c r="BR493" s="21">
        <v>0</v>
      </c>
      <c r="BS493" s="21">
        <v>0</v>
      </c>
      <c r="BT493" s="21">
        <v>0</v>
      </c>
      <c r="BU493" s="21">
        <v>0</v>
      </c>
      <c r="BV493" s="21">
        <v>0</v>
      </c>
      <c r="BW493" s="21">
        <v>0</v>
      </c>
      <c r="BX493" s="21">
        <v>0</v>
      </c>
      <c r="BY493" s="21">
        <v>0</v>
      </c>
      <c r="BZ493" s="21">
        <v>0</v>
      </c>
      <c r="CA493" s="21">
        <v>0</v>
      </c>
      <c r="CB493" s="21">
        <v>0</v>
      </c>
      <c r="CC493" s="21">
        <v>0</v>
      </c>
      <c r="CD493" s="21">
        <v>0</v>
      </c>
      <c r="CE493" s="21">
        <v>0</v>
      </c>
      <c r="CF493" s="21">
        <v>0</v>
      </c>
      <c r="CG493" s="21">
        <v>0</v>
      </c>
      <c r="CH493" s="21">
        <v>0</v>
      </c>
      <c r="CI493" s="21">
        <v>0</v>
      </c>
      <c r="CJ493" s="21">
        <v>0</v>
      </c>
      <c r="CK493" s="21">
        <v>0</v>
      </c>
      <c r="CL493" s="21">
        <v>0</v>
      </c>
      <c r="CM493" s="21">
        <v>0</v>
      </c>
      <c r="CN493" s="21">
        <v>0</v>
      </c>
      <c r="CO493" s="21">
        <v>0</v>
      </c>
      <c r="CP493" s="21">
        <v>0</v>
      </c>
      <c r="CQ493" s="21">
        <v>0</v>
      </c>
      <c r="CR493" s="21">
        <v>0</v>
      </c>
      <c r="CS493" s="21">
        <v>0</v>
      </c>
      <c r="CT493" s="21">
        <v>0</v>
      </c>
      <c r="CU493" s="21">
        <v>0</v>
      </c>
      <c r="CV493" s="21">
        <v>0</v>
      </c>
      <c r="CW493" s="21">
        <v>0</v>
      </c>
      <c r="CX493" s="21">
        <v>0</v>
      </c>
      <c r="CY493" s="21">
        <v>0</v>
      </c>
      <c r="CZ493" s="21">
        <v>0</v>
      </c>
      <c r="DA493" s="21">
        <v>0</v>
      </c>
      <c r="DB493" s="21">
        <v>0</v>
      </c>
      <c r="DC493" s="21">
        <v>0</v>
      </c>
      <c r="DD493" s="21">
        <v>0</v>
      </c>
      <c r="DE493" s="21">
        <v>0</v>
      </c>
      <c r="DF493" s="21">
        <v>0</v>
      </c>
      <c r="DG493" s="21">
        <v>0</v>
      </c>
      <c r="DH493" s="21">
        <v>0</v>
      </c>
      <c r="DI493" s="21">
        <v>0</v>
      </c>
      <c r="DJ493" s="21">
        <v>0</v>
      </c>
      <c r="DK493" s="21">
        <v>0</v>
      </c>
      <c r="DL493" s="21">
        <v>0</v>
      </c>
      <c r="DM493" s="21">
        <v>0</v>
      </c>
      <c r="DN493" s="21">
        <v>0</v>
      </c>
      <c r="DO493" s="21">
        <v>0</v>
      </c>
      <c r="DP493" s="21">
        <v>0</v>
      </c>
      <c r="DQ493" s="21">
        <v>0</v>
      </c>
      <c r="DR493" s="21">
        <v>0</v>
      </c>
      <c r="DS493" s="21">
        <v>0</v>
      </c>
      <c r="DT493" s="21">
        <v>0</v>
      </c>
      <c r="DU493" s="21">
        <v>0</v>
      </c>
      <c r="DV493" s="21">
        <v>0</v>
      </c>
      <c r="DW493" s="21">
        <v>0</v>
      </c>
      <c r="DX493" s="21">
        <v>0</v>
      </c>
      <c r="DY493" s="21">
        <v>0</v>
      </c>
      <c r="DZ493" s="21">
        <v>0</v>
      </c>
      <c r="EA493" s="21">
        <v>0</v>
      </c>
      <c r="EB493" s="21">
        <v>0</v>
      </c>
      <c r="EC493" s="21">
        <v>0</v>
      </c>
      <c r="ED493" s="21">
        <v>0</v>
      </c>
      <c r="EE493" s="21">
        <v>0</v>
      </c>
      <c r="EF493" s="21">
        <v>0</v>
      </c>
    </row>
    <row r="494" spans="1:136" ht="14.5" x14ac:dyDescent="0.35">
      <c r="A494" s="20" t="s">
        <v>12</v>
      </c>
      <c r="B494" s="20" t="s">
        <v>386</v>
      </c>
      <c r="C494" s="20" t="s">
        <v>165</v>
      </c>
      <c r="D494" s="20" t="s">
        <v>339</v>
      </c>
      <c r="E494" s="20" t="s">
        <v>14</v>
      </c>
      <c r="F494" s="20" t="s">
        <v>90</v>
      </c>
      <c r="G494" s="21">
        <v>38.5</v>
      </c>
      <c r="H494" s="21">
        <v>38.5</v>
      </c>
      <c r="I494" s="21">
        <v>0</v>
      </c>
      <c r="J494" s="21">
        <v>38.5</v>
      </c>
      <c r="K494" s="21">
        <v>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>
        <v>0</v>
      </c>
      <c r="T494" s="21">
        <v>0</v>
      </c>
      <c r="U494" s="21">
        <v>0</v>
      </c>
      <c r="V494" s="21">
        <v>0</v>
      </c>
      <c r="W494" s="21">
        <v>0</v>
      </c>
      <c r="X494" s="21">
        <v>0</v>
      </c>
      <c r="Y494" s="21">
        <v>0</v>
      </c>
      <c r="Z494" s="21">
        <v>0</v>
      </c>
      <c r="AA494" s="21">
        <v>0</v>
      </c>
      <c r="AB494" s="21">
        <v>0</v>
      </c>
      <c r="AC494" s="21">
        <v>0</v>
      </c>
      <c r="AD494" s="21">
        <v>0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0</v>
      </c>
      <c r="AM494" s="21">
        <v>0</v>
      </c>
      <c r="AN494" s="21">
        <v>0</v>
      </c>
      <c r="AO494" s="21">
        <v>0</v>
      </c>
      <c r="AP494" s="21">
        <v>0</v>
      </c>
      <c r="AQ494" s="21">
        <v>0</v>
      </c>
      <c r="AR494" s="21">
        <v>0</v>
      </c>
      <c r="AS494" s="21">
        <v>0</v>
      </c>
      <c r="AT494" s="21">
        <v>0</v>
      </c>
      <c r="AU494" s="21">
        <v>0</v>
      </c>
      <c r="AV494" s="21">
        <v>0</v>
      </c>
      <c r="AW494" s="21">
        <v>0</v>
      </c>
      <c r="AX494" s="21">
        <v>0</v>
      </c>
      <c r="AY494" s="21">
        <v>0</v>
      </c>
      <c r="AZ494" s="21">
        <v>0</v>
      </c>
      <c r="BA494" s="21">
        <v>0</v>
      </c>
      <c r="BB494" s="21">
        <v>0</v>
      </c>
      <c r="BC494" s="21">
        <v>0</v>
      </c>
      <c r="BD494" s="21">
        <v>0</v>
      </c>
      <c r="BE494" s="21">
        <v>0</v>
      </c>
      <c r="BF494" s="21">
        <v>0</v>
      </c>
      <c r="BG494" s="21">
        <v>0</v>
      </c>
      <c r="BH494" s="21">
        <v>0</v>
      </c>
      <c r="BI494" s="21">
        <v>0</v>
      </c>
      <c r="BJ494" s="21">
        <v>0</v>
      </c>
      <c r="BK494" s="21">
        <v>0</v>
      </c>
      <c r="BL494" s="21">
        <v>0</v>
      </c>
      <c r="BM494" s="21">
        <v>0</v>
      </c>
      <c r="BN494" s="21">
        <v>0</v>
      </c>
      <c r="BO494" s="21">
        <v>0</v>
      </c>
      <c r="BP494" s="21">
        <v>0</v>
      </c>
      <c r="BQ494" s="21">
        <v>0</v>
      </c>
      <c r="BR494" s="21">
        <v>0</v>
      </c>
      <c r="BS494" s="21">
        <v>0</v>
      </c>
      <c r="BT494" s="21">
        <v>0</v>
      </c>
      <c r="BU494" s="21">
        <v>0</v>
      </c>
      <c r="BV494" s="21">
        <v>0</v>
      </c>
      <c r="BW494" s="21">
        <v>0</v>
      </c>
      <c r="BX494" s="21">
        <v>0</v>
      </c>
      <c r="BY494" s="21">
        <v>0</v>
      </c>
      <c r="BZ494" s="21">
        <v>0</v>
      </c>
      <c r="CA494" s="21">
        <v>0</v>
      </c>
      <c r="CB494" s="21">
        <v>0</v>
      </c>
      <c r="CC494" s="21">
        <v>0</v>
      </c>
      <c r="CD494" s="21">
        <v>0</v>
      </c>
      <c r="CE494" s="21">
        <v>0</v>
      </c>
      <c r="CF494" s="21">
        <v>0</v>
      </c>
      <c r="CG494" s="21">
        <v>0</v>
      </c>
      <c r="CH494" s="21">
        <v>0</v>
      </c>
      <c r="CI494" s="21">
        <v>0</v>
      </c>
      <c r="CJ494" s="21">
        <v>0</v>
      </c>
      <c r="CK494" s="21">
        <v>0</v>
      </c>
      <c r="CL494" s="21">
        <v>0</v>
      </c>
      <c r="CM494" s="21">
        <v>0</v>
      </c>
      <c r="CN494" s="21">
        <v>0</v>
      </c>
      <c r="CO494" s="21">
        <v>0</v>
      </c>
      <c r="CP494" s="21">
        <v>0</v>
      </c>
      <c r="CQ494" s="21">
        <v>0</v>
      </c>
      <c r="CR494" s="21">
        <v>0</v>
      </c>
      <c r="CS494" s="21">
        <v>0</v>
      </c>
      <c r="CT494" s="21">
        <v>0</v>
      </c>
      <c r="CU494" s="21">
        <v>0</v>
      </c>
      <c r="CV494" s="21">
        <v>0</v>
      </c>
      <c r="CW494" s="21">
        <v>0</v>
      </c>
      <c r="CX494" s="21">
        <v>0</v>
      </c>
      <c r="CY494" s="21">
        <v>0</v>
      </c>
      <c r="CZ494" s="21">
        <v>0</v>
      </c>
      <c r="DA494" s="21">
        <v>0</v>
      </c>
      <c r="DB494" s="21">
        <v>0</v>
      </c>
      <c r="DC494" s="21">
        <v>0</v>
      </c>
      <c r="DD494" s="21">
        <v>0</v>
      </c>
      <c r="DE494" s="21">
        <v>0</v>
      </c>
      <c r="DF494" s="21">
        <v>0</v>
      </c>
      <c r="DG494" s="21">
        <v>0</v>
      </c>
      <c r="DH494" s="21">
        <v>0</v>
      </c>
      <c r="DI494" s="21">
        <v>0</v>
      </c>
      <c r="DJ494" s="21">
        <v>0</v>
      </c>
      <c r="DK494" s="21">
        <v>0</v>
      </c>
      <c r="DL494" s="21">
        <v>0</v>
      </c>
      <c r="DM494" s="21">
        <v>0</v>
      </c>
      <c r="DN494" s="21">
        <v>0</v>
      </c>
      <c r="DO494" s="21">
        <v>0</v>
      </c>
      <c r="DP494" s="21">
        <v>0</v>
      </c>
      <c r="DQ494" s="21">
        <v>0</v>
      </c>
      <c r="DR494" s="21">
        <v>0</v>
      </c>
      <c r="DS494" s="21">
        <v>0</v>
      </c>
      <c r="DT494" s="21">
        <v>0</v>
      </c>
      <c r="DU494" s="21">
        <v>0</v>
      </c>
      <c r="DV494" s="21">
        <v>0</v>
      </c>
      <c r="DW494" s="21">
        <v>0</v>
      </c>
      <c r="DX494" s="21">
        <v>0</v>
      </c>
      <c r="DY494" s="21">
        <v>0</v>
      </c>
      <c r="DZ494" s="21">
        <v>0</v>
      </c>
      <c r="EA494" s="21">
        <v>0</v>
      </c>
      <c r="EB494" s="21">
        <v>0</v>
      </c>
      <c r="EC494" s="21">
        <v>0</v>
      </c>
      <c r="ED494" s="21">
        <v>0</v>
      </c>
      <c r="EE494" s="21">
        <v>0</v>
      </c>
      <c r="EF494" s="21">
        <v>0</v>
      </c>
    </row>
    <row r="495" spans="1:136" ht="14.5" x14ac:dyDescent="0.35">
      <c r="A495" s="20" t="s">
        <v>12</v>
      </c>
      <c r="B495" s="20" t="s">
        <v>387</v>
      </c>
      <c r="C495" s="20" t="s">
        <v>166</v>
      </c>
      <c r="D495" s="20" t="s">
        <v>339</v>
      </c>
      <c r="E495" s="20" t="s">
        <v>14</v>
      </c>
      <c r="F495" s="20" t="s">
        <v>90</v>
      </c>
      <c r="G495" s="21">
        <v>13</v>
      </c>
      <c r="H495" s="21">
        <v>13</v>
      </c>
      <c r="I495" s="21">
        <v>0</v>
      </c>
      <c r="J495" s="21">
        <v>13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1">
        <v>0</v>
      </c>
      <c r="S495" s="21">
        <v>0</v>
      </c>
      <c r="T495" s="21">
        <v>0</v>
      </c>
      <c r="U495" s="21">
        <v>0</v>
      </c>
      <c r="V495" s="21">
        <v>0</v>
      </c>
      <c r="W495" s="21">
        <v>0</v>
      </c>
      <c r="X495" s="21">
        <v>0</v>
      </c>
      <c r="Y495" s="21">
        <v>0</v>
      </c>
      <c r="Z495" s="21">
        <v>0</v>
      </c>
      <c r="AA495" s="21">
        <v>0</v>
      </c>
      <c r="AB495" s="21">
        <v>0</v>
      </c>
      <c r="AC495" s="21">
        <v>0</v>
      </c>
      <c r="AD495" s="21">
        <v>0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0</v>
      </c>
      <c r="AK495" s="21">
        <v>0</v>
      </c>
      <c r="AL495" s="21">
        <v>0</v>
      </c>
      <c r="AM495" s="21">
        <v>0</v>
      </c>
      <c r="AN495" s="21">
        <v>0</v>
      </c>
      <c r="AO495" s="21">
        <v>0</v>
      </c>
      <c r="AP495" s="21">
        <v>0</v>
      </c>
      <c r="AQ495" s="21">
        <v>0</v>
      </c>
      <c r="AR495" s="21">
        <v>0</v>
      </c>
      <c r="AS495" s="21">
        <v>0</v>
      </c>
      <c r="AT495" s="21">
        <v>0</v>
      </c>
      <c r="AU495" s="21">
        <v>0</v>
      </c>
      <c r="AV495" s="21">
        <v>0</v>
      </c>
      <c r="AW495" s="21">
        <v>0</v>
      </c>
      <c r="AX495" s="21">
        <v>0</v>
      </c>
      <c r="AY495" s="21">
        <v>0</v>
      </c>
      <c r="AZ495" s="21">
        <v>0</v>
      </c>
      <c r="BA495" s="21">
        <v>0</v>
      </c>
      <c r="BB495" s="21">
        <v>0</v>
      </c>
      <c r="BC495" s="21">
        <v>0</v>
      </c>
      <c r="BD495" s="21">
        <v>0</v>
      </c>
      <c r="BE495" s="21">
        <v>0</v>
      </c>
      <c r="BF495" s="21">
        <v>0</v>
      </c>
      <c r="BG495" s="21">
        <v>0</v>
      </c>
      <c r="BH495" s="21">
        <v>0</v>
      </c>
      <c r="BI495" s="21">
        <v>0</v>
      </c>
      <c r="BJ495" s="21">
        <v>0</v>
      </c>
      <c r="BK495" s="21">
        <v>0</v>
      </c>
      <c r="BL495" s="21">
        <v>0</v>
      </c>
      <c r="BM495" s="21">
        <v>0</v>
      </c>
      <c r="BN495" s="21">
        <v>0</v>
      </c>
      <c r="BO495" s="21">
        <v>0</v>
      </c>
      <c r="BP495" s="21">
        <v>0</v>
      </c>
      <c r="BQ495" s="21">
        <v>0</v>
      </c>
      <c r="BR495" s="21">
        <v>0</v>
      </c>
      <c r="BS495" s="21">
        <v>0</v>
      </c>
      <c r="BT495" s="21">
        <v>0</v>
      </c>
      <c r="BU495" s="21">
        <v>0</v>
      </c>
      <c r="BV495" s="21">
        <v>0</v>
      </c>
      <c r="BW495" s="21">
        <v>0</v>
      </c>
      <c r="BX495" s="21">
        <v>0</v>
      </c>
      <c r="BY495" s="21">
        <v>0</v>
      </c>
      <c r="BZ495" s="21">
        <v>0</v>
      </c>
      <c r="CA495" s="21">
        <v>0</v>
      </c>
      <c r="CB495" s="21">
        <v>0</v>
      </c>
      <c r="CC495" s="21">
        <v>0</v>
      </c>
      <c r="CD495" s="21">
        <v>0</v>
      </c>
      <c r="CE495" s="21">
        <v>0</v>
      </c>
      <c r="CF495" s="21">
        <v>0</v>
      </c>
      <c r="CG495" s="21">
        <v>0</v>
      </c>
      <c r="CH495" s="21">
        <v>0</v>
      </c>
      <c r="CI495" s="21">
        <v>0</v>
      </c>
      <c r="CJ495" s="21">
        <v>0</v>
      </c>
      <c r="CK495" s="21">
        <v>0</v>
      </c>
      <c r="CL495" s="21">
        <v>0</v>
      </c>
      <c r="CM495" s="21">
        <v>0</v>
      </c>
      <c r="CN495" s="21">
        <v>0</v>
      </c>
      <c r="CO495" s="21">
        <v>0</v>
      </c>
      <c r="CP495" s="21">
        <v>0</v>
      </c>
      <c r="CQ495" s="21">
        <v>0</v>
      </c>
      <c r="CR495" s="21">
        <v>0</v>
      </c>
      <c r="CS495" s="21">
        <v>0</v>
      </c>
      <c r="CT495" s="21">
        <v>0</v>
      </c>
      <c r="CU495" s="21">
        <v>0</v>
      </c>
      <c r="CV495" s="21">
        <v>0</v>
      </c>
      <c r="CW495" s="21">
        <v>0</v>
      </c>
      <c r="CX495" s="21">
        <v>0</v>
      </c>
      <c r="CY495" s="21">
        <v>0</v>
      </c>
      <c r="CZ495" s="21">
        <v>0</v>
      </c>
      <c r="DA495" s="21">
        <v>0</v>
      </c>
      <c r="DB495" s="21">
        <v>0</v>
      </c>
      <c r="DC495" s="21">
        <v>0</v>
      </c>
      <c r="DD495" s="21">
        <v>0</v>
      </c>
      <c r="DE495" s="21">
        <v>0</v>
      </c>
      <c r="DF495" s="21">
        <v>0</v>
      </c>
      <c r="DG495" s="21">
        <v>0</v>
      </c>
      <c r="DH495" s="21">
        <v>0</v>
      </c>
      <c r="DI495" s="21">
        <v>0</v>
      </c>
      <c r="DJ495" s="21">
        <v>0</v>
      </c>
      <c r="DK495" s="21">
        <v>0</v>
      </c>
      <c r="DL495" s="21">
        <v>0</v>
      </c>
      <c r="DM495" s="21">
        <v>0</v>
      </c>
      <c r="DN495" s="21">
        <v>0</v>
      </c>
      <c r="DO495" s="21">
        <v>0</v>
      </c>
      <c r="DP495" s="21">
        <v>0</v>
      </c>
      <c r="DQ495" s="21">
        <v>0</v>
      </c>
      <c r="DR495" s="21">
        <v>0</v>
      </c>
      <c r="DS495" s="21">
        <v>0</v>
      </c>
      <c r="DT495" s="21">
        <v>0</v>
      </c>
      <c r="DU495" s="21">
        <v>0</v>
      </c>
      <c r="DV495" s="21">
        <v>0</v>
      </c>
      <c r="DW495" s="21">
        <v>0</v>
      </c>
      <c r="DX495" s="21">
        <v>0</v>
      </c>
      <c r="DY495" s="21">
        <v>0</v>
      </c>
      <c r="DZ495" s="21">
        <v>0</v>
      </c>
      <c r="EA495" s="21">
        <v>0</v>
      </c>
      <c r="EB495" s="21">
        <v>0</v>
      </c>
      <c r="EC495" s="21">
        <v>0</v>
      </c>
      <c r="ED495" s="21">
        <v>0</v>
      </c>
      <c r="EE495" s="21">
        <v>0</v>
      </c>
      <c r="EF495" s="21">
        <v>0</v>
      </c>
    </row>
    <row r="496" spans="1:136" ht="14.5" x14ac:dyDescent="0.35">
      <c r="A496" s="20" t="s">
        <v>12</v>
      </c>
      <c r="B496" s="20" t="s">
        <v>388</v>
      </c>
      <c r="C496" s="20" t="s">
        <v>167</v>
      </c>
      <c r="D496" s="20" t="s">
        <v>339</v>
      </c>
      <c r="E496" s="20" t="s">
        <v>14</v>
      </c>
      <c r="F496" s="20" t="s">
        <v>81</v>
      </c>
      <c r="G496" s="21">
        <v>0</v>
      </c>
      <c r="H496" s="21">
        <v>320</v>
      </c>
      <c r="I496" s="21">
        <v>0</v>
      </c>
      <c r="J496" s="21">
        <v>320</v>
      </c>
      <c r="K496" s="21">
        <v>0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>
        <v>0</v>
      </c>
      <c r="T496" s="21">
        <v>0</v>
      </c>
      <c r="U496" s="21">
        <v>0</v>
      </c>
      <c r="V496" s="21">
        <v>0</v>
      </c>
      <c r="W496" s="21">
        <v>0</v>
      </c>
      <c r="X496" s="21">
        <v>0</v>
      </c>
      <c r="Y496" s="21">
        <v>0</v>
      </c>
      <c r="Z496" s="21">
        <v>0</v>
      </c>
      <c r="AA496" s="21">
        <v>0</v>
      </c>
      <c r="AB496" s="21">
        <v>0</v>
      </c>
      <c r="AC496" s="21">
        <v>0</v>
      </c>
      <c r="AD496" s="21">
        <v>0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0</v>
      </c>
      <c r="AK496" s="21">
        <v>0</v>
      </c>
      <c r="AL496" s="21">
        <v>0</v>
      </c>
      <c r="AM496" s="21">
        <v>0</v>
      </c>
      <c r="AN496" s="21">
        <v>0</v>
      </c>
      <c r="AO496" s="21">
        <v>0</v>
      </c>
      <c r="AP496" s="21">
        <v>0</v>
      </c>
      <c r="AQ496" s="21">
        <v>0</v>
      </c>
      <c r="AR496" s="21">
        <v>0</v>
      </c>
      <c r="AS496" s="21">
        <v>0</v>
      </c>
      <c r="AT496" s="21">
        <v>0</v>
      </c>
      <c r="AU496" s="21">
        <v>0</v>
      </c>
      <c r="AV496" s="21">
        <v>0</v>
      </c>
      <c r="AW496" s="21">
        <v>0</v>
      </c>
      <c r="AX496" s="21">
        <v>0</v>
      </c>
      <c r="AY496" s="21">
        <v>0</v>
      </c>
      <c r="AZ496" s="21">
        <v>0</v>
      </c>
      <c r="BA496" s="21">
        <v>0</v>
      </c>
      <c r="BB496" s="21">
        <v>0</v>
      </c>
      <c r="BC496" s="21">
        <v>0</v>
      </c>
      <c r="BD496" s="21">
        <v>0</v>
      </c>
      <c r="BE496" s="21">
        <v>0</v>
      </c>
      <c r="BF496" s="21">
        <v>0</v>
      </c>
      <c r="BG496" s="21">
        <v>0</v>
      </c>
      <c r="BH496" s="21">
        <v>0</v>
      </c>
      <c r="BI496" s="21">
        <v>0</v>
      </c>
      <c r="BJ496" s="21">
        <v>0</v>
      </c>
      <c r="BK496" s="21">
        <v>0</v>
      </c>
      <c r="BL496" s="21">
        <v>0</v>
      </c>
      <c r="BM496" s="21">
        <v>0</v>
      </c>
      <c r="BN496" s="21">
        <v>0</v>
      </c>
      <c r="BO496" s="21">
        <v>0</v>
      </c>
      <c r="BP496" s="21">
        <v>0</v>
      </c>
      <c r="BQ496" s="21">
        <v>0</v>
      </c>
      <c r="BR496" s="21">
        <v>0</v>
      </c>
      <c r="BS496" s="21">
        <v>0</v>
      </c>
      <c r="BT496" s="21">
        <v>0</v>
      </c>
      <c r="BU496" s="21">
        <v>0</v>
      </c>
      <c r="BV496" s="21">
        <v>0</v>
      </c>
      <c r="BW496" s="21">
        <v>0</v>
      </c>
      <c r="BX496" s="21">
        <v>0</v>
      </c>
      <c r="BY496" s="21">
        <v>0</v>
      </c>
      <c r="BZ496" s="21">
        <v>0</v>
      </c>
      <c r="CA496" s="21">
        <v>0</v>
      </c>
      <c r="CB496" s="21">
        <v>0</v>
      </c>
      <c r="CC496" s="21">
        <v>0</v>
      </c>
      <c r="CD496" s="21">
        <v>0</v>
      </c>
      <c r="CE496" s="21">
        <v>0</v>
      </c>
      <c r="CF496" s="21">
        <v>0</v>
      </c>
      <c r="CG496" s="21">
        <v>0</v>
      </c>
      <c r="CH496" s="21">
        <v>0</v>
      </c>
      <c r="CI496" s="21">
        <v>0</v>
      </c>
      <c r="CJ496" s="21">
        <v>0</v>
      </c>
      <c r="CK496" s="21">
        <v>0</v>
      </c>
      <c r="CL496" s="21">
        <v>0</v>
      </c>
      <c r="CM496" s="21">
        <v>0</v>
      </c>
      <c r="CN496" s="21">
        <v>0</v>
      </c>
      <c r="CO496" s="21">
        <v>0</v>
      </c>
      <c r="CP496" s="21">
        <v>0</v>
      </c>
      <c r="CQ496" s="21">
        <v>0</v>
      </c>
      <c r="CR496" s="21">
        <v>0</v>
      </c>
      <c r="CS496" s="21">
        <v>0</v>
      </c>
      <c r="CT496" s="21">
        <v>0</v>
      </c>
      <c r="CU496" s="21">
        <v>0</v>
      </c>
      <c r="CV496" s="21">
        <v>0</v>
      </c>
      <c r="CW496" s="21">
        <v>0</v>
      </c>
      <c r="CX496" s="21">
        <v>0</v>
      </c>
      <c r="CY496" s="21">
        <v>0</v>
      </c>
      <c r="CZ496" s="21">
        <v>0</v>
      </c>
      <c r="DA496" s="21">
        <v>0</v>
      </c>
      <c r="DB496" s="21">
        <v>0</v>
      </c>
      <c r="DC496" s="21">
        <v>0</v>
      </c>
      <c r="DD496" s="21">
        <v>0</v>
      </c>
      <c r="DE496" s="21">
        <v>0</v>
      </c>
      <c r="DF496" s="21">
        <v>0</v>
      </c>
      <c r="DG496" s="21">
        <v>0</v>
      </c>
      <c r="DH496" s="21">
        <v>0</v>
      </c>
      <c r="DI496" s="21">
        <v>0</v>
      </c>
      <c r="DJ496" s="21">
        <v>0</v>
      </c>
      <c r="DK496" s="21">
        <v>0</v>
      </c>
      <c r="DL496" s="21">
        <v>0</v>
      </c>
      <c r="DM496" s="21">
        <v>0</v>
      </c>
      <c r="DN496" s="21">
        <v>0</v>
      </c>
      <c r="DO496" s="21">
        <v>0</v>
      </c>
      <c r="DP496" s="21">
        <v>0</v>
      </c>
      <c r="DQ496" s="21">
        <v>0</v>
      </c>
      <c r="DR496" s="21">
        <v>0</v>
      </c>
      <c r="DS496" s="21">
        <v>0</v>
      </c>
      <c r="DT496" s="21">
        <v>0</v>
      </c>
      <c r="DU496" s="21">
        <v>0</v>
      </c>
      <c r="DV496" s="21">
        <v>0</v>
      </c>
      <c r="DW496" s="21">
        <v>0</v>
      </c>
      <c r="DX496" s="21">
        <v>0</v>
      </c>
      <c r="DY496" s="21">
        <v>0</v>
      </c>
      <c r="DZ496" s="21">
        <v>0</v>
      </c>
      <c r="EA496" s="21">
        <v>0</v>
      </c>
      <c r="EB496" s="21">
        <v>0</v>
      </c>
      <c r="EC496" s="21">
        <v>0</v>
      </c>
      <c r="ED496" s="21">
        <v>0</v>
      </c>
      <c r="EE496" s="21">
        <v>0</v>
      </c>
      <c r="EF496" s="21">
        <v>0</v>
      </c>
    </row>
    <row r="497" spans="1:136" ht="14.5" x14ac:dyDescent="0.35">
      <c r="A497" s="20" t="s">
        <v>12</v>
      </c>
      <c r="B497" s="20" t="s">
        <v>389</v>
      </c>
      <c r="C497" s="20" t="s">
        <v>168</v>
      </c>
      <c r="D497" s="20" t="s">
        <v>339</v>
      </c>
      <c r="E497" s="20" t="s">
        <v>14</v>
      </c>
      <c r="F497" s="20" t="s">
        <v>43</v>
      </c>
      <c r="G497" s="21">
        <v>0</v>
      </c>
      <c r="H497" s="21">
        <v>100</v>
      </c>
      <c r="I497" s="21">
        <v>140.5</v>
      </c>
      <c r="J497" s="21">
        <v>-40.5</v>
      </c>
      <c r="K497" s="21">
        <v>0</v>
      </c>
      <c r="L497" s="21">
        <v>0</v>
      </c>
      <c r="M497" s="21">
        <v>0</v>
      </c>
      <c r="N497" s="21">
        <v>0</v>
      </c>
      <c r="O497" s="21">
        <v>0</v>
      </c>
      <c r="P497" s="21">
        <v>0</v>
      </c>
      <c r="Q497" s="21">
        <v>0</v>
      </c>
      <c r="R497" s="21">
        <v>0</v>
      </c>
      <c r="S497" s="21">
        <v>0</v>
      </c>
      <c r="T497" s="21">
        <v>0</v>
      </c>
      <c r="U497" s="21">
        <v>0</v>
      </c>
      <c r="V497" s="21">
        <v>0</v>
      </c>
      <c r="W497" s="21">
        <v>0</v>
      </c>
      <c r="X497" s="21">
        <v>0</v>
      </c>
      <c r="Y497" s="21">
        <v>0</v>
      </c>
      <c r="Z497" s="21">
        <v>0</v>
      </c>
      <c r="AA497" s="21">
        <v>0</v>
      </c>
      <c r="AB497" s="21">
        <v>0</v>
      </c>
      <c r="AC497" s="21">
        <v>0</v>
      </c>
      <c r="AD497" s="21">
        <v>0</v>
      </c>
      <c r="AE497" s="21">
        <v>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0</v>
      </c>
      <c r="AL497" s="21">
        <v>0</v>
      </c>
      <c r="AM497" s="21">
        <v>0</v>
      </c>
      <c r="AN497" s="21">
        <v>0</v>
      </c>
      <c r="AO497" s="21">
        <v>0</v>
      </c>
      <c r="AP497" s="21">
        <v>0</v>
      </c>
      <c r="AQ497" s="21">
        <v>0</v>
      </c>
      <c r="AR497" s="21">
        <v>0</v>
      </c>
      <c r="AS497" s="21">
        <v>0</v>
      </c>
      <c r="AT497" s="21">
        <v>0</v>
      </c>
      <c r="AU497" s="21">
        <v>0</v>
      </c>
      <c r="AV497" s="21">
        <v>0</v>
      </c>
      <c r="AW497" s="21">
        <v>0</v>
      </c>
      <c r="AX497" s="21">
        <v>0</v>
      </c>
      <c r="AY497" s="21">
        <v>0</v>
      </c>
      <c r="AZ497" s="21">
        <v>0</v>
      </c>
      <c r="BA497" s="21">
        <v>0</v>
      </c>
      <c r="BB497" s="21">
        <v>0</v>
      </c>
      <c r="BC497" s="21">
        <v>0</v>
      </c>
      <c r="BD497" s="21">
        <v>0</v>
      </c>
      <c r="BE497" s="21">
        <v>0</v>
      </c>
      <c r="BF497" s="21">
        <v>0</v>
      </c>
      <c r="BG497" s="21">
        <v>0</v>
      </c>
      <c r="BH497" s="21">
        <v>0</v>
      </c>
      <c r="BI497" s="21">
        <v>0</v>
      </c>
      <c r="BJ497" s="21">
        <v>0</v>
      </c>
      <c r="BK497" s="21">
        <v>0</v>
      </c>
      <c r="BL497" s="21">
        <v>0</v>
      </c>
      <c r="BM497" s="21">
        <v>0</v>
      </c>
      <c r="BN497" s="21">
        <v>0</v>
      </c>
      <c r="BO497" s="21">
        <v>0</v>
      </c>
      <c r="BP497" s="21">
        <v>0</v>
      </c>
      <c r="BQ497" s="21">
        <v>0</v>
      </c>
      <c r="BR497" s="21">
        <v>0</v>
      </c>
      <c r="BS497" s="21">
        <v>0</v>
      </c>
      <c r="BT497" s="21">
        <v>0</v>
      </c>
      <c r="BU497" s="21">
        <v>0</v>
      </c>
      <c r="BV497" s="21">
        <v>0</v>
      </c>
      <c r="BW497" s="21">
        <v>0</v>
      </c>
      <c r="BX497" s="21">
        <v>0</v>
      </c>
      <c r="BY497" s="21">
        <v>0</v>
      </c>
      <c r="BZ497" s="21">
        <v>0</v>
      </c>
      <c r="CA497" s="21">
        <v>0</v>
      </c>
      <c r="CB497" s="21">
        <v>0</v>
      </c>
      <c r="CC497" s="21">
        <v>0</v>
      </c>
      <c r="CD497" s="21">
        <v>0</v>
      </c>
      <c r="CE497" s="21">
        <v>0</v>
      </c>
      <c r="CF497" s="21">
        <v>0</v>
      </c>
      <c r="CG497" s="21">
        <v>0</v>
      </c>
      <c r="CH497" s="21">
        <v>0</v>
      </c>
      <c r="CI497" s="21">
        <v>0</v>
      </c>
      <c r="CJ497" s="21">
        <v>0</v>
      </c>
      <c r="CK497" s="21">
        <v>0</v>
      </c>
      <c r="CL497" s="21">
        <v>0</v>
      </c>
      <c r="CM497" s="21">
        <v>0</v>
      </c>
      <c r="CN497" s="21">
        <v>0</v>
      </c>
      <c r="CO497" s="21">
        <v>0</v>
      </c>
      <c r="CP497" s="21">
        <v>0</v>
      </c>
      <c r="CQ497" s="21">
        <v>0</v>
      </c>
      <c r="CR497" s="21">
        <v>0</v>
      </c>
      <c r="CS497" s="21">
        <v>0</v>
      </c>
      <c r="CT497" s="21">
        <v>0</v>
      </c>
      <c r="CU497" s="21">
        <v>0</v>
      </c>
      <c r="CV497" s="21">
        <v>0</v>
      </c>
      <c r="CW497" s="21">
        <v>0</v>
      </c>
      <c r="CX497" s="21">
        <v>0</v>
      </c>
      <c r="CY497" s="21">
        <v>0</v>
      </c>
      <c r="CZ497" s="21">
        <v>0</v>
      </c>
      <c r="DA497" s="21">
        <v>0</v>
      </c>
      <c r="DB497" s="21">
        <v>0</v>
      </c>
      <c r="DC497" s="21">
        <v>0</v>
      </c>
      <c r="DD497" s="21">
        <v>0</v>
      </c>
      <c r="DE497" s="21">
        <v>0</v>
      </c>
      <c r="DF497" s="21">
        <v>0</v>
      </c>
      <c r="DG497" s="21">
        <v>0</v>
      </c>
      <c r="DH497" s="21">
        <v>0</v>
      </c>
      <c r="DI497" s="21">
        <v>0</v>
      </c>
      <c r="DJ497" s="21">
        <v>0</v>
      </c>
      <c r="DK497" s="21">
        <v>0</v>
      </c>
      <c r="DL497" s="21">
        <v>0</v>
      </c>
      <c r="DM497" s="21">
        <v>27</v>
      </c>
      <c r="DN497" s="21">
        <v>29</v>
      </c>
      <c r="DO497" s="21">
        <v>36</v>
      </c>
      <c r="DP497" s="21">
        <v>33</v>
      </c>
      <c r="DQ497" s="21">
        <v>8</v>
      </c>
      <c r="DR497" s="21">
        <v>7.5</v>
      </c>
      <c r="DS497" s="21">
        <v>0</v>
      </c>
      <c r="DT497" s="21">
        <v>0</v>
      </c>
      <c r="DU497" s="21">
        <v>0</v>
      </c>
      <c r="DV497" s="21">
        <v>0</v>
      </c>
      <c r="DW497" s="21">
        <v>0</v>
      </c>
      <c r="DX497" s="21">
        <v>0</v>
      </c>
      <c r="DY497" s="21">
        <v>0</v>
      </c>
      <c r="DZ497" s="21">
        <v>0</v>
      </c>
      <c r="EA497" s="21">
        <v>0</v>
      </c>
      <c r="EB497" s="21">
        <v>0</v>
      </c>
      <c r="EC497" s="21">
        <v>0</v>
      </c>
      <c r="ED497" s="21">
        <v>0</v>
      </c>
      <c r="EE497" s="21">
        <v>0</v>
      </c>
      <c r="EF497" s="21">
        <v>0</v>
      </c>
    </row>
    <row r="498" spans="1:136" ht="14.5" x14ac:dyDescent="0.35">
      <c r="A498" s="20" t="s">
        <v>12</v>
      </c>
      <c r="B498" s="20" t="s">
        <v>390</v>
      </c>
      <c r="C498" s="20" t="s">
        <v>169</v>
      </c>
      <c r="D498" s="20" t="s">
        <v>332</v>
      </c>
      <c r="E498" s="20" t="s">
        <v>14</v>
      </c>
      <c r="F498" s="20" t="s">
        <v>89</v>
      </c>
      <c r="G498" s="21">
        <v>0</v>
      </c>
      <c r="H498" s="21">
        <v>10</v>
      </c>
      <c r="I498" s="21">
        <v>10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0</v>
      </c>
      <c r="T498" s="21">
        <v>0</v>
      </c>
      <c r="U498" s="21">
        <v>0</v>
      </c>
      <c r="V498" s="21">
        <v>0</v>
      </c>
      <c r="W498" s="21">
        <v>0</v>
      </c>
      <c r="X498" s="21">
        <v>0</v>
      </c>
      <c r="Y498" s="21">
        <v>0</v>
      </c>
      <c r="Z498" s="21">
        <v>0</v>
      </c>
      <c r="AA498" s="21">
        <v>0</v>
      </c>
      <c r="AB498" s="21">
        <v>0</v>
      </c>
      <c r="AC498" s="21">
        <v>0</v>
      </c>
      <c r="AD498" s="21">
        <v>0</v>
      </c>
      <c r="AE498" s="21">
        <v>0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1">
        <v>0</v>
      </c>
      <c r="AN498" s="21">
        <v>0</v>
      </c>
      <c r="AO498" s="21">
        <v>0</v>
      </c>
      <c r="AP498" s="21">
        <v>0</v>
      </c>
      <c r="AQ498" s="21">
        <v>0</v>
      </c>
      <c r="AR498" s="21">
        <v>0</v>
      </c>
      <c r="AS498" s="21">
        <v>0</v>
      </c>
      <c r="AT498" s="21">
        <v>0</v>
      </c>
      <c r="AU498" s="21">
        <v>0</v>
      </c>
      <c r="AV498" s="21">
        <v>0</v>
      </c>
      <c r="AW498" s="21">
        <v>0</v>
      </c>
      <c r="AX498" s="21">
        <v>0</v>
      </c>
      <c r="AY498" s="21">
        <v>0</v>
      </c>
      <c r="AZ498" s="21">
        <v>0</v>
      </c>
      <c r="BA498" s="21">
        <v>0</v>
      </c>
      <c r="BB498" s="21">
        <v>0</v>
      </c>
      <c r="BC498" s="21">
        <v>0</v>
      </c>
      <c r="BD498" s="21">
        <v>0</v>
      </c>
      <c r="BE498" s="21">
        <v>0</v>
      </c>
      <c r="BF498" s="21">
        <v>0</v>
      </c>
      <c r="BG498" s="21">
        <v>0</v>
      </c>
      <c r="BH498" s="21">
        <v>0</v>
      </c>
      <c r="BI498" s="21">
        <v>0</v>
      </c>
      <c r="BJ498" s="21">
        <v>0</v>
      </c>
      <c r="BK498" s="21">
        <v>0</v>
      </c>
      <c r="BL498" s="21">
        <v>0</v>
      </c>
      <c r="BM498" s="21">
        <v>0</v>
      </c>
      <c r="BN498" s="21">
        <v>0</v>
      </c>
      <c r="BO498" s="21">
        <v>0</v>
      </c>
      <c r="BP498" s="21">
        <v>0</v>
      </c>
      <c r="BQ498" s="21">
        <v>0</v>
      </c>
      <c r="BR498" s="21">
        <v>0</v>
      </c>
      <c r="BS498" s="21">
        <v>0</v>
      </c>
      <c r="BT498" s="21">
        <v>0</v>
      </c>
      <c r="BU498" s="21">
        <v>0</v>
      </c>
      <c r="BV498" s="21">
        <v>0</v>
      </c>
      <c r="BW498" s="21">
        <v>0</v>
      </c>
      <c r="BX498" s="21">
        <v>0</v>
      </c>
      <c r="BY498" s="21">
        <v>0</v>
      </c>
      <c r="BZ498" s="21">
        <v>0</v>
      </c>
      <c r="CA498" s="21">
        <v>0</v>
      </c>
      <c r="CB498" s="21">
        <v>0</v>
      </c>
      <c r="CC498" s="21">
        <v>0</v>
      </c>
      <c r="CD498" s="21">
        <v>0</v>
      </c>
      <c r="CE498" s="21">
        <v>0</v>
      </c>
      <c r="CF498" s="21">
        <v>0</v>
      </c>
      <c r="CG498" s="21">
        <v>0</v>
      </c>
      <c r="CH498" s="21">
        <v>0</v>
      </c>
      <c r="CI498" s="21">
        <v>0</v>
      </c>
      <c r="CJ498" s="21">
        <v>0</v>
      </c>
      <c r="CK498" s="21">
        <v>0</v>
      </c>
      <c r="CL498" s="21">
        <v>0</v>
      </c>
      <c r="CM498" s="21">
        <v>0</v>
      </c>
      <c r="CN498" s="21">
        <v>0</v>
      </c>
      <c r="CO498" s="21">
        <v>0</v>
      </c>
      <c r="CP498" s="21">
        <v>0</v>
      </c>
      <c r="CQ498" s="21">
        <v>0</v>
      </c>
      <c r="CR498" s="21">
        <v>0</v>
      </c>
      <c r="CS498" s="21">
        <v>0</v>
      </c>
      <c r="CT498" s="21">
        <v>0</v>
      </c>
      <c r="CU498" s="21">
        <v>0</v>
      </c>
      <c r="CV498" s="21">
        <v>0</v>
      </c>
      <c r="CW498" s="21">
        <v>0</v>
      </c>
      <c r="CX498" s="21">
        <v>0</v>
      </c>
      <c r="CY498" s="21">
        <v>0</v>
      </c>
      <c r="CZ498" s="21">
        <v>5</v>
      </c>
      <c r="DA498" s="21">
        <v>5</v>
      </c>
      <c r="DB498" s="21">
        <v>0</v>
      </c>
      <c r="DC498" s="21">
        <v>0</v>
      </c>
      <c r="DD498" s="21">
        <v>0</v>
      </c>
      <c r="DE498" s="21">
        <v>0</v>
      </c>
      <c r="DF498" s="21">
        <v>0</v>
      </c>
      <c r="DG498" s="21">
        <v>0</v>
      </c>
      <c r="DH498" s="21">
        <v>0</v>
      </c>
      <c r="DI498" s="21">
        <v>0</v>
      </c>
      <c r="DJ498" s="21">
        <v>0</v>
      </c>
      <c r="DK498" s="21">
        <v>0</v>
      </c>
      <c r="DL498" s="21">
        <v>0</v>
      </c>
      <c r="DM498" s="21">
        <v>0</v>
      </c>
      <c r="DN498" s="21">
        <v>0</v>
      </c>
      <c r="DO498" s="21">
        <v>0</v>
      </c>
      <c r="DP498" s="21">
        <v>0</v>
      </c>
      <c r="DQ498" s="21">
        <v>0</v>
      </c>
      <c r="DR498" s="21">
        <v>0</v>
      </c>
      <c r="DS498" s="21">
        <v>0</v>
      </c>
      <c r="DT498" s="21">
        <v>0</v>
      </c>
      <c r="DU498" s="21">
        <v>0</v>
      </c>
      <c r="DV498" s="21">
        <v>0</v>
      </c>
      <c r="DW498" s="21">
        <v>0</v>
      </c>
      <c r="DX498" s="21">
        <v>0</v>
      </c>
      <c r="DY498" s="21">
        <v>0</v>
      </c>
      <c r="DZ498" s="21">
        <v>0</v>
      </c>
      <c r="EA498" s="21">
        <v>0</v>
      </c>
      <c r="EB498" s="21">
        <v>0</v>
      </c>
      <c r="EC498" s="21">
        <v>0</v>
      </c>
      <c r="ED498" s="21">
        <v>0</v>
      </c>
      <c r="EE498" s="21">
        <v>0</v>
      </c>
      <c r="EF498" s="21">
        <v>0</v>
      </c>
    </row>
    <row r="499" spans="1:136" ht="14.5" x14ac:dyDescent="0.35">
      <c r="A499" s="20" t="s">
        <v>12</v>
      </c>
      <c r="B499" s="20" t="s">
        <v>391</v>
      </c>
      <c r="C499" s="20" t="s">
        <v>170</v>
      </c>
      <c r="D499" s="20" t="s">
        <v>339</v>
      </c>
      <c r="E499" s="20" t="s">
        <v>14</v>
      </c>
      <c r="F499" s="20" t="s">
        <v>103</v>
      </c>
      <c r="G499" s="21">
        <v>1.5</v>
      </c>
      <c r="H499" s="21">
        <v>1.5</v>
      </c>
      <c r="I499" s="21">
        <v>0</v>
      </c>
      <c r="J499" s="21">
        <v>1.5</v>
      </c>
      <c r="K499" s="21">
        <v>0</v>
      </c>
      <c r="L499" s="21">
        <v>0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>
        <v>0</v>
      </c>
      <c r="T499" s="21">
        <v>0</v>
      </c>
      <c r="U499" s="21">
        <v>0</v>
      </c>
      <c r="V499" s="21">
        <v>0</v>
      </c>
      <c r="W499" s="21">
        <v>0</v>
      </c>
      <c r="X499" s="21">
        <v>0</v>
      </c>
      <c r="Y499" s="21">
        <v>0</v>
      </c>
      <c r="Z499" s="21">
        <v>0</v>
      </c>
      <c r="AA499" s="21">
        <v>0</v>
      </c>
      <c r="AB499" s="21">
        <v>0</v>
      </c>
      <c r="AC499" s="21">
        <v>0</v>
      </c>
      <c r="AD499" s="21">
        <v>0</v>
      </c>
      <c r="AE499" s="21">
        <v>0</v>
      </c>
      <c r="AF499" s="21">
        <v>0</v>
      </c>
      <c r="AG499" s="21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1">
        <v>0</v>
      </c>
      <c r="AN499" s="21">
        <v>0</v>
      </c>
      <c r="AO499" s="21">
        <v>0</v>
      </c>
      <c r="AP499" s="21">
        <v>0</v>
      </c>
      <c r="AQ499" s="21">
        <v>0</v>
      </c>
      <c r="AR499" s="21">
        <v>0</v>
      </c>
      <c r="AS499" s="21">
        <v>0</v>
      </c>
      <c r="AT499" s="21">
        <v>0</v>
      </c>
      <c r="AU499" s="21">
        <v>0</v>
      </c>
      <c r="AV499" s="21">
        <v>0</v>
      </c>
      <c r="AW499" s="21">
        <v>0</v>
      </c>
      <c r="AX499" s="21">
        <v>0</v>
      </c>
      <c r="AY499" s="21">
        <v>0</v>
      </c>
      <c r="AZ499" s="21">
        <v>0</v>
      </c>
      <c r="BA499" s="21">
        <v>0</v>
      </c>
      <c r="BB499" s="21">
        <v>0</v>
      </c>
      <c r="BC499" s="21">
        <v>0</v>
      </c>
      <c r="BD499" s="21">
        <v>0</v>
      </c>
      <c r="BE499" s="21">
        <v>0</v>
      </c>
      <c r="BF499" s="21">
        <v>0</v>
      </c>
      <c r="BG499" s="21">
        <v>0</v>
      </c>
      <c r="BH499" s="21">
        <v>0</v>
      </c>
      <c r="BI499" s="21">
        <v>0</v>
      </c>
      <c r="BJ499" s="21">
        <v>0</v>
      </c>
      <c r="BK499" s="21">
        <v>0</v>
      </c>
      <c r="BL499" s="21">
        <v>0</v>
      </c>
      <c r="BM499" s="21">
        <v>0</v>
      </c>
      <c r="BN499" s="21">
        <v>0</v>
      </c>
      <c r="BO499" s="21">
        <v>0</v>
      </c>
      <c r="BP499" s="21">
        <v>0</v>
      </c>
      <c r="BQ499" s="21">
        <v>0</v>
      </c>
      <c r="BR499" s="21">
        <v>0</v>
      </c>
      <c r="BS499" s="21">
        <v>0</v>
      </c>
      <c r="BT499" s="21">
        <v>0</v>
      </c>
      <c r="BU499" s="21">
        <v>0</v>
      </c>
      <c r="BV499" s="21">
        <v>0</v>
      </c>
      <c r="BW499" s="21">
        <v>0</v>
      </c>
      <c r="BX499" s="21">
        <v>0</v>
      </c>
      <c r="BY499" s="21">
        <v>0</v>
      </c>
      <c r="BZ499" s="21">
        <v>0</v>
      </c>
      <c r="CA499" s="21">
        <v>0</v>
      </c>
      <c r="CB499" s="21">
        <v>0</v>
      </c>
      <c r="CC499" s="21">
        <v>0</v>
      </c>
      <c r="CD499" s="21">
        <v>0</v>
      </c>
      <c r="CE499" s="21">
        <v>0</v>
      </c>
      <c r="CF499" s="21">
        <v>0</v>
      </c>
      <c r="CG499" s="21">
        <v>0</v>
      </c>
      <c r="CH499" s="21">
        <v>0</v>
      </c>
      <c r="CI499" s="21">
        <v>0</v>
      </c>
      <c r="CJ499" s="21">
        <v>0</v>
      </c>
      <c r="CK499" s="21">
        <v>0</v>
      </c>
      <c r="CL499" s="21">
        <v>0</v>
      </c>
      <c r="CM499" s="21">
        <v>0</v>
      </c>
      <c r="CN499" s="21">
        <v>0</v>
      </c>
      <c r="CO499" s="21">
        <v>0</v>
      </c>
      <c r="CP499" s="21">
        <v>0</v>
      </c>
      <c r="CQ499" s="21">
        <v>0</v>
      </c>
      <c r="CR499" s="21">
        <v>0</v>
      </c>
      <c r="CS499" s="21">
        <v>0</v>
      </c>
      <c r="CT499" s="21">
        <v>0</v>
      </c>
      <c r="CU499" s="21">
        <v>0</v>
      </c>
      <c r="CV499" s="21">
        <v>0</v>
      </c>
      <c r="CW499" s="21">
        <v>0</v>
      </c>
      <c r="CX499" s="21">
        <v>0</v>
      </c>
      <c r="CY499" s="21">
        <v>0</v>
      </c>
      <c r="CZ499" s="21">
        <v>0</v>
      </c>
      <c r="DA499" s="21">
        <v>0</v>
      </c>
      <c r="DB499" s="21">
        <v>0</v>
      </c>
      <c r="DC499" s="21">
        <v>0</v>
      </c>
      <c r="DD499" s="21">
        <v>0</v>
      </c>
      <c r="DE499" s="21">
        <v>0</v>
      </c>
      <c r="DF499" s="21">
        <v>0</v>
      </c>
      <c r="DG499" s="21">
        <v>0</v>
      </c>
      <c r="DH499" s="21">
        <v>0</v>
      </c>
      <c r="DI499" s="21">
        <v>0</v>
      </c>
      <c r="DJ499" s="21">
        <v>0</v>
      </c>
      <c r="DK499" s="21">
        <v>0</v>
      </c>
      <c r="DL499" s="21">
        <v>0</v>
      </c>
      <c r="DM499" s="21">
        <v>0</v>
      </c>
      <c r="DN499" s="21">
        <v>0</v>
      </c>
      <c r="DO499" s="21">
        <v>0</v>
      </c>
      <c r="DP499" s="21">
        <v>0</v>
      </c>
      <c r="DQ499" s="21">
        <v>0</v>
      </c>
      <c r="DR499" s="21">
        <v>0</v>
      </c>
      <c r="DS499" s="21">
        <v>0</v>
      </c>
      <c r="DT499" s="21">
        <v>0</v>
      </c>
      <c r="DU499" s="21">
        <v>0</v>
      </c>
      <c r="DV499" s="21">
        <v>0</v>
      </c>
      <c r="DW499" s="21">
        <v>0</v>
      </c>
      <c r="DX499" s="21">
        <v>0</v>
      </c>
      <c r="DY499" s="21">
        <v>0</v>
      </c>
      <c r="DZ499" s="21">
        <v>0</v>
      </c>
      <c r="EA499" s="21">
        <v>0</v>
      </c>
      <c r="EB499" s="21">
        <v>0</v>
      </c>
      <c r="EC499" s="21">
        <v>0</v>
      </c>
      <c r="ED499" s="21">
        <v>0</v>
      </c>
      <c r="EE499" s="21">
        <v>0</v>
      </c>
      <c r="EF499" s="21">
        <v>0</v>
      </c>
    </row>
    <row r="500" spans="1:136" ht="14.5" x14ac:dyDescent="0.35">
      <c r="A500" s="20" t="s">
        <v>12</v>
      </c>
      <c r="B500" s="20" t="s">
        <v>392</v>
      </c>
      <c r="C500" s="20" t="s">
        <v>138</v>
      </c>
      <c r="D500" s="20" t="s">
        <v>334</v>
      </c>
      <c r="E500" s="20" t="s">
        <v>10</v>
      </c>
      <c r="F500" s="20" t="s">
        <v>103</v>
      </c>
      <c r="G500" s="21">
        <v>2.5</v>
      </c>
      <c r="H500" s="21">
        <v>2.5</v>
      </c>
      <c r="I500" s="21">
        <v>0</v>
      </c>
      <c r="J500" s="21">
        <v>2.5</v>
      </c>
      <c r="K500" s="21">
        <v>0</v>
      </c>
      <c r="L500" s="21">
        <v>0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0</v>
      </c>
      <c r="S500" s="21">
        <v>0</v>
      </c>
      <c r="T500" s="21">
        <v>0</v>
      </c>
      <c r="U500" s="21">
        <v>0</v>
      </c>
      <c r="V500" s="21">
        <v>0</v>
      </c>
      <c r="W500" s="21">
        <v>0</v>
      </c>
      <c r="X500" s="21">
        <v>0</v>
      </c>
      <c r="Y500" s="21">
        <v>0</v>
      </c>
      <c r="Z500" s="21">
        <v>0</v>
      </c>
      <c r="AA500" s="21">
        <v>0</v>
      </c>
      <c r="AB500" s="21">
        <v>0</v>
      </c>
      <c r="AC500" s="21">
        <v>0</v>
      </c>
      <c r="AD500" s="21">
        <v>0</v>
      </c>
      <c r="AE500" s="21">
        <v>0</v>
      </c>
      <c r="AF500" s="21">
        <v>0</v>
      </c>
      <c r="AG500" s="21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0</v>
      </c>
      <c r="AM500" s="21">
        <v>0</v>
      </c>
      <c r="AN500" s="21">
        <v>0</v>
      </c>
      <c r="AO500" s="21">
        <v>0</v>
      </c>
      <c r="AP500" s="21">
        <v>0</v>
      </c>
      <c r="AQ500" s="21">
        <v>0</v>
      </c>
      <c r="AR500" s="21">
        <v>0</v>
      </c>
      <c r="AS500" s="21">
        <v>0</v>
      </c>
      <c r="AT500" s="21">
        <v>0</v>
      </c>
      <c r="AU500" s="21">
        <v>0</v>
      </c>
      <c r="AV500" s="21">
        <v>0</v>
      </c>
      <c r="AW500" s="21">
        <v>0</v>
      </c>
      <c r="AX500" s="21">
        <v>0</v>
      </c>
      <c r="AY500" s="21">
        <v>0</v>
      </c>
      <c r="AZ500" s="21">
        <v>0</v>
      </c>
      <c r="BA500" s="21">
        <v>0</v>
      </c>
      <c r="BB500" s="21">
        <v>0</v>
      </c>
      <c r="BC500" s="21">
        <v>0</v>
      </c>
      <c r="BD500" s="21">
        <v>0</v>
      </c>
      <c r="BE500" s="21">
        <v>0</v>
      </c>
      <c r="BF500" s="21">
        <v>0</v>
      </c>
      <c r="BG500" s="21">
        <v>0</v>
      </c>
      <c r="BH500" s="21">
        <v>0</v>
      </c>
      <c r="BI500" s="21">
        <v>0</v>
      </c>
      <c r="BJ500" s="21">
        <v>0</v>
      </c>
      <c r="BK500" s="21">
        <v>0</v>
      </c>
      <c r="BL500" s="21">
        <v>0</v>
      </c>
      <c r="BM500" s="21">
        <v>0</v>
      </c>
      <c r="BN500" s="21">
        <v>0</v>
      </c>
      <c r="BO500" s="21">
        <v>0</v>
      </c>
      <c r="BP500" s="21">
        <v>0</v>
      </c>
      <c r="BQ500" s="21">
        <v>0</v>
      </c>
      <c r="BR500" s="21">
        <v>0</v>
      </c>
      <c r="BS500" s="21">
        <v>0</v>
      </c>
      <c r="BT500" s="21">
        <v>0</v>
      </c>
      <c r="BU500" s="21">
        <v>0</v>
      </c>
      <c r="BV500" s="21">
        <v>0</v>
      </c>
      <c r="BW500" s="21">
        <v>0</v>
      </c>
      <c r="BX500" s="21">
        <v>0</v>
      </c>
      <c r="BY500" s="21">
        <v>0</v>
      </c>
      <c r="BZ500" s="21">
        <v>0</v>
      </c>
      <c r="CA500" s="21">
        <v>0</v>
      </c>
      <c r="CB500" s="21">
        <v>0</v>
      </c>
      <c r="CC500" s="21">
        <v>0</v>
      </c>
      <c r="CD500" s="21">
        <v>0</v>
      </c>
      <c r="CE500" s="21">
        <v>0</v>
      </c>
      <c r="CF500" s="21">
        <v>0</v>
      </c>
      <c r="CG500" s="21">
        <v>0</v>
      </c>
      <c r="CH500" s="21">
        <v>0</v>
      </c>
      <c r="CI500" s="21">
        <v>0</v>
      </c>
      <c r="CJ500" s="21">
        <v>0</v>
      </c>
      <c r="CK500" s="21">
        <v>0</v>
      </c>
      <c r="CL500" s="21">
        <v>0</v>
      </c>
      <c r="CM500" s="21">
        <v>0</v>
      </c>
      <c r="CN500" s="21">
        <v>0</v>
      </c>
      <c r="CO500" s="21">
        <v>0</v>
      </c>
      <c r="CP500" s="21">
        <v>0</v>
      </c>
      <c r="CQ500" s="21">
        <v>0</v>
      </c>
      <c r="CR500" s="21">
        <v>0</v>
      </c>
      <c r="CS500" s="21">
        <v>0</v>
      </c>
      <c r="CT500" s="21">
        <v>0</v>
      </c>
      <c r="CU500" s="21">
        <v>0</v>
      </c>
      <c r="CV500" s="21">
        <v>0</v>
      </c>
      <c r="CW500" s="21">
        <v>0</v>
      </c>
      <c r="CX500" s="21">
        <v>0</v>
      </c>
      <c r="CY500" s="21">
        <v>0</v>
      </c>
      <c r="CZ500" s="21">
        <v>0</v>
      </c>
      <c r="DA500" s="21">
        <v>0</v>
      </c>
      <c r="DB500" s="21">
        <v>0</v>
      </c>
      <c r="DC500" s="21">
        <v>0</v>
      </c>
      <c r="DD500" s="21">
        <v>0</v>
      </c>
      <c r="DE500" s="21">
        <v>0</v>
      </c>
      <c r="DF500" s="21">
        <v>0</v>
      </c>
      <c r="DG500" s="21">
        <v>0</v>
      </c>
      <c r="DH500" s="21">
        <v>0</v>
      </c>
      <c r="DI500" s="21">
        <v>0</v>
      </c>
      <c r="DJ500" s="21">
        <v>0</v>
      </c>
      <c r="DK500" s="21">
        <v>0</v>
      </c>
      <c r="DL500" s="21">
        <v>0</v>
      </c>
      <c r="DM500" s="21">
        <v>0</v>
      </c>
      <c r="DN500" s="21">
        <v>0</v>
      </c>
      <c r="DO500" s="21">
        <v>0</v>
      </c>
      <c r="DP500" s="21">
        <v>0</v>
      </c>
      <c r="DQ500" s="21">
        <v>0</v>
      </c>
      <c r="DR500" s="21">
        <v>0</v>
      </c>
      <c r="DS500" s="21">
        <v>0</v>
      </c>
      <c r="DT500" s="21">
        <v>0</v>
      </c>
      <c r="DU500" s="21">
        <v>0</v>
      </c>
      <c r="DV500" s="21">
        <v>0</v>
      </c>
      <c r="DW500" s="21">
        <v>0</v>
      </c>
      <c r="DX500" s="21">
        <v>0</v>
      </c>
      <c r="DY500" s="21">
        <v>0</v>
      </c>
      <c r="DZ500" s="21">
        <v>0</v>
      </c>
      <c r="EA500" s="21">
        <v>0</v>
      </c>
      <c r="EB500" s="21">
        <v>0</v>
      </c>
      <c r="EC500" s="21">
        <v>0</v>
      </c>
      <c r="ED500" s="21">
        <v>0</v>
      </c>
      <c r="EE500" s="21">
        <v>0</v>
      </c>
      <c r="EF500" s="21">
        <v>0</v>
      </c>
    </row>
    <row r="501" spans="1:136" ht="14.5" x14ac:dyDescent="0.35">
      <c r="A501" s="20" t="s">
        <v>12</v>
      </c>
      <c r="B501" s="20" t="s">
        <v>393</v>
      </c>
      <c r="C501" s="20" t="s">
        <v>171</v>
      </c>
      <c r="D501" s="20" t="s">
        <v>339</v>
      </c>
      <c r="E501" s="20" t="s">
        <v>14</v>
      </c>
      <c r="F501" s="20" t="s">
        <v>81</v>
      </c>
      <c r="G501" s="21">
        <v>7</v>
      </c>
      <c r="H501" s="21">
        <v>7</v>
      </c>
      <c r="I501" s="21">
        <v>0</v>
      </c>
      <c r="J501" s="21">
        <v>7</v>
      </c>
      <c r="K501" s="21">
        <v>0</v>
      </c>
      <c r="L501" s="21">
        <v>0</v>
      </c>
      <c r="M501" s="21">
        <v>0</v>
      </c>
      <c r="N501" s="21">
        <v>0</v>
      </c>
      <c r="O501" s="21">
        <v>0</v>
      </c>
      <c r="P501" s="21">
        <v>0</v>
      </c>
      <c r="Q501" s="21">
        <v>0</v>
      </c>
      <c r="R501" s="21">
        <v>0</v>
      </c>
      <c r="S501" s="21">
        <v>0</v>
      </c>
      <c r="T501" s="21">
        <v>0</v>
      </c>
      <c r="U501" s="21">
        <v>0</v>
      </c>
      <c r="V501" s="21">
        <v>0</v>
      </c>
      <c r="W501" s="21">
        <v>0</v>
      </c>
      <c r="X501" s="21">
        <v>0</v>
      </c>
      <c r="Y501" s="21">
        <v>0</v>
      </c>
      <c r="Z501" s="21">
        <v>0</v>
      </c>
      <c r="AA501" s="21">
        <v>0</v>
      </c>
      <c r="AB501" s="21">
        <v>0</v>
      </c>
      <c r="AC501" s="21">
        <v>0</v>
      </c>
      <c r="AD501" s="21">
        <v>0</v>
      </c>
      <c r="AE501" s="21">
        <v>0</v>
      </c>
      <c r="AF501" s="21">
        <v>0</v>
      </c>
      <c r="AG501" s="21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1">
        <v>0</v>
      </c>
      <c r="AN501" s="21">
        <v>0</v>
      </c>
      <c r="AO501" s="21">
        <v>0</v>
      </c>
      <c r="AP501" s="21">
        <v>0</v>
      </c>
      <c r="AQ501" s="21">
        <v>0</v>
      </c>
      <c r="AR501" s="21">
        <v>0</v>
      </c>
      <c r="AS501" s="21">
        <v>0</v>
      </c>
      <c r="AT501" s="21">
        <v>0</v>
      </c>
      <c r="AU501" s="21">
        <v>0</v>
      </c>
      <c r="AV501" s="21">
        <v>0</v>
      </c>
      <c r="AW501" s="21">
        <v>0</v>
      </c>
      <c r="AX501" s="21">
        <v>0</v>
      </c>
      <c r="AY501" s="21">
        <v>0</v>
      </c>
      <c r="AZ501" s="21">
        <v>0</v>
      </c>
      <c r="BA501" s="21">
        <v>0</v>
      </c>
      <c r="BB501" s="21">
        <v>0</v>
      </c>
      <c r="BC501" s="21">
        <v>0</v>
      </c>
      <c r="BD501" s="21">
        <v>0</v>
      </c>
      <c r="BE501" s="21">
        <v>0</v>
      </c>
      <c r="BF501" s="21">
        <v>0</v>
      </c>
      <c r="BG501" s="21">
        <v>0</v>
      </c>
      <c r="BH501" s="21">
        <v>0</v>
      </c>
      <c r="BI501" s="21">
        <v>0</v>
      </c>
      <c r="BJ501" s="21">
        <v>0</v>
      </c>
      <c r="BK501" s="21">
        <v>0</v>
      </c>
      <c r="BL501" s="21">
        <v>0</v>
      </c>
      <c r="BM501" s="21">
        <v>0</v>
      </c>
      <c r="BN501" s="21">
        <v>0</v>
      </c>
      <c r="BO501" s="21">
        <v>0</v>
      </c>
      <c r="BP501" s="21">
        <v>0</v>
      </c>
      <c r="BQ501" s="21">
        <v>0</v>
      </c>
      <c r="BR501" s="21">
        <v>0</v>
      </c>
      <c r="BS501" s="21">
        <v>0</v>
      </c>
      <c r="BT501" s="21">
        <v>0</v>
      </c>
      <c r="BU501" s="21">
        <v>0</v>
      </c>
      <c r="BV501" s="21">
        <v>0</v>
      </c>
      <c r="BW501" s="21">
        <v>0</v>
      </c>
      <c r="BX501" s="21">
        <v>0</v>
      </c>
      <c r="BY501" s="21">
        <v>0</v>
      </c>
      <c r="BZ501" s="21">
        <v>0</v>
      </c>
      <c r="CA501" s="21">
        <v>0</v>
      </c>
      <c r="CB501" s="21">
        <v>0</v>
      </c>
      <c r="CC501" s="21">
        <v>0</v>
      </c>
      <c r="CD501" s="21">
        <v>0</v>
      </c>
      <c r="CE501" s="21">
        <v>0</v>
      </c>
      <c r="CF501" s="21">
        <v>0</v>
      </c>
      <c r="CG501" s="21">
        <v>0</v>
      </c>
      <c r="CH501" s="21">
        <v>0</v>
      </c>
      <c r="CI501" s="21">
        <v>0</v>
      </c>
      <c r="CJ501" s="21">
        <v>0</v>
      </c>
      <c r="CK501" s="21">
        <v>0</v>
      </c>
      <c r="CL501" s="21">
        <v>0</v>
      </c>
      <c r="CM501" s="21">
        <v>0</v>
      </c>
      <c r="CN501" s="21">
        <v>0</v>
      </c>
      <c r="CO501" s="21">
        <v>0</v>
      </c>
      <c r="CP501" s="21">
        <v>0</v>
      </c>
      <c r="CQ501" s="21">
        <v>0</v>
      </c>
      <c r="CR501" s="21">
        <v>0</v>
      </c>
      <c r="CS501" s="21">
        <v>0</v>
      </c>
      <c r="CT501" s="21">
        <v>0</v>
      </c>
      <c r="CU501" s="21">
        <v>0</v>
      </c>
      <c r="CV501" s="21">
        <v>0</v>
      </c>
      <c r="CW501" s="21">
        <v>0</v>
      </c>
      <c r="CX501" s="21">
        <v>0</v>
      </c>
      <c r="CY501" s="21">
        <v>0</v>
      </c>
      <c r="CZ501" s="21">
        <v>0</v>
      </c>
      <c r="DA501" s="21">
        <v>0</v>
      </c>
      <c r="DB501" s="21">
        <v>0</v>
      </c>
      <c r="DC501" s="21">
        <v>0</v>
      </c>
      <c r="DD501" s="21">
        <v>0</v>
      </c>
      <c r="DE501" s="21">
        <v>0</v>
      </c>
      <c r="DF501" s="21">
        <v>0</v>
      </c>
      <c r="DG501" s="21">
        <v>0</v>
      </c>
      <c r="DH501" s="21">
        <v>0</v>
      </c>
      <c r="DI501" s="21">
        <v>0</v>
      </c>
      <c r="DJ501" s="21">
        <v>0</v>
      </c>
      <c r="DK501" s="21">
        <v>0</v>
      </c>
      <c r="DL501" s="21">
        <v>0</v>
      </c>
      <c r="DM501" s="21">
        <v>0</v>
      </c>
      <c r="DN501" s="21">
        <v>0</v>
      </c>
      <c r="DO501" s="21">
        <v>0</v>
      </c>
      <c r="DP501" s="21">
        <v>0</v>
      </c>
      <c r="DQ501" s="21">
        <v>0</v>
      </c>
      <c r="DR501" s="21">
        <v>0</v>
      </c>
      <c r="DS501" s="21">
        <v>0</v>
      </c>
      <c r="DT501" s="21">
        <v>0</v>
      </c>
      <c r="DU501" s="21">
        <v>0</v>
      </c>
      <c r="DV501" s="21">
        <v>0</v>
      </c>
      <c r="DW501" s="21">
        <v>0</v>
      </c>
      <c r="DX501" s="21">
        <v>0</v>
      </c>
      <c r="DY501" s="21">
        <v>0</v>
      </c>
      <c r="DZ501" s="21">
        <v>0</v>
      </c>
      <c r="EA501" s="21">
        <v>0</v>
      </c>
      <c r="EB501" s="21">
        <v>0</v>
      </c>
      <c r="EC501" s="21">
        <v>0</v>
      </c>
      <c r="ED501" s="21">
        <v>0</v>
      </c>
      <c r="EE501" s="21">
        <v>0</v>
      </c>
      <c r="EF501" s="21">
        <v>0</v>
      </c>
    </row>
    <row r="502" spans="1:136" ht="14.5" x14ac:dyDescent="0.35">
      <c r="A502" s="20" t="s">
        <v>12</v>
      </c>
      <c r="B502" s="20" t="s">
        <v>394</v>
      </c>
      <c r="C502" s="20" t="s">
        <v>172</v>
      </c>
      <c r="D502" s="20" t="s">
        <v>339</v>
      </c>
      <c r="E502" s="20" t="s">
        <v>14</v>
      </c>
      <c r="F502" s="20" t="s">
        <v>81</v>
      </c>
      <c r="G502" s="21">
        <v>9</v>
      </c>
      <c r="H502" s="21">
        <v>9</v>
      </c>
      <c r="I502" s="21">
        <v>0</v>
      </c>
      <c r="J502" s="21">
        <v>9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  <c r="Q502" s="21">
        <v>0</v>
      </c>
      <c r="R502" s="21">
        <v>0</v>
      </c>
      <c r="S502" s="21">
        <v>0</v>
      </c>
      <c r="T502" s="21">
        <v>0</v>
      </c>
      <c r="U502" s="21">
        <v>0</v>
      </c>
      <c r="V502" s="21">
        <v>0</v>
      </c>
      <c r="W502" s="21">
        <v>0</v>
      </c>
      <c r="X502" s="21">
        <v>0</v>
      </c>
      <c r="Y502" s="21">
        <v>0</v>
      </c>
      <c r="Z502" s="21">
        <v>0</v>
      </c>
      <c r="AA502" s="21">
        <v>0</v>
      </c>
      <c r="AB502" s="21">
        <v>0</v>
      </c>
      <c r="AC502" s="21">
        <v>0</v>
      </c>
      <c r="AD502" s="21">
        <v>0</v>
      </c>
      <c r="AE502" s="21">
        <v>0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0</v>
      </c>
      <c r="AM502" s="21">
        <v>0</v>
      </c>
      <c r="AN502" s="21">
        <v>0</v>
      </c>
      <c r="AO502" s="21">
        <v>0</v>
      </c>
      <c r="AP502" s="21">
        <v>0</v>
      </c>
      <c r="AQ502" s="21">
        <v>0</v>
      </c>
      <c r="AR502" s="21">
        <v>0</v>
      </c>
      <c r="AS502" s="21">
        <v>0</v>
      </c>
      <c r="AT502" s="21">
        <v>0</v>
      </c>
      <c r="AU502" s="21">
        <v>0</v>
      </c>
      <c r="AV502" s="21">
        <v>0</v>
      </c>
      <c r="AW502" s="21">
        <v>0</v>
      </c>
      <c r="AX502" s="21">
        <v>0</v>
      </c>
      <c r="AY502" s="21">
        <v>0</v>
      </c>
      <c r="AZ502" s="21">
        <v>0</v>
      </c>
      <c r="BA502" s="21">
        <v>0</v>
      </c>
      <c r="BB502" s="21">
        <v>0</v>
      </c>
      <c r="BC502" s="21">
        <v>0</v>
      </c>
      <c r="BD502" s="21">
        <v>0</v>
      </c>
      <c r="BE502" s="21">
        <v>0</v>
      </c>
      <c r="BF502" s="21">
        <v>0</v>
      </c>
      <c r="BG502" s="21">
        <v>0</v>
      </c>
      <c r="BH502" s="21">
        <v>0</v>
      </c>
      <c r="BI502" s="21">
        <v>0</v>
      </c>
      <c r="BJ502" s="21">
        <v>0</v>
      </c>
      <c r="BK502" s="21">
        <v>0</v>
      </c>
      <c r="BL502" s="21">
        <v>0</v>
      </c>
      <c r="BM502" s="21">
        <v>0</v>
      </c>
      <c r="BN502" s="21">
        <v>0</v>
      </c>
      <c r="BO502" s="21">
        <v>0</v>
      </c>
      <c r="BP502" s="21">
        <v>0</v>
      </c>
      <c r="BQ502" s="21">
        <v>0</v>
      </c>
      <c r="BR502" s="21">
        <v>0</v>
      </c>
      <c r="BS502" s="21">
        <v>0</v>
      </c>
      <c r="BT502" s="21">
        <v>0</v>
      </c>
      <c r="BU502" s="21">
        <v>0</v>
      </c>
      <c r="BV502" s="21">
        <v>0</v>
      </c>
      <c r="BW502" s="21">
        <v>0</v>
      </c>
      <c r="BX502" s="21">
        <v>0</v>
      </c>
      <c r="BY502" s="21">
        <v>0</v>
      </c>
      <c r="BZ502" s="21">
        <v>0</v>
      </c>
      <c r="CA502" s="21">
        <v>0</v>
      </c>
      <c r="CB502" s="21">
        <v>0</v>
      </c>
      <c r="CC502" s="21">
        <v>0</v>
      </c>
      <c r="CD502" s="21">
        <v>0</v>
      </c>
      <c r="CE502" s="21">
        <v>0</v>
      </c>
      <c r="CF502" s="21">
        <v>0</v>
      </c>
      <c r="CG502" s="21">
        <v>0</v>
      </c>
      <c r="CH502" s="21">
        <v>0</v>
      </c>
      <c r="CI502" s="21">
        <v>0</v>
      </c>
      <c r="CJ502" s="21">
        <v>0</v>
      </c>
      <c r="CK502" s="21">
        <v>0</v>
      </c>
      <c r="CL502" s="21">
        <v>0</v>
      </c>
      <c r="CM502" s="21">
        <v>0</v>
      </c>
      <c r="CN502" s="21">
        <v>0</v>
      </c>
      <c r="CO502" s="21">
        <v>0</v>
      </c>
      <c r="CP502" s="21">
        <v>0</v>
      </c>
      <c r="CQ502" s="21">
        <v>0</v>
      </c>
      <c r="CR502" s="21">
        <v>0</v>
      </c>
      <c r="CS502" s="21">
        <v>0</v>
      </c>
      <c r="CT502" s="21">
        <v>0</v>
      </c>
      <c r="CU502" s="21">
        <v>0</v>
      </c>
      <c r="CV502" s="21">
        <v>0</v>
      </c>
      <c r="CW502" s="21">
        <v>0</v>
      </c>
      <c r="CX502" s="21">
        <v>0</v>
      </c>
      <c r="CY502" s="21">
        <v>0</v>
      </c>
      <c r="CZ502" s="21">
        <v>0</v>
      </c>
      <c r="DA502" s="21">
        <v>0</v>
      </c>
      <c r="DB502" s="21">
        <v>0</v>
      </c>
      <c r="DC502" s="21">
        <v>0</v>
      </c>
      <c r="DD502" s="21">
        <v>0</v>
      </c>
      <c r="DE502" s="21">
        <v>0</v>
      </c>
      <c r="DF502" s="21">
        <v>0</v>
      </c>
      <c r="DG502" s="21">
        <v>0</v>
      </c>
      <c r="DH502" s="21">
        <v>0</v>
      </c>
      <c r="DI502" s="21">
        <v>0</v>
      </c>
      <c r="DJ502" s="21">
        <v>0</v>
      </c>
      <c r="DK502" s="21">
        <v>0</v>
      </c>
      <c r="DL502" s="21">
        <v>0</v>
      </c>
      <c r="DM502" s="21">
        <v>0</v>
      </c>
      <c r="DN502" s="21">
        <v>0</v>
      </c>
      <c r="DO502" s="21">
        <v>0</v>
      </c>
      <c r="DP502" s="21">
        <v>0</v>
      </c>
      <c r="DQ502" s="21">
        <v>0</v>
      </c>
      <c r="DR502" s="21">
        <v>0</v>
      </c>
      <c r="DS502" s="21">
        <v>0</v>
      </c>
      <c r="DT502" s="21">
        <v>0</v>
      </c>
      <c r="DU502" s="21">
        <v>0</v>
      </c>
      <c r="DV502" s="21">
        <v>0</v>
      </c>
      <c r="DW502" s="21">
        <v>0</v>
      </c>
      <c r="DX502" s="21">
        <v>0</v>
      </c>
      <c r="DY502" s="21">
        <v>0</v>
      </c>
      <c r="DZ502" s="21">
        <v>0</v>
      </c>
      <c r="EA502" s="21">
        <v>0</v>
      </c>
      <c r="EB502" s="21">
        <v>0</v>
      </c>
      <c r="EC502" s="21">
        <v>0</v>
      </c>
      <c r="ED502" s="21">
        <v>0</v>
      </c>
      <c r="EE502" s="21">
        <v>0</v>
      </c>
      <c r="EF502" s="21">
        <v>0</v>
      </c>
    </row>
    <row r="503" spans="1:136" ht="14.5" x14ac:dyDescent="0.35">
      <c r="A503" s="20" t="s">
        <v>12</v>
      </c>
      <c r="B503" s="20" t="s">
        <v>395</v>
      </c>
      <c r="C503" s="20" t="s">
        <v>173</v>
      </c>
      <c r="D503" s="20" t="s">
        <v>332</v>
      </c>
      <c r="E503" s="20" t="s">
        <v>14</v>
      </c>
      <c r="F503" s="20" t="s">
        <v>40</v>
      </c>
      <c r="G503" s="21">
        <v>0</v>
      </c>
      <c r="H503" s="21">
        <v>28</v>
      </c>
      <c r="I503" s="21">
        <v>28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  <c r="Q503" s="21">
        <v>0</v>
      </c>
      <c r="R503" s="21">
        <v>0</v>
      </c>
      <c r="S503" s="21">
        <v>0</v>
      </c>
      <c r="T503" s="21">
        <v>0</v>
      </c>
      <c r="U503" s="21">
        <v>0</v>
      </c>
      <c r="V503" s="21">
        <v>0</v>
      </c>
      <c r="W503" s="21">
        <v>0</v>
      </c>
      <c r="X503" s="21">
        <v>0</v>
      </c>
      <c r="Y503" s="21">
        <v>0</v>
      </c>
      <c r="Z503" s="21">
        <v>0</v>
      </c>
      <c r="AA503" s="21">
        <v>0</v>
      </c>
      <c r="AB503" s="21">
        <v>0</v>
      </c>
      <c r="AC503" s="21">
        <v>0</v>
      </c>
      <c r="AD503" s="21">
        <v>0</v>
      </c>
      <c r="AE503" s="21">
        <v>0</v>
      </c>
      <c r="AF503" s="21">
        <v>0</v>
      </c>
      <c r="AG503" s="21">
        <v>0</v>
      </c>
      <c r="AH503" s="21">
        <v>0</v>
      </c>
      <c r="AI503" s="21">
        <v>0</v>
      </c>
      <c r="AJ503" s="21">
        <v>0</v>
      </c>
      <c r="AK503" s="21">
        <v>0</v>
      </c>
      <c r="AL503" s="21">
        <v>0</v>
      </c>
      <c r="AM503" s="21">
        <v>0</v>
      </c>
      <c r="AN503" s="21">
        <v>0</v>
      </c>
      <c r="AO503" s="21">
        <v>0</v>
      </c>
      <c r="AP503" s="21">
        <v>0</v>
      </c>
      <c r="AQ503" s="21">
        <v>0</v>
      </c>
      <c r="AR503" s="21">
        <v>0</v>
      </c>
      <c r="AS503" s="21">
        <v>0</v>
      </c>
      <c r="AT503" s="21">
        <v>0</v>
      </c>
      <c r="AU503" s="21">
        <v>0</v>
      </c>
      <c r="AV503" s="21">
        <v>0</v>
      </c>
      <c r="AW503" s="21">
        <v>0</v>
      </c>
      <c r="AX503" s="21">
        <v>0</v>
      </c>
      <c r="AY503" s="21">
        <v>0</v>
      </c>
      <c r="AZ503" s="21">
        <v>0</v>
      </c>
      <c r="BA503" s="21">
        <v>0</v>
      </c>
      <c r="BB503" s="21">
        <v>0</v>
      </c>
      <c r="BC503" s="21">
        <v>0</v>
      </c>
      <c r="BD503" s="21">
        <v>0</v>
      </c>
      <c r="BE503" s="21">
        <v>0</v>
      </c>
      <c r="BF503" s="21">
        <v>0</v>
      </c>
      <c r="BG503" s="21">
        <v>0</v>
      </c>
      <c r="BH503" s="21">
        <v>0</v>
      </c>
      <c r="BI503" s="21">
        <v>0</v>
      </c>
      <c r="BJ503" s="21">
        <v>0</v>
      </c>
      <c r="BK503" s="21">
        <v>0</v>
      </c>
      <c r="BL503" s="21">
        <v>0</v>
      </c>
      <c r="BM503" s="21">
        <v>0</v>
      </c>
      <c r="BN503" s="21">
        <v>0</v>
      </c>
      <c r="BO503" s="21">
        <v>0</v>
      </c>
      <c r="BP503" s="21">
        <v>0</v>
      </c>
      <c r="BQ503" s="21">
        <v>0</v>
      </c>
      <c r="BR503" s="21">
        <v>0</v>
      </c>
      <c r="BS503" s="21">
        <v>0</v>
      </c>
      <c r="BT503" s="21">
        <v>0</v>
      </c>
      <c r="BU503" s="21">
        <v>0</v>
      </c>
      <c r="BV503" s="21">
        <v>0</v>
      </c>
      <c r="BW503" s="21">
        <v>0</v>
      </c>
      <c r="BX503" s="21">
        <v>0</v>
      </c>
      <c r="BY503" s="21">
        <v>0</v>
      </c>
      <c r="BZ503" s="21">
        <v>0</v>
      </c>
      <c r="CA503" s="21">
        <v>0</v>
      </c>
      <c r="CB503" s="21">
        <v>0</v>
      </c>
      <c r="CC503" s="21">
        <v>0</v>
      </c>
      <c r="CD503" s="21">
        <v>0</v>
      </c>
      <c r="CE503" s="21">
        <v>0</v>
      </c>
      <c r="CF503" s="21">
        <v>0</v>
      </c>
      <c r="CG503" s="21">
        <v>0</v>
      </c>
      <c r="CH503" s="21">
        <v>0</v>
      </c>
      <c r="CI503" s="21">
        <v>0</v>
      </c>
      <c r="CJ503" s="21">
        <v>0</v>
      </c>
      <c r="CK503" s="21">
        <v>0</v>
      </c>
      <c r="CL503" s="21">
        <v>0</v>
      </c>
      <c r="CM503" s="21">
        <v>0</v>
      </c>
      <c r="CN503" s="21">
        <v>0</v>
      </c>
      <c r="CO503" s="21">
        <v>0</v>
      </c>
      <c r="CP503" s="21">
        <v>0</v>
      </c>
      <c r="CQ503" s="21">
        <v>0</v>
      </c>
      <c r="CR503" s="21">
        <v>0</v>
      </c>
      <c r="CS503" s="21">
        <v>0</v>
      </c>
      <c r="CT503" s="21">
        <v>0</v>
      </c>
      <c r="CU503" s="21">
        <v>0</v>
      </c>
      <c r="CV503" s="21">
        <v>0</v>
      </c>
      <c r="CW503" s="21">
        <v>0</v>
      </c>
      <c r="CX503" s="21">
        <v>0</v>
      </c>
      <c r="CY503" s="21">
        <v>0</v>
      </c>
      <c r="CZ503" s="21">
        <v>0</v>
      </c>
      <c r="DA503" s="21">
        <v>0</v>
      </c>
      <c r="DB503" s="21">
        <v>0</v>
      </c>
      <c r="DC503" s="21">
        <v>0</v>
      </c>
      <c r="DD503" s="21">
        <v>0</v>
      </c>
      <c r="DE503" s="21">
        <v>0</v>
      </c>
      <c r="DF503" s="21">
        <v>0</v>
      </c>
      <c r="DG503" s="21">
        <v>0</v>
      </c>
      <c r="DH503" s="21">
        <v>0</v>
      </c>
      <c r="DI503" s="21">
        <v>0</v>
      </c>
      <c r="DJ503" s="21">
        <v>0</v>
      </c>
      <c r="DK503" s="21">
        <v>0</v>
      </c>
      <c r="DL503" s="21">
        <v>0</v>
      </c>
      <c r="DM503" s="21">
        <v>0</v>
      </c>
      <c r="DN503" s="21">
        <v>0</v>
      </c>
      <c r="DO503" s="21">
        <v>0</v>
      </c>
      <c r="DP503" s="21">
        <v>10</v>
      </c>
      <c r="DQ503" s="21">
        <v>8</v>
      </c>
      <c r="DR503" s="21">
        <v>10</v>
      </c>
      <c r="DS503" s="21">
        <v>0</v>
      </c>
      <c r="DT503" s="21">
        <v>0</v>
      </c>
      <c r="DU503" s="21">
        <v>0</v>
      </c>
      <c r="DV503" s="21">
        <v>0</v>
      </c>
      <c r="DW503" s="21">
        <v>0</v>
      </c>
      <c r="DX503" s="21">
        <v>0</v>
      </c>
      <c r="DY503" s="21">
        <v>0</v>
      </c>
      <c r="DZ503" s="21">
        <v>0</v>
      </c>
      <c r="EA503" s="21">
        <v>0</v>
      </c>
      <c r="EB503" s="21">
        <v>0</v>
      </c>
      <c r="EC503" s="21">
        <v>0</v>
      </c>
      <c r="ED503" s="21">
        <v>0</v>
      </c>
      <c r="EE503" s="21">
        <v>0</v>
      </c>
      <c r="EF503" s="21">
        <v>0</v>
      </c>
    </row>
    <row r="504" spans="1:136" ht="14.5" x14ac:dyDescent="0.35">
      <c r="A504" s="20" t="s">
        <v>12</v>
      </c>
      <c r="B504" s="20" t="s">
        <v>396</v>
      </c>
      <c r="C504" s="20" t="s">
        <v>174</v>
      </c>
      <c r="D504" s="20" t="s">
        <v>339</v>
      </c>
      <c r="E504" s="20" t="s">
        <v>14</v>
      </c>
      <c r="F504" s="20" t="s">
        <v>81</v>
      </c>
      <c r="G504" s="21">
        <v>0</v>
      </c>
      <c r="H504" s="21">
        <v>0</v>
      </c>
      <c r="I504" s="21">
        <v>309</v>
      </c>
      <c r="J504" s="21">
        <v>-309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  <c r="Q504" s="21">
        <v>0</v>
      </c>
      <c r="R504" s="21">
        <v>0</v>
      </c>
      <c r="S504" s="21">
        <v>0</v>
      </c>
      <c r="T504" s="21">
        <v>0</v>
      </c>
      <c r="U504" s="21">
        <v>0</v>
      </c>
      <c r="V504" s="21">
        <v>0</v>
      </c>
      <c r="W504" s="21">
        <v>0</v>
      </c>
      <c r="X504" s="21">
        <v>0</v>
      </c>
      <c r="Y504" s="21">
        <v>0</v>
      </c>
      <c r="Z504" s="21">
        <v>0</v>
      </c>
      <c r="AA504" s="21">
        <v>0</v>
      </c>
      <c r="AB504" s="21">
        <v>0</v>
      </c>
      <c r="AC504" s="21">
        <v>0</v>
      </c>
      <c r="AD504" s="21">
        <v>0</v>
      </c>
      <c r="AE504" s="21">
        <v>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1">
        <v>0</v>
      </c>
      <c r="AN504" s="21">
        <v>0</v>
      </c>
      <c r="AO504" s="21">
        <v>0</v>
      </c>
      <c r="AP504" s="21">
        <v>0</v>
      </c>
      <c r="AQ504" s="21">
        <v>0</v>
      </c>
      <c r="AR504" s="21">
        <v>0</v>
      </c>
      <c r="AS504" s="21">
        <v>0</v>
      </c>
      <c r="AT504" s="21">
        <v>0</v>
      </c>
      <c r="AU504" s="21">
        <v>0</v>
      </c>
      <c r="AV504" s="21">
        <v>0</v>
      </c>
      <c r="AW504" s="21">
        <v>0</v>
      </c>
      <c r="AX504" s="21">
        <v>0</v>
      </c>
      <c r="AY504" s="21">
        <v>0</v>
      </c>
      <c r="AZ504" s="21">
        <v>0</v>
      </c>
      <c r="BA504" s="21">
        <v>0</v>
      </c>
      <c r="BB504" s="21">
        <v>0</v>
      </c>
      <c r="BC504" s="21">
        <v>0</v>
      </c>
      <c r="BD504" s="21">
        <v>0</v>
      </c>
      <c r="BE504" s="21">
        <v>0</v>
      </c>
      <c r="BF504" s="21">
        <v>0</v>
      </c>
      <c r="BG504" s="21">
        <v>0</v>
      </c>
      <c r="BH504" s="21">
        <v>0</v>
      </c>
      <c r="BI504" s="21">
        <v>0</v>
      </c>
      <c r="BJ504" s="21">
        <v>0</v>
      </c>
      <c r="BK504" s="21">
        <v>0</v>
      </c>
      <c r="BL504" s="21">
        <v>0</v>
      </c>
      <c r="BM504" s="21">
        <v>0</v>
      </c>
      <c r="BN504" s="21">
        <v>0</v>
      </c>
      <c r="BO504" s="21">
        <v>0</v>
      </c>
      <c r="BP504" s="21">
        <v>0</v>
      </c>
      <c r="BQ504" s="21">
        <v>0</v>
      </c>
      <c r="BR504" s="21">
        <v>0</v>
      </c>
      <c r="BS504" s="21">
        <v>0</v>
      </c>
      <c r="BT504" s="21">
        <v>0</v>
      </c>
      <c r="BU504" s="21">
        <v>0</v>
      </c>
      <c r="BV504" s="21">
        <v>0</v>
      </c>
      <c r="BW504" s="21">
        <v>0</v>
      </c>
      <c r="BX504" s="21">
        <v>0</v>
      </c>
      <c r="BY504" s="21">
        <v>0</v>
      </c>
      <c r="BZ504" s="21">
        <v>0</v>
      </c>
      <c r="CA504" s="21">
        <v>0</v>
      </c>
      <c r="CB504" s="21">
        <v>0</v>
      </c>
      <c r="CC504" s="21">
        <v>0</v>
      </c>
      <c r="CD504" s="21">
        <v>0</v>
      </c>
      <c r="CE504" s="21">
        <v>0</v>
      </c>
      <c r="CF504" s="21">
        <v>0</v>
      </c>
      <c r="CG504" s="21">
        <v>0</v>
      </c>
      <c r="CH504" s="21">
        <v>0</v>
      </c>
      <c r="CI504" s="21">
        <v>0</v>
      </c>
      <c r="CJ504" s="21">
        <v>0</v>
      </c>
      <c r="CK504" s="21">
        <v>0</v>
      </c>
      <c r="CL504" s="21">
        <v>0</v>
      </c>
      <c r="CM504" s="21">
        <v>0</v>
      </c>
      <c r="CN504" s="21">
        <v>0</v>
      </c>
      <c r="CO504" s="21">
        <v>0</v>
      </c>
      <c r="CP504" s="21">
        <v>0</v>
      </c>
      <c r="CQ504" s="21">
        <v>0</v>
      </c>
      <c r="CR504" s="21">
        <v>0</v>
      </c>
      <c r="CS504" s="21">
        <v>0</v>
      </c>
      <c r="CT504" s="21">
        <v>24</v>
      </c>
      <c r="CU504" s="21">
        <v>24</v>
      </c>
      <c r="CV504" s="21">
        <v>2</v>
      </c>
      <c r="CW504" s="21">
        <v>22</v>
      </c>
      <c r="CX504" s="21">
        <v>26</v>
      </c>
      <c r="CY504" s="21">
        <v>22</v>
      </c>
      <c r="CZ504" s="21">
        <v>2</v>
      </c>
      <c r="DA504" s="21">
        <v>2</v>
      </c>
      <c r="DB504" s="21">
        <v>2</v>
      </c>
      <c r="DC504" s="21">
        <v>2</v>
      </c>
      <c r="DD504" s="21">
        <v>2</v>
      </c>
      <c r="DE504" s="21">
        <v>22</v>
      </c>
      <c r="DF504" s="21">
        <v>22</v>
      </c>
      <c r="DG504" s="21">
        <v>25.5</v>
      </c>
      <c r="DH504" s="21">
        <v>5.5</v>
      </c>
      <c r="DI504" s="21">
        <v>2</v>
      </c>
      <c r="DJ504" s="21">
        <v>0</v>
      </c>
      <c r="DK504" s="21">
        <v>6</v>
      </c>
      <c r="DL504" s="21">
        <v>2</v>
      </c>
      <c r="DM504" s="21">
        <v>29</v>
      </c>
      <c r="DN504" s="21">
        <v>29</v>
      </c>
      <c r="DO504" s="21">
        <v>26</v>
      </c>
      <c r="DP504" s="21">
        <v>2</v>
      </c>
      <c r="DQ504" s="21">
        <v>6</v>
      </c>
      <c r="DR504" s="21">
        <v>2</v>
      </c>
      <c r="DS504" s="21">
        <v>0</v>
      </c>
      <c r="DT504" s="21">
        <v>0</v>
      </c>
      <c r="DU504" s="21">
        <v>0</v>
      </c>
      <c r="DV504" s="21">
        <v>0</v>
      </c>
      <c r="DW504" s="21">
        <v>0</v>
      </c>
      <c r="DX504" s="21">
        <v>0</v>
      </c>
      <c r="DY504" s="21">
        <v>0</v>
      </c>
      <c r="DZ504" s="21">
        <v>0</v>
      </c>
      <c r="EA504" s="21">
        <v>0</v>
      </c>
      <c r="EB504" s="21">
        <v>0</v>
      </c>
      <c r="EC504" s="21">
        <v>0</v>
      </c>
      <c r="ED504" s="21">
        <v>0</v>
      </c>
      <c r="EE504" s="21">
        <v>0</v>
      </c>
      <c r="EF504" s="21">
        <v>0</v>
      </c>
    </row>
    <row r="505" spans="1:136" ht="14.5" x14ac:dyDescent="0.35">
      <c r="A505" s="20" t="s">
        <v>12</v>
      </c>
      <c r="B505" s="20" t="s">
        <v>397</v>
      </c>
      <c r="C505" s="20" t="s">
        <v>179</v>
      </c>
      <c r="D505" s="20" t="s">
        <v>339</v>
      </c>
      <c r="E505" s="20" t="s">
        <v>14</v>
      </c>
      <c r="F505" s="20" t="s">
        <v>100</v>
      </c>
      <c r="G505" s="21">
        <v>0</v>
      </c>
      <c r="H505" s="21">
        <v>122</v>
      </c>
      <c r="I505" s="21">
        <v>122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  <c r="Q505" s="21">
        <v>0</v>
      </c>
      <c r="R505" s="21">
        <v>0</v>
      </c>
      <c r="S505" s="21">
        <v>0</v>
      </c>
      <c r="T505" s="21">
        <v>0</v>
      </c>
      <c r="U505" s="21">
        <v>0</v>
      </c>
      <c r="V505" s="21">
        <v>0</v>
      </c>
      <c r="W505" s="21">
        <v>0</v>
      </c>
      <c r="X505" s="21">
        <v>0</v>
      </c>
      <c r="Y505" s="21">
        <v>0</v>
      </c>
      <c r="Z505" s="21">
        <v>0</v>
      </c>
      <c r="AA505" s="21">
        <v>0</v>
      </c>
      <c r="AB505" s="21">
        <v>0</v>
      </c>
      <c r="AC505" s="21">
        <v>0</v>
      </c>
      <c r="AD505" s="21">
        <v>0</v>
      </c>
      <c r="AE505" s="21">
        <v>0</v>
      </c>
      <c r="AF505" s="21">
        <v>0</v>
      </c>
      <c r="AG505" s="21">
        <v>0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</v>
      </c>
      <c r="AN505" s="21">
        <v>0</v>
      </c>
      <c r="AO505" s="21">
        <v>0</v>
      </c>
      <c r="AP505" s="21">
        <v>0</v>
      </c>
      <c r="AQ505" s="21">
        <v>0</v>
      </c>
      <c r="AR505" s="21">
        <v>0</v>
      </c>
      <c r="AS505" s="21">
        <v>0</v>
      </c>
      <c r="AT505" s="21">
        <v>0</v>
      </c>
      <c r="AU505" s="21">
        <v>0</v>
      </c>
      <c r="AV505" s="21">
        <v>0</v>
      </c>
      <c r="AW505" s="21">
        <v>0</v>
      </c>
      <c r="AX505" s="21">
        <v>0</v>
      </c>
      <c r="AY505" s="21">
        <v>0</v>
      </c>
      <c r="AZ505" s="21">
        <v>0</v>
      </c>
      <c r="BA505" s="21">
        <v>0</v>
      </c>
      <c r="BB505" s="21">
        <v>0</v>
      </c>
      <c r="BC505" s="21">
        <v>0</v>
      </c>
      <c r="BD505" s="21">
        <v>0</v>
      </c>
      <c r="BE505" s="21">
        <v>0</v>
      </c>
      <c r="BF505" s="21">
        <v>0</v>
      </c>
      <c r="BG505" s="21">
        <v>0</v>
      </c>
      <c r="BH505" s="21">
        <v>0</v>
      </c>
      <c r="BI505" s="21">
        <v>0</v>
      </c>
      <c r="BJ505" s="21">
        <v>0</v>
      </c>
      <c r="BK505" s="21">
        <v>0</v>
      </c>
      <c r="BL505" s="21">
        <v>0</v>
      </c>
      <c r="BM505" s="21">
        <v>0</v>
      </c>
      <c r="BN505" s="21">
        <v>0</v>
      </c>
      <c r="BO505" s="21">
        <v>0</v>
      </c>
      <c r="BP505" s="21">
        <v>0</v>
      </c>
      <c r="BQ505" s="21">
        <v>0</v>
      </c>
      <c r="BR505" s="21">
        <v>0</v>
      </c>
      <c r="BS505" s="21">
        <v>0</v>
      </c>
      <c r="BT505" s="21">
        <v>0</v>
      </c>
      <c r="BU505" s="21">
        <v>0</v>
      </c>
      <c r="BV505" s="21">
        <v>0</v>
      </c>
      <c r="BW505" s="21">
        <v>0</v>
      </c>
      <c r="BX505" s="21">
        <v>0</v>
      </c>
      <c r="BY505" s="21">
        <v>0</v>
      </c>
      <c r="BZ505" s="21">
        <v>0</v>
      </c>
      <c r="CA505" s="21">
        <v>0</v>
      </c>
      <c r="CB505" s="21">
        <v>0</v>
      </c>
      <c r="CC505" s="21">
        <v>0</v>
      </c>
      <c r="CD505" s="21">
        <v>0</v>
      </c>
      <c r="CE505" s="21">
        <v>0</v>
      </c>
      <c r="CF505" s="21">
        <v>0</v>
      </c>
      <c r="CG505" s="21">
        <v>0</v>
      </c>
      <c r="CH505" s="21">
        <v>0</v>
      </c>
      <c r="CI505" s="21">
        <v>0</v>
      </c>
      <c r="CJ505" s="21">
        <v>0</v>
      </c>
      <c r="CK505" s="21">
        <v>0</v>
      </c>
      <c r="CL505" s="21">
        <v>0</v>
      </c>
      <c r="CM505" s="21">
        <v>0</v>
      </c>
      <c r="CN505" s="21">
        <v>0</v>
      </c>
      <c r="CO505" s="21">
        <v>0</v>
      </c>
      <c r="CP505" s="21">
        <v>0</v>
      </c>
      <c r="CQ505" s="21">
        <v>0</v>
      </c>
      <c r="CR505" s="21">
        <v>0</v>
      </c>
      <c r="CS505" s="21">
        <v>0</v>
      </c>
      <c r="CT505" s="21">
        <v>0</v>
      </c>
      <c r="CU505" s="21">
        <v>0</v>
      </c>
      <c r="CV505" s="21">
        <v>0</v>
      </c>
      <c r="CW505" s="21">
        <v>0</v>
      </c>
      <c r="CX505" s="21">
        <v>0</v>
      </c>
      <c r="CY505" s="21">
        <v>0</v>
      </c>
      <c r="CZ505" s="21">
        <v>0</v>
      </c>
      <c r="DA505" s="21">
        <v>0</v>
      </c>
      <c r="DB505" s="21">
        <v>0</v>
      </c>
      <c r="DC505" s="21">
        <v>0</v>
      </c>
      <c r="DD505" s="21">
        <v>0</v>
      </c>
      <c r="DE505" s="21">
        <v>0</v>
      </c>
      <c r="DF505" s="21">
        <v>0</v>
      </c>
      <c r="DG505" s="21">
        <v>0</v>
      </c>
      <c r="DH505" s="21">
        <v>0</v>
      </c>
      <c r="DI505" s="21">
        <v>0</v>
      </c>
      <c r="DJ505" s="21">
        <v>0</v>
      </c>
      <c r="DK505" s="21">
        <v>0</v>
      </c>
      <c r="DL505" s="21">
        <v>25</v>
      </c>
      <c r="DM505" s="21">
        <v>39</v>
      </c>
      <c r="DN505" s="21">
        <v>28</v>
      </c>
      <c r="DO505" s="21">
        <v>30</v>
      </c>
      <c r="DP505" s="21">
        <v>0</v>
      </c>
      <c r="DQ505" s="21">
        <v>0</v>
      </c>
      <c r="DR505" s="21">
        <v>0</v>
      </c>
      <c r="DS505" s="21">
        <v>0</v>
      </c>
      <c r="DT505" s="21">
        <v>0</v>
      </c>
      <c r="DU505" s="21">
        <v>0</v>
      </c>
      <c r="DV505" s="21">
        <v>0</v>
      </c>
      <c r="DW505" s="21">
        <v>0</v>
      </c>
      <c r="DX505" s="21">
        <v>0</v>
      </c>
      <c r="DY505" s="21">
        <v>0</v>
      </c>
      <c r="DZ505" s="21">
        <v>0</v>
      </c>
      <c r="EA505" s="21">
        <v>0</v>
      </c>
      <c r="EB505" s="21">
        <v>0</v>
      </c>
      <c r="EC505" s="21">
        <v>0</v>
      </c>
      <c r="ED505" s="21">
        <v>0</v>
      </c>
      <c r="EE505" s="21">
        <v>0</v>
      </c>
      <c r="EF505" s="21">
        <v>0</v>
      </c>
    </row>
    <row r="506" spans="1:136" ht="14.5" x14ac:dyDescent="0.35">
      <c r="A506" s="20" t="s">
        <v>12</v>
      </c>
      <c r="B506" s="20" t="s">
        <v>397</v>
      </c>
      <c r="C506" s="20" t="s">
        <v>179</v>
      </c>
      <c r="D506" s="20" t="s">
        <v>339</v>
      </c>
      <c r="E506" s="20" t="s">
        <v>14</v>
      </c>
      <c r="F506" s="20" t="s">
        <v>98</v>
      </c>
      <c r="G506" s="21">
        <v>0</v>
      </c>
      <c r="H506" s="21">
        <v>63</v>
      </c>
      <c r="I506" s="21">
        <v>63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  <c r="Q506" s="21">
        <v>0</v>
      </c>
      <c r="R506" s="21">
        <v>0</v>
      </c>
      <c r="S506" s="21">
        <v>0</v>
      </c>
      <c r="T506" s="21">
        <v>0</v>
      </c>
      <c r="U506" s="21">
        <v>0</v>
      </c>
      <c r="V506" s="21">
        <v>0</v>
      </c>
      <c r="W506" s="21">
        <v>0</v>
      </c>
      <c r="X506" s="21">
        <v>0</v>
      </c>
      <c r="Y506" s="21">
        <v>0</v>
      </c>
      <c r="Z506" s="21">
        <v>0</v>
      </c>
      <c r="AA506" s="21">
        <v>0</v>
      </c>
      <c r="AB506" s="21">
        <v>0</v>
      </c>
      <c r="AC506" s="21">
        <v>0</v>
      </c>
      <c r="AD506" s="21">
        <v>0</v>
      </c>
      <c r="AE506" s="21">
        <v>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0</v>
      </c>
      <c r="AN506" s="21">
        <v>0</v>
      </c>
      <c r="AO506" s="21">
        <v>0</v>
      </c>
      <c r="AP506" s="21">
        <v>0</v>
      </c>
      <c r="AQ506" s="21">
        <v>0</v>
      </c>
      <c r="AR506" s="21">
        <v>0</v>
      </c>
      <c r="AS506" s="21">
        <v>0</v>
      </c>
      <c r="AT506" s="21">
        <v>0</v>
      </c>
      <c r="AU506" s="21">
        <v>0</v>
      </c>
      <c r="AV506" s="21">
        <v>0</v>
      </c>
      <c r="AW506" s="21">
        <v>0</v>
      </c>
      <c r="AX506" s="21">
        <v>0</v>
      </c>
      <c r="AY506" s="21">
        <v>0</v>
      </c>
      <c r="AZ506" s="21">
        <v>0</v>
      </c>
      <c r="BA506" s="21">
        <v>0</v>
      </c>
      <c r="BB506" s="21">
        <v>0</v>
      </c>
      <c r="BC506" s="21">
        <v>0</v>
      </c>
      <c r="BD506" s="21">
        <v>0</v>
      </c>
      <c r="BE506" s="21">
        <v>0</v>
      </c>
      <c r="BF506" s="21">
        <v>0</v>
      </c>
      <c r="BG506" s="21">
        <v>0</v>
      </c>
      <c r="BH506" s="21">
        <v>0</v>
      </c>
      <c r="BI506" s="21">
        <v>0</v>
      </c>
      <c r="BJ506" s="21">
        <v>0</v>
      </c>
      <c r="BK506" s="21">
        <v>0</v>
      </c>
      <c r="BL506" s="21">
        <v>0</v>
      </c>
      <c r="BM506" s="21">
        <v>0</v>
      </c>
      <c r="BN506" s="21">
        <v>0</v>
      </c>
      <c r="BO506" s="21">
        <v>0</v>
      </c>
      <c r="BP506" s="21">
        <v>0</v>
      </c>
      <c r="BQ506" s="21">
        <v>0</v>
      </c>
      <c r="BR506" s="21">
        <v>0</v>
      </c>
      <c r="BS506" s="21">
        <v>0</v>
      </c>
      <c r="BT506" s="21">
        <v>0</v>
      </c>
      <c r="BU506" s="21">
        <v>0</v>
      </c>
      <c r="BV506" s="21">
        <v>0</v>
      </c>
      <c r="BW506" s="21">
        <v>0</v>
      </c>
      <c r="BX506" s="21">
        <v>0</v>
      </c>
      <c r="BY506" s="21">
        <v>0</v>
      </c>
      <c r="BZ506" s="21">
        <v>0</v>
      </c>
      <c r="CA506" s="21">
        <v>0</v>
      </c>
      <c r="CB506" s="21">
        <v>0</v>
      </c>
      <c r="CC506" s="21">
        <v>0</v>
      </c>
      <c r="CD506" s="21">
        <v>0</v>
      </c>
      <c r="CE506" s="21">
        <v>0</v>
      </c>
      <c r="CF506" s="21">
        <v>0</v>
      </c>
      <c r="CG506" s="21">
        <v>0</v>
      </c>
      <c r="CH506" s="21">
        <v>0</v>
      </c>
      <c r="CI506" s="21">
        <v>0</v>
      </c>
      <c r="CJ506" s="21">
        <v>0</v>
      </c>
      <c r="CK506" s="21">
        <v>0</v>
      </c>
      <c r="CL506" s="21">
        <v>0</v>
      </c>
      <c r="CM506" s="21">
        <v>0</v>
      </c>
      <c r="CN506" s="21">
        <v>0</v>
      </c>
      <c r="CO506" s="21">
        <v>0</v>
      </c>
      <c r="CP506" s="21">
        <v>0</v>
      </c>
      <c r="CQ506" s="21">
        <v>0</v>
      </c>
      <c r="CR506" s="21">
        <v>0</v>
      </c>
      <c r="CS506" s="21">
        <v>0</v>
      </c>
      <c r="CT506" s="21">
        <v>0</v>
      </c>
      <c r="CU506" s="21">
        <v>0</v>
      </c>
      <c r="CV506" s="21">
        <v>0</v>
      </c>
      <c r="CW506" s="21">
        <v>0</v>
      </c>
      <c r="CX506" s="21">
        <v>0</v>
      </c>
      <c r="CY506" s="21">
        <v>0</v>
      </c>
      <c r="CZ506" s="21">
        <v>0</v>
      </c>
      <c r="DA506" s="21">
        <v>0</v>
      </c>
      <c r="DB506" s="21">
        <v>0</v>
      </c>
      <c r="DC506" s="21">
        <v>0</v>
      </c>
      <c r="DD506" s="21">
        <v>0</v>
      </c>
      <c r="DE506" s="21">
        <v>0</v>
      </c>
      <c r="DF506" s="21">
        <v>0</v>
      </c>
      <c r="DG506" s="21">
        <v>0</v>
      </c>
      <c r="DH506" s="21">
        <v>0</v>
      </c>
      <c r="DI506" s="21">
        <v>0</v>
      </c>
      <c r="DJ506" s="21">
        <v>0</v>
      </c>
      <c r="DK506" s="21">
        <v>0</v>
      </c>
      <c r="DL506" s="21">
        <v>0</v>
      </c>
      <c r="DM506" s="21">
        <v>0</v>
      </c>
      <c r="DN506" s="21">
        <v>16</v>
      </c>
      <c r="DO506" s="21">
        <v>23</v>
      </c>
      <c r="DP506" s="21">
        <v>24</v>
      </c>
      <c r="DQ506" s="21">
        <v>0</v>
      </c>
      <c r="DR506" s="21">
        <v>0</v>
      </c>
      <c r="DS506" s="21">
        <v>0</v>
      </c>
      <c r="DT506" s="21">
        <v>0</v>
      </c>
      <c r="DU506" s="21">
        <v>0</v>
      </c>
      <c r="DV506" s="21">
        <v>0</v>
      </c>
      <c r="DW506" s="21">
        <v>0</v>
      </c>
      <c r="DX506" s="21">
        <v>0</v>
      </c>
      <c r="DY506" s="21">
        <v>0</v>
      </c>
      <c r="DZ506" s="21">
        <v>0</v>
      </c>
      <c r="EA506" s="21">
        <v>0</v>
      </c>
      <c r="EB506" s="21">
        <v>0</v>
      </c>
      <c r="EC506" s="21">
        <v>0</v>
      </c>
      <c r="ED506" s="21">
        <v>0</v>
      </c>
      <c r="EE506" s="21">
        <v>0</v>
      </c>
      <c r="EF506" s="21">
        <v>0</v>
      </c>
    </row>
    <row r="507" spans="1:136" ht="14.5" x14ac:dyDescent="0.35">
      <c r="A507" s="20" t="s">
        <v>12</v>
      </c>
      <c r="B507" s="20" t="s">
        <v>397</v>
      </c>
      <c r="C507" s="20" t="s">
        <v>179</v>
      </c>
      <c r="D507" s="20" t="s">
        <v>339</v>
      </c>
      <c r="E507" s="20" t="s">
        <v>14</v>
      </c>
      <c r="F507" s="20" t="s">
        <v>43</v>
      </c>
      <c r="G507" s="21">
        <v>0</v>
      </c>
      <c r="H507" s="21">
        <v>25</v>
      </c>
      <c r="I507" s="21">
        <v>25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  <c r="Q507" s="21">
        <v>0</v>
      </c>
      <c r="R507" s="21">
        <v>0</v>
      </c>
      <c r="S507" s="21">
        <v>0</v>
      </c>
      <c r="T507" s="21">
        <v>0</v>
      </c>
      <c r="U507" s="21">
        <v>0</v>
      </c>
      <c r="V507" s="21">
        <v>0</v>
      </c>
      <c r="W507" s="21">
        <v>0</v>
      </c>
      <c r="X507" s="21">
        <v>0</v>
      </c>
      <c r="Y507" s="21">
        <v>0</v>
      </c>
      <c r="Z507" s="21">
        <v>0</v>
      </c>
      <c r="AA507" s="21">
        <v>0</v>
      </c>
      <c r="AB507" s="21">
        <v>0</v>
      </c>
      <c r="AC507" s="21">
        <v>0</v>
      </c>
      <c r="AD507" s="21">
        <v>0</v>
      </c>
      <c r="AE507" s="21">
        <v>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</v>
      </c>
      <c r="AN507" s="21">
        <v>0</v>
      </c>
      <c r="AO507" s="21">
        <v>0</v>
      </c>
      <c r="AP507" s="21">
        <v>0</v>
      </c>
      <c r="AQ507" s="21">
        <v>0</v>
      </c>
      <c r="AR507" s="21">
        <v>0</v>
      </c>
      <c r="AS507" s="21">
        <v>0</v>
      </c>
      <c r="AT507" s="21">
        <v>0</v>
      </c>
      <c r="AU507" s="21">
        <v>0</v>
      </c>
      <c r="AV507" s="21">
        <v>0</v>
      </c>
      <c r="AW507" s="21">
        <v>0</v>
      </c>
      <c r="AX507" s="21">
        <v>0</v>
      </c>
      <c r="AY507" s="21">
        <v>0</v>
      </c>
      <c r="AZ507" s="21">
        <v>0</v>
      </c>
      <c r="BA507" s="21">
        <v>0</v>
      </c>
      <c r="BB507" s="21">
        <v>0</v>
      </c>
      <c r="BC507" s="21">
        <v>0</v>
      </c>
      <c r="BD507" s="21">
        <v>0</v>
      </c>
      <c r="BE507" s="21">
        <v>0</v>
      </c>
      <c r="BF507" s="21">
        <v>0</v>
      </c>
      <c r="BG507" s="21">
        <v>0</v>
      </c>
      <c r="BH507" s="21">
        <v>0</v>
      </c>
      <c r="BI507" s="21">
        <v>0</v>
      </c>
      <c r="BJ507" s="21">
        <v>0</v>
      </c>
      <c r="BK507" s="21">
        <v>0</v>
      </c>
      <c r="BL507" s="21">
        <v>0</v>
      </c>
      <c r="BM507" s="21">
        <v>0</v>
      </c>
      <c r="BN507" s="21">
        <v>0</v>
      </c>
      <c r="BO507" s="21">
        <v>0</v>
      </c>
      <c r="BP507" s="21">
        <v>0</v>
      </c>
      <c r="BQ507" s="21">
        <v>0</v>
      </c>
      <c r="BR507" s="21">
        <v>0</v>
      </c>
      <c r="BS507" s="21">
        <v>0</v>
      </c>
      <c r="BT507" s="21">
        <v>0</v>
      </c>
      <c r="BU507" s="21">
        <v>0</v>
      </c>
      <c r="BV507" s="21">
        <v>0</v>
      </c>
      <c r="BW507" s="21">
        <v>0</v>
      </c>
      <c r="BX507" s="21">
        <v>0</v>
      </c>
      <c r="BY507" s="21">
        <v>0</v>
      </c>
      <c r="BZ507" s="21">
        <v>0</v>
      </c>
      <c r="CA507" s="21">
        <v>0</v>
      </c>
      <c r="CB507" s="21">
        <v>0</v>
      </c>
      <c r="CC507" s="21">
        <v>0</v>
      </c>
      <c r="CD507" s="21">
        <v>0</v>
      </c>
      <c r="CE507" s="21">
        <v>0</v>
      </c>
      <c r="CF507" s="21">
        <v>0</v>
      </c>
      <c r="CG507" s="21">
        <v>0</v>
      </c>
      <c r="CH507" s="21">
        <v>0</v>
      </c>
      <c r="CI507" s="21">
        <v>0</v>
      </c>
      <c r="CJ507" s="21">
        <v>0</v>
      </c>
      <c r="CK507" s="21">
        <v>0</v>
      </c>
      <c r="CL507" s="21">
        <v>0</v>
      </c>
      <c r="CM507" s="21">
        <v>0</v>
      </c>
      <c r="CN507" s="21">
        <v>0</v>
      </c>
      <c r="CO507" s="21">
        <v>0</v>
      </c>
      <c r="CP507" s="21">
        <v>0</v>
      </c>
      <c r="CQ507" s="21">
        <v>0</v>
      </c>
      <c r="CR507" s="21">
        <v>0</v>
      </c>
      <c r="CS507" s="21">
        <v>0</v>
      </c>
      <c r="CT507" s="21">
        <v>0</v>
      </c>
      <c r="CU507" s="21">
        <v>0</v>
      </c>
      <c r="CV507" s="21">
        <v>0</v>
      </c>
      <c r="CW507" s="21">
        <v>0</v>
      </c>
      <c r="CX507" s="21">
        <v>0</v>
      </c>
      <c r="CY507" s="21">
        <v>0</v>
      </c>
      <c r="CZ507" s="21">
        <v>0</v>
      </c>
      <c r="DA507" s="21">
        <v>0</v>
      </c>
      <c r="DB507" s="21">
        <v>0</v>
      </c>
      <c r="DC507" s="21">
        <v>0</v>
      </c>
      <c r="DD507" s="21">
        <v>0</v>
      </c>
      <c r="DE507" s="21">
        <v>0</v>
      </c>
      <c r="DF507" s="21">
        <v>0</v>
      </c>
      <c r="DG507" s="21">
        <v>0</v>
      </c>
      <c r="DH507" s="21">
        <v>0</v>
      </c>
      <c r="DI507" s="21">
        <v>0</v>
      </c>
      <c r="DJ507" s="21">
        <v>0</v>
      </c>
      <c r="DK507" s="21">
        <v>0</v>
      </c>
      <c r="DL507" s="21">
        <v>0</v>
      </c>
      <c r="DM507" s="21">
        <v>0</v>
      </c>
      <c r="DN507" s="21">
        <v>0</v>
      </c>
      <c r="DO507" s="21">
        <v>0</v>
      </c>
      <c r="DP507" s="21">
        <v>18</v>
      </c>
      <c r="DQ507" s="21">
        <v>7</v>
      </c>
      <c r="DR507" s="21">
        <v>0</v>
      </c>
      <c r="DS507" s="21">
        <v>0</v>
      </c>
      <c r="DT507" s="21">
        <v>0</v>
      </c>
      <c r="DU507" s="21">
        <v>0</v>
      </c>
      <c r="DV507" s="21">
        <v>0</v>
      </c>
      <c r="DW507" s="21">
        <v>0</v>
      </c>
      <c r="DX507" s="21">
        <v>0</v>
      </c>
      <c r="DY507" s="21">
        <v>0</v>
      </c>
      <c r="DZ507" s="21">
        <v>0</v>
      </c>
      <c r="EA507" s="21">
        <v>0</v>
      </c>
      <c r="EB507" s="21">
        <v>0</v>
      </c>
      <c r="EC507" s="21">
        <v>0</v>
      </c>
      <c r="ED507" s="21">
        <v>0</v>
      </c>
      <c r="EE507" s="21">
        <v>0</v>
      </c>
      <c r="EF507" s="21">
        <v>0</v>
      </c>
    </row>
    <row r="508" spans="1:136" ht="14.5" x14ac:dyDescent="0.35">
      <c r="A508" s="20" t="s">
        <v>12</v>
      </c>
      <c r="B508" s="20" t="s">
        <v>397</v>
      </c>
      <c r="C508" s="20" t="s">
        <v>179</v>
      </c>
      <c r="D508" s="20" t="s">
        <v>339</v>
      </c>
      <c r="E508" s="20" t="s">
        <v>14</v>
      </c>
      <c r="F508" s="20" t="s">
        <v>102</v>
      </c>
      <c r="G508" s="21">
        <v>0</v>
      </c>
      <c r="H508" s="21">
        <v>20</v>
      </c>
      <c r="I508" s="21">
        <v>20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  <c r="Q508" s="21">
        <v>0</v>
      </c>
      <c r="R508" s="21">
        <v>0</v>
      </c>
      <c r="S508" s="21">
        <v>0</v>
      </c>
      <c r="T508" s="21">
        <v>0</v>
      </c>
      <c r="U508" s="21">
        <v>0</v>
      </c>
      <c r="V508" s="21">
        <v>0</v>
      </c>
      <c r="W508" s="21">
        <v>0</v>
      </c>
      <c r="X508" s="21">
        <v>0</v>
      </c>
      <c r="Y508" s="21">
        <v>0</v>
      </c>
      <c r="Z508" s="21">
        <v>0</v>
      </c>
      <c r="AA508" s="21">
        <v>0</v>
      </c>
      <c r="AB508" s="21">
        <v>0</v>
      </c>
      <c r="AC508" s="21">
        <v>0</v>
      </c>
      <c r="AD508" s="21">
        <v>0</v>
      </c>
      <c r="AE508" s="21">
        <v>0</v>
      </c>
      <c r="AF508" s="21">
        <v>0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21">
        <v>0</v>
      </c>
      <c r="AO508" s="21">
        <v>0</v>
      </c>
      <c r="AP508" s="21">
        <v>0</v>
      </c>
      <c r="AQ508" s="21">
        <v>0</v>
      </c>
      <c r="AR508" s="21">
        <v>0</v>
      </c>
      <c r="AS508" s="21">
        <v>0</v>
      </c>
      <c r="AT508" s="21">
        <v>0</v>
      </c>
      <c r="AU508" s="21">
        <v>0</v>
      </c>
      <c r="AV508" s="21">
        <v>0</v>
      </c>
      <c r="AW508" s="21">
        <v>0</v>
      </c>
      <c r="AX508" s="21">
        <v>0</v>
      </c>
      <c r="AY508" s="21">
        <v>0</v>
      </c>
      <c r="AZ508" s="21">
        <v>0</v>
      </c>
      <c r="BA508" s="21">
        <v>0</v>
      </c>
      <c r="BB508" s="21">
        <v>0</v>
      </c>
      <c r="BC508" s="21">
        <v>0</v>
      </c>
      <c r="BD508" s="21">
        <v>0</v>
      </c>
      <c r="BE508" s="21">
        <v>0</v>
      </c>
      <c r="BF508" s="21">
        <v>0</v>
      </c>
      <c r="BG508" s="21">
        <v>0</v>
      </c>
      <c r="BH508" s="21">
        <v>0</v>
      </c>
      <c r="BI508" s="21">
        <v>0</v>
      </c>
      <c r="BJ508" s="21">
        <v>0</v>
      </c>
      <c r="BK508" s="21">
        <v>0</v>
      </c>
      <c r="BL508" s="21">
        <v>0</v>
      </c>
      <c r="BM508" s="21">
        <v>0</v>
      </c>
      <c r="BN508" s="21">
        <v>0</v>
      </c>
      <c r="BO508" s="21">
        <v>0</v>
      </c>
      <c r="BP508" s="21">
        <v>0</v>
      </c>
      <c r="BQ508" s="21">
        <v>0</v>
      </c>
      <c r="BR508" s="21">
        <v>0</v>
      </c>
      <c r="BS508" s="21">
        <v>0</v>
      </c>
      <c r="BT508" s="21">
        <v>0</v>
      </c>
      <c r="BU508" s="21">
        <v>0</v>
      </c>
      <c r="BV508" s="21">
        <v>0</v>
      </c>
      <c r="BW508" s="21">
        <v>0</v>
      </c>
      <c r="BX508" s="21">
        <v>0</v>
      </c>
      <c r="BY508" s="21">
        <v>0</v>
      </c>
      <c r="BZ508" s="21">
        <v>0</v>
      </c>
      <c r="CA508" s="21">
        <v>0</v>
      </c>
      <c r="CB508" s="21">
        <v>0</v>
      </c>
      <c r="CC508" s="21">
        <v>0</v>
      </c>
      <c r="CD508" s="21">
        <v>0</v>
      </c>
      <c r="CE508" s="21">
        <v>0</v>
      </c>
      <c r="CF508" s="21">
        <v>0</v>
      </c>
      <c r="CG508" s="21">
        <v>0</v>
      </c>
      <c r="CH508" s="21">
        <v>0</v>
      </c>
      <c r="CI508" s="21">
        <v>0</v>
      </c>
      <c r="CJ508" s="21">
        <v>0</v>
      </c>
      <c r="CK508" s="21">
        <v>0</v>
      </c>
      <c r="CL508" s="21">
        <v>0</v>
      </c>
      <c r="CM508" s="21">
        <v>0</v>
      </c>
      <c r="CN508" s="21">
        <v>0</v>
      </c>
      <c r="CO508" s="21">
        <v>0</v>
      </c>
      <c r="CP508" s="21">
        <v>0</v>
      </c>
      <c r="CQ508" s="21">
        <v>0</v>
      </c>
      <c r="CR508" s="21">
        <v>0</v>
      </c>
      <c r="CS508" s="21">
        <v>0</v>
      </c>
      <c r="CT508" s="21">
        <v>0</v>
      </c>
      <c r="CU508" s="21">
        <v>0</v>
      </c>
      <c r="CV508" s="21">
        <v>0</v>
      </c>
      <c r="CW508" s="21">
        <v>0</v>
      </c>
      <c r="CX508" s="21">
        <v>0</v>
      </c>
      <c r="CY508" s="21">
        <v>0</v>
      </c>
      <c r="CZ508" s="21">
        <v>0</v>
      </c>
      <c r="DA508" s="21">
        <v>0</v>
      </c>
      <c r="DB508" s="21">
        <v>0</v>
      </c>
      <c r="DC508" s="21">
        <v>0</v>
      </c>
      <c r="DD508" s="21">
        <v>0</v>
      </c>
      <c r="DE508" s="21">
        <v>0</v>
      </c>
      <c r="DF508" s="21">
        <v>0</v>
      </c>
      <c r="DG508" s="21">
        <v>0</v>
      </c>
      <c r="DH508" s="21">
        <v>0</v>
      </c>
      <c r="DI508" s="21">
        <v>0</v>
      </c>
      <c r="DJ508" s="21">
        <v>0</v>
      </c>
      <c r="DK508" s="21">
        <v>0</v>
      </c>
      <c r="DL508" s="21">
        <v>0</v>
      </c>
      <c r="DM508" s="21">
        <v>0</v>
      </c>
      <c r="DN508" s="21">
        <v>0</v>
      </c>
      <c r="DO508" s="21">
        <v>13</v>
      </c>
      <c r="DP508" s="21">
        <v>5</v>
      </c>
      <c r="DQ508" s="21">
        <v>2</v>
      </c>
      <c r="DR508" s="21">
        <v>0</v>
      </c>
      <c r="DS508" s="21">
        <v>0</v>
      </c>
      <c r="DT508" s="21">
        <v>0</v>
      </c>
      <c r="DU508" s="21">
        <v>0</v>
      </c>
      <c r="DV508" s="21">
        <v>0</v>
      </c>
      <c r="DW508" s="21">
        <v>0</v>
      </c>
      <c r="DX508" s="21">
        <v>0</v>
      </c>
      <c r="DY508" s="21">
        <v>0</v>
      </c>
      <c r="DZ508" s="21">
        <v>0</v>
      </c>
      <c r="EA508" s="21">
        <v>0</v>
      </c>
      <c r="EB508" s="21">
        <v>0</v>
      </c>
      <c r="EC508" s="21">
        <v>0</v>
      </c>
      <c r="ED508" s="21">
        <v>0</v>
      </c>
      <c r="EE508" s="21">
        <v>0</v>
      </c>
      <c r="EF508" s="21">
        <v>0</v>
      </c>
    </row>
    <row r="509" spans="1:136" ht="14.5" x14ac:dyDescent="0.35">
      <c r="A509" s="20" t="s">
        <v>12</v>
      </c>
      <c r="B509" s="20" t="s">
        <v>398</v>
      </c>
      <c r="C509" s="20" t="s">
        <v>180</v>
      </c>
      <c r="D509" s="20" t="s">
        <v>339</v>
      </c>
      <c r="E509" s="20" t="s">
        <v>14</v>
      </c>
      <c r="F509" s="20" t="s">
        <v>98</v>
      </c>
      <c r="G509" s="21">
        <v>0</v>
      </c>
      <c r="H509" s="21">
        <v>495</v>
      </c>
      <c r="I509" s="21">
        <v>495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  <c r="Q509" s="21">
        <v>0</v>
      </c>
      <c r="R509" s="21">
        <v>0</v>
      </c>
      <c r="S509" s="21">
        <v>0</v>
      </c>
      <c r="T509" s="21">
        <v>0</v>
      </c>
      <c r="U509" s="21">
        <v>0</v>
      </c>
      <c r="V509" s="21">
        <v>0</v>
      </c>
      <c r="W509" s="21">
        <v>0</v>
      </c>
      <c r="X509" s="21">
        <v>0</v>
      </c>
      <c r="Y509" s="21">
        <v>0</v>
      </c>
      <c r="Z509" s="21">
        <v>0</v>
      </c>
      <c r="AA509" s="21">
        <v>0</v>
      </c>
      <c r="AB509" s="21">
        <v>0</v>
      </c>
      <c r="AC509" s="21">
        <v>0</v>
      </c>
      <c r="AD509" s="21">
        <v>0</v>
      </c>
      <c r="AE509" s="21">
        <v>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0</v>
      </c>
      <c r="AL509" s="21">
        <v>0</v>
      </c>
      <c r="AM509" s="21">
        <v>0</v>
      </c>
      <c r="AN509" s="21">
        <v>0</v>
      </c>
      <c r="AO509" s="21">
        <v>0</v>
      </c>
      <c r="AP509" s="21">
        <v>0</v>
      </c>
      <c r="AQ509" s="21">
        <v>0</v>
      </c>
      <c r="AR509" s="21">
        <v>0</v>
      </c>
      <c r="AS509" s="21">
        <v>0</v>
      </c>
      <c r="AT509" s="21">
        <v>0</v>
      </c>
      <c r="AU509" s="21">
        <v>0</v>
      </c>
      <c r="AV509" s="21">
        <v>0</v>
      </c>
      <c r="AW509" s="21">
        <v>0</v>
      </c>
      <c r="AX509" s="21">
        <v>0</v>
      </c>
      <c r="AY509" s="21">
        <v>0</v>
      </c>
      <c r="AZ509" s="21">
        <v>0</v>
      </c>
      <c r="BA509" s="21">
        <v>0</v>
      </c>
      <c r="BB509" s="21">
        <v>0</v>
      </c>
      <c r="BC509" s="21">
        <v>0</v>
      </c>
      <c r="BD509" s="21">
        <v>0</v>
      </c>
      <c r="BE509" s="21">
        <v>0</v>
      </c>
      <c r="BF509" s="21">
        <v>0</v>
      </c>
      <c r="BG509" s="21">
        <v>0</v>
      </c>
      <c r="BH509" s="21">
        <v>0</v>
      </c>
      <c r="BI509" s="21">
        <v>0</v>
      </c>
      <c r="BJ509" s="21">
        <v>0</v>
      </c>
      <c r="BK509" s="21">
        <v>0</v>
      </c>
      <c r="BL509" s="21">
        <v>0</v>
      </c>
      <c r="BM509" s="21">
        <v>0</v>
      </c>
      <c r="BN509" s="21">
        <v>0</v>
      </c>
      <c r="BO509" s="21">
        <v>0</v>
      </c>
      <c r="BP509" s="21">
        <v>0</v>
      </c>
      <c r="BQ509" s="21">
        <v>0</v>
      </c>
      <c r="BR509" s="21">
        <v>0</v>
      </c>
      <c r="BS509" s="21">
        <v>0</v>
      </c>
      <c r="BT509" s="21">
        <v>0</v>
      </c>
      <c r="BU509" s="21">
        <v>0</v>
      </c>
      <c r="BV509" s="21">
        <v>0</v>
      </c>
      <c r="BW509" s="21">
        <v>0</v>
      </c>
      <c r="BX509" s="21">
        <v>0</v>
      </c>
      <c r="BY509" s="21">
        <v>0</v>
      </c>
      <c r="BZ509" s="21">
        <v>0</v>
      </c>
      <c r="CA509" s="21">
        <v>0</v>
      </c>
      <c r="CB509" s="21">
        <v>0</v>
      </c>
      <c r="CC509" s="21">
        <v>0</v>
      </c>
      <c r="CD509" s="21">
        <v>0</v>
      </c>
      <c r="CE509" s="21">
        <v>0</v>
      </c>
      <c r="CF509" s="21">
        <v>0</v>
      </c>
      <c r="CG509" s="21">
        <v>0</v>
      </c>
      <c r="CH509" s="21">
        <v>0</v>
      </c>
      <c r="CI509" s="21">
        <v>0</v>
      </c>
      <c r="CJ509" s="21">
        <v>0</v>
      </c>
      <c r="CK509" s="21">
        <v>0</v>
      </c>
      <c r="CL509" s="21">
        <v>0</v>
      </c>
      <c r="CM509" s="21">
        <v>0</v>
      </c>
      <c r="CN509" s="21">
        <v>0</v>
      </c>
      <c r="CO509" s="21">
        <v>0</v>
      </c>
      <c r="CP509" s="21">
        <v>0</v>
      </c>
      <c r="CQ509" s="21">
        <v>0</v>
      </c>
      <c r="CR509" s="21">
        <v>0</v>
      </c>
      <c r="CS509" s="21">
        <v>0</v>
      </c>
      <c r="CT509" s="21">
        <v>0</v>
      </c>
      <c r="CU509" s="21">
        <v>0</v>
      </c>
      <c r="CV509" s="21">
        <v>0</v>
      </c>
      <c r="CW509" s="21">
        <v>0</v>
      </c>
      <c r="CX509" s="21">
        <v>0</v>
      </c>
      <c r="CY509" s="21">
        <v>25</v>
      </c>
      <c r="CZ509" s="21">
        <v>25</v>
      </c>
      <c r="DA509" s="21">
        <v>0</v>
      </c>
      <c r="DB509" s="21">
        <v>0</v>
      </c>
      <c r="DC509" s="21">
        <v>0</v>
      </c>
      <c r="DD509" s="21">
        <v>0</v>
      </c>
      <c r="DE509" s="21">
        <v>0</v>
      </c>
      <c r="DF509" s="21">
        <v>0</v>
      </c>
      <c r="DG509" s="21">
        <v>0</v>
      </c>
      <c r="DH509" s="21">
        <v>25</v>
      </c>
      <c r="DI509" s="21">
        <v>0</v>
      </c>
      <c r="DJ509" s="21">
        <v>0</v>
      </c>
      <c r="DK509" s="21">
        <v>40</v>
      </c>
      <c r="DL509" s="21">
        <v>50</v>
      </c>
      <c r="DM509" s="21">
        <v>50</v>
      </c>
      <c r="DN509" s="21">
        <v>50</v>
      </c>
      <c r="DO509" s="21">
        <v>65</v>
      </c>
      <c r="DP509" s="21">
        <v>65</v>
      </c>
      <c r="DQ509" s="21">
        <v>60</v>
      </c>
      <c r="DR509" s="21">
        <v>40</v>
      </c>
      <c r="DS509" s="21">
        <v>0</v>
      </c>
      <c r="DT509" s="21">
        <v>0</v>
      </c>
      <c r="DU509" s="21">
        <v>0</v>
      </c>
      <c r="DV509" s="21">
        <v>0</v>
      </c>
      <c r="DW509" s="21">
        <v>0</v>
      </c>
      <c r="DX509" s="21">
        <v>0</v>
      </c>
      <c r="DY509" s="21">
        <v>0</v>
      </c>
      <c r="DZ509" s="21">
        <v>0</v>
      </c>
      <c r="EA509" s="21">
        <v>0</v>
      </c>
      <c r="EB509" s="21">
        <v>0</v>
      </c>
      <c r="EC509" s="21">
        <v>0</v>
      </c>
      <c r="ED509" s="21">
        <v>0</v>
      </c>
      <c r="EE509" s="21">
        <v>0</v>
      </c>
      <c r="EF509" s="21">
        <v>0</v>
      </c>
    </row>
    <row r="510" spans="1:136" ht="14.5" x14ac:dyDescent="0.35">
      <c r="A510" s="20" t="s">
        <v>12</v>
      </c>
      <c r="B510" s="20" t="s">
        <v>399</v>
      </c>
      <c r="C510" s="20" t="s">
        <v>181</v>
      </c>
      <c r="D510" s="20" t="s">
        <v>332</v>
      </c>
      <c r="E510" s="20" t="s">
        <v>14</v>
      </c>
      <c r="F510" s="20" t="s">
        <v>86</v>
      </c>
      <c r="G510" s="21">
        <v>0</v>
      </c>
      <c r="H510" s="21">
        <v>12</v>
      </c>
      <c r="I510" s="21">
        <v>0</v>
      </c>
      <c r="J510" s="21">
        <v>12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0</v>
      </c>
      <c r="S510" s="21">
        <v>0</v>
      </c>
      <c r="T510" s="21">
        <v>0</v>
      </c>
      <c r="U510" s="21">
        <v>0</v>
      </c>
      <c r="V510" s="21">
        <v>0</v>
      </c>
      <c r="W510" s="21">
        <v>0</v>
      </c>
      <c r="X510" s="21">
        <v>0</v>
      </c>
      <c r="Y510" s="21">
        <v>0</v>
      </c>
      <c r="Z510" s="21">
        <v>0</v>
      </c>
      <c r="AA510" s="21">
        <v>0</v>
      </c>
      <c r="AB510" s="21">
        <v>0</v>
      </c>
      <c r="AC510" s="21">
        <v>0</v>
      </c>
      <c r="AD510" s="21">
        <v>0</v>
      </c>
      <c r="AE510" s="21">
        <v>0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0</v>
      </c>
      <c r="AN510" s="21">
        <v>0</v>
      </c>
      <c r="AO510" s="21">
        <v>0</v>
      </c>
      <c r="AP510" s="21">
        <v>0</v>
      </c>
      <c r="AQ510" s="21">
        <v>0</v>
      </c>
      <c r="AR510" s="21">
        <v>0</v>
      </c>
      <c r="AS510" s="21">
        <v>0</v>
      </c>
      <c r="AT510" s="21">
        <v>0</v>
      </c>
      <c r="AU510" s="21">
        <v>0</v>
      </c>
      <c r="AV510" s="21">
        <v>0</v>
      </c>
      <c r="AW510" s="21">
        <v>0</v>
      </c>
      <c r="AX510" s="21">
        <v>0</v>
      </c>
      <c r="AY510" s="21">
        <v>0</v>
      </c>
      <c r="AZ510" s="21">
        <v>0</v>
      </c>
      <c r="BA510" s="21">
        <v>0</v>
      </c>
      <c r="BB510" s="21">
        <v>0</v>
      </c>
      <c r="BC510" s="21">
        <v>0</v>
      </c>
      <c r="BD510" s="21">
        <v>0</v>
      </c>
      <c r="BE510" s="21">
        <v>0</v>
      </c>
      <c r="BF510" s="21">
        <v>0</v>
      </c>
      <c r="BG510" s="21">
        <v>0</v>
      </c>
      <c r="BH510" s="21">
        <v>0</v>
      </c>
      <c r="BI510" s="21">
        <v>0</v>
      </c>
      <c r="BJ510" s="21">
        <v>0</v>
      </c>
      <c r="BK510" s="21">
        <v>0</v>
      </c>
      <c r="BL510" s="21">
        <v>0</v>
      </c>
      <c r="BM510" s="21">
        <v>0</v>
      </c>
      <c r="BN510" s="21">
        <v>0</v>
      </c>
      <c r="BO510" s="21">
        <v>0</v>
      </c>
      <c r="BP510" s="21">
        <v>0</v>
      </c>
      <c r="BQ510" s="21">
        <v>0</v>
      </c>
      <c r="BR510" s="21">
        <v>0</v>
      </c>
      <c r="BS510" s="21">
        <v>0</v>
      </c>
      <c r="BT510" s="21">
        <v>0</v>
      </c>
      <c r="BU510" s="21">
        <v>0</v>
      </c>
      <c r="BV510" s="21">
        <v>0</v>
      </c>
      <c r="BW510" s="21">
        <v>0</v>
      </c>
      <c r="BX510" s="21">
        <v>0</v>
      </c>
      <c r="BY510" s="21">
        <v>0</v>
      </c>
      <c r="BZ510" s="21">
        <v>0</v>
      </c>
      <c r="CA510" s="21">
        <v>0</v>
      </c>
      <c r="CB510" s="21">
        <v>0</v>
      </c>
      <c r="CC510" s="21">
        <v>0</v>
      </c>
      <c r="CD510" s="21">
        <v>0</v>
      </c>
      <c r="CE510" s="21">
        <v>0</v>
      </c>
      <c r="CF510" s="21">
        <v>0</v>
      </c>
      <c r="CG510" s="21">
        <v>0</v>
      </c>
      <c r="CH510" s="21">
        <v>0</v>
      </c>
      <c r="CI510" s="21">
        <v>0</v>
      </c>
      <c r="CJ510" s="21">
        <v>0</v>
      </c>
      <c r="CK510" s="21">
        <v>0</v>
      </c>
      <c r="CL510" s="21">
        <v>0</v>
      </c>
      <c r="CM510" s="21">
        <v>0</v>
      </c>
      <c r="CN510" s="21">
        <v>0</v>
      </c>
      <c r="CO510" s="21">
        <v>0</v>
      </c>
      <c r="CP510" s="21">
        <v>0</v>
      </c>
      <c r="CQ510" s="21">
        <v>0</v>
      </c>
      <c r="CR510" s="21">
        <v>0</v>
      </c>
      <c r="CS510" s="21">
        <v>0</v>
      </c>
      <c r="CT510" s="21">
        <v>0</v>
      </c>
      <c r="CU510" s="21">
        <v>0</v>
      </c>
      <c r="CV510" s="21">
        <v>0</v>
      </c>
      <c r="CW510" s="21">
        <v>0</v>
      </c>
      <c r="CX510" s="21">
        <v>0</v>
      </c>
      <c r="CY510" s="21">
        <v>0</v>
      </c>
      <c r="CZ510" s="21">
        <v>0</v>
      </c>
      <c r="DA510" s="21">
        <v>0</v>
      </c>
      <c r="DB510" s="21">
        <v>0</v>
      </c>
      <c r="DC510" s="21">
        <v>0</v>
      </c>
      <c r="DD510" s="21">
        <v>0</v>
      </c>
      <c r="DE510" s="21">
        <v>0</v>
      </c>
      <c r="DF510" s="21">
        <v>0</v>
      </c>
      <c r="DG510" s="21">
        <v>0</v>
      </c>
      <c r="DH510" s="21">
        <v>0</v>
      </c>
      <c r="DI510" s="21">
        <v>0</v>
      </c>
      <c r="DJ510" s="21">
        <v>0</v>
      </c>
      <c r="DK510" s="21">
        <v>0</v>
      </c>
      <c r="DL510" s="21">
        <v>0</v>
      </c>
      <c r="DM510" s="21">
        <v>0</v>
      </c>
      <c r="DN510" s="21">
        <v>0</v>
      </c>
      <c r="DO510" s="21">
        <v>0</v>
      </c>
      <c r="DP510" s="21">
        <v>0</v>
      </c>
      <c r="DQ510" s="21">
        <v>0</v>
      </c>
      <c r="DR510" s="21">
        <v>0</v>
      </c>
      <c r="DS510" s="21">
        <v>0</v>
      </c>
      <c r="DT510" s="21">
        <v>0</v>
      </c>
      <c r="DU510" s="21">
        <v>0</v>
      </c>
      <c r="DV510" s="21">
        <v>0</v>
      </c>
      <c r="DW510" s="21">
        <v>0</v>
      </c>
      <c r="DX510" s="21">
        <v>0</v>
      </c>
      <c r="DY510" s="21">
        <v>0</v>
      </c>
      <c r="DZ510" s="21">
        <v>0</v>
      </c>
      <c r="EA510" s="21">
        <v>0</v>
      </c>
      <c r="EB510" s="21">
        <v>0</v>
      </c>
      <c r="EC510" s="21">
        <v>0</v>
      </c>
      <c r="ED510" s="21">
        <v>0</v>
      </c>
      <c r="EE510" s="21">
        <v>0</v>
      </c>
      <c r="EF510" s="21">
        <v>0</v>
      </c>
    </row>
    <row r="511" spans="1:136" ht="14.5" x14ac:dyDescent="0.35">
      <c r="A511" s="20" t="s">
        <v>12</v>
      </c>
      <c r="B511" s="20" t="s">
        <v>41</v>
      </c>
      <c r="C511" s="20" t="s">
        <v>39</v>
      </c>
      <c r="D511" s="20" t="s">
        <v>334</v>
      </c>
      <c r="E511" s="20" t="s">
        <v>10</v>
      </c>
      <c r="F511" s="20" t="s">
        <v>40</v>
      </c>
      <c r="G511" s="21">
        <v>0</v>
      </c>
      <c r="H511" s="21">
        <v>24.5</v>
      </c>
      <c r="I511" s="21">
        <v>0</v>
      </c>
      <c r="J511" s="21">
        <v>24.5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  <c r="Q511" s="21">
        <v>0</v>
      </c>
      <c r="R511" s="21">
        <v>0</v>
      </c>
      <c r="S511" s="21">
        <v>0</v>
      </c>
      <c r="T511" s="21">
        <v>0</v>
      </c>
      <c r="U511" s="21">
        <v>0</v>
      </c>
      <c r="V511" s="21">
        <v>0</v>
      </c>
      <c r="W511" s="21">
        <v>0</v>
      </c>
      <c r="X511" s="21">
        <v>0</v>
      </c>
      <c r="Y511" s="21">
        <v>0</v>
      </c>
      <c r="Z511" s="21">
        <v>0</v>
      </c>
      <c r="AA511" s="21">
        <v>0</v>
      </c>
      <c r="AB511" s="21">
        <v>0</v>
      </c>
      <c r="AC511" s="21">
        <v>0</v>
      </c>
      <c r="AD511" s="21">
        <v>0</v>
      </c>
      <c r="AE511" s="21">
        <v>0</v>
      </c>
      <c r="AF511" s="21">
        <v>0</v>
      </c>
      <c r="AG511" s="21">
        <v>0</v>
      </c>
      <c r="AH511" s="21">
        <v>0</v>
      </c>
      <c r="AI511" s="21">
        <v>0</v>
      </c>
      <c r="AJ511" s="21">
        <v>0</v>
      </c>
      <c r="AK511" s="21">
        <v>0</v>
      </c>
      <c r="AL511" s="21">
        <v>0</v>
      </c>
      <c r="AM511" s="21">
        <v>0</v>
      </c>
      <c r="AN511" s="21">
        <v>0</v>
      </c>
      <c r="AO511" s="21">
        <v>0</v>
      </c>
      <c r="AP511" s="21">
        <v>0</v>
      </c>
      <c r="AQ511" s="21">
        <v>0</v>
      </c>
      <c r="AR511" s="21">
        <v>0</v>
      </c>
      <c r="AS511" s="21">
        <v>0</v>
      </c>
      <c r="AT511" s="21">
        <v>0</v>
      </c>
      <c r="AU511" s="21">
        <v>0</v>
      </c>
      <c r="AV511" s="21">
        <v>0</v>
      </c>
      <c r="AW511" s="21">
        <v>0</v>
      </c>
      <c r="AX511" s="21">
        <v>0</v>
      </c>
      <c r="AY511" s="21">
        <v>0</v>
      </c>
      <c r="AZ511" s="21">
        <v>0</v>
      </c>
      <c r="BA511" s="21">
        <v>0</v>
      </c>
      <c r="BB511" s="21">
        <v>0</v>
      </c>
      <c r="BC511" s="21">
        <v>0</v>
      </c>
      <c r="BD511" s="21">
        <v>0</v>
      </c>
      <c r="BE511" s="21">
        <v>0</v>
      </c>
      <c r="BF511" s="21">
        <v>0</v>
      </c>
      <c r="BG511" s="21">
        <v>0</v>
      </c>
      <c r="BH511" s="21">
        <v>0</v>
      </c>
      <c r="BI511" s="21">
        <v>0</v>
      </c>
      <c r="BJ511" s="21">
        <v>0</v>
      </c>
      <c r="BK511" s="21">
        <v>0</v>
      </c>
      <c r="BL511" s="21">
        <v>0</v>
      </c>
      <c r="BM511" s="21">
        <v>0</v>
      </c>
      <c r="BN511" s="21">
        <v>0</v>
      </c>
      <c r="BO511" s="21">
        <v>0</v>
      </c>
      <c r="BP511" s="21">
        <v>0</v>
      </c>
      <c r="BQ511" s="21">
        <v>0</v>
      </c>
      <c r="BR511" s="21">
        <v>0</v>
      </c>
      <c r="BS511" s="21">
        <v>0</v>
      </c>
      <c r="BT511" s="21">
        <v>0</v>
      </c>
      <c r="BU511" s="21">
        <v>0</v>
      </c>
      <c r="BV511" s="21">
        <v>0</v>
      </c>
      <c r="BW511" s="21">
        <v>0</v>
      </c>
      <c r="BX511" s="21">
        <v>0</v>
      </c>
      <c r="BY511" s="21">
        <v>0</v>
      </c>
      <c r="BZ511" s="21">
        <v>0</v>
      </c>
      <c r="CA511" s="21">
        <v>0</v>
      </c>
      <c r="CB511" s="21">
        <v>0</v>
      </c>
      <c r="CC511" s="21">
        <v>0</v>
      </c>
      <c r="CD511" s="21">
        <v>0</v>
      </c>
      <c r="CE511" s="21">
        <v>0</v>
      </c>
      <c r="CF511" s="21">
        <v>0</v>
      </c>
      <c r="CG511" s="21">
        <v>0</v>
      </c>
      <c r="CH511" s="21">
        <v>0</v>
      </c>
      <c r="CI511" s="21">
        <v>0</v>
      </c>
      <c r="CJ511" s="21">
        <v>0</v>
      </c>
      <c r="CK511" s="21">
        <v>0</v>
      </c>
      <c r="CL511" s="21">
        <v>0</v>
      </c>
      <c r="CM511" s="21">
        <v>0</v>
      </c>
      <c r="CN511" s="21">
        <v>0</v>
      </c>
      <c r="CO511" s="21">
        <v>0</v>
      </c>
      <c r="CP511" s="21">
        <v>0</v>
      </c>
      <c r="CQ511" s="21">
        <v>0</v>
      </c>
      <c r="CR511" s="21">
        <v>0</v>
      </c>
      <c r="CS511" s="21">
        <v>0</v>
      </c>
      <c r="CT511" s="21">
        <v>0</v>
      </c>
      <c r="CU511" s="21">
        <v>0</v>
      </c>
      <c r="CV511" s="21">
        <v>0</v>
      </c>
      <c r="CW511" s="21">
        <v>0</v>
      </c>
      <c r="CX511" s="21">
        <v>0</v>
      </c>
      <c r="CY511" s="21">
        <v>0</v>
      </c>
      <c r="CZ511" s="21">
        <v>0</v>
      </c>
      <c r="DA511" s="21">
        <v>0</v>
      </c>
      <c r="DB511" s="21">
        <v>0</v>
      </c>
      <c r="DC511" s="21">
        <v>0</v>
      </c>
      <c r="DD511" s="21">
        <v>0</v>
      </c>
      <c r="DE511" s="21">
        <v>0</v>
      </c>
      <c r="DF511" s="21">
        <v>0</v>
      </c>
      <c r="DG511" s="21">
        <v>0</v>
      </c>
      <c r="DH511" s="21">
        <v>0</v>
      </c>
      <c r="DI511" s="21">
        <v>0</v>
      </c>
      <c r="DJ511" s="21">
        <v>0</v>
      </c>
      <c r="DK511" s="21">
        <v>0</v>
      </c>
      <c r="DL511" s="21">
        <v>0</v>
      </c>
      <c r="DM511" s="21">
        <v>0</v>
      </c>
      <c r="DN511" s="21">
        <v>0</v>
      </c>
      <c r="DO511" s="21">
        <v>0</v>
      </c>
      <c r="DP511" s="21">
        <v>0</v>
      </c>
      <c r="DQ511" s="21">
        <v>0</v>
      </c>
      <c r="DR511" s="21">
        <v>0</v>
      </c>
      <c r="DS511" s="21">
        <v>0</v>
      </c>
      <c r="DT511" s="21">
        <v>0</v>
      </c>
      <c r="DU511" s="21">
        <v>0</v>
      </c>
      <c r="DV511" s="21">
        <v>0</v>
      </c>
      <c r="DW511" s="21">
        <v>0</v>
      </c>
      <c r="DX511" s="21">
        <v>0</v>
      </c>
      <c r="DY511" s="21">
        <v>0</v>
      </c>
      <c r="DZ511" s="21">
        <v>0</v>
      </c>
      <c r="EA511" s="21">
        <v>0</v>
      </c>
      <c r="EB511" s="21">
        <v>0</v>
      </c>
      <c r="EC511" s="21">
        <v>0</v>
      </c>
      <c r="ED511" s="21">
        <v>0</v>
      </c>
      <c r="EE511" s="21">
        <v>0</v>
      </c>
      <c r="EF511" s="21">
        <v>0</v>
      </c>
    </row>
    <row r="512" spans="1:136" ht="14.5" x14ac:dyDescent="0.35">
      <c r="A512" s="20" t="s">
        <v>12</v>
      </c>
      <c r="B512" s="20" t="s">
        <v>44</v>
      </c>
      <c r="C512" s="20" t="s">
        <v>42</v>
      </c>
      <c r="D512" s="20" t="s">
        <v>334</v>
      </c>
      <c r="E512" s="20" t="s">
        <v>10</v>
      </c>
      <c r="F512" s="20" t="s">
        <v>43</v>
      </c>
      <c r="G512" s="21">
        <v>3</v>
      </c>
      <c r="H512" s="21">
        <v>24</v>
      </c>
      <c r="I512" s="21">
        <v>0</v>
      </c>
      <c r="J512" s="21">
        <v>24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  <c r="Q512" s="21">
        <v>0</v>
      </c>
      <c r="R512" s="21">
        <v>0</v>
      </c>
      <c r="S512" s="21">
        <v>0</v>
      </c>
      <c r="T512" s="21">
        <v>0</v>
      </c>
      <c r="U512" s="21">
        <v>0</v>
      </c>
      <c r="V512" s="21">
        <v>0</v>
      </c>
      <c r="W512" s="21">
        <v>0</v>
      </c>
      <c r="X512" s="21">
        <v>0</v>
      </c>
      <c r="Y512" s="21">
        <v>0</v>
      </c>
      <c r="Z512" s="21">
        <v>0</v>
      </c>
      <c r="AA512" s="21">
        <v>0</v>
      </c>
      <c r="AB512" s="21">
        <v>0</v>
      </c>
      <c r="AC512" s="21">
        <v>0</v>
      </c>
      <c r="AD512" s="21">
        <v>0</v>
      </c>
      <c r="AE512" s="21">
        <v>0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</v>
      </c>
      <c r="AN512" s="21">
        <v>0</v>
      </c>
      <c r="AO512" s="21">
        <v>0</v>
      </c>
      <c r="AP512" s="21">
        <v>0</v>
      </c>
      <c r="AQ512" s="21">
        <v>0</v>
      </c>
      <c r="AR512" s="21">
        <v>0</v>
      </c>
      <c r="AS512" s="21">
        <v>0</v>
      </c>
      <c r="AT512" s="21">
        <v>0</v>
      </c>
      <c r="AU512" s="21">
        <v>0</v>
      </c>
      <c r="AV512" s="21">
        <v>0</v>
      </c>
      <c r="AW512" s="21">
        <v>0</v>
      </c>
      <c r="AX512" s="21">
        <v>0</v>
      </c>
      <c r="AY512" s="21">
        <v>0</v>
      </c>
      <c r="AZ512" s="21">
        <v>0</v>
      </c>
      <c r="BA512" s="21">
        <v>0</v>
      </c>
      <c r="BB512" s="21">
        <v>0</v>
      </c>
      <c r="BC512" s="21">
        <v>0</v>
      </c>
      <c r="BD512" s="21">
        <v>0</v>
      </c>
      <c r="BE512" s="21">
        <v>0</v>
      </c>
      <c r="BF512" s="21">
        <v>0</v>
      </c>
      <c r="BG512" s="21">
        <v>0</v>
      </c>
      <c r="BH512" s="21">
        <v>0</v>
      </c>
      <c r="BI512" s="21">
        <v>0</v>
      </c>
      <c r="BJ512" s="21">
        <v>0</v>
      </c>
      <c r="BK512" s="21">
        <v>0</v>
      </c>
      <c r="BL512" s="21">
        <v>0</v>
      </c>
      <c r="BM512" s="21">
        <v>0</v>
      </c>
      <c r="BN512" s="21">
        <v>0</v>
      </c>
      <c r="BO512" s="21">
        <v>0</v>
      </c>
      <c r="BP512" s="21">
        <v>0</v>
      </c>
      <c r="BQ512" s="21">
        <v>0</v>
      </c>
      <c r="BR512" s="21">
        <v>0</v>
      </c>
      <c r="BS512" s="21">
        <v>0</v>
      </c>
      <c r="BT512" s="21">
        <v>0</v>
      </c>
      <c r="BU512" s="21">
        <v>0</v>
      </c>
      <c r="BV512" s="21">
        <v>0</v>
      </c>
      <c r="BW512" s="21">
        <v>0</v>
      </c>
      <c r="BX512" s="21">
        <v>0</v>
      </c>
      <c r="BY512" s="21">
        <v>0</v>
      </c>
      <c r="BZ512" s="21">
        <v>0</v>
      </c>
      <c r="CA512" s="21">
        <v>0</v>
      </c>
      <c r="CB512" s="21">
        <v>0</v>
      </c>
      <c r="CC512" s="21">
        <v>0</v>
      </c>
      <c r="CD512" s="21">
        <v>0</v>
      </c>
      <c r="CE512" s="21">
        <v>0</v>
      </c>
      <c r="CF512" s="21">
        <v>0</v>
      </c>
      <c r="CG512" s="21">
        <v>0</v>
      </c>
      <c r="CH512" s="21">
        <v>0</v>
      </c>
      <c r="CI512" s="21">
        <v>0</v>
      </c>
      <c r="CJ512" s="21">
        <v>0</v>
      </c>
      <c r="CK512" s="21">
        <v>0</v>
      </c>
      <c r="CL512" s="21">
        <v>0</v>
      </c>
      <c r="CM512" s="21">
        <v>0</v>
      </c>
      <c r="CN512" s="21">
        <v>0</v>
      </c>
      <c r="CO512" s="21">
        <v>0</v>
      </c>
      <c r="CP512" s="21">
        <v>0</v>
      </c>
      <c r="CQ512" s="21">
        <v>0</v>
      </c>
      <c r="CR512" s="21">
        <v>0</v>
      </c>
      <c r="CS512" s="21">
        <v>0</v>
      </c>
      <c r="CT512" s="21">
        <v>0</v>
      </c>
      <c r="CU512" s="21">
        <v>0</v>
      </c>
      <c r="CV512" s="21">
        <v>0</v>
      </c>
      <c r="CW512" s="21">
        <v>0</v>
      </c>
      <c r="CX512" s="21">
        <v>0</v>
      </c>
      <c r="CY512" s="21">
        <v>0</v>
      </c>
      <c r="CZ512" s="21">
        <v>0</v>
      </c>
      <c r="DA512" s="21">
        <v>0</v>
      </c>
      <c r="DB512" s="21">
        <v>0</v>
      </c>
      <c r="DC512" s="21">
        <v>0</v>
      </c>
      <c r="DD512" s="21">
        <v>0</v>
      </c>
      <c r="DE512" s="21">
        <v>0</v>
      </c>
      <c r="DF512" s="21">
        <v>0</v>
      </c>
      <c r="DG512" s="21">
        <v>0</v>
      </c>
      <c r="DH512" s="21">
        <v>0</v>
      </c>
      <c r="DI512" s="21">
        <v>0</v>
      </c>
      <c r="DJ512" s="21">
        <v>0</v>
      </c>
      <c r="DK512" s="21">
        <v>0</v>
      </c>
      <c r="DL512" s="21">
        <v>0</v>
      </c>
      <c r="DM512" s="21">
        <v>0</v>
      </c>
      <c r="DN512" s="21">
        <v>0</v>
      </c>
      <c r="DO512" s="21">
        <v>0</v>
      </c>
      <c r="DP512" s="21">
        <v>0</v>
      </c>
      <c r="DQ512" s="21">
        <v>0</v>
      </c>
      <c r="DR512" s="21">
        <v>0</v>
      </c>
      <c r="DS512" s="21">
        <v>0</v>
      </c>
      <c r="DT512" s="21">
        <v>0</v>
      </c>
      <c r="DU512" s="21">
        <v>0</v>
      </c>
      <c r="DV512" s="21">
        <v>0</v>
      </c>
      <c r="DW512" s="21">
        <v>0</v>
      </c>
      <c r="DX512" s="21">
        <v>0</v>
      </c>
      <c r="DY512" s="21">
        <v>0</v>
      </c>
      <c r="DZ512" s="21">
        <v>0</v>
      </c>
      <c r="EA512" s="21">
        <v>0</v>
      </c>
      <c r="EB512" s="21">
        <v>0</v>
      </c>
      <c r="EC512" s="21">
        <v>0</v>
      </c>
      <c r="ED512" s="21">
        <v>0</v>
      </c>
      <c r="EE512" s="21">
        <v>0</v>
      </c>
      <c r="EF512" s="21">
        <v>0</v>
      </c>
    </row>
    <row r="513" spans="1:136" ht="14.5" x14ac:dyDescent="0.35">
      <c r="A513" s="20" t="s">
        <v>12</v>
      </c>
      <c r="B513" s="20" t="s">
        <v>400</v>
      </c>
      <c r="C513" s="20" t="s">
        <v>139</v>
      </c>
      <c r="D513" s="20" t="s">
        <v>334</v>
      </c>
      <c r="E513" s="20" t="s">
        <v>10</v>
      </c>
      <c r="F513" s="20" t="s">
        <v>101</v>
      </c>
      <c r="G513" s="21">
        <v>42</v>
      </c>
      <c r="H513" s="21">
        <v>192</v>
      </c>
      <c r="I513" s="21">
        <v>0</v>
      </c>
      <c r="J513" s="21">
        <v>192</v>
      </c>
      <c r="K513" s="21">
        <v>0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>
        <v>0</v>
      </c>
      <c r="T513" s="21">
        <v>0</v>
      </c>
      <c r="U513" s="21">
        <v>0</v>
      </c>
      <c r="V513" s="21">
        <v>0</v>
      </c>
      <c r="W513" s="21">
        <v>0</v>
      </c>
      <c r="X513" s="21">
        <v>0</v>
      </c>
      <c r="Y513" s="21">
        <v>0</v>
      </c>
      <c r="Z513" s="21">
        <v>0</v>
      </c>
      <c r="AA513" s="21">
        <v>0</v>
      </c>
      <c r="AB513" s="21">
        <v>0</v>
      </c>
      <c r="AC513" s="21">
        <v>0</v>
      </c>
      <c r="AD513" s="21">
        <v>0</v>
      </c>
      <c r="AE513" s="21">
        <v>0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0</v>
      </c>
      <c r="AL513" s="21">
        <v>0</v>
      </c>
      <c r="AM513" s="21">
        <v>0</v>
      </c>
      <c r="AN513" s="21">
        <v>0</v>
      </c>
      <c r="AO513" s="21">
        <v>0</v>
      </c>
      <c r="AP513" s="21">
        <v>0</v>
      </c>
      <c r="AQ513" s="21">
        <v>0</v>
      </c>
      <c r="AR513" s="21">
        <v>0</v>
      </c>
      <c r="AS513" s="21">
        <v>0</v>
      </c>
      <c r="AT513" s="21">
        <v>0</v>
      </c>
      <c r="AU513" s="21">
        <v>0</v>
      </c>
      <c r="AV513" s="21">
        <v>0</v>
      </c>
      <c r="AW513" s="21">
        <v>0</v>
      </c>
      <c r="AX513" s="21">
        <v>0</v>
      </c>
      <c r="AY513" s="21">
        <v>0</v>
      </c>
      <c r="AZ513" s="21">
        <v>0</v>
      </c>
      <c r="BA513" s="21">
        <v>0</v>
      </c>
      <c r="BB513" s="21">
        <v>0</v>
      </c>
      <c r="BC513" s="21">
        <v>0</v>
      </c>
      <c r="BD513" s="21">
        <v>0</v>
      </c>
      <c r="BE513" s="21">
        <v>0</v>
      </c>
      <c r="BF513" s="21">
        <v>0</v>
      </c>
      <c r="BG513" s="21">
        <v>0</v>
      </c>
      <c r="BH513" s="21">
        <v>0</v>
      </c>
      <c r="BI513" s="21">
        <v>0</v>
      </c>
      <c r="BJ513" s="21">
        <v>0</v>
      </c>
      <c r="BK513" s="21">
        <v>0</v>
      </c>
      <c r="BL513" s="21">
        <v>0</v>
      </c>
      <c r="BM513" s="21">
        <v>0</v>
      </c>
      <c r="BN513" s="21">
        <v>0</v>
      </c>
      <c r="BO513" s="21">
        <v>0</v>
      </c>
      <c r="BP513" s="21">
        <v>0</v>
      </c>
      <c r="BQ513" s="21">
        <v>0</v>
      </c>
      <c r="BR513" s="21">
        <v>0</v>
      </c>
      <c r="BS513" s="21">
        <v>0</v>
      </c>
      <c r="BT513" s="21">
        <v>0</v>
      </c>
      <c r="BU513" s="21">
        <v>0</v>
      </c>
      <c r="BV513" s="21">
        <v>0</v>
      </c>
      <c r="BW513" s="21">
        <v>0</v>
      </c>
      <c r="BX513" s="21">
        <v>0</v>
      </c>
      <c r="BY513" s="21">
        <v>0</v>
      </c>
      <c r="BZ513" s="21">
        <v>0</v>
      </c>
      <c r="CA513" s="21">
        <v>0</v>
      </c>
      <c r="CB513" s="21">
        <v>0</v>
      </c>
      <c r="CC513" s="21">
        <v>0</v>
      </c>
      <c r="CD513" s="21">
        <v>0</v>
      </c>
      <c r="CE513" s="21">
        <v>0</v>
      </c>
      <c r="CF513" s="21">
        <v>0</v>
      </c>
      <c r="CG513" s="21">
        <v>0</v>
      </c>
      <c r="CH513" s="21">
        <v>0</v>
      </c>
      <c r="CI513" s="21">
        <v>0</v>
      </c>
      <c r="CJ513" s="21">
        <v>0</v>
      </c>
      <c r="CK513" s="21">
        <v>0</v>
      </c>
      <c r="CL513" s="21">
        <v>0</v>
      </c>
      <c r="CM513" s="21">
        <v>0</v>
      </c>
      <c r="CN513" s="21">
        <v>0</v>
      </c>
      <c r="CO513" s="21">
        <v>0</v>
      </c>
      <c r="CP513" s="21">
        <v>0</v>
      </c>
      <c r="CQ513" s="21">
        <v>0</v>
      </c>
      <c r="CR513" s="21">
        <v>0</v>
      </c>
      <c r="CS513" s="21">
        <v>0</v>
      </c>
      <c r="CT513" s="21">
        <v>0</v>
      </c>
      <c r="CU513" s="21">
        <v>0</v>
      </c>
      <c r="CV513" s="21">
        <v>0</v>
      </c>
      <c r="CW513" s="21">
        <v>0</v>
      </c>
      <c r="CX513" s="21">
        <v>0</v>
      </c>
      <c r="CY513" s="21">
        <v>0</v>
      </c>
      <c r="CZ513" s="21">
        <v>0</v>
      </c>
      <c r="DA513" s="21">
        <v>0</v>
      </c>
      <c r="DB513" s="21">
        <v>0</v>
      </c>
      <c r="DC513" s="21">
        <v>0</v>
      </c>
      <c r="DD513" s="21">
        <v>0</v>
      </c>
      <c r="DE513" s="21">
        <v>0</v>
      </c>
      <c r="DF513" s="21">
        <v>0</v>
      </c>
      <c r="DG513" s="21">
        <v>0</v>
      </c>
      <c r="DH513" s="21">
        <v>0</v>
      </c>
      <c r="DI513" s="21">
        <v>0</v>
      </c>
      <c r="DJ513" s="21">
        <v>0</v>
      </c>
      <c r="DK513" s="21">
        <v>0</v>
      </c>
      <c r="DL513" s="21">
        <v>0</v>
      </c>
      <c r="DM513" s="21">
        <v>0</v>
      </c>
      <c r="DN513" s="21">
        <v>0</v>
      </c>
      <c r="DO513" s="21">
        <v>0</v>
      </c>
      <c r="DP513" s="21">
        <v>0</v>
      </c>
      <c r="DQ513" s="21">
        <v>0</v>
      </c>
      <c r="DR513" s="21">
        <v>0</v>
      </c>
      <c r="DS513" s="21">
        <v>0</v>
      </c>
      <c r="DT513" s="21">
        <v>0</v>
      </c>
      <c r="DU513" s="21">
        <v>0</v>
      </c>
      <c r="DV513" s="21">
        <v>0</v>
      </c>
      <c r="DW513" s="21">
        <v>0</v>
      </c>
      <c r="DX513" s="21">
        <v>0</v>
      </c>
      <c r="DY513" s="21">
        <v>0</v>
      </c>
      <c r="DZ513" s="21">
        <v>0</v>
      </c>
      <c r="EA513" s="21">
        <v>0</v>
      </c>
      <c r="EB513" s="21">
        <v>0</v>
      </c>
      <c r="EC513" s="21">
        <v>0</v>
      </c>
      <c r="ED513" s="21">
        <v>0</v>
      </c>
      <c r="EE513" s="21">
        <v>0</v>
      </c>
      <c r="EF513" s="21">
        <v>0</v>
      </c>
    </row>
    <row r="514" spans="1:136" ht="14.5" x14ac:dyDescent="0.35">
      <c r="A514" s="20" t="s">
        <v>12</v>
      </c>
      <c r="B514" s="20" t="s">
        <v>401</v>
      </c>
      <c r="C514" s="20" t="s">
        <v>140</v>
      </c>
      <c r="D514" s="20" t="s">
        <v>334</v>
      </c>
      <c r="E514" s="20" t="s">
        <v>10</v>
      </c>
      <c r="F514" s="20" t="s">
        <v>78</v>
      </c>
      <c r="G514" s="21">
        <v>17.600000000000001</v>
      </c>
      <c r="H514" s="21">
        <v>76.599999999999994</v>
      </c>
      <c r="I514" s="21">
        <v>0</v>
      </c>
      <c r="J514" s="21">
        <v>76.599999999999994</v>
      </c>
      <c r="K514" s="21">
        <v>0</v>
      </c>
      <c r="L514" s="21">
        <v>0</v>
      </c>
      <c r="M514" s="21">
        <v>0</v>
      </c>
      <c r="N514" s="21">
        <v>0</v>
      </c>
      <c r="O514" s="21">
        <v>0</v>
      </c>
      <c r="P514" s="21">
        <v>0</v>
      </c>
      <c r="Q514" s="21">
        <v>0</v>
      </c>
      <c r="R514" s="21">
        <v>0</v>
      </c>
      <c r="S514" s="21">
        <v>0</v>
      </c>
      <c r="T514" s="21">
        <v>0</v>
      </c>
      <c r="U514" s="21">
        <v>0</v>
      </c>
      <c r="V514" s="21">
        <v>0</v>
      </c>
      <c r="W514" s="21">
        <v>0</v>
      </c>
      <c r="X514" s="21">
        <v>0</v>
      </c>
      <c r="Y514" s="21">
        <v>0</v>
      </c>
      <c r="Z514" s="21">
        <v>0</v>
      </c>
      <c r="AA514" s="21">
        <v>0</v>
      </c>
      <c r="AB514" s="21">
        <v>0</v>
      </c>
      <c r="AC514" s="21">
        <v>0</v>
      </c>
      <c r="AD514" s="21">
        <v>0</v>
      </c>
      <c r="AE514" s="21">
        <v>0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0</v>
      </c>
      <c r="AM514" s="21">
        <v>0</v>
      </c>
      <c r="AN514" s="21">
        <v>0</v>
      </c>
      <c r="AO514" s="21">
        <v>0</v>
      </c>
      <c r="AP514" s="21">
        <v>0</v>
      </c>
      <c r="AQ514" s="21">
        <v>0</v>
      </c>
      <c r="AR514" s="21">
        <v>0</v>
      </c>
      <c r="AS514" s="21">
        <v>0</v>
      </c>
      <c r="AT514" s="21">
        <v>0</v>
      </c>
      <c r="AU514" s="21">
        <v>0</v>
      </c>
      <c r="AV514" s="21">
        <v>0</v>
      </c>
      <c r="AW514" s="21">
        <v>0</v>
      </c>
      <c r="AX514" s="21">
        <v>0</v>
      </c>
      <c r="AY514" s="21">
        <v>0</v>
      </c>
      <c r="AZ514" s="21">
        <v>0</v>
      </c>
      <c r="BA514" s="21">
        <v>0</v>
      </c>
      <c r="BB514" s="21">
        <v>0</v>
      </c>
      <c r="BC514" s="21">
        <v>0</v>
      </c>
      <c r="BD514" s="21">
        <v>0</v>
      </c>
      <c r="BE514" s="21">
        <v>0</v>
      </c>
      <c r="BF514" s="21">
        <v>0</v>
      </c>
      <c r="BG514" s="21">
        <v>0</v>
      </c>
      <c r="BH514" s="21">
        <v>0</v>
      </c>
      <c r="BI514" s="21">
        <v>0</v>
      </c>
      <c r="BJ514" s="21">
        <v>0</v>
      </c>
      <c r="BK514" s="21">
        <v>0</v>
      </c>
      <c r="BL514" s="21">
        <v>0</v>
      </c>
      <c r="BM514" s="21">
        <v>0</v>
      </c>
      <c r="BN514" s="21">
        <v>0</v>
      </c>
      <c r="BO514" s="21">
        <v>0</v>
      </c>
      <c r="BP514" s="21">
        <v>0</v>
      </c>
      <c r="BQ514" s="21">
        <v>0</v>
      </c>
      <c r="BR514" s="21">
        <v>0</v>
      </c>
      <c r="BS514" s="21">
        <v>0</v>
      </c>
      <c r="BT514" s="21">
        <v>0</v>
      </c>
      <c r="BU514" s="21">
        <v>0</v>
      </c>
      <c r="BV514" s="21">
        <v>0</v>
      </c>
      <c r="BW514" s="21">
        <v>0</v>
      </c>
      <c r="BX514" s="21">
        <v>0</v>
      </c>
      <c r="BY514" s="21">
        <v>0</v>
      </c>
      <c r="BZ514" s="21">
        <v>0</v>
      </c>
      <c r="CA514" s="21">
        <v>0</v>
      </c>
      <c r="CB514" s="21">
        <v>0</v>
      </c>
      <c r="CC514" s="21">
        <v>0</v>
      </c>
      <c r="CD514" s="21">
        <v>0</v>
      </c>
      <c r="CE514" s="21">
        <v>0</v>
      </c>
      <c r="CF514" s="21">
        <v>0</v>
      </c>
      <c r="CG514" s="21">
        <v>0</v>
      </c>
      <c r="CH514" s="21">
        <v>0</v>
      </c>
      <c r="CI514" s="21">
        <v>0</v>
      </c>
      <c r="CJ514" s="21">
        <v>0</v>
      </c>
      <c r="CK514" s="21">
        <v>0</v>
      </c>
      <c r="CL514" s="21">
        <v>0</v>
      </c>
      <c r="CM514" s="21">
        <v>0</v>
      </c>
      <c r="CN514" s="21">
        <v>0</v>
      </c>
      <c r="CO514" s="21">
        <v>0</v>
      </c>
      <c r="CP514" s="21">
        <v>0</v>
      </c>
      <c r="CQ514" s="21">
        <v>0</v>
      </c>
      <c r="CR514" s="21">
        <v>0</v>
      </c>
      <c r="CS514" s="21">
        <v>0</v>
      </c>
      <c r="CT514" s="21">
        <v>0</v>
      </c>
      <c r="CU514" s="21">
        <v>0</v>
      </c>
      <c r="CV514" s="21">
        <v>0</v>
      </c>
      <c r="CW514" s="21">
        <v>0</v>
      </c>
      <c r="CX514" s="21">
        <v>0</v>
      </c>
      <c r="CY514" s="21">
        <v>0</v>
      </c>
      <c r="CZ514" s="21">
        <v>0</v>
      </c>
      <c r="DA514" s="21">
        <v>0</v>
      </c>
      <c r="DB514" s="21">
        <v>0</v>
      </c>
      <c r="DC514" s="21">
        <v>0</v>
      </c>
      <c r="DD514" s="21">
        <v>0</v>
      </c>
      <c r="DE514" s="21">
        <v>0</v>
      </c>
      <c r="DF514" s="21">
        <v>0</v>
      </c>
      <c r="DG514" s="21">
        <v>0</v>
      </c>
      <c r="DH514" s="21">
        <v>0</v>
      </c>
      <c r="DI514" s="21">
        <v>0</v>
      </c>
      <c r="DJ514" s="21">
        <v>0</v>
      </c>
      <c r="DK514" s="21">
        <v>0</v>
      </c>
      <c r="DL514" s="21">
        <v>0</v>
      </c>
      <c r="DM514" s="21">
        <v>0</v>
      </c>
      <c r="DN514" s="21">
        <v>0</v>
      </c>
      <c r="DO514" s="21">
        <v>0</v>
      </c>
      <c r="DP514" s="21">
        <v>0</v>
      </c>
      <c r="DQ514" s="21">
        <v>0</v>
      </c>
      <c r="DR514" s="21">
        <v>0</v>
      </c>
      <c r="DS514" s="21">
        <v>0</v>
      </c>
      <c r="DT514" s="21">
        <v>0</v>
      </c>
      <c r="DU514" s="21">
        <v>0</v>
      </c>
      <c r="DV514" s="21">
        <v>0</v>
      </c>
      <c r="DW514" s="21">
        <v>0</v>
      </c>
      <c r="DX514" s="21">
        <v>0</v>
      </c>
      <c r="DY514" s="21">
        <v>0</v>
      </c>
      <c r="DZ514" s="21">
        <v>0</v>
      </c>
      <c r="EA514" s="21">
        <v>0</v>
      </c>
      <c r="EB514" s="21">
        <v>0</v>
      </c>
      <c r="EC514" s="21">
        <v>0</v>
      </c>
      <c r="ED514" s="21">
        <v>0</v>
      </c>
      <c r="EE514" s="21">
        <v>0</v>
      </c>
      <c r="EF514" s="21">
        <v>0</v>
      </c>
    </row>
    <row r="515" spans="1:136" ht="14.5" x14ac:dyDescent="0.35">
      <c r="A515" s="20" t="s">
        <v>12</v>
      </c>
      <c r="B515" s="20" t="s">
        <v>402</v>
      </c>
      <c r="C515" s="20" t="s">
        <v>182</v>
      </c>
      <c r="D515" s="20" t="s">
        <v>339</v>
      </c>
      <c r="E515" s="20" t="s">
        <v>14</v>
      </c>
      <c r="F515" s="20" t="s">
        <v>78</v>
      </c>
      <c r="G515" s="21">
        <v>6.6</v>
      </c>
      <c r="H515" s="21">
        <v>29.5</v>
      </c>
      <c r="I515" s="21">
        <v>0</v>
      </c>
      <c r="J515" s="21">
        <v>29.5</v>
      </c>
      <c r="K515" s="21">
        <v>0</v>
      </c>
      <c r="L515" s="21">
        <v>0</v>
      </c>
      <c r="M515" s="21">
        <v>0</v>
      </c>
      <c r="N515" s="21">
        <v>0</v>
      </c>
      <c r="O515" s="21">
        <v>0</v>
      </c>
      <c r="P515" s="21">
        <v>0</v>
      </c>
      <c r="Q515" s="21">
        <v>0</v>
      </c>
      <c r="R515" s="21">
        <v>0</v>
      </c>
      <c r="S515" s="21">
        <v>0</v>
      </c>
      <c r="T515" s="21">
        <v>0</v>
      </c>
      <c r="U515" s="21">
        <v>0</v>
      </c>
      <c r="V515" s="21">
        <v>0</v>
      </c>
      <c r="W515" s="21">
        <v>0</v>
      </c>
      <c r="X515" s="21">
        <v>0</v>
      </c>
      <c r="Y515" s="21">
        <v>0</v>
      </c>
      <c r="Z515" s="21">
        <v>0</v>
      </c>
      <c r="AA515" s="21">
        <v>0</v>
      </c>
      <c r="AB515" s="21">
        <v>0</v>
      </c>
      <c r="AC515" s="21">
        <v>0</v>
      </c>
      <c r="AD515" s="21">
        <v>0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0</v>
      </c>
      <c r="AN515" s="21">
        <v>0</v>
      </c>
      <c r="AO515" s="21">
        <v>0</v>
      </c>
      <c r="AP515" s="21">
        <v>0</v>
      </c>
      <c r="AQ515" s="21">
        <v>0</v>
      </c>
      <c r="AR515" s="21">
        <v>0</v>
      </c>
      <c r="AS515" s="21">
        <v>0</v>
      </c>
      <c r="AT515" s="21">
        <v>0</v>
      </c>
      <c r="AU515" s="21">
        <v>0</v>
      </c>
      <c r="AV515" s="21">
        <v>0</v>
      </c>
      <c r="AW515" s="21">
        <v>0</v>
      </c>
      <c r="AX515" s="21">
        <v>0</v>
      </c>
      <c r="AY515" s="21">
        <v>0</v>
      </c>
      <c r="AZ515" s="21">
        <v>0</v>
      </c>
      <c r="BA515" s="21">
        <v>0</v>
      </c>
      <c r="BB515" s="21">
        <v>0</v>
      </c>
      <c r="BC515" s="21">
        <v>0</v>
      </c>
      <c r="BD515" s="21">
        <v>0</v>
      </c>
      <c r="BE515" s="21">
        <v>0</v>
      </c>
      <c r="BF515" s="21">
        <v>0</v>
      </c>
      <c r="BG515" s="21">
        <v>0</v>
      </c>
      <c r="BH515" s="21">
        <v>0</v>
      </c>
      <c r="BI515" s="21">
        <v>0</v>
      </c>
      <c r="BJ515" s="21">
        <v>0</v>
      </c>
      <c r="BK515" s="21">
        <v>0</v>
      </c>
      <c r="BL515" s="21">
        <v>0</v>
      </c>
      <c r="BM515" s="21">
        <v>0</v>
      </c>
      <c r="BN515" s="21">
        <v>0</v>
      </c>
      <c r="BO515" s="21">
        <v>0</v>
      </c>
      <c r="BP515" s="21">
        <v>0</v>
      </c>
      <c r="BQ515" s="21">
        <v>0</v>
      </c>
      <c r="BR515" s="21">
        <v>0</v>
      </c>
      <c r="BS515" s="21">
        <v>0</v>
      </c>
      <c r="BT515" s="21">
        <v>0</v>
      </c>
      <c r="BU515" s="21">
        <v>0</v>
      </c>
      <c r="BV515" s="21">
        <v>0</v>
      </c>
      <c r="BW515" s="21">
        <v>0</v>
      </c>
      <c r="BX515" s="21">
        <v>0</v>
      </c>
      <c r="BY515" s="21">
        <v>0</v>
      </c>
      <c r="BZ515" s="21">
        <v>0</v>
      </c>
      <c r="CA515" s="21">
        <v>0</v>
      </c>
      <c r="CB515" s="21">
        <v>0</v>
      </c>
      <c r="CC515" s="21">
        <v>0</v>
      </c>
      <c r="CD515" s="21">
        <v>0</v>
      </c>
      <c r="CE515" s="21">
        <v>0</v>
      </c>
      <c r="CF515" s="21">
        <v>0</v>
      </c>
      <c r="CG515" s="21">
        <v>0</v>
      </c>
      <c r="CH515" s="21">
        <v>0</v>
      </c>
      <c r="CI515" s="21">
        <v>0</v>
      </c>
      <c r="CJ515" s="21">
        <v>0</v>
      </c>
      <c r="CK515" s="21">
        <v>0</v>
      </c>
      <c r="CL515" s="21">
        <v>0</v>
      </c>
      <c r="CM515" s="21">
        <v>0</v>
      </c>
      <c r="CN515" s="21">
        <v>0</v>
      </c>
      <c r="CO515" s="21">
        <v>0</v>
      </c>
      <c r="CP515" s="21">
        <v>0</v>
      </c>
      <c r="CQ515" s="21">
        <v>0</v>
      </c>
      <c r="CR515" s="21">
        <v>0</v>
      </c>
      <c r="CS515" s="21">
        <v>0</v>
      </c>
      <c r="CT515" s="21">
        <v>0</v>
      </c>
      <c r="CU515" s="21">
        <v>0</v>
      </c>
      <c r="CV515" s="21">
        <v>0</v>
      </c>
      <c r="CW515" s="21">
        <v>0</v>
      </c>
      <c r="CX515" s="21">
        <v>0</v>
      </c>
      <c r="CY515" s="21">
        <v>0</v>
      </c>
      <c r="CZ515" s="21">
        <v>0</v>
      </c>
      <c r="DA515" s="21">
        <v>0</v>
      </c>
      <c r="DB515" s="21">
        <v>0</v>
      </c>
      <c r="DC515" s="21">
        <v>0</v>
      </c>
      <c r="DD515" s="21">
        <v>0</v>
      </c>
      <c r="DE515" s="21">
        <v>0</v>
      </c>
      <c r="DF515" s="21">
        <v>0</v>
      </c>
      <c r="DG515" s="21">
        <v>0</v>
      </c>
      <c r="DH515" s="21">
        <v>0</v>
      </c>
      <c r="DI515" s="21">
        <v>0</v>
      </c>
      <c r="DJ515" s="21">
        <v>0</v>
      </c>
      <c r="DK515" s="21">
        <v>0</v>
      </c>
      <c r="DL515" s="21">
        <v>0</v>
      </c>
      <c r="DM515" s="21">
        <v>0</v>
      </c>
      <c r="DN515" s="21">
        <v>0</v>
      </c>
      <c r="DO515" s="21">
        <v>0</v>
      </c>
      <c r="DP515" s="21">
        <v>0</v>
      </c>
      <c r="DQ515" s="21">
        <v>0</v>
      </c>
      <c r="DR515" s="21">
        <v>0</v>
      </c>
      <c r="DS515" s="21">
        <v>0</v>
      </c>
      <c r="DT515" s="21">
        <v>0</v>
      </c>
      <c r="DU515" s="21">
        <v>0</v>
      </c>
      <c r="DV515" s="21">
        <v>0</v>
      </c>
      <c r="DW515" s="21">
        <v>0</v>
      </c>
      <c r="DX515" s="21">
        <v>0</v>
      </c>
      <c r="DY515" s="21">
        <v>0</v>
      </c>
      <c r="DZ515" s="21">
        <v>0</v>
      </c>
      <c r="EA515" s="21">
        <v>0</v>
      </c>
      <c r="EB515" s="21">
        <v>0</v>
      </c>
      <c r="EC515" s="21">
        <v>0</v>
      </c>
      <c r="ED515" s="21">
        <v>0</v>
      </c>
      <c r="EE515" s="21">
        <v>0</v>
      </c>
      <c r="EF515" s="21">
        <v>0</v>
      </c>
    </row>
    <row r="516" spans="1:136" ht="14.5" x14ac:dyDescent="0.35">
      <c r="A516" s="20" t="s">
        <v>12</v>
      </c>
      <c r="B516" s="20" t="s">
        <v>403</v>
      </c>
      <c r="C516" s="20" t="s">
        <v>141</v>
      </c>
      <c r="D516" s="20" t="s">
        <v>334</v>
      </c>
      <c r="E516" s="20" t="s">
        <v>10</v>
      </c>
      <c r="F516" s="20" t="s">
        <v>78</v>
      </c>
      <c r="G516" s="21">
        <v>5.5</v>
      </c>
      <c r="H516" s="21">
        <v>22.2</v>
      </c>
      <c r="I516" s="21">
        <v>0</v>
      </c>
      <c r="J516" s="21">
        <v>22.2</v>
      </c>
      <c r="K516" s="21">
        <v>0</v>
      </c>
      <c r="L516" s="21">
        <v>0</v>
      </c>
      <c r="M516" s="21">
        <v>0</v>
      </c>
      <c r="N516" s="21">
        <v>0</v>
      </c>
      <c r="O516" s="21">
        <v>0</v>
      </c>
      <c r="P516" s="21">
        <v>0</v>
      </c>
      <c r="Q516" s="21">
        <v>0</v>
      </c>
      <c r="R516" s="21">
        <v>0</v>
      </c>
      <c r="S516" s="21">
        <v>0</v>
      </c>
      <c r="T516" s="21">
        <v>0</v>
      </c>
      <c r="U516" s="21">
        <v>0</v>
      </c>
      <c r="V516" s="21">
        <v>0</v>
      </c>
      <c r="W516" s="21">
        <v>0</v>
      </c>
      <c r="X516" s="21">
        <v>0</v>
      </c>
      <c r="Y516" s="21">
        <v>0</v>
      </c>
      <c r="Z516" s="21">
        <v>0</v>
      </c>
      <c r="AA516" s="21">
        <v>0</v>
      </c>
      <c r="AB516" s="21">
        <v>0</v>
      </c>
      <c r="AC516" s="21">
        <v>0</v>
      </c>
      <c r="AD516" s="21">
        <v>0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21">
        <v>0</v>
      </c>
      <c r="AO516" s="21">
        <v>0</v>
      </c>
      <c r="AP516" s="21">
        <v>0</v>
      </c>
      <c r="AQ516" s="21">
        <v>0</v>
      </c>
      <c r="AR516" s="21">
        <v>0</v>
      </c>
      <c r="AS516" s="21">
        <v>0</v>
      </c>
      <c r="AT516" s="21">
        <v>0</v>
      </c>
      <c r="AU516" s="21">
        <v>0</v>
      </c>
      <c r="AV516" s="21">
        <v>0</v>
      </c>
      <c r="AW516" s="21">
        <v>0</v>
      </c>
      <c r="AX516" s="21">
        <v>0</v>
      </c>
      <c r="AY516" s="21">
        <v>0</v>
      </c>
      <c r="AZ516" s="21">
        <v>0</v>
      </c>
      <c r="BA516" s="21">
        <v>0</v>
      </c>
      <c r="BB516" s="21">
        <v>0</v>
      </c>
      <c r="BC516" s="21">
        <v>0</v>
      </c>
      <c r="BD516" s="21">
        <v>0</v>
      </c>
      <c r="BE516" s="21">
        <v>0</v>
      </c>
      <c r="BF516" s="21">
        <v>0</v>
      </c>
      <c r="BG516" s="21">
        <v>0</v>
      </c>
      <c r="BH516" s="21">
        <v>0</v>
      </c>
      <c r="BI516" s="21">
        <v>0</v>
      </c>
      <c r="BJ516" s="21">
        <v>0</v>
      </c>
      <c r="BK516" s="21">
        <v>0</v>
      </c>
      <c r="BL516" s="21">
        <v>0</v>
      </c>
      <c r="BM516" s="21">
        <v>0</v>
      </c>
      <c r="BN516" s="21">
        <v>0</v>
      </c>
      <c r="BO516" s="21">
        <v>0</v>
      </c>
      <c r="BP516" s="21">
        <v>0</v>
      </c>
      <c r="BQ516" s="21">
        <v>0</v>
      </c>
      <c r="BR516" s="21">
        <v>0</v>
      </c>
      <c r="BS516" s="21">
        <v>0</v>
      </c>
      <c r="BT516" s="21">
        <v>0</v>
      </c>
      <c r="BU516" s="21">
        <v>0</v>
      </c>
      <c r="BV516" s="21">
        <v>0</v>
      </c>
      <c r="BW516" s="21">
        <v>0</v>
      </c>
      <c r="BX516" s="21">
        <v>0</v>
      </c>
      <c r="BY516" s="21">
        <v>0</v>
      </c>
      <c r="BZ516" s="21">
        <v>0</v>
      </c>
      <c r="CA516" s="21">
        <v>0</v>
      </c>
      <c r="CB516" s="21">
        <v>0</v>
      </c>
      <c r="CC516" s="21">
        <v>0</v>
      </c>
      <c r="CD516" s="21">
        <v>0</v>
      </c>
      <c r="CE516" s="21">
        <v>0</v>
      </c>
      <c r="CF516" s="21">
        <v>0</v>
      </c>
      <c r="CG516" s="21">
        <v>0</v>
      </c>
      <c r="CH516" s="21">
        <v>0</v>
      </c>
      <c r="CI516" s="21">
        <v>0</v>
      </c>
      <c r="CJ516" s="21">
        <v>0</v>
      </c>
      <c r="CK516" s="21">
        <v>0</v>
      </c>
      <c r="CL516" s="21">
        <v>0</v>
      </c>
      <c r="CM516" s="21">
        <v>0</v>
      </c>
      <c r="CN516" s="21">
        <v>0</v>
      </c>
      <c r="CO516" s="21">
        <v>0</v>
      </c>
      <c r="CP516" s="21">
        <v>0</v>
      </c>
      <c r="CQ516" s="21">
        <v>0</v>
      </c>
      <c r="CR516" s="21">
        <v>0</v>
      </c>
      <c r="CS516" s="21">
        <v>0</v>
      </c>
      <c r="CT516" s="21">
        <v>0</v>
      </c>
      <c r="CU516" s="21">
        <v>0</v>
      </c>
      <c r="CV516" s="21">
        <v>0</v>
      </c>
      <c r="CW516" s="21">
        <v>0</v>
      </c>
      <c r="CX516" s="21">
        <v>0</v>
      </c>
      <c r="CY516" s="21">
        <v>0</v>
      </c>
      <c r="CZ516" s="21">
        <v>0</v>
      </c>
      <c r="DA516" s="21">
        <v>0</v>
      </c>
      <c r="DB516" s="21">
        <v>0</v>
      </c>
      <c r="DC516" s="21">
        <v>0</v>
      </c>
      <c r="DD516" s="21">
        <v>0</v>
      </c>
      <c r="DE516" s="21">
        <v>0</v>
      </c>
      <c r="DF516" s="21">
        <v>0</v>
      </c>
      <c r="DG516" s="21">
        <v>0</v>
      </c>
      <c r="DH516" s="21">
        <v>0</v>
      </c>
      <c r="DI516" s="21">
        <v>0</v>
      </c>
      <c r="DJ516" s="21">
        <v>0</v>
      </c>
      <c r="DK516" s="21">
        <v>0</v>
      </c>
      <c r="DL516" s="21">
        <v>0</v>
      </c>
      <c r="DM516" s="21">
        <v>0</v>
      </c>
      <c r="DN516" s="21">
        <v>0</v>
      </c>
      <c r="DO516" s="21">
        <v>0</v>
      </c>
      <c r="DP516" s="21">
        <v>0</v>
      </c>
      <c r="DQ516" s="21">
        <v>0</v>
      </c>
      <c r="DR516" s="21">
        <v>0</v>
      </c>
      <c r="DS516" s="21">
        <v>0</v>
      </c>
      <c r="DT516" s="21">
        <v>0</v>
      </c>
      <c r="DU516" s="21">
        <v>0</v>
      </c>
      <c r="DV516" s="21">
        <v>0</v>
      </c>
      <c r="DW516" s="21">
        <v>0</v>
      </c>
      <c r="DX516" s="21">
        <v>0</v>
      </c>
      <c r="DY516" s="21">
        <v>0</v>
      </c>
      <c r="DZ516" s="21">
        <v>0</v>
      </c>
      <c r="EA516" s="21">
        <v>0</v>
      </c>
      <c r="EB516" s="21">
        <v>0</v>
      </c>
      <c r="EC516" s="21">
        <v>0</v>
      </c>
      <c r="ED516" s="21">
        <v>0</v>
      </c>
      <c r="EE516" s="21">
        <v>0</v>
      </c>
      <c r="EF516" s="21">
        <v>0</v>
      </c>
    </row>
    <row r="517" spans="1:136" ht="14.5" x14ac:dyDescent="0.35">
      <c r="A517" s="20" t="s">
        <v>12</v>
      </c>
      <c r="B517" s="20" t="s">
        <v>404</v>
      </c>
      <c r="C517" s="20" t="s">
        <v>142</v>
      </c>
      <c r="D517" s="20" t="s">
        <v>334</v>
      </c>
      <c r="E517" s="20" t="s">
        <v>10</v>
      </c>
      <c r="F517" s="20" t="s">
        <v>78</v>
      </c>
      <c r="G517" s="21">
        <v>12.1</v>
      </c>
      <c r="H517" s="21">
        <v>51.7</v>
      </c>
      <c r="I517" s="21">
        <v>0</v>
      </c>
      <c r="J517" s="21">
        <v>51.7</v>
      </c>
      <c r="K517" s="21">
        <v>0</v>
      </c>
      <c r="L517" s="21">
        <v>0</v>
      </c>
      <c r="M517" s="21">
        <v>0</v>
      </c>
      <c r="N517" s="21">
        <v>0</v>
      </c>
      <c r="O517" s="21">
        <v>0</v>
      </c>
      <c r="P517" s="21">
        <v>0</v>
      </c>
      <c r="Q517" s="21">
        <v>0</v>
      </c>
      <c r="R517" s="21">
        <v>0</v>
      </c>
      <c r="S517" s="21">
        <v>0</v>
      </c>
      <c r="T517" s="21">
        <v>0</v>
      </c>
      <c r="U517" s="21">
        <v>0</v>
      </c>
      <c r="V517" s="21">
        <v>0</v>
      </c>
      <c r="W517" s="21">
        <v>0</v>
      </c>
      <c r="X517" s="21">
        <v>0</v>
      </c>
      <c r="Y517" s="21">
        <v>0</v>
      </c>
      <c r="Z517" s="21">
        <v>0</v>
      </c>
      <c r="AA517" s="21">
        <v>0</v>
      </c>
      <c r="AB517" s="21">
        <v>0</v>
      </c>
      <c r="AC517" s="21">
        <v>0</v>
      </c>
      <c r="AD517" s="21">
        <v>0</v>
      </c>
      <c r="AE517" s="21">
        <v>0</v>
      </c>
      <c r="AF517" s="21">
        <v>0</v>
      </c>
      <c r="AG517" s="21">
        <v>0</v>
      </c>
      <c r="AH517" s="21">
        <v>0</v>
      </c>
      <c r="AI517" s="21">
        <v>0</v>
      </c>
      <c r="AJ517" s="21">
        <v>0</v>
      </c>
      <c r="AK517" s="21">
        <v>0</v>
      </c>
      <c r="AL517" s="21">
        <v>0</v>
      </c>
      <c r="AM517" s="21">
        <v>0</v>
      </c>
      <c r="AN517" s="21">
        <v>0</v>
      </c>
      <c r="AO517" s="21">
        <v>0</v>
      </c>
      <c r="AP517" s="21">
        <v>0</v>
      </c>
      <c r="AQ517" s="21">
        <v>0</v>
      </c>
      <c r="AR517" s="21">
        <v>0</v>
      </c>
      <c r="AS517" s="21">
        <v>0</v>
      </c>
      <c r="AT517" s="21">
        <v>0</v>
      </c>
      <c r="AU517" s="21">
        <v>0</v>
      </c>
      <c r="AV517" s="21">
        <v>0</v>
      </c>
      <c r="AW517" s="21">
        <v>0</v>
      </c>
      <c r="AX517" s="21">
        <v>0</v>
      </c>
      <c r="AY517" s="21">
        <v>0</v>
      </c>
      <c r="AZ517" s="21">
        <v>0</v>
      </c>
      <c r="BA517" s="21">
        <v>0</v>
      </c>
      <c r="BB517" s="21">
        <v>0</v>
      </c>
      <c r="BC517" s="21">
        <v>0</v>
      </c>
      <c r="BD517" s="21">
        <v>0</v>
      </c>
      <c r="BE517" s="21">
        <v>0</v>
      </c>
      <c r="BF517" s="21">
        <v>0</v>
      </c>
      <c r="BG517" s="21">
        <v>0</v>
      </c>
      <c r="BH517" s="21">
        <v>0</v>
      </c>
      <c r="BI517" s="21">
        <v>0</v>
      </c>
      <c r="BJ517" s="21">
        <v>0</v>
      </c>
      <c r="BK517" s="21">
        <v>0</v>
      </c>
      <c r="BL517" s="21">
        <v>0</v>
      </c>
      <c r="BM517" s="21">
        <v>0</v>
      </c>
      <c r="BN517" s="21">
        <v>0</v>
      </c>
      <c r="BO517" s="21">
        <v>0</v>
      </c>
      <c r="BP517" s="21">
        <v>0</v>
      </c>
      <c r="BQ517" s="21">
        <v>0</v>
      </c>
      <c r="BR517" s="21">
        <v>0</v>
      </c>
      <c r="BS517" s="21">
        <v>0</v>
      </c>
      <c r="BT517" s="21">
        <v>0</v>
      </c>
      <c r="BU517" s="21">
        <v>0</v>
      </c>
      <c r="BV517" s="21">
        <v>0</v>
      </c>
      <c r="BW517" s="21">
        <v>0</v>
      </c>
      <c r="BX517" s="21">
        <v>0</v>
      </c>
      <c r="BY517" s="21">
        <v>0</v>
      </c>
      <c r="BZ517" s="21">
        <v>0</v>
      </c>
      <c r="CA517" s="21">
        <v>0</v>
      </c>
      <c r="CB517" s="21">
        <v>0</v>
      </c>
      <c r="CC517" s="21">
        <v>0</v>
      </c>
      <c r="CD517" s="21">
        <v>0</v>
      </c>
      <c r="CE517" s="21">
        <v>0</v>
      </c>
      <c r="CF517" s="21">
        <v>0</v>
      </c>
      <c r="CG517" s="21">
        <v>0</v>
      </c>
      <c r="CH517" s="21">
        <v>0</v>
      </c>
      <c r="CI517" s="21">
        <v>0</v>
      </c>
      <c r="CJ517" s="21">
        <v>0</v>
      </c>
      <c r="CK517" s="21">
        <v>0</v>
      </c>
      <c r="CL517" s="21">
        <v>0</v>
      </c>
      <c r="CM517" s="21">
        <v>0</v>
      </c>
      <c r="CN517" s="21">
        <v>0</v>
      </c>
      <c r="CO517" s="21">
        <v>0</v>
      </c>
      <c r="CP517" s="21">
        <v>0</v>
      </c>
      <c r="CQ517" s="21">
        <v>0</v>
      </c>
      <c r="CR517" s="21">
        <v>0</v>
      </c>
      <c r="CS517" s="21">
        <v>0</v>
      </c>
      <c r="CT517" s="21">
        <v>0</v>
      </c>
      <c r="CU517" s="21">
        <v>0</v>
      </c>
      <c r="CV517" s="21">
        <v>0</v>
      </c>
      <c r="CW517" s="21">
        <v>0</v>
      </c>
      <c r="CX517" s="21">
        <v>0</v>
      </c>
      <c r="CY517" s="21">
        <v>0</v>
      </c>
      <c r="CZ517" s="21">
        <v>0</v>
      </c>
      <c r="DA517" s="21">
        <v>0</v>
      </c>
      <c r="DB517" s="21">
        <v>0</v>
      </c>
      <c r="DC517" s="21">
        <v>0</v>
      </c>
      <c r="DD517" s="21">
        <v>0</v>
      </c>
      <c r="DE517" s="21">
        <v>0</v>
      </c>
      <c r="DF517" s="21">
        <v>0</v>
      </c>
      <c r="DG517" s="21">
        <v>0</v>
      </c>
      <c r="DH517" s="21">
        <v>0</v>
      </c>
      <c r="DI517" s="21">
        <v>0</v>
      </c>
      <c r="DJ517" s="21">
        <v>0</v>
      </c>
      <c r="DK517" s="21">
        <v>0</v>
      </c>
      <c r="DL517" s="21">
        <v>0</v>
      </c>
      <c r="DM517" s="21">
        <v>0</v>
      </c>
      <c r="DN517" s="21">
        <v>0</v>
      </c>
      <c r="DO517" s="21">
        <v>0</v>
      </c>
      <c r="DP517" s="21">
        <v>0</v>
      </c>
      <c r="DQ517" s="21">
        <v>0</v>
      </c>
      <c r="DR517" s="21">
        <v>0</v>
      </c>
      <c r="DS517" s="21">
        <v>0</v>
      </c>
      <c r="DT517" s="21">
        <v>0</v>
      </c>
      <c r="DU517" s="21">
        <v>0</v>
      </c>
      <c r="DV517" s="21">
        <v>0</v>
      </c>
      <c r="DW517" s="21">
        <v>0</v>
      </c>
      <c r="DX517" s="21">
        <v>0</v>
      </c>
      <c r="DY517" s="21">
        <v>0</v>
      </c>
      <c r="DZ517" s="21">
        <v>0</v>
      </c>
      <c r="EA517" s="21">
        <v>0</v>
      </c>
      <c r="EB517" s="21">
        <v>0</v>
      </c>
      <c r="EC517" s="21">
        <v>0</v>
      </c>
      <c r="ED517" s="21">
        <v>0</v>
      </c>
      <c r="EE517" s="21">
        <v>0</v>
      </c>
      <c r="EF517" s="21">
        <v>0</v>
      </c>
    </row>
    <row r="518" spans="1:136" ht="14.5" x14ac:dyDescent="0.35">
      <c r="A518" s="20" t="s">
        <v>12</v>
      </c>
      <c r="B518" s="20" t="s">
        <v>47</v>
      </c>
      <c r="C518" s="20" t="s">
        <v>45</v>
      </c>
      <c r="D518" s="20" t="s">
        <v>339</v>
      </c>
      <c r="E518" s="20" t="s">
        <v>14</v>
      </c>
      <c r="F518" s="20" t="s">
        <v>46</v>
      </c>
      <c r="G518" s="21">
        <v>37.5</v>
      </c>
      <c r="H518" s="21">
        <v>325</v>
      </c>
      <c r="I518" s="21">
        <v>261</v>
      </c>
      <c r="J518" s="21">
        <v>64</v>
      </c>
      <c r="K518" s="21">
        <v>0</v>
      </c>
      <c r="L518" s="21">
        <v>0</v>
      </c>
      <c r="M518" s="21">
        <v>0</v>
      </c>
      <c r="N518" s="21">
        <v>0</v>
      </c>
      <c r="O518" s="21">
        <v>0</v>
      </c>
      <c r="P518" s="21">
        <v>0</v>
      </c>
      <c r="Q518" s="21">
        <v>0</v>
      </c>
      <c r="R518" s="21">
        <v>0</v>
      </c>
      <c r="S518" s="21">
        <v>0</v>
      </c>
      <c r="T518" s="21">
        <v>0</v>
      </c>
      <c r="U518" s="21">
        <v>0</v>
      </c>
      <c r="V518" s="21">
        <v>0</v>
      </c>
      <c r="W518" s="21">
        <v>0</v>
      </c>
      <c r="X518" s="21">
        <v>0</v>
      </c>
      <c r="Y518" s="21">
        <v>0</v>
      </c>
      <c r="Z518" s="21">
        <v>0</v>
      </c>
      <c r="AA518" s="21">
        <v>0</v>
      </c>
      <c r="AB518" s="21">
        <v>0</v>
      </c>
      <c r="AC518" s="21">
        <v>0</v>
      </c>
      <c r="AD518" s="21">
        <v>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0</v>
      </c>
      <c r="AM518" s="21">
        <v>0</v>
      </c>
      <c r="AN518" s="21">
        <v>0</v>
      </c>
      <c r="AO518" s="21">
        <v>0</v>
      </c>
      <c r="AP518" s="21">
        <v>0</v>
      </c>
      <c r="AQ518" s="21">
        <v>0</v>
      </c>
      <c r="AR518" s="21">
        <v>0</v>
      </c>
      <c r="AS518" s="21">
        <v>0</v>
      </c>
      <c r="AT518" s="21">
        <v>0</v>
      </c>
      <c r="AU518" s="21">
        <v>0</v>
      </c>
      <c r="AV518" s="21">
        <v>0</v>
      </c>
      <c r="AW518" s="21">
        <v>0</v>
      </c>
      <c r="AX518" s="21">
        <v>0</v>
      </c>
      <c r="AY518" s="21">
        <v>0</v>
      </c>
      <c r="AZ518" s="21">
        <v>0</v>
      </c>
      <c r="BA518" s="21">
        <v>0</v>
      </c>
      <c r="BB518" s="21">
        <v>0</v>
      </c>
      <c r="BC518" s="21">
        <v>0</v>
      </c>
      <c r="BD518" s="21">
        <v>0</v>
      </c>
      <c r="BE518" s="21">
        <v>0</v>
      </c>
      <c r="BF518" s="21">
        <v>0</v>
      </c>
      <c r="BG518" s="21">
        <v>0</v>
      </c>
      <c r="BH518" s="21">
        <v>0</v>
      </c>
      <c r="BI518" s="21">
        <v>0</v>
      </c>
      <c r="BJ518" s="21">
        <v>0</v>
      </c>
      <c r="BK518" s="21">
        <v>0</v>
      </c>
      <c r="BL518" s="21">
        <v>0</v>
      </c>
      <c r="BM518" s="21">
        <v>0</v>
      </c>
      <c r="BN518" s="21">
        <v>0</v>
      </c>
      <c r="BO518" s="21">
        <v>0</v>
      </c>
      <c r="BP518" s="21">
        <v>0</v>
      </c>
      <c r="BQ518" s="21">
        <v>0</v>
      </c>
      <c r="BR518" s="21">
        <v>0</v>
      </c>
      <c r="BS518" s="21">
        <v>0</v>
      </c>
      <c r="BT518" s="21">
        <v>0</v>
      </c>
      <c r="BU518" s="21">
        <v>0</v>
      </c>
      <c r="BV518" s="21">
        <v>0</v>
      </c>
      <c r="BW518" s="21">
        <v>0</v>
      </c>
      <c r="BX518" s="21">
        <v>0</v>
      </c>
      <c r="BY518" s="21">
        <v>0</v>
      </c>
      <c r="BZ518" s="21">
        <v>0</v>
      </c>
      <c r="CA518" s="21">
        <v>0</v>
      </c>
      <c r="CB518" s="21">
        <v>0</v>
      </c>
      <c r="CC518" s="21">
        <v>0</v>
      </c>
      <c r="CD518" s="21">
        <v>0</v>
      </c>
      <c r="CE518" s="21">
        <v>0</v>
      </c>
      <c r="CF518" s="21">
        <v>0</v>
      </c>
      <c r="CG518" s="21">
        <v>0</v>
      </c>
      <c r="CH518" s="21">
        <v>0</v>
      </c>
      <c r="CI518" s="21">
        <v>0</v>
      </c>
      <c r="CJ518" s="21">
        <v>0</v>
      </c>
      <c r="CK518" s="21">
        <v>0</v>
      </c>
      <c r="CL518" s="21">
        <v>0</v>
      </c>
      <c r="CM518" s="21">
        <v>0</v>
      </c>
      <c r="CN518" s="21">
        <v>0</v>
      </c>
      <c r="CO518" s="21">
        <v>0</v>
      </c>
      <c r="CP518" s="21">
        <v>0</v>
      </c>
      <c r="CQ518" s="21">
        <v>0</v>
      </c>
      <c r="CR518" s="21">
        <v>0</v>
      </c>
      <c r="CS518" s="21">
        <v>0</v>
      </c>
      <c r="CT518" s="21">
        <v>0</v>
      </c>
      <c r="CU518" s="21">
        <v>0</v>
      </c>
      <c r="CV518" s="21">
        <v>0</v>
      </c>
      <c r="CW518" s="21">
        <v>0</v>
      </c>
      <c r="CX518" s="21">
        <v>1.5</v>
      </c>
      <c r="CY518" s="21">
        <v>1.5</v>
      </c>
      <c r="CZ518" s="21">
        <v>1.5</v>
      </c>
      <c r="DA518" s="21">
        <v>1.5</v>
      </c>
      <c r="DB518" s="21">
        <v>22.5</v>
      </c>
      <c r="DC518" s="21">
        <v>28.5</v>
      </c>
      <c r="DD518" s="21">
        <v>1.5</v>
      </c>
      <c r="DE518" s="21">
        <v>1.5</v>
      </c>
      <c r="DF518" s="21">
        <v>1.5</v>
      </c>
      <c r="DG518" s="21">
        <v>22.5</v>
      </c>
      <c r="DH518" s="21">
        <v>1.5</v>
      </c>
      <c r="DI518" s="21">
        <v>0</v>
      </c>
      <c r="DJ518" s="21">
        <v>0</v>
      </c>
      <c r="DK518" s="21">
        <v>1.5</v>
      </c>
      <c r="DL518" s="21">
        <v>12.5</v>
      </c>
      <c r="DM518" s="21">
        <v>32.5</v>
      </c>
      <c r="DN518" s="21">
        <v>24</v>
      </c>
      <c r="DO518" s="21">
        <v>34</v>
      </c>
      <c r="DP518" s="21">
        <v>34</v>
      </c>
      <c r="DQ518" s="21">
        <v>25</v>
      </c>
      <c r="DR518" s="21">
        <v>7.5</v>
      </c>
      <c r="DS518" s="21">
        <v>1.5</v>
      </c>
      <c r="DT518" s="21">
        <v>1.5</v>
      </c>
      <c r="DU518" s="21">
        <v>1.5</v>
      </c>
      <c r="DV518" s="21">
        <v>0</v>
      </c>
      <c r="DW518" s="21">
        <v>0</v>
      </c>
      <c r="DX518" s="21">
        <v>0</v>
      </c>
      <c r="DY518" s="21">
        <v>0</v>
      </c>
      <c r="DZ518" s="21">
        <v>0</v>
      </c>
      <c r="EA518" s="21">
        <v>0</v>
      </c>
      <c r="EB518" s="21">
        <v>0</v>
      </c>
      <c r="EC518" s="21">
        <v>0</v>
      </c>
      <c r="ED518" s="21">
        <v>0</v>
      </c>
      <c r="EE518" s="21">
        <v>0</v>
      </c>
      <c r="EF518" s="21">
        <v>0</v>
      </c>
    </row>
    <row r="519" spans="1:136" ht="14.5" x14ac:dyDescent="0.35">
      <c r="A519" s="20" t="s">
        <v>12</v>
      </c>
      <c r="B519" s="20" t="s">
        <v>405</v>
      </c>
      <c r="C519" s="20" t="s">
        <v>143</v>
      </c>
      <c r="D519" s="20" t="s">
        <v>334</v>
      </c>
      <c r="E519" s="20" t="s">
        <v>10</v>
      </c>
      <c r="F519" s="20" t="s">
        <v>102</v>
      </c>
      <c r="G519" s="21">
        <v>45</v>
      </c>
      <c r="H519" s="21">
        <v>45</v>
      </c>
      <c r="I519" s="21">
        <v>0</v>
      </c>
      <c r="J519" s="21">
        <v>45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1">
        <v>0</v>
      </c>
      <c r="Q519" s="21">
        <v>0</v>
      </c>
      <c r="R519" s="21">
        <v>0</v>
      </c>
      <c r="S519" s="21">
        <v>0</v>
      </c>
      <c r="T519" s="21">
        <v>0</v>
      </c>
      <c r="U519" s="21">
        <v>0</v>
      </c>
      <c r="V519" s="21">
        <v>0</v>
      </c>
      <c r="W519" s="21">
        <v>0</v>
      </c>
      <c r="X519" s="21">
        <v>0</v>
      </c>
      <c r="Y519" s="21">
        <v>0</v>
      </c>
      <c r="Z519" s="21">
        <v>0</v>
      </c>
      <c r="AA519" s="21">
        <v>0</v>
      </c>
      <c r="AB519" s="21">
        <v>0</v>
      </c>
      <c r="AC519" s="21">
        <v>0</v>
      </c>
      <c r="AD519" s="21">
        <v>0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0</v>
      </c>
      <c r="AK519" s="21">
        <v>0</v>
      </c>
      <c r="AL519" s="21">
        <v>0</v>
      </c>
      <c r="AM519" s="21">
        <v>0</v>
      </c>
      <c r="AN519" s="21">
        <v>0</v>
      </c>
      <c r="AO519" s="21">
        <v>0</v>
      </c>
      <c r="AP519" s="21">
        <v>0</v>
      </c>
      <c r="AQ519" s="21">
        <v>0</v>
      </c>
      <c r="AR519" s="21">
        <v>0</v>
      </c>
      <c r="AS519" s="21">
        <v>0</v>
      </c>
      <c r="AT519" s="21">
        <v>0</v>
      </c>
      <c r="AU519" s="21">
        <v>0</v>
      </c>
      <c r="AV519" s="21">
        <v>0</v>
      </c>
      <c r="AW519" s="21">
        <v>0</v>
      </c>
      <c r="AX519" s="21">
        <v>0</v>
      </c>
      <c r="AY519" s="21">
        <v>0</v>
      </c>
      <c r="AZ519" s="21">
        <v>0</v>
      </c>
      <c r="BA519" s="21">
        <v>0</v>
      </c>
      <c r="BB519" s="21">
        <v>0</v>
      </c>
      <c r="BC519" s="21">
        <v>0</v>
      </c>
      <c r="BD519" s="21">
        <v>0</v>
      </c>
      <c r="BE519" s="21">
        <v>0</v>
      </c>
      <c r="BF519" s="21">
        <v>0</v>
      </c>
      <c r="BG519" s="21">
        <v>0</v>
      </c>
      <c r="BH519" s="21">
        <v>0</v>
      </c>
      <c r="BI519" s="21">
        <v>0</v>
      </c>
      <c r="BJ519" s="21">
        <v>0</v>
      </c>
      <c r="BK519" s="21">
        <v>0</v>
      </c>
      <c r="BL519" s="21">
        <v>0</v>
      </c>
      <c r="BM519" s="21">
        <v>0</v>
      </c>
      <c r="BN519" s="21">
        <v>0</v>
      </c>
      <c r="BO519" s="21">
        <v>0</v>
      </c>
      <c r="BP519" s="21">
        <v>0</v>
      </c>
      <c r="BQ519" s="21">
        <v>0</v>
      </c>
      <c r="BR519" s="21">
        <v>0</v>
      </c>
      <c r="BS519" s="21">
        <v>0</v>
      </c>
      <c r="BT519" s="21">
        <v>0</v>
      </c>
      <c r="BU519" s="21">
        <v>0</v>
      </c>
      <c r="BV519" s="21">
        <v>0</v>
      </c>
      <c r="BW519" s="21">
        <v>0</v>
      </c>
      <c r="BX519" s="21">
        <v>0</v>
      </c>
      <c r="BY519" s="21">
        <v>0</v>
      </c>
      <c r="BZ519" s="21">
        <v>0</v>
      </c>
      <c r="CA519" s="21">
        <v>0</v>
      </c>
      <c r="CB519" s="21">
        <v>0</v>
      </c>
      <c r="CC519" s="21">
        <v>0</v>
      </c>
      <c r="CD519" s="21">
        <v>0</v>
      </c>
      <c r="CE519" s="21">
        <v>0</v>
      </c>
      <c r="CF519" s="21">
        <v>0</v>
      </c>
      <c r="CG519" s="21">
        <v>0</v>
      </c>
      <c r="CH519" s="21">
        <v>0</v>
      </c>
      <c r="CI519" s="21">
        <v>0</v>
      </c>
      <c r="CJ519" s="21">
        <v>0</v>
      </c>
      <c r="CK519" s="21">
        <v>0</v>
      </c>
      <c r="CL519" s="21">
        <v>0</v>
      </c>
      <c r="CM519" s="21">
        <v>0</v>
      </c>
      <c r="CN519" s="21">
        <v>0</v>
      </c>
      <c r="CO519" s="21">
        <v>0</v>
      </c>
      <c r="CP519" s="21">
        <v>0</v>
      </c>
      <c r="CQ519" s="21">
        <v>0</v>
      </c>
      <c r="CR519" s="21">
        <v>0</v>
      </c>
      <c r="CS519" s="21">
        <v>0</v>
      </c>
      <c r="CT519" s="21">
        <v>0</v>
      </c>
      <c r="CU519" s="21">
        <v>0</v>
      </c>
      <c r="CV519" s="21">
        <v>0</v>
      </c>
      <c r="CW519" s="21">
        <v>0</v>
      </c>
      <c r="CX519" s="21">
        <v>0</v>
      </c>
      <c r="CY519" s="21">
        <v>0</v>
      </c>
      <c r="CZ519" s="21">
        <v>0</v>
      </c>
      <c r="DA519" s="21">
        <v>0</v>
      </c>
      <c r="DB519" s="21">
        <v>0</v>
      </c>
      <c r="DC519" s="21">
        <v>0</v>
      </c>
      <c r="DD519" s="21">
        <v>0</v>
      </c>
      <c r="DE519" s="21">
        <v>0</v>
      </c>
      <c r="DF519" s="21">
        <v>0</v>
      </c>
      <c r="DG519" s="21">
        <v>0</v>
      </c>
      <c r="DH519" s="21">
        <v>0</v>
      </c>
      <c r="DI519" s="21">
        <v>0</v>
      </c>
      <c r="DJ519" s="21">
        <v>0</v>
      </c>
      <c r="DK519" s="21">
        <v>0</v>
      </c>
      <c r="DL519" s="21">
        <v>0</v>
      </c>
      <c r="DM519" s="21">
        <v>0</v>
      </c>
      <c r="DN519" s="21">
        <v>0</v>
      </c>
      <c r="DO519" s="21">
        <v>0</v>
      </c>
      <c r="DP519" s="21">
        <v>0</v>
      </c>
      <c r="DQ519" s="21">
        <v>0</v>
      </c>
      <c r="DR519" s="21">
        <v>0</v>
      </c>
      <c r="DS519" s="21">
        <v>0</v>
      </c>
      <c r="DT519" s="21">
        <v>0</v>
      </c>
      <c r="DU519" s="21">
        <v>0</v>
      </c>
      <c r="DV519" s="21">
        <v>0</v>
      </c>
      <c r="DW519" s="21">
        <v>0</v>
      </c>
      <c r="DX519" s="21">
        <v>0</v>
      </c>
      <c r="DY519" s="21">
        <v>0</v>
      </c>
      <c r="DZ519" s="21">
        <v>0</v>
      </c>
      <c r="EA519" s="21">
        <v>0</v>
      </c>
      <c r="EB519" s="21">
        <v>0</v>
      </c>
      <c r="EC519" s="21">
        <v>0</v>
      </c>
      <c r="ED519" s="21">
        <v>0</v>
      </c>
      <c r="EE519" s="21">
        <v>0</v>
      </c>
      <c r="EF519" s="21">
        <v>0</v>
      </c>
    </row>
    <row r="520" spans="1:136" ht="14.5" x14ac:dyDescent="0.35">
      <c r="A520" s="20" t="s">
        <v>12</v>
      </c>
      <c r="B520" s="20" t="s">
        <v>406</v>
      </c>
      <c r="C520" s="20" t="s">
        <v>183</v>
      </c>
      <c r="D520" s="20" t="s">
        <v>339</v>
      </c>
      <c r="E520" s="20" t="s">
        <v>14</v>
      </c>
      <c r="F520" s="20" t="s">
        <v>122</v>
      </c>
      <c r="G520" s="21">
        <v>0</v>
      </c>
      <c r="H520" s="21">
        <v>0</v>
      </c>
      <c r="I520" s="21">
        <v>146.9</v>
      </c>
      <c r="J520" s="21">
        <v>-146.9</v>
      </c>
      <c r="K520" s="21">
        <v>0</v>
      </c>
      <c r="L520" s="21">
        <v>0</v>
      </c>
      <c r="M520" s="21">
        <v>0</v>
      </c>
      <c r="N520" s="21">
        <v>0</v>
      </c>
      <c r="O520" s="21">
        <v>0</v>
      </c>
      <c r="P520" s="21">
        <v>0</v>
      </c>
      <c r="Q520" s="21">
        <v>0</v>
      </c>
      <c r="R520" s="21">
        <v>0</v>
      </c>
      <c r="S520" s="21">
        <v>0</v>
      </c>
      <c r="T520" s="21">
        <v>0</v>
      </c>
      <c r="U520" s="21">
        <v>0</v>
      </c>
      <c r="V520" s="21">
        <v>0</v>
      </c>
      <c r="W520" s="21">
        <v>0</v>
      </c>
      <c r="X520" s="21">
        <v>0</v>
      </c>
      <c r="Y520" s="21">
        <v>0</v>
      </c>
      <c r="Z520" s="21">
        <v>0</v>
      </c>
      <c r="AA520" s="21">
        <v>0</v>
      </c>
      <c r="AB520" s="21">
        <v>0</v>
      </c>
      <c r="AC520" s="21">
        <v>0</v>
      </c>
      <c r="AD520" s="21">
        <v>0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</v>
      </c>
      <c r="AN520" s="21">
        <v>0</v>
      </c>
      <c r="AO520" s="21">
        <v>0</v>
      </c>
      <c r="AP520" s="21">
        <v>0</v>
      </c>
      <c r="AQ520" s="21">
        <v>0</v>
      </c>
      <c r="AR520" s="21">
        <v>0</v>
      </c>
      <c r="AS520" s="21">
        <v>0</v>
      </c>
      <c r="AT520" s="21">
        <v>0</v>
      </c>
      <c r="AU520" s="21">
        <v>0</v>
      </c>
      <c r="AV520" s="21">
        <v>0</v>
      </c>
      <c r="AW520" s="21">
        <v>0</v>
      </c>
      <c r="AX520" s="21">
        <v>0</v>
      </c>
      <c r="AY520" s="21">
        <v>0</v>
      </c>
      <c r="AZ520" s="21">
        <v>0</v>
      </c>
      <c r="BA520" s="21">
        <v>0</v>
      </c>
      <c r="BB520" s="21">
        <v>0</v>
      </c>
      <c r="BC520" s="21">
        <v>0</v>
      </c>
      <c r="BD520" s="21">
        <v>0</v>
      </c>
      <c r="BE520" s="21">
        <v>0</v>
      </c>
      <c r="BF520" s="21">
        <v>0</v>
      </c>
      <c r="BG520" s="21">
        <v>0</v>
      </c>
      <c r="BH520" s="21">
        <v>0</v>
      </c>
      <c r="BI520" s="21">
        <v>0</v>
      </c>
      <c r="BJ520" s="21">
        <v>0</v>
      </c>
      <c r="BK520" s="21">
        <v>0</v>
      </c>
      <c r="BL520" s="21">
        <v>0</v>
      </c>
      <c r="BM520" s="21">
        <v>0</v>
      </c>
      <c r="BN520" s="21">
        <v>0</v>
      </c>
      <c r="BO520" s="21">
        <v>0</v>
      </c>
      <c r="BP520" s="21">
        <v>0</v>
      </c>
      <c r="BQ520" s="21">
        <v>0</v>
      </c>
      <c r="BR520" s="21">
        <v>0</v>
      </c>
      <c r="BS520" s="21">
        <v>0</v>
      </c>
      <c r="BT520" s="21">
        <v>0</v>
      </c>
      <c r="BU520" s="21">
        <v>0</v>
      </c>
      <c r="BV520" s="21">
        <v>0</v>
      </c>
      <c r="BW520" s="21">
        <v>0</v>
      </c>
      <c r="BX520" s="21">
        <v>0</v>
      </c>
      <c r="BY520" s="21">
        <v>0</v>
      </c>
      <c r="BZ520" s="21">
        <v>0</v>
      </c>
      <c r="CA520" s="21">
        <v>0</v>
      </c>
      <c r="CB520" s="21">
        <v>0</v>
      </c>
      <c r="CC520" s="21">
        <v>0</v>
      </c>
      <c r="CD520" s="21">
        <v>0</v>
      </c>
      <c r="CE520" s="21">
        <v>0</v>
      </c>
      <c r="CF520" s="21">
        <v>0</v>
      </c>
      <c r="CG520" s="21">
        <v>0</v>
      </c>
      <c r="CH520" s="21">
        <v>0</v>
      </c>
      <c r="CI520" s="21">
        <v>0</v>
      </c>
      <c r="CJ520" s="21">
        <v>0</v>
      </c>
      <c r="CK520" s="21">
        <v>0</v>
      </c>
      <c r="CL520" s="21">
        <v>0</v>
      </c>
      <c r="CM520" s="21">
        <v>0</v>
      </c>
      <c r="CN520" s="21">
        <v>0</v>
      </c>
      <c r="CO520" s="21">
        <v>0</v>
      </c>
      <c r="CP520" s="21">
        <v>0</v>
      </c>
      <c r="CQ520" s="21">
        <v>0</v>
      </c>
      <c r="CR520" s="21">
        <v>0</v>
      </c>
      <c r="CS520" s="21">
        <v>2</v>
      </c>
      <c r="CT520" s="21">
        <v>5</v>
      </c>
      <c r="CU520" s="21">
        <v>5</v>
      </c>
      <c r="CV520" s="21">
        <v>4</v>
      </c>
      <c r="CW520" s="21">
        <v>3</v>
      </c>
      <c r="CX520" s="21">
        <v>0.9</v>
      </c>
      <c r="CY520" s="21">
        <v>0</v>
      </c>
      <c r="CZ520" s="21">
        <v>0</v>
      </c>
      <c r="DA520" s="21">
        <v>0</v>
      </c>
      <c r="DB520" s="21">
        <v>0</v>
      </c>
      <c r="DC520" s="21">
        <v>0</v>
      </c>
      <c r="DD520" s="21">
        <v>0</v>
      </c>
      <c r="DE520" s="21">
        <v>0</v>
      </c>
      <c r="DF520" s="21">
        <v>0</v>
      </c>
      <c r="DG520" s="21">
        <v>1</v>
      </c>
      <c r="DH520" s="21">
        <v>1</v>
      </c>
      <c r="DI520" s="21">
        <v>0</v>
      </c>
      <c r="DJ520" s="21">
        <v>0</v>
      </c>
      <c r="DK520" s="21">
        <v>21</v>
      </c>
      <c r="DL520" s="21">
        <v>31</v>
      </c>
      <c r="DM520" s="21">
        <v>20.5</v>
      </c>
      <c r="DN520" s="21">
        <v>22.5</v>
      </c>
      <c r="DO520" s="21">
        <v>26.5</v>
      </c>
      <c r="DP520" s="21">
        <v>3.5</v>
      </c>
      <c r="DQ520" s="21">
        <v>0</v>
      </c>
      <c r="DR520" s="21">
        <v>0</v>
      </c>
      <c r="DS520" s="21">
        <v>0</v>
      </c>
      <c r="DT520" s="21">
        <v>0</v>
      </c>
      <c r="DU520" s="21">
        <v>0</v>
      </c>
      <c r="DV520" s="21">
        <v>0</v>
      </c>
      <c r="DW520" s="21">
        <v>0</v>
      </c>
      <c r="DX520" s="21">
        <v>0</v>
      </c>
      <c r="DY520" s="21">
        <v>0</v>
      </c>
      <c r="DZ520" s="21">
        <v>0</v>
      </c>
      <c r="EA520" s="21">
        <v>0</v>
      </c>
      <c r="EB520" s="21">
        <v>0</v>
      </c>
      <c r="EC520" s="21">
        <v>0</v>
      </c>
      <c r="ED520" s="21">
        <v>0</v>
      </c>
      <c r="EE520" s="21">
        <v>0</v>
      </c>
      <c r="EF520" s="21">
        <v>0</v>
      </c>
    </row>
    <row r="521" spans="1:136" ht="14.5" x14ac:dyDescent="0.35">
      <c r="A521" s="20" t="s">
        <v>12</v>
      </c>
      <c r="B521" s="20" t="s">
        <v>407</v>
      </c>
      <c r="C521" s="20" t="s">
        <v>184</v>
      </c>
      <c r="D521" s="20" t="s">
        <v>339</v>
      </c>
      <c r="E521" s="20" t="s">
        <v>14</v>
      </c>
      <c r="F521" s="20" t="s">
        <v>80</v>
      </c>
      <c r="G521" s="21">
        <v>0</v>
      </c>
      <c r="H521" s="21">
        <v>0</v>
      </c>
      <c r="I521" s="21">
        <v>520</v>
      </c>
      <c r="J521" s="21">
        <v>-520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0</v>
      </c>
      <c r="R521" s="21">
        <v>0</v>
      </c>
      <c r="S521" s="21">
        <v>0</v>
      </c>
      <c r="T521" s="21">
        <v>0</v>
      </c>
      <c r="U521" s="21">
        <v>0</v>
      </c>
      <c r="V521" s="21">
        <v>0</v>
      </c>
      <c r="W521" s="21">
        <v>0</v>
      </c>
      <c r="X521" s="21">
        <v>0</v>
      </c>
      <c r="Y521" s="21">
        <v>0</v>
      </c>
      <c r="Z521" s="21">
        <v>0</v>
      </c>
      <c r="AA521" s="21">
        <v>0</v>
      </c>
      <c r="AB521" s="21">
        <v>0</v>
      </c>
      <c r="AC521" s="21">
        <v>0</v>
      </c>
      <c r="AD521" s="21">
        <v>0</v>
      </c>
      <c r="AE521" s="21">
        <v>0</v>
      </c>
      <c r="AF521" s="21">
        <v>0</v>
      </c>
      <c r="AG521" s="21">
        <v>0</v>
      </c>
      <c r="AH521" s="21">
        <v>0</v>
      </c>
      <c r="AI521" s="21">
        <v>0</v>
      </c>
      <c r="AJ521" s="21">
        <v>0</v>
      </c>
      <c r="AK521" s="21">
        <v>0</v>
      </c>
      <c r="AL521" s="21">
        <v>0</v>
      </c>
      <c r="AM521" s="21">
        <v>0</v>
      </c>
      <c r="AN521" s="21">
        <v>0</v>
      </c>
      <c r="AO521" s="21">
        <v>0</v>
      </c>
      <c r="AP521" s="21">
        <v>0</v>
      </c>
      <c r="AQ521" s="21">
        <v>0</v>
      </c>
      <c r="AR521" s="21">
        <v>0</v>
      </c>
      <c r="AS521" s="21">
        <v>0</v>
      </c>
      <c r="AT521" s="21">
        <v>0</v>
      </c>
      <c r="AU521" s="21">
        <v>0</v>
      </c>
      <c r="AV521" s="21">
        <v>0</v>
      </c>
      <c r="AW521" s="21">
        <v>0</v>
      </c>
      <c r="AX521" s="21">
        <v>0</v>
      </c>
      <c r="AY521" s="21">
        <v>0</v>
      </c>
      <c r="AZ521" s="21">
        <v>0</v>
      </c>
      <c r="BA521" s="21">
        <v>0</v>
      </c>
      <c r="BB521" s="21">
        <v>0</v>
      </c>
      <c r="BC521" s="21">
        <v>0</v>
      </c>
      <c r="BD521" s="21">
        <v>0</v>
      </c>
      <c r="BE521" s="21">
        <v>0</v>
      </c>
      <c r="BF521" s="21">
        <v>0</v>
      </c>
      <c r="BG521" s="21">
        <v>0</v>
      </c>
      <c r="BH521" s="21">
        <v>0</v>
      </c>
      <c r="BI521" s="21">
        <v>0</v>
      </c>
      <c r="BJ521" s="21">
        <v>0</v>
      </c>
      <c r="BK521" s="21">
        <v>0</v>
      </c>
      <c r="BL521" s="21">
        <v>0</v>
      </c>
      <c r="BM521" s="21">
        <v>0</v>
      </c>
      <c r="BN521" s="21">
        <v>0</v>
      </c>
      <c r="BO521" s="21">
        <v>0</v>
      </c>
      <c r="BP521" s="21">
        <v>0</v>
      </c>
      <c r="BQ521" s="21">
        <v>0</v>
      </c>
      <c r="BR521" s="21">
        <v>0</v>
      </c>
      <c r="BS521" s="21">
        <v>0</v>
      </c>
      <c r="BT521" s="21">
        <v>0</v>
      </c>
      <c r="BU521" s="21">
        <v>0</v>
      </c>
      <c r="BV521" s="21">
        <v>0</v>
      </c>
      <c r="BW521" s="21">
        <v>0</v>
      </c>
      <c r="BX521" s="21">
        <v>0</v>
      </c>
      <c r="BY521" s="21">
        <v>0</v>
      </c>
      <c r="BZ521" s="21">
        <v>0</v>
      </c>
      <c r="CA521" s="21">
        <v>0</v>
      </c>
      <c r="CB521" s="21">
        <v>0</v>
      </c>
      <c r="CC521" s="21">
        <v>0</v>
      </c>
      <c r="CD521" s="21">
        <v>0</v>
      </c>
      <c r="CE521" s="21">
        <v>0</v>
      </c>
      <c r="CF521" s="21">
        <v>0</v>
      </c>
      <c r="CG521" s="21">
        <v>0</v>
      </c>
      <c r="CH521" s="21">
        <v>0</v>
      </c>
      <c r="CI521" s="21">
        <v>0</v>
      </c>
      <c r="CJ521" s="21">
        <v>0</v>
      </c>
      <c r="CK521" s="21">
        <v>0</v>
      </c>
      <c r="CL521" s="21">
        <v>0</v>
      </c>
      <c r="CM521" s="21">
        <v>0</v>
      </c>
      <c r="CN521" s="21">
        <v>0</v>
      </c>
      <c r="CO521" s="21">
        <v>0</v>
      </c>
      <c r="CP521" s="21">
        <v>0</v>
      </c>
      <c r="CQ521" s="21">
        <v>0</v>
      </c>
      <c r="CR521" s="21">
        <v>0</v>
      </c>
      <c r="CS521" s="21">
        <v>0</v>
      </c>
      <c r="CT521" s="21">
        <v>20</v>
      </c>
      <c r="CU521" s="21">
        <v>20</v>
      </c>
      <c r="CV521" s="21">
        <v>28</v>
      </c>
      <c r="CW521" s="21">
        <v>16</v>
      </c>
      <c r="CX521" s="21">
        <v>20</v>
      </c>
      <c r="CY521" s="21">
        <v>20</v>
      </c>
      <c r="CZ521" s="21">
        <v>15</v>
      </c>
      <c r="DA521" s="21">
        <v>15</v>
      </c>
      <c r="DB521" s="21">
        <v>14</v>
      </c>
      <c r="DC521" s="21">
        <v>15</v>
      </c>
      <c r="DD521" s="21">
        <v>15</v>
      </c>
      <c r="DE521" s="21">
        <v>15</v>
      </c>
      <c r="DF521" s="21">
        <v>10</v>
      </c>
      <c r="DG521" s="21">
        <v>15</v>
      </c>
      <c r="DH521" s="21">
        <v>10</v>
      </c>
      <c r="DI521" s="21">
        <v>0</v>
      </c>
      <c r="DJ521" s="21">
        <v>0</v>
      </c>
      <c r="DK521" s="21">
        <v>36</v>
      </c>
      <c r="DL521" s="21">
        <v>41</v>
      </c>
      <c r="DM521" s="21">
        <v>48</v>
      </c>
      <c r="DN521" s="21">
        <v>45</v>
      </c>
      <c r="DO521" s="21">
        <v>47</v>
      </c>
      <c r="DP521" s="21">
        <v>38</v>
      </c>
      <c r="DQ521" s="21">
        <v>17</v>
      </c>
      <c r="DR521" s="21">
        <v>0</v>
      </c>
      <c r="DS521" s="21">
        <v>0</v>
      </c>
      <c r="DT521" s="21">
        <v>0</v>
      </c>
      <c r="DU521" s="21">
        <v>0</v>
      </c>
      <c r="DV521" s="21">
        <v>0</v>
      </c>
      <c r="DW521" s="21">
        <v>0</v>
      </c>
      <c r="DX521" s="21">
        <v>0</v>
      </c>
      <c r="DY521" s="21">
        <v>0</v>
      </c>
      <c r="DZ521" s="21">
        <v>0</v>
      </c>
      <c r="EA521" s="21">
        <v>0</v>
      </c>
      <c r="EB521" s="21">
        <v>0</v>
      </c>
      <c r="EC521" s="21">
        <v>0</v>
      </c>
      <c r="ED521" s="21">
        <v>0</v>
      </c>
      <c r="EE521" s="21">
        <v>0</v>
      </c>
      <c r="EF521" s="21">
        <v>0</v>
      </c>
    </row>
    <row r="522" spans="1:136" ht="14.5" x14ac:dyDescent="0.35">
      <c r="A522" s="20" t="s">
        <v>12</v>
      </c>
      <c r="B522" s="20" t="s">
        <v>408</v>
      </c>
      <c r="C522" s="20" t="s">
        <v>176</v>
      </c>
      <c r="D522" s="20" t="s">
        <v>339</v>
      </c>
      <c r="E522" s="20" t="s">
        <v>14</v>
      </c>
      <c r="F522" s="20" t="s">
        <v>103</v>
      </c>
      <c r="G522" s="21">
        <v>0</v>
      </c>
      <c r="H522" s="21">
        <v>375</v>
      </c>
      <c r="I522" s="21">
        <v>385</v>
      </c>
      <c r="J522" s="21">
        <v>-10</v>
      </c>
      <c r="K522" s="21">
        <v>0</v>
      </c>
      <c r="L522" s="21">
        <v>0</v>
      </c>
      <c r="M522" s="21">
        <v>0</v>
      </c>
      <c r="N522" s="21">
        <v>0</v>
      </c>
      <c r="O522" s="21">
        <v>0</v>
      </c>
      <c r="P522" s="21">
        <v>0</v>
      </c>
      <c r="Q522" s="21">
        <v>0</v>
      </c>
      <c r="R522" s="21">
        <v>0</v>
      </c>
      <c r="S522" s="21">
        <v>0</v>
      </c>
      <c r="T522" s="21">
        <v>0</v>
      </c>
      <c r="U522" s="21">
        <v>0</v>
      </c>
      <c r="V522" s="21">
        <v>0</v>
      </c>
      <c r="W522" s="21">
        <v>0</v>
      </c>
      <c r="X522" s="21">
        <v>0</v>
      </c>
      <c r="Y522" s="21">
        <v>0</v>
      </c>
      <c r="Z522" s="21">
        <v>0</v>
      </c>
      <c r="AA522" s="21">
        <v>0</v>
      </c>
      <c r="AB522" s="21">
        <v>0</v>
      </c>
      <c r="AC522" s="21">
        <v>0</v>
      </c>
      <c r="AD522" s="21">
        <v>0</v>
      </c>
      <c r="AE522" s="21">
        <v>0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0</v>
      </c>
      <c r="AM522" s="21">
        <v>0</v>
      </c>
      <c r="AN522" s="21">
        <v>0</v>
      </c>
      <c r="AO522" s="21">
        <v>0</v>
      </c>
      <c r="AP522" s="21">
        <v>0</v>
      </c>
      <c r="AQ522" s="21">
        <v>0</v>
      </c>
      <c r="AR522" s="21">
        <v>0</v>
      </c>
      <c r="AS522" s="21">
        <v>0</v>
      </c>
      <c r="AT522" s="21">
        <v>0</v>
      </c>
      <c r="AU522" s="21">
        <v>0</v>
      </c>
      <c r="AV522" s="21">
        <v>0</v>
      </c>
      <c r="AW522" s="21">
        <v>0</v>
      </c>
      <c r="AX522" s="21">
        <v>0</v>
      </c>
      <c r="AY522" s="21">
        <v>0</v>
      </c>
      <c r="AZ522" s="21">
        <v>0</v>
      </c>
      <c r="BA522" s="21">
        <v>0</v>
      </c>
      <c r="BB522" s="21">
        <v>0</v>
      </c>
      <c r="BC522" s="21">
        <v>0</v>
      </c>
      <c r="BD522" s="21">
        <v>0</v>
      </c>
      <c r="BE522" s="21">
        <v>0</v>
      </c>
      <c r="BF522" s="21">
        <v>0</v>
      </c>
      <c r="BG522" s="21">
        <v>0</v>
      </c>
      <c r="BH522" s="21">
        <v>0</v>
      </c>
      <c r="BI522" s="21">
        <v>0</v>
      </c>
      <c r="BJ522" s="21">
        <v>0</v>
      </c>
      <c r="BK522" s="21">
        <v>0</v>
      </c>
      <c r="BL522" s="21">
        <v>0</v>
      </c>
      <c r="BM522" s="21">
        <v>0</v>
      </c>
      <c r="BN522" s="21">
        <v>0</v>
      </c>
      <c r="BO522" s="21">
        <v>0</v>
      </c>
      <c r="BP522" s="21">
        <v>0</v>
      </c>
      <c r="BQ522" s="21">
        <v>0</v>
      </c>
      <c r="BR522" s="21">
        <v>0</v>
      </c>
      <c r="BS522" s="21">
        <v>0</v>
      </c>
      <c r="BT522" s="21">
        <v>0</v>
      </c>
      <c r="BU522" s="21">
        <v>0</v>
      </c>
      <c r="BV522" s="21">
        <v>0</v>
      </c>
      <c r="BW522" s="21">
        <v>0</v>
      </c>
      <c r="BX522" s="21">
        <v>0</v>
      </c>
      <c r="BY522" s="21">
        <v>0</v>
      </c>
      <c r="BZ522" s="21">
        <v>0</v>
      </c>
      <c r="CA522" s="21">
        <v>0</v>
      </c>
      <c r="CB522" s="21">
        <v>0</v>
      </c>
      <c r="CC522" s="21">
        <v>0</v>
      </c>
      <c r="CD522" s="21">
        <v>0</v>
      </c>
      <c r="CE522" s="21">
        <v>0</v>
      </c>
      <c r="CF522" s="21">
        <v>0</v>
      </c>
      <c r="CG522" s="21">
        <v>0</v>
      </c>
      <c r="CH522" s="21">
        <v>0</v>
      </c>
      <c r="CI522" s="21">
        <v>0</v>
      </c>
      <c r="CJ522" s="21">
        <v>0</v>
      </c>
      <c r="CK522" s="21">
        <v>0</v>
      </c>
      <c r="CL522" s="21">
        <v>0</v>
      </c>
      <c r="CM522" s="21">
        <v>0</v>
      </c>
      <c r="CN522" s="21">
        <v>0</v>
      </c>
      <c r="CO522" s="21">
        <v>0</v>
      </c>
      <c r="CP522" s="21">
        <v>0</v>
      </c>
      <c r="CQ522" s="21">
        <v>0</v>
      </c>
      <c r="CR522" s="21">
        <v>0</v>
      </c>
      <c r="CS522" s="21">
        <v>0</v>
      </c>
      <c r="CT522" s="21">
        <v>0</v>
      </c>
      <c r="CU522" s="21">
        <v>0</v>
      </c>
      <c r="CV522" s="21">
        <v>0</v>
      </c>
      <c r="CW522" s="21">
        <v>0</v>
      </c>
      <c r="CX522" s="21">
        <v>0</v>
      </c>
      <c r="CY522" s="21">
        <v>0</v>
      </c>
      <c r="CZ522" s="21">
        <v>0</v>
      </c>
      <c r="DA522" s="21">
        <v>0</v>
      </c>
      <c r="DB522" s="21">
        <v>0</v>
      </c>
      <c r="DC522" s="21">
        <v>0</v>
      </c>
      <c r="DD522" s="21">
        <v>0</v>
      </c>
      <c r="DE522" s="21">
        <v>0</v>
      </c>
      <c r="DF522" s="21">
        <v>0</v>
      </c>
      <c r="DG522" s="21">
        <v>0</v>
      </c>
      <c r="DH522" s="21">
        <v>0</v>
      </c>
      <c r="DI522" s="21">
        <v>0</v>
      </c>
      <c r="DJ522" s="21">
        <v>0</v>
      </c>
      <c r="DK522" s="21">
        <v>35</v>
      </c>
      <c r="DL522" s="21">
        <v>45</v>
      </c>
      <c r="DM522" s="21">
        <v>55</v>
      </c>
      <c r="DN522" s="21">
        <v>65</v>
      </c>
      <c r="DO522" s="21">
        <v>65</v>
      </c>
      <c r="DP522" s="21">
        <v>65</v>
      </c>
      <c r="DQ522" s="21">
        <v>55</v>
      </c>
      <c r="DR522" s="21">
        <v>0</v>
      </c>
      <c r="DS522" s="21">
        <v>0</v>
      </c>
      <c r="DT522" s="21">
        <v>0</v>
      </c>
      <c r="DU522" s="21">
        <v>0</v>
      </c>
      <c r="DV522" s="21">
        <v>0</v>
      </c>
      <c r="DW522" s="21">
        <v>0</v>
      </c>
      <c r="DX522" s="21">
        <v>0</v>
      </c>
      <c r="DY522" s="21">
        <v>0</v>
      </c>
      <c r="DZ522" s="21">
        <v>0</v>
      </c>
      <c r="EA522" s="21">
        <v>0</v>
      </c>
      <c r="EB522" s="21">
        <v>0</v>
      </c>
      <c r="EC522" s="21">
        <v>0</v>
      </c>
      <c r="ED522" s="21">
        <v>0</v>
      </c>
      <c r="EE522" s="21">
        <v>0</v>
      </c>
      <c r="EF522" s="21">
        <v>0</v>
      </c>
    </row>
    <row r="523" spans="1:136" ht="14.5" x14ac:dyDescent="0.35">
      <c r="A523" s="20" t="s">
        <v>12</v>
      </c>
      <c r="B523" s="20" t="s">
        <v>409</v>
      </c>
      <c r="C523" s="20" t="s">
        <v>178</v>
      </c>
      <c r="D523" s="20" t="s">
        <v>339</v>
      </c>
      <c r="E523" s="20" t="s">
        <v>14</v>
      </c>
      <c r="F523" s="20" t="s">
        <v>103</v>
      </c>
      <c r="G523" s="21">
        <v>120</v>
      </c>
      <c r="H523" s="21">
        <v>760</v>
      </c>
      <c r="I523" s="21">
        <v>550</v>
      </c>
      <c r="J523" s="21">
        <v>210</v>
      </c>
      <c r="K523" s="21">
        <v>0</v>
      </c>
      <c r="L523" s="21">
        <v>0</v>
      </c>
      <c r="M523" s="21">
        <v>0</v>
      </c>
      <c r="N523" s="21">
        <v>0</v>
      </c>
      <c r="O523" s="21">
        <v>0</v>
      </c>
      <c r="P523" s="21">
        <v>0</v>
      </c>
      <c r="Q523" s="21">
        <v>0</v>
      </c>
      <c r="R523" s="21">
        <v>0</v>
      </c>
      <c r="S523" s="21">
        <v>0</v>
      </c>
      <c r="T523" s="21">
        <v>0</v>
      </c>
      <c r="U523" s="21">
        <v>0</v>
      </c>
      <c r="V523" s="21">
        <v>0</v>
      </c>
      <c r="W523" s="21">
        <v>0</v>
      </c>
      <c r="X523" s="21">
        <v>0</v>
      </c>
      <c r="Y523" s="21">
        <v>0</v>
      </c>
      <c r="Z523" s="21">
        <v>0</v>
      </c>
      <c r="AA523" s="21">
        <v>0</v>
      </c>
      <c r="AB523" s="21">
        <v>0</v>
      </c>
      <c r="AC523" s="21">
        <v>0</v>
      </c>
      <c r="AD523" s="21">
        <v>0</v>
      </c>
      <c r="AE523" s="21">
        <v>0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1">
        <v>0</v>
      </c>
      <c r="AN523" s="21">
        <v>0</v>
      </c>
      <c r="AO523" s="21">
        <v>0</v>
      </c>
      <c r="AP523" s="21">
        <v>0</v>
      </c>
      <c r="AQ523" s="21">
        <v>0</v>
      </c>
      <c r="AR523" s="21">
        <v>0</v>
      </c>
      <c r="AS523" s="21">
        <v>0</v>
      </c>
      <c r="AT523" s="21">
        <v>0</v>
      </c>
      <c r="AU523" s="21">
        <v>0</v>
      </c>
      <c r="AV523" s="21">
        <v>0</v>
      </c>
      <c r="AW523" s="21">
        <v>0</v>
      </c>
      <c r="AX523" s="21">
        <v>0</v>
      </c>
      <c r="AY523" s="21">
        <v>0</v>
      </c>
      <c r="AZ523" s="21">
        <v>0</v>
      </c>
      <c r="BA523" s="21">
        <v>0</v>
      </c>
      <c r="BB523" s="21">
        <v>0</v>
      </c>
      <c r="BC523" s="21">
        <v>0</v>
      </c>
      <c r="BD523" s="21">
        <v>0</v>
      </c>
      <c r="BE523" s="21">
        <v>0</v>
      </c>
      <c r="BF523" s="21">
        <v>0</v>
      </c>
      <c r="BG523" s="21">
        <v>0</v>
      </c>
      <c r="BH523" s="21">
        <v>0</v>
      </c>
      <c r="BI523" s="21">
        <v>0</v>
      </c>
      <c r="BJ523" s="21">
        <v>0</v>
      </c>
      <c r="BK523" s="21">
        <v>0</v>
      </c>
      <c r="BL523" s="21">
        <v>0</v>
      </c>
      <c r="BM523" s="21">
        <v>0</v>
      </c>
      <c r="BN523" s="21">
        <v>0</v>
      </c>
      <c r="BO523" s="21">
        <v>0</v>
      </c>
      <c r="BP523" s="21">
        <v>0</v>
      </c>
      <c r="BQ523" s="21">
        <v>0</v>
      </c>
      <c r="BR523" s="21">
        <v>0</v>
      </c>
      <c r="BS523" s="21">
        <v>0</v>
      </c>
      <c r="BT523" s="21">
        <v>0</v>
      </c>
      <c r="BU523" s="21">
        <v>0</v>
      </c>
      <c r="BV523" s="21">
        <v>0</v>
      </c>
      <c r="BW523" s="21">
        <v>0</v>
      </c>
      <c r="BX523" s="21">
        <v>0</v>
      </c>
      <c r="BY523" s="21">
        <v>0</v>
      </c>
      <c r="BZ523" s="21">
        <v>0</v>
      </c>
      <c r="CA523" s="21">
        <v>0</v>
      </c>
      <c r="CB523" s="21">
        <v>0</v>
      </c>
      <c r="CC523" s="21">
        <v>0</v>
      </c>
      <c r="CD523" s="21">
        <v>0</v>
      </c>
      <c r="CE523" s="21">
        <v>0</v>
      </c>
      <c r="CF523" s="21">
        <v>0</v>
      </c>
      <c r="CG523" s="21">
        <v>0</v>
      </c>
      <c r="CH523" s="21">
        <v>0</v>
      </c>
      <c r="CI523" s="21">
        <v>0</v>
      </c>
      <c r="CJ523" s="21">
        <v>0</v>
      </c>
      <c r="CK523" s="21">
        <v>0</v>
      </c>
      <c r="CL523" s="21">
        <v>0</v>
      </c>
      <c r="CM523" s="21">
        <v>0</v>
      </c>
      <c r="CN523" s="21">
        <v>0</v>
      </c>
      <c r="CO523" s="21">
        <v>0</v>
      </c>
      <c r="CP523" s="21">
        <v>0</v>
      </c>
      <c r="CQ523" s="21">
        <v>0</v>
      </c>
      <c r="CR523" s="21">
        <v>0</v>
      </c>
      <c r="CS523" s="21">
        <v>0</v>
      </c>
      <c r="CT523" s="21">
        <v>0</v>
      </c>
      <c r="CU523" s="21">
        <v>0</v>
      </c>
      <c r="CV523" s="21">
        <v>15</v>
      </c>
      <c r="CW523" s="21">
        <v>15</v>
      </c>
      <c r="CX523" s="21">
        <v>10</v>
      </c>
      <c r="CY523" s="21">
        <v>15</v>
      </c>
      <c r="CZ523" s="21">
        <v>15</v>
      </c>
      <c r="DA523" s="21">
        <v>15</v>
      </c>
      <c r="DB523" s="21">
        <v>15</v>
      </c>
      <c r="DC523" s="21">
        <v>20</v>
      </c>
      <c r="DD523" s="21">
        <v>20</v>
      </c>
      <c r="DE523" s="21">
        <v>15</v>
      </c>
      <c r="DF523" s="21">
        <v>10</v>
      </c>
      <c r="DG523" s="21">
        <v>10</v>
      </c>
      <c r="DH523" s="21">
        <v>5</v>
      </c>
      <c r="DI523" s="21">
        <v>0</v>
      </c>
      <c r="DJ523" s="21">
        <v>0</v>
      </c>
      <c r="DK523" s="21">
        <v>20</v>
      </c>
      <c r="DL523" s="21">
        <v>50</v>
      </c>
      <c r="DM523" s="21">
        <v>55</v>
      </c>
      <c r="DN523" s="21">
        <v>60</v>
      </c>
      <c r="DO523" s="21">
        <v>65</v>
      </c>
      <c r="DP523" s="21">
        <v>65</v>
      </c>
      <c r="DQ523" s="21">
        <v>55</v>
      </c>
      <c r="DR523" s="21">
        <v>0</v>
      </c>
      <c r="DS523" s="21">
        <v>0</v>
      </c>
      <c r="DT523" s="21">
        <v>0</v>
      </c>
      <c r="DU523" s="21">
        <v>0</v>
      </c>
      <c r="DV523" s="21">
        <v>0</v>
      </c>
      <c r="DW523" s="21">
        <v>0</v>
      </c>
      <c r="DX523" s="21">
        <v>0</v>
      </c>
      <c r="DY523" s="21">
        <v>0</v>
      </c>
      <c r="DZ523" s="21">
        <v>0</v>
      </c>
      <c r="EA523" s="21">
        <v>0</v>
      </c>
      <c r="EB523" s="21">
        <v>0</v>
      </c>
      <c r="EC523" s="21">
        <v>0</v>
      </c>
      <c r="ED523" s="21">
        <v>0</v>
      </c>
      <c r="EE523" s="21">
        <v>0</v>
      </c>
      <c r="EF523" s="21">
        <v>0</v>
      </c>
    </row>
    <row r="524" spans="1:136" ht="14.5" x14ac:dyDescent="0.35">
      <c r="A524" s="20" t="s">
        <v>12</v>
      </c>
      <c r="B524" s="20" t="s">
        <v>410</v>
      </c>
      <c r="C524" s="20" t="s">
        <v>175</v>
      </c>
      <c r="D524" s="20" t="s">
        <v>339</v>
      </c>
      <c r="E524" s="20" t="s">
        <v>14</v>
      </c>
      <c r="F524" s="20" t="s">
        <v>43</v>
      </c>
      <c r="G524" s="21">
        <v>0</v>
      </c>
      <c r="H524" s="21">
        <v>0</v>
      </c>
      <c r="I524" s="21">
        <v>90</v>
      </c>
      <c r="J524" s="21">
        <v>-90</v>
      </c>
      <c r="K524" s="21">
        <v>0</v>
      </c>
      <c r="L524" s="21">
        <v>0</v>
      </c>
      <c r="M524" s="21">
        <v>0</v>
      </c>
      <c r="N524" s="21">
        <v>0</v>
      </c>
      <c r="O524" s="21">
        <v>0</v>
      </c>
      <c r="P524" s="21">
        <v>0</v>
      </c>
      <c r="Q524" s="21">
        <v>0</v>
      </c>
      <c r="R524" s="21">
        <v>0</v>
      </c>
      <c r="S524" s="21">
        <v>0</v>
      </c>
      <c r="T524" s="21">
        <v>0</v>
      </c>
      <c r="U524" s="21">
        <v>0</v>
      </c>
      <c r="V524" s="21">
        <v>0</v>
      </c>
      <c r="W524" s="21">
        <v>0</v>
      </c>
      <c r="X524" s="21">
        <v>0</v>
      </c>
      <c r="Y524" s="21">
        <v>0</v>
      </c>
      <c r="Z524" s="21">
        <v>0</v>
      </c>
      <c r="AA524" s="21">
        <v>0</v>
      </c>
      <c r="AB524" s="21">
        <v>0</v>
      </c>
      <c r="AC524" s="21">
        <v>0</v>
      </c>
      <c r="AD524" s="21">
        <v>0</v>
      </c>
      <c r="AE524" s="21">
        <v>0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0</v>
      </c>
      <c r="AL524" s="21">
        <v>0</v>
      </c>
      <c r="AM524" s="21">
        <v>0</v>
      </c>
      <c r="AN524" s="21">
        <v>0</v>
      </c>
      <c r="AO524" s="21">
        <v>0</v>
      </c>
      <c r="AP524" s="21">
        <v>0</v>
      </c>
      <c r="AQ524" s="21">
        <v>0</v>
      </c>
      <c r="AR524" s="21">
        <v>0</v>
      </c>
      <c r="AS524" s="21">
        <v>0</v>
      </c>
      <c r="AT524" s="21">
        <v>0</v>
      </c>
      <c r="AU524" s="21">
        <v>0</v>
      </c>
      <c r="AV524" s="21">
        <v>0</v>
      </c>
      <c r="AW524" s="21">
        <v>0</v>
      </c>
      <c r="AX524" s="21">
        <v>0</v>
      </c>
      <c r="AY524" s="21">
        <v>0</v>
      </c>
      <c r="AZ524" s="21">
        <v>0</v>
      </c>
      <c r="BA524" s="21">
        <v>0</v>
      </c>
      <c r="BB524" s="21">
        <v>0</v>
      </c>
      <c r="BC524" s="21">
        <v>0</v>
      </c>
      <c r="BD524" s="21">
        <v>0</v>
      </c>
      <c r="BE524" s="21">
        <v>0</v>
      </c>
      <c r="BF524" s="21">
        <v>0</v>
      </c>
      <c r="BG524" s="21">
        <v>0</v>
      </c>
      <c r="BH524" s="21">
        <v>0</v>
      </c>
      <c r="BI524" s="21">
        <v>0</v>
      </c>
      <c r="BJ524" s="21">
        <v>0</v>
      </c>
      <c r="BK524" s="21">
        <v>0</v>
      </c>
      <c r="BL524" s="21">
        <v>0</v>
      </c>
      <c r="BM524" s="21">
        <v>0</v>
      </c>
      <c r="BN524" s="21">
        <v>0</v>
      </c>
      <c r="BO524" s="21">
        <v>0</v>
      </c>
      <c r="BP524" s="21">
        <v>0</v>
      </c>
      <c r="BQ524" s="21">
        <v>0</v>
      </c>
      <c r="BR524" s="21">
        <v>0</v>
      </c>
      <c r="BS524" s="21">
        <v>0</v>
      </c>
      <c r="BT524" s="21">
        <v>0</v>
      </c>
      <c r="BU524" s="21">
        <v>0</v>
      </c>
      <c r="BV524" s="21">
        <v>0</v>
      </c>
      <c r="BW524" s="21">
        <v>0</v>
      </c>
      <c r="BX524" s="21">
        <v>0</v>
      </c>
      <c r="BY524" s="21">
        <v>0</v>
      </c>
      <c r="BZ524" s="21">
        <v>0</v>
      </c>
      <c r="CA524" s="21">
        <v>0</v>
      </c>
      <c r="CB524" s="21">
        <v>0</v>
      </c>
      <c r="CC524" s="21">
        <v>0</v>
      </c>
      <c r="CD524" s="21">
        <v>0</v>
      </c>
      <c r="CE524" s="21">
        <v>0</v>
      </c>
      <c r="CF524" s="21">
        <v>0</v>
      </c>
      <c r="CG524" s="21">
        <v>0</v>
      </c>
      <c r="CH524" s="21">
        <v>0</v>
      </c>
      <c r="CI524" s="21">
        <v>0</v>
      </c>
      <c r="CJ524" s="21">
        <v>0</v>
      </c>
      <c r="CK524" s="21">
        <v>0</v>
      </c>
      <c r="CL524" s="21">
        <v>0</v>
      </c>
      <c r="CM524" s="21">
        <v>0</v>
      </c>
      <c r="CN524" s="21">
        <v>0</v>
      </c>
      <c r="CO524" s="21">
        <v>0</v>
      </c>
      <c r="CP524" s="21">
        <v>0</v>
      </c>
      <c r="CQ524" s="21">
        <v>0</v>
      </c>
      <c r="CR524" s="21">
        <v>0</v>
      </c>
      <c r="CS524" s="21">
        <v>0</v>
      </c>
      <c r="CT524" s="21">
        <v>0</v>
      </c>
      <c r="CU524" s="21">
        <v>0</v>
      </c>
      <c r="CV524" s="21">
        <v>0</v>
      </c>
      <c r="CW524" s="21">
        <v>0</v>
      </c>
      <c r="CX524" s="21">
        <v>0</v>
      </c>
      <c r="CY524" s="21">
        <v>0</v>
      </c>
      <c r="CZ524" s="21">
        <v>0</v>
      </c>
      <c r="DA524" s="21">
        <v>0</v>
      </c>
      <c r="DB524" s="21">
        <v>0</v>
      </c>
      <c r="DC524" s="21">
        <v>0</v>
      </c>
      <c r="DD524" s="21">
        <v>0</v>
      </c>
      <c r="DE524" s="21">
        <v>0</v>
      </c>
      <c r="DF524" s="21">
        <v>0</v>
      </c>
      <c r="DG524" s="21">
        <v>0</v>
      </c>
      <c r="DH524" s="21">
        <v>0</v>
      </c>
      <c r="DI524" s="21">
        <v>0</v>
      </c>
      <c r="DJ524" s="21">
        <v>0</v>
      </c>
      <c r="DK524" s="21">
        <v>0</v>
      </c>
      <c r="DL524" s="21">
        <v>0</v>
      </c>
      <c r="DM524" s="21">
        <v>0</v>
      </c>
      <c r="DN524" s="21">
        <v>10</v>
      </c>
      <c r="DO524" s="21">
        <v>10</v>
      </c>
      <c r="DP524" s="21">
        <v>20</v>
      </c>
      <c r="DQ524" s="21">
        <v>20</v>
      </c>
      <c r="DR524" s="21">
        <v>30</v>
      </c>
      <c r="DS524" s="21">
        <v>0</v>
      </c>
      <c r="DT524" s="21">
        <v>0</v>
      </c>
      <c r="DU524" s="21">
        <v>0</v>
      </c>
      <c r="DV524" s="21">
        <v>0</v>
      </c>
      <c r="DW524" s="21">
        <v>0</v>
      </c>
      <c r="DX524" s="21">
        <v>0</v>
      </c>
      <c r="DY524" s="21">
        <v>0</v>
      </c>
      <c r="DZ524" s="21">
        <v>0</v>
      </c>
      <c r="EA524" s="21">
        <v>0</v>
      </c>
      <c r="EB524" s="21">
        <v>0</v>
      </c>
      <c r="EC524" s="21">
        <v>0</v>
      </c>
      <c r="ED524" s="21">
        <v>0</v>
      </c>
      <c r="EE524" s="21">
        <v>0</v>
      </c>
      <c r="EF524" s="21">
        <v>0</v>
      </c>
    </row>
    <row r="525" spans="1:136" ht="14.5" x14ac:dyDescent="0.35">
      <c r="A525" s="20" t="s">
        <v>12</v>
      </c>
      <c r="B525" s="20" t="s">
        <v>411</v>
      </c>
      <c r="C525" s="20" t="s">
        <v>177</v>
      </c>
      <c r="D525" s="20" t="s">
        <v>339</v>
      </c>
      <c r="E525" s="20" t="s">
        <v>14</v>
      </c>
      <c r="F525" s="20" t="s">
        <v>102</v>
      </c>
      <c r="G525" s="21">
        <v>6</v>
      </c>
      <c r="H525" s="21">
        <v>24</v>
      </c>
      <c r="I525" s="21">
        <v>15</v>
      </c>
      <c r="J525" s="21">
        <v>9</v>
      </c>
      <c r="K525" s="21">
        <v>0</v>
      </c>
      <c r="L525" s="21">
        <v>0</v>
      </c>
      <c r="M525" s="21">
        <v>0</v>
      </c>
      <c r="N525" s="21">
        <v>0</v>
      </c>
      <c r="O525" s="21">
        <v>0</v>
      </c>
      <c r="P525" s="21">
        <v>0</v>
      </c>
      <c r="Q525" s="21">
        <v>0</v>
      </c>
      <c r="R525" s="21">
        <v>0</v>
      </c>
      <c r="S525" s="21">
        <v>0</v>
      </c>
      <c r="T525" s="21">
        <v>0</v>
      </c>
      <c r="U525" s="21">
        <v>0</v>
      </c>
      <c r="V525" s="21">
        <v>0</v>
      </c>
      <c r="W525" s="21">
        <v>0</v>
      </c>
      <c r="X525" s="21">
        <v>0</v>
      </c>
      <c r="Y525" s="21">
        <v>0</v>
      </c>
      <c r="Z525" s="21">
        <v>0</v>
      </c>
      <c r="AA525" s="21">
        <v>0</v>
      </c>
      <c r="AB525" s="21">
        <v>0</v>
      </c>
      <c r="AC525" s="21">
        <v>0</v>
      </c>
      <c r="AD525" s="21">
        <v>0</v>
      </c>
      <c r="AE525" s="21">
        <v>0</v>
      </c>
      <c r="AF525" s="21">
        <v>0</v>
      </c>
      <c r="AG525" s="21">
        <v>0</v>
      </c>
      <c r="AH525" s="21">
        <v>0</v>
      </c>
      <c r="AI525" s="21">
        <v>0</v>
      </c>
      <c r="AJ525" s="21">
        <v>0</v>
      </c>
      <c r="AK525" s="21">
        <v>0</v>
      </c>
      <c r="AL525" s="21">
        <v>0</v>
      </c>
      <c r="AM525" s="21">
        <v>0</v>
      </c>
      <c r="AN525" s="21">
        <v>0</v>
      </c>
      <c r="AO525" s="21">
        <v>0</v>
      </c>
      <c r="AP525" s="21">
        <v>0</v>
      </c>
      <c r="AQ525" s="21">
        <v>0</v>
      </c>
      <c r="AR525" s="21">
        <v>0</v>
      </c>
      <c r="AS525" s="21">
        <v>0</v>
      </c>
      <c r="AT525" s="21">
        <v>0</v>
      </c>
      <c r="AU525" s="21">
        <v>0</v>
      </c>
      <c r="AV525" s="21">
        <v>0</v>
      </c>
      <c r="AW525" s="21">
        <v>0</v>
      </c>
      <c r="AX525" s="21">
        <v>0</v>
      </c>
      <c r="AY525" s="21">
        <v>0</v>
      </c>
      <c r="AZ525" s="21">
        <v>0</v>
      </c>
      <c r="BA525" s="21">
        <v>0</v>
      </c>
      <c r="BB525" s="21">
        <v>0</v>
      </c>
      <c r="BC525" s="21">
        <v>0</v>
      </c>
      <c r="BD525" s="21">
        <v>0</v>
      </c>
      <c r="BE525" s="21">
        <v>0</v>
      </c>
      <c r="BF525" s="21">
        <v>0</v>
      </c>
      <c r="BG525" s="21">
        <v>0</v>
      </c>
      <c r="BH525" s="21">
        <v>0</v>
      </c>
      <c r="BI525" s="21">
        <v>0</v>
      </c>
      <c r="BJ525" s="21">
        <v>0</v>
      </c>
      <c r="BK525" s="21">
        <v>0</v>
      </c>
      <c r="BL525" s="21">
        <v>0</v>
      </c>
      <c r="BM525" s="21">
        <v>0</v>
      </c>
      <c r="BN525" s="21">
        <v>0</v>
      </c>
      <c r="BO525" s="21">
        <v>0</v>
      </c>
      <c r="BP525" s="21">
        <v>0</v>
      </c>
      <c r="BQ525" s="21">
        <v>0</v>
      </c>
      <c r="BR525" s="21">
        <v>0</v>
      </c>
      <c r="BS525" s="21">
        <v>0</v>
      </c>
      <c r="BT525" s="21">
        <v>0</v>
      </c>
      <c r="BU525" s="21">
        <v>0</v>
      </c>
      <c r="BV525" s="21">
        <v>0</v>
      </c>
      <c r="BW525" s="21">
        <v>0</v>
      </c>
      <c r="BX525" s="21">
        <v>0</v>
      </c>
      <c r="BY525" s="21">
        <v>0</v>
      </c>
      <c r="BZ525" s="21">
        <v>0</v>
      </c>
      <c r="CA525" s="21">
        <v>0</v>
      </c>
      <c r="CB525" s="21">
        <v>0</v>
      </c>
      <c r="CC525" s="21">
        <v>0</v>
      </c>
      <c r="CD525" s="21">
        <v>0</v>
      </c>
      <c r="CE525" s="21">
        <v>0</v>
      </c>
      <c r="CF525" s="21">
        <v>0</v>
      </c>
      <c r="CG525" s="21">
        <v>0</v>
      </c>
      <c r="CH525" s="21">
        <v>0</v>
      </c>
      <c r="CI525" s="21">
        <v>0</v>
      </c>
      <c r="CJ525" s="21">
        <v>0</v>
      </c>
      <c r="CK525" s="21">
        <v>0</v>
      </c>
      <c r="CL525" s="21">
        <v>0</v>
      </c>
      <c r="CM525" s="21">
        <v>0</v>
      </c>
      <c r="CN525" s="21">
        <v>0</v>
      </c>
      <c r="CO525" s="21">
        <v>0</v>
      </c>
      <c r="CP525" s="21">
        <v>0</v>
      </c>
      <c r="CQ525" s="21">
        <v>0</v>
      </c>
      <c r="CR525" s="21">
        <v>0</v>
      </c>
      <c r="CS525" s="21">
        <v>0</v>
      </c>
      <c r="CT525" s="21">
        <v>0</v>
      </c>
      <c r="CU525" s="21">
        <v>0</v>
      </c>
      <c r="CV525" s="21">
        <v>0</v>
      </c>
      <c r="CW525" s="21">
        <v>0</v>
      </c>
      <c r="CX525" s="21">
        <v>0</v>
      </c>
      <c r="CY525" s="21">
        <v>0</v>
      </c>
      <c r="CZ525" s="21">
        <v>0</v>
      </c>
      <c r="DA525" s="21">
        <v>0</v>
      </c>
      <c r="DB525" s="21">
        <v>0</v>
      </c>
      <c r="DC525" s="21">
        <v>0</v>
      </c>
      <c r="DD525" s="21">
        <v>0</v>
      </c>
      <c r="DE525" s="21">
        <v>0</v>
      </c>
      <c r="DF525" s="21">
        <v>0</v>
      </c>
      <c r="DG525" s="21">
        <v>0</v>
      </c>
      <c r="DH525" s="21">
        <v>0</v>
      </c>
      <c r="DI525" s="21">
        <v>0</v>
      </c>
      <c r="DJ525" s="21">
        <v>0</v>
      </c>
      <c r="DK525" s="21">
        <v>0</v>
      </c>
      <c r="DL525" s="21">
        <v>0</v>
      </c>
      <c r="DM525" s="21">
        <v>0</v>
      </c>
      <c r="DN525" s="21">
        <v>0</v>
      </c>
      <c r="DO525" s="21">
        <v>0</v>
      </c>
      <c r="DP525" s="21">
        <v>0</v>
      </c>
      <c r="DQ525" s="21">
        <v>10</v>
      </c>
      <c r="DR525" s="21">
        <v>5</v>
      </c>
      <c r="DS525" s="21">
        <v>0</v>
      </c>
      <c r="DT525" s="21">
        <v>0</v>
      </c>
      <c r="DU525" s="21">
        <v>0</v>
      </c>
      <c r="DV525" s="21">
        <v>0</v>
      </c>
      <c r="DW525" s="21">
        <v>0</v>
      </c>
      <c r="DX525" s="21">
        <v>0</v>
      </c>
      <c r="DY525" s="21">
        <v>0</v>
      </c>
      <c r="DZ525" s="21">
        <v>0</v>
      </c>
      <c r="EA525" s="21">
        <v>0</v>
      </c>
      <c r="EB525" s="21">
        <v>0</v>
      </c>
      <c r="EC525" s="21">
        <v>0</v>
      </c>
      <c r="ED525" s="21">
        <v>0</v>
      </c>
      <c r="EE525" s="21">
        <v>0</v>
      </c>
      <c r="EF525" s="21">
        <v>0</v>
      </c>
    </row>
    <row r="526" spans="1:136" ht="14.5" x14ac:dyDescent="0.35">
      <c r="A526" s="20" t="s">
        <v>12</v>
      </c>
      <c r="B526" s="20" t="s">
        <v>25</v>
      </c>
      <c r="C526" s="20" t="s">
        <v>25</v>
      </c>
      <c r="D526" s="20" t="s">
        <v>337</v>
      </c>
      <c r="E526" s="20" t="s">
        <v>16</v>
      </c>
      <c r="F526" s="20" t="s">
        <v>77</v>
      </c>
      <c r="G526" s="21">
        <v>34.4</v>
      </c>
      <c r="H526" s="21">
        <v>86.4</v>
      </c>
      <c r="I526" s="21">
        <v>25.5</v>
      </c>
      <c r="J526" s="21">
        <v>60.9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  <c r="Q526" s="21">
        <v>0</v>
      </c>
      <c r="R526" s="21">
        <v>0</v>
      </c>
      <c r="S526" s="21">
        <v>0</v>
      </c>
      <c r="T526" s="21">
        <v>0</v>
      </c>
      <c r="U526" s="21">
        <v>0</v>
      </c>
      <c r="V526" s="21">
        <v>0</v>
      </c>
      <c r="W526" s="21">
        <v>0</v>
      </c>
      <c r="X526" s="21">
        <v>0</v>
      </c>
      <c r="Y526" s="21">
        <v>0</v>
      </c>
      <c r="Z526" s="21">
        <v>0</v>
      </c>
      <c r="AA526" s="21">
        <v>0</v>
      </c>
      <c r="AB526" s="21">
        <v>3</v>
      </c>
      <c r="AC526" s="21">
        <v>4.5</v>
      </c>
      <c r="AD526" s="21">
        <v>3</v>
      </c>
      <c r="AE526" s="21">
        <v>1</v>
      </c>
      <c r="AF526" s="21">
        <v>6</v>
      </c>
      <c r="AG526" s="21">
        <v>1.5</v>
      </c>
      <c r="AH526" s="21">
        <v>2.5</v>
      </c>
      <c r="AI526" s="21">
        <v>3</v>
      </c>
      <c r="AJ526" s="21">
        <v>1</v>
      </c>
      <c r="AK526" s="21">
        <v>0</v>
      </c>
      <c r="AL526" s="21">
        <v>0</v>
      </c>
      <c r="AM526" s="21">
        <v>0</v>
      </c>
      <c r="AN526" s="21">
        <v>0</v>
      </c>
      <c r="AO526" s="21">
        <v>0</v>
      </c>
      <c r="AP526" s="21">
        <v>0</v>
      </c>
      <c r="AQ526" s="21">
        <v>0</v>
      </c>
      <c r="AR526" s="21">
        <v>0</v>
      </c>
      <c r="AS526" s="21">
        <v>0</v>
      </c>
      <c r="AT526" s="21">
        <v>0</v>
      </c>
      <c r="AU526" s="21">
        <v>0</v>
      </c>
      <c r="AV526" s="21">
        <v>0</v>
      </c>
      <c r="AW526" s="21">
        <v>0</v>
      </c>
      <c r="AX526" s="21">
        <v>0</v>
      </c>
      <c r="AY526" s="21">
        <v>0</v>
      </c>
      <c r="AZ526" s="21">
        <v>0</v>
      </c>
      <c r="BA526" s="21">
        <v>0</v>
      </c>
      <c r="BB526" s="21">
        <v>0</v>
      </c>
      <c r="BC526" s="21">
        <v>0</v>
      </c>
      <c r="BD526" s="21">
        <v>0</v>
      </c>
      <c r="BE526" s="21">
        <v>0</v>
      </c>
      <c r="BF526" s="21">
        <v>0</v>
      </c>
      <c r="BG526" s="21">
        <v>0</v>
      </c>
      <c r="BH526" s="21">
        <v>0</v>
      </c>
      <c r="BI526" s="21">
        <v>0</v>
      </c>
      <c r="BJ526" s="21">
        <v>0</v>
      </c>
      <c r="BK526" s="21">
        <v>0</v>
      </c>
      <c r="BL526" s="21">
        <v>0</v>
      </c>
      <c r="BM526" s="21">
        <v>0</v>
      </c>
      <c r="BN526" s="21">
        <v>0</v>
      </c>
      <c r="BO526" s="21">
        <v>0</v>
      </c>
      <c r="BP526" s="21">
        <v>0</v>
      </c>
      <c r="BQ526" s="21">
        <v>0</v>
      </c>
      <c r="BR526" s="21">
        <v>0</v>
      </c>
      <c r="BS526" s="21">
        <v>0</v>
      </c>
      <c r="BT526" s="21">
        <v>0</v>
      </c>
      <c r="BU526" s="21">
        <v>0</v>
      </c>
      <c r="BV526" s="21">
        <v>0</v>
      </c>
      <c r="BW526" s="21">
        <v>0</v>
      </c>
      <c r="BX526" s="21">
        <v>0</v>
      </c>
      <c r="BY526" s="21">
        <v>0</v>
      </c>
      <c r="BZ526" s="21">
        <v>0</v>
      </c>
      <c r="CA526" s="21">
        <v>0</v>
      </c>
      <c r="CB526" s="21">
        <v>0</v>
      </c>
      <c r="CC526" s="21">
        <v>0</v>
      </c>
      <c r="CD526" s="21">
        <v>0</v>
      </c>
      <c r="CE526" s="21">
        <v>0</v>
      </c>
      <c r="CF526" s="21">
        <v>0</v>
      </c>
      <c r="CG526" s="21">
        <v>0</v>
      </c>
      <c r="CH526" s="21">
        <v>0</v>
      </c>
      <c r="CI526" s="21">
        <v>0</v>
      </c>
      <c r="CJ526" s="21">
        <v>0</v>
      </c>
      <c r="CK526" s="21">
        <v>0</v>
      </c>
      <c r="CL526" s="21">
        <v>0</v>
      </c>
      <c r="CM526" s="21">
        <v>0</v>
      </c>
      <c r="CN526" s="21">
        <v>0</v>
      </c>
      <c r="CO526" s="21">
        <v>0</v>
      </c>
      <c r="CP526" s="21">
        <v>0</v>
      </c>
      <c r="CQ526" s="21">
        <v>0</v>
      </c>
      <c r="CR526" s="21">
        <v>0</v>
      </c>
      <c r="CS526" s="21">
        <v>0</v>
      </c>
      <c r="CT526" s="21">
        <v>0</v>
      </c>
      <c r="CU526" s="21">
        <v>0</v>
      </c>
      <c r="CV526" s="21">
        <v>0</v>
      </c>
      <c r="CW526" s="21">
        <v>0</v>
      </c>
      <c r="CX526" s="21">
        <v>0</v>
      </c>
      <c r="CY526" s="21">
        <v>0</v>
      </c>
      <c r="CZ526" s="21">
        <v>0</v>
      </c>
      <c r="DA526" s="21">
        <v>0</v>
      </c>
      <c r="DB526" s="21">
        <v>0</v>
      </c>
      <c r="DC526" s="21">
        <v>0</v>
      </c>
      <c r="DD526" s="21">
        <v>0</v>
      </c>
      <c r="DE526" s="21">
        <v>0</v>
      </c>
      <c r="DF526" s="21">
        <v>0</v>
      </c>
      <c r="DG526" s="21">
        <v>0</v>
      </c>
      <c r="DH526" s="21">
        <v>0</v>
      </c>
      <c r="DI526" s="21">
        <v>0</v>
      </c>
      <c r="DJ526" s="21">
        <v>0</v>
      </c>
      <c r="DK526" s="21">
        <v>0</v>
      </c>
      <c r="DL526" s="21">
        <v>0</v>
      </c>
      <c r="DM526" s="21">
        <v>0</v>
      </c>
      <c r="DN526" s="21">
        <v>0</v>
      </c>
      <c r="DO526" s="21">
        <v>0</v>
      </c>
      <c r="DP526" s="21">
        <v>0</v>
      </c>
      <c r="DQ526" s="21">
        <v>0</v>
      </c>
      <c r="DR526" s="21">
        <v>0</v>
      </c>
      <c r="DS526" s="21">
        <v>0</v>
      </c>
      <c r="DT526" s="21">
        <v>0</v>
      </c>
      <c r="DU526" s="21">
        <v>0</v>
      </c>
      <c r="DV526" s="21">
        <v>0</v>
      </c>
      <c r="DW526" s="21">
        <v>0</v>
      </c>
      <c r="DX526" s="21">
        <v>0</v>
      </c>
      <c r="DY526" s="21">
        <v>0</v>
      </c>
      <c r="DZ526" s="21">
        <v>0</v>
      </c>
      <c r="EA526" s="21">
        <v>0</v>
      </c>
      <c r="EB526" s="21">
        <v>0</v>
      </c>
      <c r="EC526" s="21">
        <v>0</v>
      </c>
      <c r="ED526" s="21">
        <v>0</v>
      </c>
      <c r="EE526" s="21">
        <v>0</v>
      </c>
      <c r="EF526" s="21">
        <v>0</v>
      </c>
    </row>
    <row r="527" spans="1:136" ht="14.5" x14ac:dyDescent="0.35">
      <c r="A527" s="20" t="s">
        <v>12</v>
      </c>
      <c r="B527" s="20" t="s">
        <v>25</v>
      </c>
      <c r="C527" s="20" t="s">
        <v>25</v>
      </c>
      <c r="D527" s="20" t="s">
        <v>337</v>
      </c>
      <c r="E527" s="20" t="s">
        <v>16</v>
      </c>
      <c r="F527" s="20" t="s">
        <v>77</v>
      </c>
      <c r="G527" s="21">
        <v>0</v>
      </c>
      <c r="H527" s="21">
        <v>0</v>
      </c>
      <c r="I527" s="21">
        <v>17.5</v>
      </c>
      <c r="J527" s="21">
        <v>-17.5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  <c r="Q527" s="21">
        <v>0</v>
      </c>
      <c r="R527" s="21">
        <v>0</v>
      </c>
      <c r="S527" s="21">
        <v>0</v>
      </c>
      <c r="T527" s="21">
        <v>0</v>
      </c>
      <c r="U527" s="21">
        <v>0</v>
      </c>
      <c r="V527" s="21">
        <v>0</v>
      </c>
      <c r="W527" s="21">
        <v>0</v>
      </c>
      <c r="X527" s="21">
        <v>0</v>
      </c>
      <c r="Y527" s="21">
        <v>2</v>
      </c>
      <c r="Z527" s="21">
        <v>9.5</v>
      </c>
      <c r="AA527" s="21">
        <v>6</v>
      </c>
      <c r="AB527" s="21">
        <v>0</v>
      </c>
      <c r="AC527" s="21">
        <v>0</v>
      </c>
      <c r="AD527" s="21">
        <v>0</v>
      </c>
      <c r="AE527" s="21">
        <v>0</v>
      </c>
      <c r="AF527" s="21">
        <v>0</v>
      </c>
      <c r="AG527" s="21">
        <v>0</v>
      </c>
      <c r="AH527" s="21">
        <v>0</v>
      </c>
      <c r="AI527" s="21">
        <v>0</v>
      </c>
      <c r="AJ527" s="21">
        <v>0</v>
      </c>
      <c r="AK527" s="21">
        <v>0</v>
      </c>
      <c r="AL527" s="21">
        <v>0</v>
      </c>
      <c r="AM527" s="21">
        <v>0</v>
      </c>
      <c r="AN527" s="21">
        <v>0</v>
      </c>
      <c r="AO527" s="21">
        <v>0</v>
      </c>
      <c r="AP527" s="21">
        <v>0</v>
      </c>
      <c r="AQ527" s="21">
        <v>0</v>
      </c>
      <c r="AR527" s="21">
        <v>0</v>
      </c>
      <c r="AS527" s="21">
        <v>0</v>
      </c>
      <c r="AT527" s="21">
        <v>0</v>
      </c>
      <c r="AU527" s="21">
        <v>0</v>
      </c>
      <c r="AV527" s="21">
        <v>0</v>
      </c>
      <c r="AW527" s="21">
        <v>0</v>
      </c>
      <c r="AX527" s="21">
        <v>0</v>
      </c>
      <c r="AY527" s="21">
        <v>0</v>
      </c>
      <c r="AZ527" s="21">
        <v>0</v>
      </c>
      <c r="BA527" s="21">
        <v>0</v>
      </c>
      <c r="BB527" s="21">
        <v>0</v>
      </c>
      <c r="BC527" s="21">
        <v>0</v>
      </c>
      <c r="BD527" s="21">
        <v>0</v>
      </c>
      <c r="BE527" s="21">
        <v>0</v>
      </c>
      <c r="BF527" s="21">
        <v>0</v>
      </c>
      <c r="BG527" s="21">
        <v>0</v>
      </c>
      <c r="BH527" s="21">
        <v>0</v>
      </c>
      <c r="BI527" s="21">
        <v>0</v>
      </c>
      <c r="BJ527" s="21">
        <v>0</v>
      </c>
      <c r="BK527" s="21">
        <v>0</v>
      </c>
      <c r="BL527" s="21">
        <v>0</v>
      </c>
      <c r="BM527" s="21">
        <v>0</v>
      </c>
      <c r="BN527" s="21">
        <v>0</v>
      </c>
      <c r="BO527" s="21">
        <v>0</v>
      </c>
      <c r="BP527" s="21">
        <v>0</v>
      </c>
      <c r="BQ527" s="21">
        <v>0</v>
      </c>
      <c r="BR527" s="21">
        <v>0</v>
      </c>
      <c r="BS527" s="21">
        <v>0</v>
      </c>
      <c r="BT527" s="21">
        <v>0</v>
      </c>
      <c r="BU527" s="21">
        <v>0</v>
      </c>
      <c r="BV527" s="21">
        <v>0</v>
      </c>
      <c r="BW527" s="21">
        <v>0</v>
      </c>
      <c r="BX527" s="21">
        <v>0</v>
      </c>
      <c r="BY527" s="21">
        <v>0</v>
      </c>
      <c r="BZ527" s="21">
        <v>0</v>
      </c>
      <c r="CA527" s="21">
        <v>0</v>
      </c>
      <c r="CB527" s="21">
        <v>0</v>
      </c>
      <c r="CC527" s="21">
        <v>0</v>
      </c>
      <c r="CD527" s="21">
        <v>0</v>
      </c>
      <c r="CE527" s="21">
        <v>0</v>
      </c>
      <c r="CF527" s="21">
        <v>0</v>
      </c>
      <c r="CG527" s="21">
        <v>0</v>
      </c>
      <c r="CH527" s="21">
        <v>0</v>
      </c>
      <c r="CI527" s="21">
        <v>0</v>
      </c>
      <c r="CJ527" s="21">
        <v>0</v>
      </c>
      <c r="CK527" s="21">
        <v>0</v>
      </c>
      <c r="CL527" s="21">
        <v>0</v>
      </c>
      <c r="CM527" s="21">
        <v>0</v>
      </c>
      <c r="CN527" s="21">
        <v>0</v>
      </c>
      <c r="CO527" s="21">
        <v>0</v>
      </c>
      <c r="CP527" s="21">
        <v>0</v>
      </c>
      <c r="CQ527" s="21">
        <v>0</v>
      </c>
      <c r="CR527" s="21">
        <v>0</v>
      </c>
      <c r="CS527" s="21">
        <v>0</v>
      </c>
      <c r="CT527" s="21">
        <v>0</v>
      </c>
      <c r="CU527" s="21">
        <v>0</v>
      </c>
      <c r="CV527" s="21">
        <v>0</v>
      </c>
      <c r="CW527" s="21">
        <v>0</v>
      </c>
      <c r="CX527" s="21">
        <v>0</v>
      </c>
      <c r="CY527" s="21">
        <v>0</v>
      </c>
      <c r="CZ527" s="21">
        <v>0</v>
      </c>
      <c r="DA527" s="21">
        <v>0</v>
      </c>
      <c r="DB527" s="21">
        <v>0</v>
      </c>
      <c r="DC527" s="21">
        <v>0</v>
      </c>
      <c r="DD527" s="21">
        <v>0</v>
      </c>
      <c r="DE527" s="21">
        <v>0</v>
      </c>
      <c r="DF527" s="21">
        <v>0</v>
      </c>
      <c r="DG527" s="21">
        <v>0</v>
      </c>
      <c r="DH527" s="21">
        <v>0</v>
      </c>
      <c r="DI527" s="21">
        <v>0</v>
      </c>
      <c r="DJ527" s="21">
        <v>0</v>
      </c>
      <c r="DK527" s="21">
        <v>0</v>
      </c>
      <c r="DL527" s="21">
        <v>0</v>
      </c>
      <c r="DM527" s="21">
        <v>0</v>
      </c>
      <c r="DN527" s="21">
        <v>0</v>
      </c>
      <c r="DO527" s="21">
        <v>0</v>
      </c>
      <c r="DP527" s="21">
        <v>0</v>
      </c>
      <c r="DQ527" s="21">
        <v>0</v>
      </c>
      <c r="DR527" s="21">
        <v>0</v>
      </c>
      <c r="DS527" s="21">
        <v>0</v>
      </c>
      <c r="DT527" s="21">
        <v>0</v>
      </c>
      <c r="DU527" s="21">
        <v>0</v>
      </c>
      <c r="DV527" s="21">
        <v>0</v>
      </c>
      <c r="DW527" s="21">
        <v>0</v>
      </c>
      <c r="DX527" s="21">
        <v>0</v>
      </c>
      <c r="DY527" s="21">
        <v>0</v>
      </c>
      <c r="DZ527" s="21">
        <v>0</v>
      </c>
      <c r="EA527" s="21">
        <v>0</v>
      </c>
      <c r="EB527" s="21">
        <v>0</v>
      </c>
      <c r="EC527" s="21">
        <v>0</v>
      </c>
      <c r="ED527" s="21">
        <v>0</v>
      </c>
      <c r="EE527" s="21">
        <v>0</v>
      </c>
      <c r="EF527" s="21">
        <v>0</v>
      </c>
    </row>
    <row r="528" spans="1:136" ht="14.5" x14ac:dyDescent="0.35">
      <c r="A528" s="20" t="s">
        <v>12</v>
      </c>
      <c r="B528" s="20" t="s">
        <v>25</v>
      </c>
      <c r="C528" s="20" t="s">
        <v>25</v>
      </c>
      <c r="D528" s="20" t="s">
        <v>336</v>
      </c>
      <c r="E528" s="20" t="s">
        <v>16</v>
      </c>
      <c r="F528" s="20" t="s">
        <v>77</v>
      </c>
      <c r="G528" s="21">
        <v>0</v>
      </c>
      <c r="H528" s="21">
        <v>0</v>
      </c>
      <c r="I528" s="21">
        <v>80</v>
      </c>
      <c r="J528" s="21">
        <v>-80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  <c r="Q528" s="21">
        <v>0</v>
      </c>
      <c r="R528" s="21">
        <v>0</v>
      </c>
      <c r="S528" s="21">
        <v>0</v>
      </c>
      <c r="T528" s="21">
        <v>0</v>
      </c>
      <c r="U528" s="21">
        <v>0</v>
      </c>
      <c r="V528" s="21">
        <v>0</v>
      </c>
      <c r="W528" s="21">
        <v>0</v>
      </c>
      <c r="X528" s="21">
        <v>0</v>
      </c>
      <c r="Y528" s="21">
        <v>0</v>
      </c>
      <c r="Z528" s="21">
        <v>0</v>
      </c>
      <c r="AA528" s="21">
        <v>0</v>
      </c>
      <c r="AB528" s="21">
        <v>0</v>
      </c>
      <c r="AC528" s="21">
        <v>0</v>
      </c>
      <c r="AD528" s="21">
        <v>0</v>
      </c>
      <c r="AE528" s="21">
        <v>0</v>
      </c>
      <c r="AF528" s="21">
        <v>0</v>
      </c>
      <c r="AG528" s="21">
        <v>0</v>
      </c>
      <c r="AH528" s="21">
        <v>0</v>
      </c>
      <c r="AI528" s="21">
        <v>0</v>
      </c>
      <c r="AJ528" s="21">
        <v>5</v>
      </c>
      <c r="AK528" s="21">
        <v>1.5</v>
      </c>
      <c r="AL528" s="21">
        <v>0.5</v>
      </c>
      <c r="AM528" s="21">
        <v>3</v>
      </c>
      <c r="AN528" s="21">
        <v>3</v>
      </c>
      <c r="AO528" s="21">
        <v>7</v>
      </c>
      <c r="AP528" s="21">
        <v>3.5</v>
      </c>
      <c r="AQ528" s="21">
        <v>0</v>
      </c>
      <c r="AR528" s="21">
        <v>3.5</v>
      </c>
      <c r="AS528" s="21">
        <v>2.5</v>
      </c>
      <c r="AT528" s="21">
        <v>0</v>
      </c>
      <c r="AU528" s="21">
        <v>0</v>
      </c>
      <c r="AV528" s="21">
        <v>0</v>
      </c>
      <c r="AW528" s="21">
        <v>0</v>
      </c>
      <c r="AX528" s="21">
        <v>0</v>
      </c>
      <c r="AY528" s="21">
        <v>0</v>
      </c>
      <c r="AZ528" s="21">
        <v>0</v>
      </c>
      <c r="BA528" s="21">
        <v>0</v>
      </c>
      <c r="BB528" s="21">
        <v>0</v>
      </c>
      <c r="BC528" s="21">
        <v>0</v>
      </c>
      <c r="BD528" s="21">
        <v>0</v>
      </c>
      <c r="BE528" s="21">
        <v>0</v>
      </c>
      <c r="BF528" s="21">
        <v>0</v>
      </c>
      <c r="BG528" s="21">
        <v>0</v>
      </c>
      <c r="BH528" s="21">
        <v>0</v>
      </c>
      <c r="BI528" s="21">
        <v>0</v>
      </c>
      <c r="BJ528" s="21">
        <v>0</v>
      </c>
      <c r="BK528" s="21">
        <v>0</v>
      </c>
      <c r="BL528" s="21">
        <v>0</v>
      </c>
      <c r="BM528" s="21">
        <v>0</v>
      </c>
      <c r="BN528" s="21">
        <v>0</v>
      </c>
      <c r="BO528" s="21">
        <v>0</v>
      </c>
      <c r="BP528" s="21">
        <v>0</v>
      </c>
      <c r="BQ528" s="21">
        <v>0</v>
      </c>
      <c r="BR528" s="21">
        <v>0</v>
      </c>
      <c r="BS528" s="21">
        <v>0</v>
      </c>
      <c r="BT528" s="21">
        <v>0</v>
      </c>
      <c r="BU528" s="21">
        <v>0</v>
      </c>
      <c r="BV528" s="21">
        <v>0</v>
      </c>
      <c r="BW528" s="21">
        <v>0</v>
      </c>
      <c r="BX528" s="21">
        <v>0</v>
      </c>
      <c r="BY528" s="21">
        <v>0</v>
      </c>
      <c r="BZ528" s="21">
        <v>0</v>
      </c>
      <c r="CA528" s="21">
        <v>0</v>
      </c>
      <c r="CB528" s="21">
        <v>0</v>
      </c>
      <c r="CC528" s="21">
        <v>0</v>
      </c>
      <c r="CD528" s="21">
        <v>0</v>
      </c>
      <c r="CE528" s="21">
        <v>0</v>
      </c>
      <c r="CF528" s="21">
        <v>0</v>
      </c>
      <c r="CG528" s="21">
        <v>0</v>
      </c>
      <c r="CH528" s="21">
        <v>0</v>
      </c>
      <c r="CI528" s="21">
        <v>0</v>
      </c>
      <c r="CJ528" s="21">
        <v>0</v>
      </c>
      <c r="CK528" s="21">
        <v>0</v>
      </c>
      <c r="CL528" s="21">
        <v>0</v>
      </c>
      <c r="CM528" s="21">
        <v>0</v>
      </c>
      <c r="CN528" s="21">
        <v>0</v>
      </c>
      <c r="CO528" s="21">
        <v>0</v>
      </c>
      <c r="CP528" s="21">
        <v>0</v>
      </c>
      <c r="CQ528" s="21">
        <v>0</v>
      </c>
      <c r="CR528" s="21">
        <v>0</v>
      </c>
      <c r="CS528" s="21">
        <v>2.5</v>
      </c>
      <c r="CT528" s="21">
        <v>1.4035089999999999</v>
      </c>
      <c r="CU528" s="21">
        <v>1.4035089999999999</v>
      </c>
      <c r="CV528" s="21">
        <v>1.4035089999999999</v>
      </c>
      <c r="CW528" s="21">
        <v>1.4035089999999999</v>
      </c>
      <c r="CX528" s="21">
        <v>1.4035089999999999</v>
      </c>
      <c r="CY528" s="21">
        <v>1.4035089999999999</v>
      </c>
      <c r="CZ528" s="21">
        <v>1.4035089999999999</v>
      </c>
      <c r="DA528" s="21">
        <v>1.4035089999999999</v>
      </c>
      <c r="DB528" s="21">
        <v>1.4035089999999999</v>
      </c>
      <c r="DC528" s="21">
        <v>1.4035089999999999</v>
      </c>
      <c r="DD528" s="21">
        <v>1.4035089999999999</v>
      </c>
      <c r="DE528" s="21">
        <v>1.4035089999999999</v>
      </c>
      <c r="DF528" s="21">
        <v>1.4035089999999999</v>
      </c>
      <c r="DG528" s="21">
        <v>1.4035089999999999</v>
      </c>
      <c r="DH528" s="21">
        <v>1.4035089999999999</v>
      </c>
      <c r="DI528" s="21">
        <v>1.4035089999999999</v>
      </c>
      <c r="DJ528" s="21">
        <v>1.4035089999999999</v>
      </c>
      <c r="DK528" s="21">
        <v>1.4035089999999999</v>
      </c>
      <c r="DL528" s="21">
        <v>1.4035089999999999</v>
      </c>
      <c r="DM528" s="21">
        <v>1.4035089999999999</v>
      </c>
      <c r="DN528" s="21">
        <v>1.4035089999999999</v>
      </c>
      <c r="DO528" s="21">
        <v>1.4035089999999999</v>
      </c>
      <c r="DP528" s="21">
        <v>1.4035089999999999</v>
      </c>
      <c r="DQ528" s="21">
        <v>1.4035089999999999</v>
      </c>
      <c r="DR528" s="21">
        <v>1.4035089999999999</v>
      </c>
      <c r="DS528" s="21">
        <v>1.4035089999999999</v>
      </c>
      <c r="DT528" s="21">
        <v>1.4035089999999999</v>
      </c>
      <c r="DU528" s="21">
        <v>1.4035089999999999</v>
      </c>
      <c r="DV528" s="21">
        <v>1.4035089999999999</v>
      </c>
      <c r="DW528" s="21">
        <v>1.4035089999999999</v>
      </c>
      <c r="DX528" s="21">
        <v>1.4035089999999999</v>
      </c>
      <c r="DY528" s="21">
        <v>1.4035089999999999</v>
      </c>
      <c r="DZ528" s="21">
        <v>1.4035089999999999</v>
      </c>
      <c r="EA528" s="21">
        <v>1.4035089999999999</v>
      </c>
      <c r="EB528" s="21">
        <v>1.4035089999999999</v>
      </c>
      <c r="EC528" s="21">
        <v>1.4035089999999999</v>
      </c>
      <c r="ED528" s="21">
        <v>0</v>
      </c>
      <c r="EE528" s="21">
        <v>0</v>
      </c>
      <c r="EF528" s="21">
        <v>0</v>
      </c>
    </row>
    <row r="529" spans="1:136" ht="14.5" x14ac:dyDescent="0.35">
      <c r="A529" s="20" t="s">
        <v>12</v>
      </c>
      <c r="B529" s="20" t="s">
        <v>25</v>
      </c>
      <c r="C529" s="20" t="s">
        <v>25</v>
      </c>
      <c r="D529" s="20" t="s">
        <v>337</v>
      </c>
      <c r="E529" s="20" t="s">
        <v>16</v>
      </c>
      <c r="F529" s="20" t="s">
        <v>86</v>
      </c>
      <c r="G529" s="21">
        <v>5</v>
      </c>
      <c r="H529" s="21">
        <v>42</v>
      </c>
      <c r="I529" s="21">
        <v>0</v>
      </c>
      <c r="J529" s="21">
        <v>42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  <c r="Q529" s="21">
        <v>0</v>
      </c>
      <c r="R529" s="21">
        <v>0</v>
      </c>
      <c r="S529" s="21">
        <v>0</v>
      </c>
      <c r="T529" s="21">
        <v>0</v>
      </c>
      <c r="U529" s="21">
        <v>0</v>
      </c>
      <c r="V529" s="21">
        <v>0</v>
      </c>
      <c r="W529" s="21">
        <v>0</v>
      </c>
      <c r="X529" s="21">
        <v>0</v>
      </c>
      <c r="Y529" s="21">
        <v>0</v>
      </c>
      <c r="Z529" s="21">
        <v>0</v>
      </c>
      <c r="AA529" s="21">
        <v>0</v>
      </c>
      <c r="AB529" s="21">
        <v>0</v>
      </c>
      <c r="AC529" s="21">
        <v>0</v>
      </c>
      <c r="AD529" s="21">
        <v>0</v>
      </c>
      <c r="AE529" s="21">
        <v>0</v>
      </c>
      <c r="AF529" s="21">
        <v>0</v>
      </c>
      <c r="AG529" s="21">
        <v>0</v>
      </c>
      <c r="AH529" s="21">
        <v>0</v>
      </c>
      <c r="AI529" s="21">
        <v>0</v>
      </c>
      <c r="AJ529" s="21">
        <v>0</v>
      </c>
      <c r="AK529" s="21">
        <v>0</v>
      </c>
      <c r="AL529" s="21">
        <v>0</v>
      </c>
      <c r="AM529" s="21">
        <v>0</v>
      </c>
      <c r="AN529" s="21">
        <v>0</v>
      </c>
      <c r="AO529" s="21">
        <v>0</v>
      </c>
      <c r="AP529" s="21">
        <v>0</v>
      </c>
      <c r="AQ529" s="21">
        <v>0</v>
      </c>
      <c r="AR529" s="21">
        <v>0</v>
      </c>
      <c r="AS529" s="21">
        <v>0</v>
      </c>
      <c r="AT529" s="21">
        <v>0</v>
      </c>
      <c r="AU529" s="21">
        <v>0</v>
      </c>
      <c r="AV529" s="21">
        <v>0</v>
      </c>
      <c r="AW529" s="21">
        <v>0</v>
      </c>
      <c r="AX529" s="21">
        <v>0</v>
      </c>
      <c r="AY529" s="21">
        <v>0</v>
      </c>
      <c r="AZ529" s="21">
        <v>0</v>
      </c>
      <c r="BA529" s="21">
        <v>0</v>
      </c>
      <c r="BB529" s="21">
        <v>0</v>
      </c>
      <c r="BC529" s="21">
        <v>0</v>
      </c>
      <c r="BD529" s="21">
        <v>0</v>
      </c>
      <c r="BE529" s="21">
        <v>0</v>
      </c>
      <c r="BF529" s="21">
        <v>0</v>
      </c>
      <c r="BG529" s="21">
        <v>0</v>
      </c>
      <c r="BH529" s="21">
        <v>0</v>
      </c>
      <c r="BI529" s="21">
        <v>0</v>
      </c>
      <c r="BJ529" s="21">
        <v>0</v>
      </c>
      <c r="BK529" s="21">
        <v>0</v>
      </c>
      <c r="BL529" s="21">
        <v>0</v>
      </c>
      <c r="BM529" s="21">
        <v>0</v>
      </c>
      <c r="BN529" s="21">
        <v>0</v>
      </c>
      <c r="BO529" s="21">
        <v>0</v>
      </c>
      <c r="BP529" s="21">
        <v>0</v>
      </c>
      <c r="BQ529" s="21">
        <v>0</v>
      </c>
      <c r="BR529" s="21">
        <v>0</v>
      </c>
      <c r="BS529" s="21">
        <v>0</v>
      </c>
      <c r="BT529" s="21">
        <v>0</v>
      </c>
      <c r="BU529" s="21">
        <v>0</v>
      </c>
      <c r="BV529" s="21">
        <v>0</v>
      </c>
      <c r="BW529" s="21">
        <v>0</v>
      </c>
      <c r="BX529" s="21">
        <v>0</v>
      </c>
      <c r="BY529" s="21">
        <v>0</v>
      </c>
      <c r="BZ529" s="21">
        <v>0</v>
      </c>
      <c r="CA529" s="21">
        <v>0</v>
      </c>
      <c r="CB529" s="21">
        <v>0</v>
      </c>
      <c r="CC529" s="21">
        <v>0</v>
      </c>
      <c r="CD529" s="21">
        <v>0</v>
      </c>
      <c r="CE529" s="21">
        <v>0</v>
      </c>
      <c r="CF529" s="21">
        <v>0</v>
      </c>
      <c r="CG529" s="21">
        <v>0</v>
      </c>
      <c r="CH529" s="21">
        <v>0</v>
      </c>
      <c r="CI529" s="21">
        <v>0</v>
      </c>
      <c r="CJ529" s="21">
        <v>0</v>
      </c>
      <c r="CK529" s="21">
        <v>0</v>
      </c>
      <c r="CL529" s="21">
        <v>0</v>
      </c>
      <c r="CM529" s="21">
        <v>0</v>
      </c>
      <c r="CN529" s="21">
        <v>0</v>
      </c>
      <c r="CO529" s="21">
        <v>0</v>
      </c>
      <c r="CP529" s="21">
        <v>0</v>
      </c>
      <c r="CQ529" s="21">
        <v>0</v>
      </c>
      <c r="CR529" s="21">
        <v>0</v>
      </c>
      <c r="CS529" s="21">
        <v>0</v>
      </c>
      <c r="CT529" s="21">
        <v>0</v>
      </c>
      <c r="CU529" s="21">
        <v>0</v>
      </c>
      <c r="CV529" s="21">
        <v>0</v>
      </c>
      <c r="CW529" s="21">
        <v>0</v>
      </c>
      <c r="CX529" s="21">
        <v>0</v>
      </c>
      <c r="CY529" s="21">
        <v>0</v>
      </c>
      <c r="CZ529" s="21">
        <v>0</v>
      </c>
      <c r="DA529" s="21">
        <v>0</v>
      </c>
      <c r="DB529" s="21">
        <v>0</v>
      </c>
      <c r="DC529" s="21">
        <v>0</v>
      </c>
      <c r="DD529" s="21">
        <v>0</v>
      </c>
      <c r="DE529" s="21">
        <v>0</v>
      </c>
      <c r="DF529" s="21">
        <v>0</v>
      </c>
      <c r="DG529" s="21">
        <v>0</v>
      </c>
      <c r="DH529" s="21">
        <v>0</v>
      </c>
      <c r="DI529" s="21">
        <v>0</v>
      </c>
      <c r="DJ529" s="21">
        <v>0</v>
      </c>
      <c r="DK529" s="21">
        <v>0</v>
      </c>
      <c r="DL529" s="21">
        <v>0</v>
      </c>
      <c r="DM529" s="21">
        <v>0</v>
      </c>
      <c r="DN529" s="21">
        <v>0</v>
      </c>
      <c r="DO529" s="21">
        <v>0</v>
      </c>
      <c r="DP529" s="21">
        <v>0</v>
      </c>
      <c r="DQ529" s="21">
        <v>0</v>
      </c>
      <c r="DR529" s="21">
        <v>0</v>
      </c>
      <c r="DS529" s="21">
        <v>0</v>
      </c>
      <c r="DT529" s="21">
        <v>0</v>
      </c>
      <c r="DU529" s="21">
        <v>0</v>
      </c>
      <c r="DV529" s="21">
        <v>0</v>
      </c>
      <c r="DW529" s="21">
        <v>0</v>
      </c>
      <c r="DX529" s="21">
        <v>0</v>
      </c>
      <c r="DY529" s="21">
        <v>0</v>
      </c>
      <c r="DZ529" s="21">
        <v>0</v>
      </c>
      <c r="EA529" s="21">
        <v>0</v>
      </c>
      <c r="EB529" s="21">
        <v>0</v>
      </c>
      <c r="EC529" s="21">
        <v>0</v>
      </c>
      <c r="ED529" s="21">
        <v>0</v>
      </c>
      <c r="EE529" s="21">
        <v>0</v>
      </c>
      <c r="EF529" s="21">
        <v>0</v>
      </c>
    </row>
    <row r="530" spans="1:136" ht="14.5" x14ac:dyDescent="0.35">
      <c r="A530" s="20" t="s">
        <v>12</v>
      </c>
      <c r="B530" s="20" t="s">
        <v>25</v>
      </c>
      <c r="C530" s="20" t="s">
        <v>25</v>
      </c>
      <c r="D530" s="20" t="s">
        <v>336</v>
      </c>
      <c r="E530" s="20" t="s">
        <v>16</v>
      </c>
      <c r="F530" s="20" t="s">
        <v>86</v>
      </c>
      <c r="G530" s="21">
        <v>0</v>
      </c>
      <c r="H530" s="21">
        <v>0</v>
      </c>
      <c r="I530" s="21">
        <v>37</v>
      </c>
      <c r="J530" s="21">
        <v>-37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  <c r="Q530" s="21">
        <v>0</v>
      </c>
      <c r="R530" s="21">
        <v>0</v>
      </c>
      <c r="S530" s="21">
        <v>0</v>
      </c>
      <c r="T530" s="21">
        <v>0</v>
      </c>
      <c r="U530" s="21">
        <v>0</v>
      </c>
      <c r="V530" s="21">
        <v>0</v>
      </c>
      <c r="W530" s="21">
        <v>0</v>
      </c>
      <c r="X530" s="21">
        <v>0</v>
      </c>
      <c r="Y530" s="21">
        <v>0</v>
      </c>
      <c r="Z530" s="21">
        <v>0</v>
      </c>
      <c r="AA530" s="21">
        <v>0</v>
      </c>
      <c r="AB530" s="21">
        <v>0</v>
      </c>
      <c r="AC530" s="21">
        <v>0</v>
      </c>
      <c r="AD530" s="21">
        <v>0</v>
      </c>
      <c r="AE530" s="21">
        <v>0</v>
      </c>
      <c r="AF530" s="21">
        <v>0</v>
      </c>
      <c r="AG530" s="21">
        <v>0</v>
      </c>
      <c r="AH530" s="21">
        <v>0</v>
      </c>
      <c r="AI530" s="21">
        <v>0</v>
      </c>
      <c r="AJ530" s="21">
        <v>0</v>
      </c>
      <c r="AK530" s="21">
        <v>0</v>
      </c>
      <c r="AL530" s="21">
        <v>0</v>
      </c>
      <c r="AM530" s="21">
        <v>0</v>
      </c>
      <c r="AN530" s="21">
        <v>0</v>
      </c>
      <c r="AO530" s="21">
        <v>0</v>
      </c>
      <c r="AP530" s="21">
        <v>0</v>
      </c>
      <c r="AQ530" s="21">
        <v>0</v>
      </c>
      <c r="AR530" s="21">
        <v>0</v>
      </c>
      <c r="AS530" s="21">
        <v>0</v>
      </c>
      <c r="AT530" s="21">
        <v>0</v>
      </c>
      <c r="AU530" s="21">
        <v>0</v>
      </c>
      <c r="AV530" s="21">
        <v>0</v>
      </c>
      <c r="AW530" s="21">
        <v>0</v>
      </c>
      <c r="AX530" s="21">
        <v>0</v>
      </c>
      <c r="AY530" s="21">
        <v>0</v>
      </c>
      <c r="AZ530" s="21">
        <v>0</v>
      </c>
      <c r="BA530" s="21">
        <v>0</v>
      </c>
      <c r="BB530" s="21">
        <v>0</v>
      </c>
      <c r="BC530" s="21">
        <v>0</v>
      </c>
      <c r="BD530" s="21">
        <v>0</v>
      </c>
      <c r="BE530" s="21">
        <v>0</v>
      </c>
      <c r="BF530" s="21">
        <v>0</v>
      </c>
      <c r="BG530" s="21">
        <v>0</v>
      </c>
      <c r="BH530" s="21">
        <v>0</v>
      </c>
      <c r="BI530" s="21">
        <v>0</v>
      </c>
      <c r="BJ530" s="21">
        <v>0</v>
      </c>
      <c r="BK530" s="21">
        <v>0</v>
      </c>
      <c r="BL530" s="21">
        <v>0</v>
      </c>
      <c r="BM530" s="21">
        <v>0</v>
      </c>
      <c r="BN530" s="21">
        <v>0</v>
      </c>
      <c r="BO530" s="21">
        <v>0</v>
      </c>
      <c r="BP530" s="21">
        <v>0</v>
      </c>
      <c r="BQ530" s="21">
        <v>0</v>
      </c>
      <c r="BR530" s="21">
        <v>0</v>
      </c>
      <c r="BS530" s="21">
        <v>0</v>
      </c>
      <c r="BT530" s="21">
        <v>0</v>
      </c>
      <c r="BU530" s="21">
        <v>0</v>
      </c>
      <c r="BV530" s="21">
        <v>0</v>
      </c>
      <c r="BW530" s="21">
        <v>0</v>
      </c>
      <c r="BX530" s="21">
        <v>0</v>
      </c>
      <c r="BY530" s="21">
        <v>0</v>
      </c>
      <c r="BZ530" s="21">
        <v>0</v>
      </c>
      <c r="CA530" s="21">
        <v>0</v>
      </c>
      <c r="CB530" s="21">
        <v>0</v>
      </c>
      <c r="CC530" s="21">
        <v>0</v>
      </c>
      <c r="CD530" s="21">
        <v>0</v>
      </c>
      <c r="CE530" s="21">
        <v>0</v>
      </c>
      <c r="CF530" s="21">
        <v>0</v>
      </c>
      <c r="CG530" s="21">
        <v>0</v>
      </c>
      <c r="CH530" s="21">
        <v>0</v>
      </c>
      <c r="CI530" s="21">
        <v>0</v>
      </c>
      <c r="CJ530" s="21">
        <v>0</v>
      </c>
      <c r="CK530" s="21">
        <v>0</v>
      </c>
      <c r="CL530" s="21">
        <v>0</v>
      </c>
      <c r="CM530" s="21">
        <v>0</v>
      </c>
      <c r="CN530" s="21">
        <v>0</v>
      </c>
      <c r="CO530" s="21">
        <v>0</v>
      </c>
      <c r="CP530" s="21">
        <v>0</v>
      </c>
      <c r="CQ530" s="21">
        <v>0</v>
      </c>
      <c r="CR530" s="21">
        <v>0</v>
      </c>
      <c r="CS530" s="21">
        <v>0</v>
      </c>
      <c r="CT530" s="21">
        <v>0</v>
      </c>
      <c r="CU530" s="21">
        <v>0</v>
      </c>
      <c r="CV530" s="21">
        <v>0</v>
      </c>
      <c r="CW530" s="21">
        <v>0</v>
      </c>
      <c r="CX530" s="21">
        <v>0</v>
      </c>
      <c r="CY530" s="21">
        <v>0</v>
      </c>
      <c r="CZ530" s="21">
        <v>0</v>
      </c>
      <c r="DA530" s="21">
        <v>2</v>
      </c>
      <c r="DB530" s="21">
        <v>3</v>
      </c>
      <c r="DC530" s="21">
        <v>0</v>
      </c>
      <c r="DD530" s="21">
        <v>0</v>
      </c>
      <c r="DE530" s="21">
        <v>0</v>
      </c>
      <c r="DF530" s="21">
        <v>0</v>
      </c>
      <c r="DG530" s="21">
        <v>0</v>
      </c>
      <c r="DH530" s="21">
        <v>0</v>
      </c>
      <c r="DI530" s="21">
        <v>0</v>
      </c>
      <c r="DJ530" s="21">
        <v>0</v>
      </c>
      <c r="DK530" s="21">
        <v>2</v>
      </c>
      <c r="DL530" s="21">
        <v>2</v>
      </c>
      <c r="DM530" s="21">
        <v>2</v>
      </c>
      <c r="DN530" s="21">
        <v>2</v>
      </c>
      <c r="DO530" s="21">
        <v>0</v>
      </c>
      <c r="DP530" s="21">
        <v>0</v>
      </c>
      <c r="DQ530" s="21">
        <v>0</v>
      </c>
      <c r="DR530" s="21">
        <v>0</v>
      </c>
      <c r="DS530" s="21">
        <v>5</v>
      </c>
      <c r="DT530" s="21">
        <v>8</v>
      </c>
      <c r="DU530" s="21">
        <v>9</v>
      </c>
      <c r="DV530" s="21">
        <v>2</v>
      </c>
      <c r="DW530" s="21">
        <v>0</v>
      </c>
      <c r="DX530" s="21">
        <v>0</v>
      </c>
      <c r="DY530" s="21">
        <v>0</v>
      </c>
      <c r="DZ530" s="21">
        <v>0</v>
      </c>
      <c r="EA530" s="21">
        <v>0</v>
      </c>
      <c r="EB530" s="21">
        <v>0</v>
      </c>
      <c r="EC530" s="21">
        <v>0</v>
      </c>
      <c r="ED530" s="21">
        <v>0</v>
      </c>
      <c r="EE530" s="21">
        <v>0</v>
      </c>
      <c r="EF530" s="21">
        <v>0</v>
      </c>
    </row>
    <row r="531" spans="1:136" ht="14.5" x14ac:dyDescent="0.35">
      <c r="A531" s="20" t="s">
        <v>12</v>
      </c>
      <c r="B531" s="20" t="s">
        <v>25</v>
      </c>
      <c r="C531" s="20" t="s">
        <v>25</v>
      </c>
      <c r="D531" s="20" t="s">
        <v>337</v>
      </c>
      <c r="E531" s="20" t="s">
        <v>16</v>
      </c>
      <c r="F531" s="20" t="s">
        <v>78</v>
      </c>
      <c r="G531" s="21">
        <v>4.4000000000000004</v>
      </c>
      <c r="H531" s="21">
        <v>16.899999999999999</v>
      </c>
      <c r="I531" s="21">
        <v>0</v>
      </c>
      <c r="J531" s="21">
        <v>16.899999999999999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  <c r="Q531" s="21">
        <v>0</v>
      </c>
      <c r="R531" s="21">
        <v>0</v>
      </c>
      <c r="S531" s="21">
        <v>0</v>
      </c>
      <c r="T531" s="21">
        <v>0</v>
      </c>
      <c r="U531" s="21">
        <v>0</v>
      </c>
      <c r="V531" s="21">
        <v>0</v>
      </c>
      <c r="W531" s="21">
        <v>0</v>
      </c>
      <c r="X531" s="21">
        <v>0</v>
      </c>
      <c r="Y531" s="21">
        <v>0</v>
      </c>
      <c r="Z531" s="21">
        <v>0</v>
      </c>
      <c r="AA531" s="21">
        <v>0</v>
      </c>
      <c r="AB531" s="21">
        <v>0</v>
      </c>
      <c r="AC531" s="21">
        <v>0</v>
      </c>
      <c r="AD531" s="21">
        <v>0</v>
      </c>
      <c r="AE531" s="21">
        <v>0</v>
      </c>
      <c r="AF531" s="21">
        <v>0</v>
      </c>
      <c r="AG531" s="21">
        <v>0</v>
      </c>
      <c r="AH531" s="21">
        <v>0</v>
      </c>
      <c r="AI531" s="21">
        <v>0</v>
      </c>
      <c r="AJ531" s="21">
        <v>0</v>
      </c>
      <c r="AK531" s="21">
        <v>0</v>
      </c>
      <c r="AL531" s="21">
        <v>0</v>
      </c>
      <c r="AM531" s="21">
        <v>0</v>
      </c>
      <c r="AN531" s="21">
        <v>0</v>
      </c>
      <c r="AO531" s="21">
        <v>0</v>
      </c>
      <c r="AP531" s="21">
        <v>0</v>
      </c>
      <c r="AQ531" s="21">
        <v>0</v>
      </c>
      <c r="AR531" s="21">
        <v>0</v>
      </c>
      <c r="AS531" s="21">
        <v>0</v>
      </c>
      <c r="AT531" s="21">
        <v>0</v>
      </c>
      <c r="AU531" s="21">
        <v>0</v>
      </c>
      <c r="AV531" s="21">
        <v>0</v>
      </c>
      <c r="AW531" s="21">
        <v>0</v>
      </c>
      <c r="AX531" s="21">
        <v>0</v>
      </c>
      <c r="AY531" s="21">
        <v>0</v>
      </c>
      <c r="AZ531" s="21">
        <v>0</v>
      </c>
      <c r="BA531" s="21">
        <v>0</v>
      </c>
      <c r="BB531" s="21">
        <v>0</v>
      </c>
      <c r="BC531" s="21">
        <v>0</v>
      </c>
      <c r="BD531" s="21">
        <v>0</v>
      </c>
      <c r="BE531" s="21">
        <v>0</v>
      </c>
      <c r="BF531" s="21">
        <v>0</v>
      </c>
      <c r="BG531" s="21">
        <v>0</v>
      </c>
      <c r="BH531" s="21">
        <v>0</v>
      </c>
      <c r="BI531" s="21">
        <v>0</v>
      </c>
      <c r="BJ531" s="21">
        <v>0</v>
      </c>
      <c r="BK531" s="21">
        <v>0</v>
      </c>
      <c r="BL531" s="21">
        <v>0</v>
      </c>
      <c r="BM531" s="21">
        <v>0</v>
      </c>
      <c r="BN531" s="21">
        <v>0</v>
      </c>
      <c r="BO531" s="21">
        <v>0</v>
      </c>
      <c r="BP531" s="21">
        <v>0</v>
      </c>
      <c r="BQ531" s="21">
        <v>0</v>
      </c>
      <c r="BR531" s="21">
        <v>0</v>
      </c>
      <c r="BS531" s="21">
        <v>0</v>
      </c>
      <c r="BT531" s="21">
        <v>0</v>
      </c>
      <c r="BU531" s="21">
        <v>0</v>
      </c>
      <c r="BV531" s="21">
        <v>0</v>
      </c>
      <c r="BW531" s="21">
        <v>0</v>
      </c>
      <c r="BX531" s="21">
        <v>0</v>
      </c>
      <c r="BY531" s="21">
        <v>0</v>
      </c>
      <c r="BZ531" s="21">
        <v>0</v>
      </c>
      <c r="CA531" s="21">
        <v>0</v>
      </c>
      <c r="CB531" s="21">
        <v>0</v>
      </c>
      <c r="CC531" s="21">
        <v>0</v>
      </c>
      <c r="CD531" s="21">
        <v>0</v>
      </c>
      <c r="CE531" s="21">
        <v>0</v>
      </c>
      <c r="CF531" s="21">
        <v>0</v>
      </c>
      <c r="CG531" s="21">
        <v>0</v>
      </c>
      <c r="CH531" s="21">
        <v>0</v>
      </c>
      <c r="CI531" s="21">
        <v>0</v>
      </c>
      <c r="CJ531" s="21">
        <v>0</v>
      </c>
      <c r="CK531" s="21">
        <v>0</v>
      </c>
      <c r="CL531" s="21">
        <v>0</v>
      </c>
      <c r="CM531" s="21">
        <v>0</v>
      </c>
      <c r="CN531" s="21">
        <v>0</v>
      </c>
      <c r="CO531" s="21">
        <v>0</v>
      </c>
      <c r="CP531" s="21">
        <v>0</v>
      </c>
      <c r="CQ531" s="21">
        <v>0</v>
      </c>
      <c r="CR531" s="21">
        <v>0</v>
      </c>
      <c r="CS531" s="21">
        <v>0</v>
      </c>
      <c r="CT531" s="21">
        <v>0</v>
      </c>
      <c r="CU531" s="21">
        <v>0</v>
      </c>
      <c r="CV531" s="21">
        <v>0</v>
      </c>
      <c r="CW531" s="21">
        <v>0</v>
      </c>
      <c r="CX531" s="21">
        <v>0</v>
      </c>
      <c r="CY531" s="21">
        <v>0</v>
      </c>
      <c r="CZ531" s="21">
        <v>0</v>
      </c>
      <c r="DA531" s="21">
        <v>0</v>
      </c>
      <c r="DB531" s="21">
        <v>0</v>
      </c>
      <c r="DC531" s="21">
        <v>0</v>
      </c>
      <c r="DD531" s="21">
        <v>0</v>
      </c>
      <c r="DE531" s="21">
        <v>0</v>
      </c>
      <c r="DF531" s="21">
        <v>0</v>
      </c>
      <c r="DG531" s="21">
        <v>0</v>
      </c>
      <c r="DH531" s="21">
        <v>0</v>
      </c>
      <c r="DI531" s="21">
        <v>0</v>
      </c>
      <c r="DJ531" s="21">
        <v>0</v>
      </c>
      <c r="DK531" s="21">
        <v>0</v>
      </c>
      <c r="DL531" s="21">
        <v>0</v>
      </c>
      <c r="DM531" s="21">
        <v>0</v>
      </c>
      <c r="DN531" s="21">
        <v>0</v>
      </c>
      <c r="DO531" s="21">
        <v>0</v>
      </c>
      <c r="DP531" s="21">
        <v>0</v>
      </c>
      <c r="DQ531" s="21">
        <v>0</v>
      </c>
      <c r="DR531" s="21">
        <v>0</v>
      </c>
      <c r="DS531" s="21">
        <v>0</v>
      </c>
      <c r="DT531" s="21">
        <v>0</v>
      </c>
      <c r="DU531" s="21">
        <v>0</v>
      </c>
      <c r="DV531" s="21">
        <v>0</v>
      </c>
      <c r="DW531" s="21">
        <v>0</v>
      </c>
      <c r="DX531" s="21">
        <v>0</v>
      </c>
      <c r="DY531" s="21">
        <v>0</v>
      </c>
      <c r="DZ531" s="21">
        <v>0</v>
      </c>
      <c r="EA531" s="21">
        <v>0</v>
      </c>
      <c r="EB531" s="21">
        <v>0</v>
      </c>
      <c r="EC531" s="21">
        <v>0</v>
      </c>
      <c r="ED531" s="21">
        <v>0</v>
      </c>
      <c r="EE531" s="21">
        <v>0</v>
      </c>
      <c r="EF531" s="21">
        <v>0</v>
      </c>
    </row>
    <row r="532" spans="1:136" ht="14.5" x14ac:dyDescent="0.35">
      <c r="A532" s="20" t="s">
        <v>12</v>
      </c>
      <c r="B532" s="20" t="s">
        <v>25</v>
      </c>
      <c r="C532" s="20" t="s">
        <v>25</v>
      </c>
      <c r="D532" s="20" t="s">
        <v>336</v>
      </c>
      <c r="E532" s="20" t="s">
        <v>16</v>
      </c>
      <c r="F532" s="20" t="s">
        <v>78</v>
      </c>
      <c r="G532" s="21">
        <v>0</v>
      </c>
      <c r="H532" s="21">
        <v>0</v>
      </c>
      <c r="I532" s="21">
        <v>13</v>
      </c>
      <c r="J532" s="21">
        <v>-13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  <c r="Q532" s="21">
        <v>0</v>
      </c>
      <c r="R532" s="21">
        <v>0</v>
      </c>
      <c r="S532" s="21">
        <v>0</v>
      </c>
      <c r="T532" s="21">
        <v>0</v>
      </c>
      <c r="U532" s="21">
        <v>0</v>
      </c>
      <c r="V532" s="21">
        <v>0</v>
      </c>
      <c r="W532" s="21">
        <v>0</v>
      </c>
      <c r="X532" s="21">
        <v>0</v>
      </c>
      <c r="Y532" s="21">
        <v>0</v>
      </c>
      <c r="Z532" s="21">
        <v>0</v>
      </c>
      <c r="AA532" s="21">
        <v>0</v>
      </c>
      <c r="AB532" s="21">
        <v>0</v>
      </c>
      <c r="AC532" s="21">
        <v>0</v>
      </c>
      <c r="AD532" s="21">
        <v>0</v>
      </c>
      <c r="AE532" s="21">
        <v>0</v>
      </c>
      <c r="AF532" s="21">
        <v>0</v>
      </c>
      <c r="AG532" s="21">
        <v>0</v>
      </c>
      <c r="AH532" s="21">
        <v>0</v>
      </c>
      <c r="AI532" s="21">
        <v>0</v>
      </c>
      <c r="AJ532" s="21">
        <v>0</v>
      </c>
      <c r="AK532" s="21">
        <v>0</v>
      </c>
      <c r="AL532" s="21">
        <v>0</v>
      </c>
      <c r="AM532" s="21">
        <v>0</v>
      </c>
      <c r="AN532" s="21">
        <v>0</v>
      </c>
      <c r="AO532" s="21">
        <v>0</v>
      </c>
      <c r="AP532" s="21">
        <v>0</v>
      </c>
      <c r="AQ532" s="21">
        <v>0</v>
      </c>
      <c r="AR532" s="21">
        <v>0</v>
      </c>
      <c r="AS532" s="21">
        <v>0</v>
      </c>
      <c r="AT532" s="21">
        <v>0</v>
      </c>
      <c r="AU532" s="21">
        <v>0</v>
      </c>
      <c r="AV532" s="21">
        <v>0</v>
      </c>
      <c r="AW532" s="21">
        <v>0</v>
      </c>
      <c r="AX532" s="21">
        <v>0</v>
      </c>
      <c r="AY532" s="21">
        <v>0</v>
      </c>
      <c r="AZ532" s="21">
        <v>0</v>
      </c>
      <c r="BA532" s="21">
        <v>0</v>
      </c>
      <c r="BB532" s="21">
        <v>0</v>
      </c>
      <c r="BC532" s="21">
        <v>0</v>
      </c>
      <c r="BD532" s="21">
        <v>0</v>
      </c>
      <c r="BE532" s="21">
        <v>0</v>
      </c>
      <c r="BF532" s="21">
        <v>0</v>
      </c>
      <c r="BG532" s="21">
        <v>0</v>
      </c>
      <c r="BH532" s="21">
        <v>0</v>
      </c>
      <c r="BI532" s="21">
        <v>0</v>
      </c>
      <c r="BJ532" s="21">
        <v>0</v>
      </c>
      <c r="BK532" s="21">
        <v>0</v>
      </c>
      <c r="BL532" s="21">
        <v>0</v>
      </c>
      <c r="BM532" s="21">
        <v>0</v>
      </c>
      <c r="BN532" s="21">
        <v>0</v>
      </c>
      <c r="BO532" s="21">
        <v>0</v>
      </c>
      <c r="BP532" s="21">
        <v>0</v>
      </c>
      <c r="BQ532" s="21">
        <v>0</v>
      </c>
      <c r="BR532" s="21">
        <v>0</v>
      </c>
      <c r="BS532" s="21">
        <v>0</v>
      </c>
      <c r="BT532" s="21">
        <v>0</v>
      </c>
      <c r="BU532" s="21">
        <v>0</v>
      </c>
      <c r="BV532" s="21">
        <v>0</v>
      </c>
      <c r="BW532" s="21">
        <v>0</v>
      </c>
      <c r="BX532" s="21">
        <v>0</v>
      </c>
      <c r="BY532" s="21">
        <v>0</v>
      </c>
      <c r="BZ532" s="21">
        <v>0</v>
      </c>
      <c r="CA532" s="21">
        <v>0</v>
      </c>
      <c r="CB532" s="21">
        <v>0</v>
      </c>
      <c r="CC532" s="21">
        <v>0</v>
      </c>
      <c r="CD532" s="21">
        <v>0</v>
      </c>
      <c r="CE532" s="21">
        <v>0</v>
      </c>
      <c r="CF532" s="21">
        <v>0</v>
      </c>
      <c r="CG532" s="21">
        <v>0</v>
      </c>
      <c r="CH532" s="21">
        <v>0</v>
      </c>
      <c r="CI532" s="21">
        <v>0</v>
      </c>
      <c r="CJ532" s="21">
        <v>0</v>
      </c>
      <c r="CK532" s="21">
        <v>0</v>
      </c>
      <c r="CL532" s="21">
        <v>0</v>
      </c>
      <c r="CM532" s="21">
        <v>0</v>
      </c>
      <c r="CN532" s="21">
        <v>0</v>
      </c>
      <c r="CO532" s="21">
        <v>0</v>
      </c>
      <c r="CP532" s="21">
        <v>0</v>
      </c>
      <c r="CQ532" s="21">
        <v>0</v>
      </c>
      <c r="CR532" s="21">
        <v>0</v>
      </c>
      <c r="CS532" s="21">
        <v>0.35087699999999999</v>
      </c>
      <c r="CT532" s="21">
        <v>0.35087699999999999</v>
      </c>
      <c r="CU532" s="21">
        <v>0.35087699999999999</v>
      </c>
      <c r="CV532" s="21">
        <v>0.35087699999999999</v>
      </c>
      <c r="CW532" s="21">
        <v>0.35087699999999999</v>
      </c>
      <c r="CX532" s="21">
        <v>0.35087699999999999</v>
      </c>
      <c r="CY532" s="21">
        <v>0.35087699999999999</v>
      </c>
      <c r="CZ532" s="21">
        <v>0.35087699999999999</v>
      </c>
      <c r="DA532" s="21">
        <v>0.35087699999999999</v>
      </c>
      <c r="DB532" s="21">
        <v>0.35087699999999999</v>
      </c>
      <c r="DC532" s="21">
        <v>0.35087699999999999</v>
      </c>
      <c r="DD532" s="21">
        <v>0.35087699999999999</v>
      </c>
      <c r="DE532" s="21">
        <v>0.35087699999999999</v>
      </c>
      <c r="DF532" s="21">
        <v>0.35087699999999999</v>
      </c>
      <c r="DG532" s="21">
        <v>0.35087699999999999</v>
      </c>
      <c r="DH532" s="21">
        <v>0.35087699999999999</v>
      </c>
      <c r="DI532" s="21">
        <v>0.35087699999999999</v>
      </c>
      <c r="DJ532" s="21">
        <v>0.35087699999999999</v>
      </c>
      <c r="DK532" s="21">
        <v>0.6</v>
      </c>
      <c r="DL532" s="21">
        <v>0.6</v>
      </c>
      <c r="DM532" s="21">
        <v>0.7</v>
      </c>
      <c r="DN532" s="21">
        <v>1</v>
      </c>
      <c r="DO532" s="21">
        <v>1</v>
      </c>
      <c r="DP532" s="21">
        <v>1</v>
      </c>
      <c r="DQ532" s="21">
        <v>1</v>
      </c>
      <c r="DR532" s="21">
        <v>0.8</v>
      </c>
      <c r="DS532" s="21">
        <v>0</v>
      </c>
      <c r="DT532" s="21">
        <v>0</v>
      </c>
      <c r="DU532" s="21">
        <v>0</v>
      </c>
      <c r="DV532" s="21">
        <v>0</v>
      </c>
      <c r="DW532" s="21">
        <v>0</v>
      </c>
      <c r="DX532" s="21">
        <v>0</v>
      </c>
      <c r="DY532" s="21">
        <v>0</v>
      </c>
      <c r="DZ532" s="21">
        <v>0</v>
      </c>
      <c r="EA532" s="21">
        <v>0</v>
      </c>
      <c r="EB532" s="21">
        <v>0</v>
      </c>
      <c r="EC532" s="21">
        <v>0</v>
      </c>
      <c r="ED532" s="21">
        <v>0</v>
      </c>
      <c r="EE532" s="21">
        <v>0</v>
      </c>
      <c r="EF532" s="21">
        <v>0</v>
      </c>
    </row>
    <row r="533" spans="1:136" ht="14.5" x14ac:dyDescent="0.35">
      <c r="A533" s="20" t="s">
        <v>12</v>
      </c>
      <c r="B533" s="20" t="s">
        <v>25</v>
      </c>
      <c r="C533" s="20" t="s">
        <v>25</v>
      </c>
      <c r="D533" s="20" t="s">
        <v>337</v>
      </c>
      <c r="E533" s="20" t="s">
        <v>16</v>
      </c>
      <c r="F533" s="20" t="s">
        <v>80</v>
      </c>
      <c r="G533" s="21">
        <v>6</v>
      </c>
      <c r="H533" s="21">
        <v>65</v>
      </c>
      <c r="I533" s="21">
        <v>0</v>
      </c>
      <c r="J533" s="21">
        <v>65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1">
        <v>0</v>
      </c>
      <c r="R533" s="21">
        <v>0</v>
      </c>
      <c r="S533" s="21">
        <v>0</v>
      </c>
      <c r="T533" s="21">
        <v>0</v>
      </c>
      <c r="U533" s="21">
        <v>0</v>
      </c>
      <c r="V533" s="21">
        <v>0</v>
      </c>
      <c r="W533" s="21">
        <v>0</v>
      </c>
      <c r="X533" s="21">
        <v>0</v>
      </c>
      <c r="Y533" s="21">
        <v>0</v>
      </c>
      <c r="Z533" s="21">
        <v>0</v>
      </c>
      <c r="AA533" s="21">
        <v>0</v>
      </c>
      <c r="AB533" s="21">
        <v>0</v>
      </c>
      <c r="AC533" s="21">
        <v>0</v>
      </c>
      <c r="AD533" s="21">
        <v>0</v>
      </c>
      <c r="AE533" s="21">
        <v>0</v>
      </c>
      <c r="AF533" s="21">
        <v>0</v>
      </c>
      <c r="AG533" s="21">
        <v>0</v>
      </c>
      <c r="AH533" s="21">
        <v>0</v>
      </c>
      <c r="AI533" s="21">
        <v>0</v>
      </c>
      <c r="AJ533" s="21">
        <v>0</v>
      </c>
      <c r="AK533" s="21">
        <v>0</v>
      </c>
      <c r="AL533" s="21">
        <v>0</v>
      </c>
      <c r="AM533" s="21">
        <v>0</v>
      </c>
      <c r="AN533" s="21">
        <v>0</v>
      </c>
      <c r="AO533" s="21">
        <v>0</v>
      </c>
      <c r="AP533" s="21">
        <v>0</v>
      </c>
      <c r="AQ533" s="21">
        <v>0</v>
      </c>
      <c r="AR533" s="21">
        <v>0</v>
      </c>
      <c r="AS533" s="21">
        <v>0</v>
      </c>
      <c r="AT533" s="21">
        <v>0</v>
      </c>
      <c r="AU533" s="21">
        <v>0</v>
      </c>
      <c r="AV533" s="21">
        <v>0</v>
      </c>
      <c r="AW533" s="21">
        <v>0</v>
      </c>
      <c r="AX533" s="21">
        <v>0</v>
      </c>
      <c r="AY533" s="21">
        <v>0</v>
      </c>
      <c r="AZ533" s="21">
        <v>0</v>
      </c>
      <c r="BA533" s="21">
        <v>0</v>
      </c>
      <c r="BB533" s="21">
        <v>0</v>
      </c>
      <c r="BC533" s="21">
        <v>0</v>
      </c>
      <c r="BD533" s="21">
        <v>0</v>
      </c>
      <c r="BE533" s="21">
        <v>0</v>
      </c>
      <c r="BF533" s="21">
        <v>0</v>
      </c>
      <c r="BG533" s="21">
        <v>0</v>
      </c>
      <c r="BH533" s="21">
        <v>0</v>
      </c>
      <c r="BI533" s="21">
        <v>0</v>
      </c>
      <c r="BJ533" s="21">
        <v>0</v>
      </c>
      <c r="BK533" s="21">
        <v>0</v>
      </c>
      <c r="BL533" s="21">
        <v>0</v>
      </c>
      <c r="BM533" s="21">
        <v>0</v>
      </c>
      <c r="BN533" s="21">
        <v>0</v>
      </c>
      <c r="BO533" s="21">
        <v>0</v>
      </c>
      <c r="BP533" s="21">
        <v>0</v>
      </c>
      <c r="BQ533" s="21">
        <v>0</v>
      </c>
      <c r="BR533" s="21">
        <v>0</v>
      </c>
      <c r="BS533" s="21">
        <v>0</v>
      </c>
      <c r="BT533" s="21">
        <v>0</v>
      </c>
      <c r="BU533" s="21">
        <v>0</v>
      </c>
      <c r="BV533" s="21">
        <v>0</v>
      </c>
      <c r="BW533" s="21">
        <v>0</v>
      </c>
      <c r="BX533" s="21">
        <v>0</v>
      </c>
      <c r="BY533" s="21">
        <v>0</v>
      </c>
      <c r="BZ533" s="21">
        <v>0</v>
      </c>
      <c r="CA533" s="21">
        <v>0</v>
      </c>
      <c r="CB533" s="21">
        <v>0</v>
      </c>
      <c r="CC533" s="21">
        <v>0</v>
      </c>
      <c r="CD533" s="21">
        <v>0</v>
      </c>
      <c r="CE533" s="21">
        <v>0</v>
      </c>
      <c r="CF533" s="21">
        <v>0</v>
      </c>
      <c r="CG533" s="21">
        <v>0</v>
      </c>
      <c r="CH533" s="21">
        <v>0</v>
      </c>
      <c r="CI533" s="21">
        <v>0</v>
      </c>
      <c r="CJ533" s="21">
        <v>0</v>
      </c>
      <c r="CK533" s="21">
        <v>0</v>
      </c>
      <c r="CL533" s="21">
        <v>0</v>
      </c>
      <c r="CM533" s="21">
        <v>0</v>
      </c>
      <c r="CN533" s="21">
        <v>0</v>
      </c>
      <c r="CO533" s="21">
        <v>0</v>
      </c>
      <c r="CP533" s="21">
        <v>0</v>
      </c>
      <c r="CQ533" s="21">
        <v>0</v>
      </c>
      <c r="CR533" s="21">
        <v>0</v>
      </c>
      <c r="CS533" s="21">
        <v>0</v>
      </c>
      <c r="CT533" s="21">
        <v>0</v>
      </c>
      <c r="CU533" s="21">
        <v>0</v>
      </c>
      <c r="CV533" s="21">
        <v>0</v>
      </c>
      <c r="CW533" s="21">
        <v>0</v>
      </c>
      <c r="CX533" s="21">
        <v>0</v>
      </c>
      <c r="CY533" s="21">
        <v>0</v>
      </c>
      <c r="CZ533" s="21">
        <v>0</v>
      </c>
      <c r="DA533" s="21">
        <v>0</v>
      </c>
      <c r="DB533" s="21">
        <v>0</v>
      </c>
      <c r="DC533" s="21">
        <v>0</v>
      </c>
      <c r="DD533" s="21">
        <v>0</v>
      </c>
      <c r="DE533" s="21">
        <v>0</v>
      </c>
      <c r="DF533" s="21">
        <v>0</v>
      </c>
      <c r="DG533" s="21">
        <v>0</v>
      </c>
      <c r="DH533" s="21">
        <v>0</v>
      </c>
      <c r="DI533" s="21">
        <v>0</v>
      </c>
      <c r="DJ533" s="21">
        <v>0</v>
      </c>
      <c r="DK533" s="21">
        <v>0</v>
      </c>
      <c r="DL533" s="21">
        <v>0</v>
      </c>
      <c r="DM533" s="21">
        <v>0</v>
      </c>
      <c r="DN533" s="21">
        <v>0</v>
      </c>
      <c r="DO533" s="21">
        <v>0</v>
      </c>
      <c r="DP533" s="21">
        <v>0</v>
      </c>
      <c r="DQ533" s="21">
        <v>0</v>
      </c>
      <c r="DR533" s="21">
        <v>0</v>
      </c>
      <c r="DS533" s="21">
        <v>0</v>
      </c>
      <c r="DT533" s="21">
        <v>0</v>
      </c>
      <c r="DU533" s="21">
        <v>0</v>
      </c>
      <c r="DV533" s="21">
        <v>0</v>
      </c>
      <c r="DW533" s="21">
        <v>0</v>
      </c>
      <c r="DX533" s="21">
        <v>0</v>
      </c>
      <c r="DY533" s="21">
        <v>0</v>
      </c>
      <c r="DZ533" s="21">
        <v>0</v>
      </c>
      <c r="EA533" s="21">
        <v>0</v>
      </c>
      <c r="EB533" s="21">
        <v>0</v>
      </c>
      <c r="EC533" s="21">
        <v>0</v>
      </c>
      <c r="ED533" s="21">
        <v>0</v>
      </c>
      <c r="EE533" s="21">
        <v>0</v>
      </c>
      <c r="EF533" s="21">
        <v>0</v>
      </c>
    </row>
    <row r="534" spans="1:136" ht="14.5" x14ac:dyDescent="0.35">
      <c r="A534" s="20" t="s">
        <v>12</v>
      </c>
      <c r="B534" s="20" t="s">
        <v>25</v>
      </c>
      <c r="C534" s="20" t="s">
        <v>25</v>
      </c>
      <c r="D534" s="20" t="s">
        <v>336</v>
      </c>
      <c r="E534" s="20" t="s">
        <v>16</v>
      </c>
      <c r="F534" s="20" t="s">
        <v>80</v>
      </c>
      <c r="G534" s="21">
        <v>0</v>
      </c>
      <c r="H534" s="21">
        <v>0</v>
      </c>
      <c r="I534" s="21">
        <v>65</v>
      </c>
      <c r="J534" s="21">
        <v>-65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  <c r="Q534" s="21">
        <v>0</v>
      </c>
      <c r="R534" s="21">
        <v>0</v>
      </c>
      <c r="S534" s="21">
        <v>0</v>
      </c>
      <c r="T534" s="21">
        <v>0</v>
      </c>
      <c r="U534" s="21">
        <v>0</v>
      </c>
      <c r="V534" s="21">
        <v>0</v>
      </c>
      <c r="W534" s="21">
        <v>0</v>
      </c>
      <c r="X534" s="21">
        <v>0</v>
      </c>
      <c r="Y534" s="21">
        <v>0</v>
      </c>
      <c r="Z534" s="21">
        <v>0</v>
      </c>
      <c r="AA534" s="21">
        <v>0</v>
      </c>
      <c r="AB534" s="21">
        <v>0</v>
      </c>
      <c r="AC534" s="21">
        <v>0</v>
      </c>
      <c r="AD534" s="21">
        <v>0</v>
      </c>
      <c r="AE534" s="21">
        <v>0</v>
      </c>
      <c r="AF534" s="21">
        <v>0</v>
      </c>
      <c r="AG534" s="21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0</v>
      </c>
      <c r="AM534" s="21">
        <v>0</v>
      </c>
      <c r="AN534" s="21">
        <v>0</v>
      </c>
      <c r="AO534" s="21">
        <v>0</v>
      </c>
      <c r="AP534" s="21">
        <v>0</v>
      </c>
      <c r="AQ534" s="21">
        <v>0</v>
      </c>
      <c r="AR534" s="21">
        <v>0</v>
      </c>
      <c r="AS534" s="21">
        <v>0</v>
      </c>
      <c r="AT534" s="21">
        <v>0</v>
      </c>
      <c r="AU534" s="21">
        <v>0</v>
      </c>
      <c r="AV534" s="21">
        <v>0</v>
      </c>
      <c r="AW534" s="21">
        <v>0</v>
      </c>
      <c r="AX534" s="21">
        <v>0</v>
      </c>
      <c r="AY534" s="21">
        <v>0</v>
      </c>
      <c r="AZ534" s="21">
        <v>0</v>
      </c>
      <c r="BA534" s="21">
        <v>0</v>
      </c>
      <c r="BB534" s="21">
        <v>0</v>
      </c>
      <c r="BC534" s="21">
        <v>0</v>
      </c>
      <c r="BD534" s="21">
        <v>0</v>
      </c>
      <c r="BE534" s="21">
        <v>0</v>
      </c>
      <c r="BF534" s="21">
        <v>0</v>
      </c>
      <c r="BG534" s="21">
        <v>0</v>
      </c>
      <c r="BH534" s="21">
        <v>0</v>
      </c>
      <c r="BI534" s="21">
        <v>0</v>
      </c>
      <c r="BJ534" s="21">
        <v>0</v>
      </c>
      <c r="BK534" s="21">
        <v>0</v>
      </c>
      <c r="BL534" s="21">
        <v>0</v>
      </c>
      <c r="BM534" s="21">
        <v>0</v>
      </c>
      <c r="BN534" s="21">
        <v>0</v>
      </c>
      <c r="BO534" s="21">
        <v>0</v>
      </c>
      <c r="BP534" s="21">
        <v>0</v>
      </c>
      <c r="BQ534" s="21">
        <v>0</v>
      </c>
      <c r="BR534" s="21">
        <v>0</v>
      </c>
      <c r="BS534" s="21">
        <v>0</v>
      </c>
      <c r="BT534" s="21">
        <v>0</v>
      </c>
      <c r="BU534" s="21">
        <v>0</v>
      </c>
      <c r="BV534" s="21">
        <v>0</v>
      </c>
      <c r="BW534" s="21">
        <v>0</v>
      </c>
      <c r="BX534" s="21">
        <v>0</v>
      </c>
      <c r="BY534" s="21">
        <v>0</v>
      </c>
      <c r="BZ534" s="21">
        <v>0</v>
      </c>
      <c r="CA534" s="21">
        <v>0</v>
      </c>
      <c r="CB534" s="21">
        <v>0</v>
      </c>
      <c r="CC534" s="21">
        <v>0</v>
      </c>
      <c r="CD534" s="21">
        <v>0</v>
      </c>
      <c r="CE534" s="21">
        <v>0</v>
      </c>
      <c r="CF534" s="21">
        <v>0</v>
      </c>
      <c r="CG534" s="21">
        <v>0</v>
      </c>
      <c r="CH534" s="21">
        <v>0</v>
      </c>
      <c r="CI534" s="21">
        <v>0</v>
      </c>
      <c r="CJ534" s="21">
        <v>0</v>
      </c>
      <c r="CK534" s="21">
        <v>0</v>
      </c>
      <c r="CL534" s="21">
        <v>0</v>
      </c>
      <c r="CM534" s="21">
        <v>0</v>
      </c>
      <c r="CN534" s="21">
        <v>0</v>
      </c>
      <c r="CO534" s="21">
        <v>0</v>
      </c>
      <c r="CP534" s="21">
        <v>0</v>
      </c>
      <c r="CQ534" s="21">
        <v>0</v>
      </c>
      <c r="CR534" s="21">
        <v>0</v>
      </c>
      <c r="CS534" s="21">
        <v>0</v>
      </c>
      <c r="CT534" s="21">
        <v>6</v>
      </c>
      <c r="CU534" s="21">
        <v>7</v>
      </c>
      <c r="CV534" s="21">
        <v>7</v>
      </c>
      <c r="CW534" s="21">
        <v>2</v>
      </c>
      <c r="CX534" s="21">
        <v>1</v>
      </c>
      <c r="CY534" s="21">
        <v>1</v>
      </c>
      <c r="CZ534" s="21">
        <v>2</v>
      </c>
      <c r="DA534" s="21">
        <v>2</v>
      </c>
      <c r="DB534" s="21">
        <v>0</v>
      </c>
      <c r="DC534" s="21">
        <v>0</v>
      </c>
      <c r="DD534" s="21">
        <v>0</v>
      </c>
      <c r="DE534" s="21">
        <v>0</v>
      </c>
      <c r="DF534" s="21">
        <v>0</v>
      </c>
      <c r="DG534" s="21">
        <v>2</v>
      </c>
      <c r="DH534" s="21">
        <v>2</v>
      </c>
      <c r="DI534" s="21">
        <v>0</v>
      </c>
      <c r="DJ534" s="21">
        <v>0</v>
      </c>
      <c r="DK534" s="21">
        <v>2</v>
      </c>
      <c r="DL534" s="21">
        <v>3</v>
      </c>
      <c r="DM534" s="21">
        <v>3</v>
      </c>
      <c r="DN534" s="21">
        <v>5</v>
      </c>
      <c r="DO534" s="21">
        <v>5</v>
      </c>
      <c r="DP534" s="21">
        <v>5</v>
      </c>
      <c r="DQ534" s="21">
        <v>5</v>
      </c>
      <c r="DR534" s="21">
        <v>5</v>
      </c>
      <c r="DS534" s="21">
        <v>0</v>
      </c>
      <c r="DT534" s="21">
        <v>0</v>
      </c>
      <c r="DU534" s="21">
        <v>0</v>
      </c>
      <c r="DV534" s="21">
        <v>0</v>
      </c>
      <c r="DW534" s="21">
        <v>0</v>
      </c>
      <c r="DX534" s="21">
        <v>0</v>
      </c>
      <c r="DY534" s="21">
        <v>0</v>
      </c>
      <c r="DZ534" s="21">
        <v>0</v>
      </c>
      <c r="EA534" s="21">
        <v>0</v>
      </c>
      <c r="EB534" s="21">
        <v>0</v>
      </c>
      <c r="EC534" s="21">
        <v>0</v>
      </c>
      <c r="ED534" s="21">
        <v>0</v>
      </c>
      <c r="EE534" s="21">
        <v>0</v>
      </c>
      <c r="EF534" s="21">
        <v>0</v>
      </c>
    </row>
    <row r="535" spans="1:136" ht="14.5" x14ac:dyDescent="0.35">
      <c r="A535" s="20" t="s">
        <v>12</v>
      </c>
      <c r="B535" s="20" t="s">
        <v>25</v>
      </c>
      <c r="C535" s="20" t="s">
        <v>25</v>
      </c>
      <c r="D535" s="20" t="s">
        <v>337</v>
      </c>
      <c r="E535" s="20" t="s">
        <v>16</v>
      </c>
      <c r="F535" s="20" t="s">
        <v>40</v>
      </c>
      <c r="G535" s="21">
        <v>0</v>
      </c>
      <c r="H535" s="21">
        <v>15</v>
      </c>
      <c r="I535" s="21">
        <v>0</v>
      </c>
      <c r="J535" s="21">
        <v>15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21">
        <v>0</v>
      </c>
      <c r="S535" s="21">
        <v>0</v>
      </c>
      <c r="T535" s="21">
        <v>0</v>
      </c>
      <c r="U535" s="21">
        <v>0</v>
      </c>
      <c r="V535" s="21">
        <v>0</v>
      </c>
      <c r="W535" s="21">
        <v>0</v>
      </c>
      <c r="X535" s="21">
        <v>0</v>
      </c>
      <c r="Y535" s="21">
        <v>0</v>
      </c>
      <c r="Z535" s="21">
        <v>0</v>
      </c>
      <c r="AA535" s="21">
        <v>0</v>
      </c>
      <c r="AB535" s="21">
        <v>0</v>
      </c>
      <c r="AC535" s="21">
        <v>0</v>
      </c>
      <c r="AD535" s="21">
        <v>0</v>
      </c>
      <c r="AE535" s="21">
        <v>0</v>
      </c>
      <c r="AF535" s="21">
        <v>0</v>
      </c>
      <c r="AG535" s="21">
        <v>0</v>
      </c>
      <c r="AH535" s="21">
        <v>0</v>
      </c>
      <c r="AI535" s="21">
        <v>0</v>
      </c>
      <c r="AJ535" s="21">
        <v>0</v>
      </c>
      <c r="AK535" s="21">
        <v>0</v>
      </c>
      <c r="AL535" s="21">
        <v>0</v>
      </c>
      <c r="AM535" s="21">
        <v>0</v>
      </c>
      <c r="AN535" s="21">
        <v>0</v>
      </c>
      <c r="AO535" s="21">
        <v>0</v>
      </c>
      <c r="AP535" s="21">
        <v>0</v>
      </c>
      <c r="AQ535" s="21">
        <v>0</v>
      </c>
      <c r="AR535" s="21">
        <v>0</v>
      </c>
      <c r="AS535" s="21">
        <v>0</v>
      </c>
      <c r="AT535" s="21">
        <v>0</v>
      </c>
      <c r="AU535" s="21">
        <v>0</v>
      </c>
      <c r="AV535" s="21">
        <v>0</v>
      </c>
      <c r="AW535" s="21">
        <v>0</v>
      </c>
      <c r="AX535" s="21">
        <v>0</v>
      </c>
      <c r="AY535" s="21">
        <v>0</v>
      </c>
      <c r="AZ535" s="21">
        <v>0</v>
      </c>
      <c r="BA535" s="21">
        <v>0</v>
      </c>
      <c r="BB535" s="21">
        <v>0</v>
      </c>
      <c r="BC535" s="21">
        <v>0</v>
      </c>
      <c r="BD535" s="21">
        <v>0</v>
      </c>
      <c r="BE535" s="21">
        <v>0</v>
      </c>
      <c r="BF535" s="21">
        <v>0</v>
      </c>
      <c r="BG535" s="21">
        <v>0</v>
      </c>
      <c r="BH535" s="21">
        <v>0</v>
      </c>
      <c r="BI535" s="21">
        <v>0</v>
      </c>
      <c r="BJ535" s="21">
        <v>0</v>
      </c>
      <c r="BK535" s="21">
        <v>0</v>
      </c>
      <c r="BL535" s="21">
        <v>0</v>
      </c>
      <c r="BM535" s="21">
        <v>0</v>
      </c>
      <c r="BN535" s="21">
        <v>0</v>
      </c>
      <c r="BO535" s="21">
        <v>0</v>
      </c>
      <c r="BP535" s="21">
        <v>0</v>
      </c>
      <c r="BQ535" s="21">
        <v>0</v>
      </c>
      <c r="BR535" s="21">
        <v>0</v>
      </c>
      <c r="BS535" s="21">
        <v>0</v>
      </c>
      <c r="BT535" s="21">
        <v>0</v>
      </c>
      <c r="BU535" s="21">
        <v>0</v>
      </c>
      <c r="BV535" s="21">
        <v>0</v>
      </c>
      <c r="BW535" s="21">
        <v>0</v>
      </c>
      <c r="BX535" s="21">
        <v>0</v>
      </c>
      <c r="BY535" s="21">
        <v>0</v>
      </c>
      <c r="BZ535" s="21">
        <v>0</v>
      </c>
      <c r="CA535" s="21">
        <v>0</v>
      </c>
      <c r="CB535" s="21">
        <v>0</v>
      </c>
      <c r="CC535" s="21">
        <v>0</v>
      </c>
      <c r="CD535" s="21">
        <v>0</v>
      </c>
      <c r="CE535" s="21">
        <v>0</v>
      </c>
      <c r="CF535" s="21">
        <v>0</v>
      </c>
      <c r="CG535" s="21">
        <v>0</v>
      </c>
      <c r="CH535" s="21">
        <v>0</v>
      </c>
      <c r="CI535" s="21">
        <v>0</v>
      </c>
      <c r="CJ535" s="21">
        <v>0</v>
      </c>
      <c r="CK535" s="21">
        <v>0</v>
      </c>
      <c r="CL535" s="21">
        <v>0</v>
      </c>
      <c r="CM535" s="21">
        <v>0</v>
      </c>
      <c r="CN535" s="21">
        <v>0</v>
      </c>
      <c r="CO535" s="21">
        <v>0</v>
      </c>
      <c r="CP535" s="21">
        <v>0</v>
      </c>
      <c r="CQ535" s="21">
        <v>0</v>
      </c>
      <c r="CR535" s="21">
        <v>0</v>
      </c>
      <c r="CS535" s="21">
        <v>0</v>
      </c>
      <c r="CT535" s="21">
        <v>0</v>
      </c>
      <c r="CU535" s="21">
        <v>0</v>
      </c>
      <c r="CV535" s="21">
        <v>0</v>
      </c>
      <c r="CW535" s="21">
        <v>0</v>
      </c>
      <c r="CX535" s="21">
        <v>0</v>
      </c>
      <c r="CY535" s="21">
        <v>0</v>
      </c>
      <c r="CZ535" s="21">
        <v>0</v>
      </c>
      <c r="DA535" s="21">
        <v>0</v>
      </c>
      <c r="DB535" s="21">
        <v>0</v>
      </c>
      <c r="DC535" s="21">
        <v>0</v>
      </c>
      <c r="DD535" s="21">
        <v>0</v>
      </c>
      <c r="DE535" s="21">
        <v>0</v>
      </c>
      <c r="DF535" s="21">
        <v>0</v>
      </c>
      <c r="DG535" s="21">
        <v>0</v>
      </c>
      <c r="DH535" s="21">
        <v>0</v>
      </c>
      <c r="DI535" s="21">
        <v>0</v>
      </c>
      <c r="DJ535" s="21">
        <v>0</v>
      </c>
      <c r="DK535" s="21">
        <v>0</v>
      </c>
      <c r="DL535" s="21">
        <v>0</v>
      </c>
      <c r="DM535" s="21">
        <v>0</v>
      </c>
      <c r="DN535" s="21">
        <v>0</v>
      </c>
      <c r="DO535" s="21">
        <v>0</v>
      </c>
      <c r="DP535" s="21">
        <v>0</v>
      </c>
      <c r="DQ535" s="21">
        <v>0</v>
      </c>
      <c r="DR535" s="21">
        <v>0</v>
      </c>
      <c r="DS535" s="21">
        <v>0</v>
      </c>
      <c r="DT535" s="21">
        <v>0</v>
      </c>
      <c r="DU535" s="21">
        <v>0</v>
      </c>
      <c r="DV535" s="21">
        <v>0</v>
      </c>
      <c r="DW535" s="21">
        <v>0</v>
      </c>
      <c r="DX535" s="21">
        <v>0</v>
      </c>
      <c r="DY535" s="21">
        <v>0</v>
      </c>
      <c r="DZ535" s="21">
        <v>0</v>
      </c>
      <c r="EA535" s="21">
        <v>0</v>
      </c>
      <c r="EB535" s="21">
        <v>0</v>
      </c>
      <c r="EC535" s="21">
        <v>0</v>
      </c>
      <c r="ED535" s="21">
        <v>0</v>
      </c>
      <c r="EE535" s="21">
        <v>0</v>
      </c>
      <c r="EF535" s="21">
        <v>0</v>
      </c>
    </row>
    <row r="536" spans="1:136" ht="14.5" x14ac:dyDescent="0.35">
      <c r="A536" s="20" t="s">
        <v>12</v>
      </c>
      <c r="B536" s="20" t="s">
        <v>25</v>
      </c>
      <c r="C536" s="20" t="s">
        <v>25</v>
      </c>
      <c r="D536" s="20" t="s">
        <v>336</v>
      </c>
      <c r="E536" s="20" t="s">
        <v>16</v>
      </c>
      <c r="F536" s="20" t="s">
        <v>40</v>
      </c>
      <c r="G536" s="21">
        <v>0</v>
      </c>
      <c r="H536" s="21">
        <v>0</v>
      </c>
      <c r="I536" s="21">
        <v>15</v>
      </c>
      <c r="J536" s="21">
        <v>-15</v>
      </c>
      <c r="K536" s="21">
        <v>0</v>
      </c>
      <c r="L536" s="21">
        <v>0</v>
      </c>
      <c r="M536" s="21">
        <v>0</v>
      </c>
      <c r="N536" s="21">
        <v>0</v>
      </c>
      <c r="O536" s="21">
        <v>0</v>
      </c>
      <c r="P536" s="21">
        <v>0</v>
      </c>
      <c r="Q536" s="21">
        <v>0</v>
      </c>
      <c r="R536" s="21">
        <v>0</v>
      </c>
      <c r="S536" s="21">
        <v>0</v>
      </c>
      <c r="T536" s="21">
        <v>0</v>
      </c>
      <c r="U536" s="21">
        <v>0</v>
      </c>
      <c r="V536" s="21">
        <v>0</v>
      </c>
      <c r="W536" s="21">
        <v>0</v>
      </c>
      <c r="X536" s="21">
        <v>0</v>
      </c>
      <c r="Y536" s="21">
        <v>0</v>
      </c>
      <c r="Z536" s="21">
        <v>0</v>
      </c>
      <c r="AA536" s="21">
        <v>0</v>
      </c>
      <c r="AB536" s="21">
        <v>0</v>
      </c>
      <c r="AC536" s="21">
        <v>0</v>
      </c>
      <c r="AD536" s="21">
        <v>0</v>
      </c>
      <c r="AE536" s="21">
        <v>0</v>
      </c>
      <c r="AF536" s="21">
        <v>0</v>
      </c>
      <c r="AG536" s="21">
        <v>0</v>
      </c>
      <c r="AH536" s="21">
        <v>0</v>
      </c>
      <c r="AI536" s="21">
        <v>0</v>
      </c>
      <c r="AJ536" s="21">
        <v>0</v>
      </c>
      <c r="AK536" s="21">
        <v>0</v>
      </c>
      <c r="AL536" s="21">
        <v>0</v>
      </c>
      <c r="AM536" s="21">
        <v>0</v>
      </c>
      <c r="AN536" s="21">
        <v>0</v>
      </c>
      <c r="AO536" s="21">
        <v>0</v>
      </c>
      <c r="AP536" s="21">
        <v>0</v>
      </c>
      <c r="AQ536" s="21">
        <v>0</v>
      </c>
      <c r="AR536" s="21">
        <v>0</v>
      </c>
      <c r="AS536" s="21">
        <v>0</v>
      </c>
      <c r="AT536" s="21">
        <v>0</v>
      </c>
      <c r="AU536" s="21">
        <v>0</v>
      </c>
      <c r="AV536" s="21">
        <v>0</v>
      </c>
      <c r="AW536" s="21">
        <v>0</v>
      </c>
      <c r="AX536" s="21">
        <v>0</v>
      </c>
      <c r="AY536" s="21">
        <v>0</v>
      </c>
      <c r="AZ536" s="21">
        <v>0</v>
      </c>
      <c r="BA536" s="21">
        <v>0</v>
      </c>
      <c r="BB536" s="21">
        <v>0</v>
      </c>
      <c r="BC536" s="21">
        <v>0</v>
      </c>
      <c r="BD536" s="21">
        <v>0</v>
      </c>
      <c r="BE536" s="21">
        <v>0</v>
      </c>
      <c r="BF536" s="21">
        <v>0</v>
      </c>
      <c r="BG536" s="21">
        <v>0</v>
      </c>
      <c r="BH536" s="21">
        <v>0</v>
      </c>
      <c r="BI536" s="21">
        <v>0</v>
      </c>
      <c r="BJ536" s="21">
        <v>0</v>
      </c>
      <c r="BK536" s="21">
        <v>0</v>
      </c>
      <c r="BL536" s="21">
        <v>0</v>
      </c>
      <c r="BM536" s="21">
        <v>0</v>
      </c>
      <c r="BN536" s="21">
        <v>0</v>
      </c>
      <c r="BO536" s="21">
        <v>0</v>
      </c>
      <c r="BP536" s="21">
        <v>0</v>
      </c>
      <c r="BQ536" s="21">
        <v>0</v>
      </c>
      <c r="BR536" s="21">
        <v>0</v>
      </c>
      <c r="BS536" s="21">
        <v>0</v>
      </c>
      <c r="BT536" s="21">
        <v>0</v>
      </c>
      <c r="BU536" s="21">
        <v>0</v>
      </c>
      <c r="BV536" s="21">
        <v>0</v>
      </c>
      <c r="BW536" s="21">
        <v>0</v>
      </c>
      <c r="BX536" s="21">
        <v>0</v>
      </c>
      <c r="BY536" s="21">
        <v>0</v>
      </c>
      <c r="BZ536" s="21">
        <v>0</v>
      </c>
      <c r="CA536" s="21">
        <v>0</v>
      </c>
      <c r="CB536" s="21">
        <v>0</v>
      </c>
      <c r="CC536" s="21">
        <v>0</v>
      </c>
      <c r="CD536" s="21">
        <v>0</v>
      </c>
      <c r="CE536" s="21">
        <v>0</v>
      </c>
      <c r="CF536" s="21">
        <v>0</v>
      </c>
      <c r="CG536" s="21">
        <v>0</v>
      </c>
      <c r="CH536" s="21">
        <v>0</v>
      </c>
      <c r="CI536" s="21">
        <v>0</v>
      </c>
      <c r="CJ536" s="21">
        <v>0</v>
      </c>
      <c r="CK536" s="21">
        <v>0</v>
      </c>
      <c r="CL536" s="21">
        <v>0</v>
      </c>
      <c r="CM536" s="21">
        <v>0</v>
      </c>
      <c r="CN536" s="21">
        <v>0</v>
      </c>
      <c r="CO536" s="21">
        <v>0</v>
      </c>
      <c r="CP536" s="21">
        <v>0</v>
      </c>
      <c r="CQ536" s="21">
        <v>0</v>
      </c>
      <c r="CR536" s="21">
        <v>0</v>
      </c>
      <c r="CS536" s="21">
        <v>0</v>
      </c>
      <c r="CT536" s="21">
        <v>0</v>
      </c>
      <c r="CU536" s="21">
        <v>0</v>
      </c>
      <c r="CV536" s="21">
        <v>0</v>
      </c>
      <c r="CW536" s="21">
        <v>0</v>
      </c>
      <c r="CX536" s="21">
        <v>0</v>
      </c>
      <c r="CY536" s="21">
        <v>0</v>
      </c>
      <c r="CZ536" s="21">
        <v>0</v>
      </c>
      <c r="DA536" s="21">
        <v>0</v>
      </c>
      <c r="DB536" s="21">
        <v>0</v>
      </c>
      <c r="DC536" s="21">
        <v>0</v>
      </c>
      <c r="DD536" s="21">
        <v>0</v>
      </c>
      <c r="DE536" s="21">
        <v>0</v>
      </c>
      <c r="DF536" s="21">
        <v>0</v>
      </c>
      <c r="DG536" s="21">
        <v>0</v>
      </c>
      <c r="DH536" s="21">
        <v>0</v>
      </c>
      <c r="DI536" s="21">
        <v>0</v>
      </c>
      <c r="DJ536" s="21">
        <v>0</v>
      </c>
      <c r="DK536" s="21">
        <v>0</v>
      </c>
      <c r="DL536" s="21">
        <v>0</v>
      </c>
      <c r="DM536" s="21">
        <v>0</v>
      </c>
      <c r="DN536" s="21">
        <v>0</v>
      </c>
      <c r="DO536" s="21">
        <v>0</v>
      </c>
      <c r="DP536" s="21">
        <v>5</v>
      </c>
      <c r="DQ536" s="21">
        <v>5</v>
      </c>
      <c r="DR536" s="21">
        <v>5</v>
      </c>
      <c r="DS536" s="21">
        <v>0</v>
      </c>
      <c r="DT536" s="21">
        <v>0</v>
      </c>
      <c r="DU536" s="21">
        <v>0</v>
      </c>
      <c r="DV536" s="21">
        <v>0</v>
      </c>
      <c r="DW536" s="21">
        <v>0</v>
      </c>
      <c r="DX536" s="21">
        <v>0</v>
      </c>
      <c r="DY536" s="21">
        <v>0</v>
      </c>
      <c r="DZ536" s="21">
        <v>0</v>
      </c>
      <c r="EA536" s="21">
        <v>0</v>
      </c>
      <c r="EB536" s="21">
        <v>0</v>
      </c>
      <c r="EC536" s="21">
        <v>0</v>
      </c>
      <c r="ED536" s="21">
        <v>0</v>
      </c>
      <c r="EE536" s="21">
        <v>0</v>
      </c>
      <c r="EF536" s="21">
        <v>0</v>
      </c>
    </row>
    <row r="537" spans="1:136" ht="14.5" x14ac:dyDescent="0.35">
      <c r="A537" s="20" t="s">
        <v>12</v>
      </c>
      <c r="B537" s="20" t="s">
        <v>25</v>
      </c>
      <c r="C537" s="20" t="s">
        <v>25</v>
      </c>
      <c r="D537" s="20" t="s">
        <v>337</v>
      </c>
      <c r="E537" s="20" t="s">
        <v>16</v>
      </c>
      <c r="F537" s="20" t="s">
        <v>103</v>
      </c>
      <c r="G537" s="21">
        <v>40.5</v>
      </c>
      <c r="H537" s="21">
        <v>265.5</v>
      </c>
      <c r="I537" s="21">
        <v>26</v>
      </c>
      <c r="J537" s="21">
        <v>239.5</v>
      </c>
      <c r="K537" s="21">
        <v>0</v>
      </c>
      <c r="L537" s="21">
        <v>0</v>
      </c>
      <c r="M537" s="21">
        <v>0</v>
      </c>
      <c r="N537" s="21">
        <v>0</v>
      </c>
      <c r="O537" s="21">
        <v>0</v>
      </c>
      <c r="P537" s="21">
        <v>0</v>
      </c>
      <c r="Q537" s="21">
        <v>0</v>
      </c>
      <c r="R537" s="21">
        <v>0</v>
      </c>
      <c r="S537" s="21">
        <v>0</v>
      </c>
      <c r="T537" s="21">
        <v>0</v>
      </c>
      <c r="U537" s="21">
        <v>0</v>
      </c>
      <c r="V537" s="21">
        <v>0</v>
      </c>
      <c r="W537" s="21">
        <v>0</v>
      </c>
      <c r="X537" s="21">
        <v>0</v>
      </c>
      <c r="Y537" s="21">
        <v>0</v>
      </c>
      <c r="Z537" s="21">
        <v>0</v>
      </c>
      <c r="AA537" s="21">
        <v>0</v>
      </c>
      <c r="AB537" s="21">
        <v>0</v>
      </c>
      <c r="AC537" s="21">
        <v>0</v>
      </c>
      <c r="AD537" s="21">
        <v>1</v>
      </c>
      <c r="AE537" s="21">
        <v>3</v>
      </c>
      <c r="AF537" s="21">
        <v>4</v>
      </c>
      <c r="AG537" s="21">
        <v>7.5</v>
      </c>
      <c r="AH537" s="21">
        <v>3.5</v>
      </c>
      <c r="AI537" s="21">
        <v>5</v>
      </c>
      <c r="AJ537" s="21">
        <v>2</v>
      </c>
      <c r="AK537" s="21">
        <v>0</v>
      </c>
      <c r="AL537" s="21">
        <v>0</v>
      </c>
      <c r="AM537" s="21">
        <v>0</v>
      </c>
      <c r="AN537" s="21">
        <v>0</v>
      </c>
      <c r="AO537" s="21">
        <v>0</v>
      </c>
      <c r="AP537" s="21">
        <v>0</v>
      </c>
      <c r="AQ537" s="21">
        <v>0</v>
      </c>
      <c r="AR537" s="21">
        <v>0</v>
      </c>
      <c r="AS537" s="21">
        <v>0</v>
      </c>
      <c r="AT537" s="21">
        <v>0</v>
      </c>
      <c r="AU537" s="21">
        <v>0</v>
      </c>
      <c r="AV537" s="21">
        <v>0</v>
      </c>
      <c r="AW537" s="21">
        <v>0</v>
      </c>
      <c r="AX537" s="21">
        <v>0</v>
      </c>
      <c r="AY537" s="21">
        <v>0</v>
      </c>
      <c r="AZ537" s="21">
        <v>0</v>
      </c>
      <c r="BA537" s="21">
        <v>0</v>
      </c>
      <c r="BB537" s="21">
        <v>0</v>
      </c>
      <c r="BC537" s="21">
        <v>0</v>
      </c>
      <c r="BD537" s="21">
        <v>0</v>
      </c>
      <c r="BE537" s="21">
        <v>0</v>
      </c>
      <c r="BF537" s="21">
        <v>0</v>
      </c>
      <c r="BG537" s="21">
        <v>0</v>
      </c>
      <c r="BH537" s="21">
        <v>0</v>
      </c>
      <c r="BI537" s="21">
        <v>0</v>
      </c>
      <c r="BJ537" s="21">
        <v>0</v>
      </c>
      <c r="BK537" s="21">
        <v>0</v>
      </c>
      <c r="BL537" s="21">
        <v>0</v>
      </c>
      <c r="BM537" s="21">
        <v>0</v>
      </c>
      <c r="BN537" s="21">
        <v>0</v>
      </c>
      <c r="BO537" s="21">
        <v>0</v>
      </c>
      <c r="BP537" s="21">
        <v>0</v>
      </c>
      <c r="BQ537" s="21">
        <v>0</v>
      </c>
      <c r="BR537" s="21">
        <v>0</v>
      </c>
      <c r="BS537" s="21">
        <v>0</v>
      </c>
      <c r="BT537" s="21">
        <v>0</v>
      </c>
      <c r="BU537" s="21">
        <v>0</v>
      </c>
      <c r="BV537" s="21">
        <v>0</v>
      </c>
      <c r="BW537" s="21">
        <v>0</v>
      </c>
      <c r="BX537" s="21">
        <v>0</v>
      </c>
      <c r="BY537" s="21">
        <v>0</v>
      </c>
      <c r="BZ537" s="21">
        <v>0</v>
      </c>
      <c r="CA537" s="21">
        <v>0</v>
      </c>
      <c r="CB537" s="21">
        <v>0</v>
      </c>
      <c r="CC537" s="21">
        <v>0</v>
      </c>
      <c r="CD537" s="21">
        <v>0</v>
      </c>
      <c r="CE537" s="21">
        <v>0</v>
      </c>
      <c r="CF537" s="21">
        <v>0</v>
      </c>
      <c r="CG537" s="21">
        <v>0</v>
      </c>
      <c r="CH537" s="21">
        <v>0</v>
      </c>
      <c r="CI537" s="21">
        <v>0</v>
      </c>
      <c r="CJ537" s="21">
        <v>0</v>
      </c>
      <c r="CK537" s="21">
        <v>0</v>
      </c>
      <c r="CL537" s="21">
        <v>0</v>
      </c>
      <c r="CM537" s="21">
        <v>0</v>
      </c>
      <c r="CN537" s="21">
        <v>0</v>
      </c>
      <c r="CO537" s="21">
        <v>0</v>
      </c>
      <c r="CP537" s="21">
        <v>0</v>
      </c>
      <c r="CQ537" s="21">
        <v>0</v>
      </c>
      <c r="CR537" s="21">
        <v>0</v>
      </c>
      <c r="CS537" s="21">
        <v>0</v>
      </c>
      <c r="CT537" s="21">
        <v>0</v>
      </c>
      <c r="CU537" s="21">
        <v>0</v>
      </c>
      <c r="CV537" s="21">
        <v>0</v>
      </c>
      <c r="CW537" s="21">
        <v>0</v>
      </c>
      <c r="CX537" s="21">
        <v>0</v>
      </c>
      <c r="CY537" s="21">
        <v>0</v>
      </c>
      <c r="CZ537" s="21">
        <v>0</v>
      </c>
      <c r="DA537" s="21">
        <v>0</v>
      </c>
      <c r="DB537" s="21">
        <v>0</v>
      </c>
      <c r="DC537" s="21">
        <v>0</v>
      </c>
      <c r="DD537" s="21">
        <v>0</v>
      </c>
      <c r="DE537" s="21">
        <v>0</v>
      </c>
      <c r="DF537" s="21">
        <v>0</v>
      </c>
      <c r="DG537" s="21">
        <v>0</v>
      </c>
      <c r="DH537" s="21">
        <v>0</v>
      </c>
      <c r="DI537" s="21">
        <v>0</v>
      </c>
      <c r="DJ537" s="21">
        <v>0</v>
      </c>
      <c r="DK537" s="21">
        <v>0</v>
      </c>
      <c r="DL537" s="21">
        <v>0</v>
      </c>
      <c r="DM537" s="21">
        <v>0</v>
      </c>
      <c r="DN537" s="21">
        <v>0</v>
      </c>
      <c r="DO537" s="21">
        <v>0</v>
      </c>
      <c r="DP537" s="21">
        <v>0</v>
      </c>
      <c r="DQ537" s="21">
        <v>0</v>
      </c>
      <c r="DR537" s="21">
        <v>0</v>
      </c>
      <c r="DS537" s="21">
        <v>0</v>
      </c>
      <c r="DT537" s="21">
        <v>0</v>
      </c>
      <c r="DU537" s="21">
        <v>0</v>
      </c>
      <c r="DV537" s="21">
        <v>0</v>
      </c>
      <c r="DW537" s="21">
        <v>0</v>
      </c>
      <c r="DX537" s="21">
        <v>0</v>
      </c>
      <c r="DY537" s="21">
        <v>0</v>
      </c>
      <c r="DZ537" s="21">
        <v>0</v>
      </c>
      <c r="EA537" s="21">
        <v>0</v>
      </c>
      <c r="EB537" s="21">
        <v>0</v>
      </c>
      <c r="EC537" s="21">
        <v>0</v>
      </c>
      <c r="ED537" s="21">
        <v>0</v>
      </c>
      <c r="EE537" s="21">
        <v>0</v>
      </c>
      <c r="EF537" s="21">
        <v>0</v>
      </c>
    </row>
    <row r="538" spans="1:136" ht="14.5" x14ac:dyDescent="0.35">
      <c r="A538" s="20" t="s">
        <v>12</v>
      </c>
      <c r="B538" s="20" t="s">
        <v>25</v>
      </c>
      <c r="C538" s="20" t="s">
        <v>25</v>
      </c>
      <c r="D538" s="20" t="s">
        <v>336</v>
      </c>
      <c r="E538" s="20" t="s">
        <v>16</v>
      </c>
      <c r="F538" s="20" t="s">
        <v>103</v>
      </c>
      <c r="G538" s="21">
        <v>0</v>
      </c>
      <c r="H538" s="21">
        <v>0</v>
      </c>
      <c r="I538" s="21">
        <v>277.5</v>
      </c>
      <c r="J538" s="21">
        <v>-277.5</v>
      </c>
      <c r="K538" s="21">
        <v>0</v>
      </c>
      <c r="L538" s="21">
        <v>0</v>
      </c>
      <c r="M538" s="21">
        <v>0</v>
      </c>
      <c r="N538" s="21">
        <v>0</v>
      </c>
      <c r="O538" s="21">
        <v>0</v>
      </c>
      <c r="P538" s="21">
        <v>0</v>
      </c>
      <c r="Q538" s="21">
        <v>0</v>
      </c>
      <c r="R538" s="21">
        <v>0</v>
      </c>
      <c r="S538" s="21">
        <v>0</v>
      </c>
      <c r="T538" s="21">
        <v>0</v>
      </c>
      <c r="U538" s="21">
        <v>0</v>
      </c>
      <c r="V538" s="21">
        <v>0</v>
      </c>
      <c r="W538" s="21">
        <v>0</v>
      </c>
      <c r="X538" s="21">
        <v>0</v>
      </c>
      <c r="Y538" s="21">
        <v>0</v>
      </c>
      <c r="Z538" s="21">
        <v>0</v>
      </c>
      <c r="AA538" s="21">
        <v>0</v>
      </c>
      <c r="AB538" s="21">
        <v>0</v>
      </c>
      <c r="AC538" s="21">
        <v>0</v>
      </c>
      <c r="AD538" s="21">
        <v>0</v>
      </c>
      <c r="AE538" s="21">
        <v>0</v>
      </c>
      <c r="AF538" s="21">
        <v>0</v>
      </c>
      <c r="AG538" s="21">
        <v>0</v>
      </c>
      <c r="AH538" s="21">
        <v>0</v>
      </c>
      <c r="AI538" s="21">
        <v>0</v>
      </c>
      <c r="AJ538" s="21">
        <v>0</v>
      </c>
      <c r="AK538" s="21">
        <v>5</v>
      </c>
      <c r="AL538" s="21">
        <v>8</v>
      </c>
      <c r="AM538" s="21">
        <v>5</v>
      </c>
      <c r="AN538" s="21">
        <v>11.5</v>
      </c>
      <c r="AO538" s="21">
        <v>1</v>
      </c>
      <c r="AP538" s="21">
        <v>5</v>
      </c>
      <c r="AQ538" s="21">
        <v>0</v>
      </c>
      <c r="AR538" s="21">
        <v>7</v>
      </c>
      <c r="AS538" s="21">
        <v>3</v>
      </c>
      <c r="AT538" s="21">
        <v>0</v>
      </c>
      <c r="AU538" s="21">
        <v>0</v>
      </c>
      <c r="AV538" s="21">
        <v>0</v>
      </c>
      <c r="AW538" s="21">
        <v>0</v>
      </c>
      <c r="AX538" s="21">
        <v>0</v>
      </c>
      <c r="AY538" s="21">
        <v>0</v>
      </c>
      <c r="AZ538" s="21">
        <v>0</v>
      </c>
      <c r="BA538" s="21">
        <v>0</v>
      </c>
      <c r="BB538" s="21">
        <v>0</v>
      </c>
      <c r="BC538" s="21">
        <v>0</v>
      </c>
      <c r="BD538" s="21">
        <v>0</v>
      </c>
      <c r="BE538" s="21">
        <v>0</v>
      </c>
      <c r="BF538" s="21">
        <v>0</v>
      </c>
      <c r="BG538" s="21">
        <v>0</v>
      </c>
      <c r="BH538" s="21">
        <v>0</v>
      </c>
      <c r="BI538" s="21">
        <v>0</v>
      </c>
      <c r="BJ538" s="21">
        <v>0</v>
      </c>
      <c r="BK538" s="21">
        <v>0</v>
      </c>
      <c r="BL538" s="21">
        <v>0</v>
      </c>
      <c r="BM538" s="21">
        <v>0</v>
      </c>
      <c r="BN538" s="21">
        <v>0</v>
      </c>
      <c r="BO538" s="21">
        <v>0</v>
      </c>
      <c r="BP538" s="21">
        <v>0</v>
      </c>
      <c r="BQ538" s="21">
        <v>0</v>
      </c>
      <c r="BR538" s="21">
        <v>0</v>
      </c>
      <c r="BS538" s="21">
        <v>0</v>
      </c>
      <c r="BT538" s="21">
        <v>0</v>
      </c>
      <c r="BU538" s="21">
        <v>0</v>
      </c>
      <c r="BV538" s="21">
        <v>0</v>
      </c>
      <c r="BW538" s="21">
        <v>0</v>
      </c>
      <c r="BX538" s="21">
        <v>0</v>
      </c>
      <c r="BY538" s="21">
        <v>0</v>
      </c>
      <c r="BZ538" s="21">
        <v>0</v>
      </c>
      <c r="CA538" s="21">
        <v>0</v>
      </c>
      <c r="CB538" s="21">
        <v>0</v>
      </c>
      <c r="CC538" s="21">
        <v>0</v>
      </c>
      <c r="CD538" s="21">
        <v>0</v>
      </c>
      <c r="CE538" s="21">
        <v>0</v>
      </c>
      <c r="CF538" s="21">
        <v>0</v>
      </c>
      <c r="CG538" s="21">
        <v>0</v>
      </c>
      <c r="CH538" s="21">
        <v>0</v>
      </c>
      <c r="CI538" s="21">
        <v>0</v>
      </c>
      <c r="CJ538" s="21">
        <v>0</v>
      </c>
      <c r="CK538" s="21">
        <v>0</v>
      </c>
      <c r="CL538" s="21">
        <v>0</v>
      </c>
      <c r="CM538" s="21">
        <v>0</v>
      </c>
      <c r="CN538" s="21">
        <v>0</v>
      </c>
      <c r="CO538" s="21">
        <v>0</v>
      </c>
      <c r="CP538" s="21">
        <v>0</v>
      </c>
      <c r="CQ538" s="21">
        <v>0</v>
      </c>
      <c r="CR538" s="21">
        <v>0</v>
      </c>
      <c r="CS538" s="21">
        <v>5</v>
      </c>
      <c r="CT538" s="21">
        <v>10</v>
      </c>
      <c r="CU538" s="21">
        <v>0</v>
      </c>
      <c r="CV538" s="21">
        <v>0</v>
      </c>
      <c r="CW538" s="21">
        <v>0</v>
      </c>
      <c r="CX538" s="21">
        <v>0</v>
      </c>
      <c r="CY538" s="21">
        <v>0</v>
      </c>
      <c r="CZ538" s="21">
        <v>15</v>
      </c>
      <c r="DA538" s="21">
        <v>15</v>
      </c>
      <c r="DB538" s="21">
        <v>5</v>
      </c>
      <c r="DC538" s="21">
        <v>0</v>
      </c>
      <c r="DD538" s="21">
        <v>0</v>
      </c>
      <c r="DE538" s="21">
        <v>0</v>
      </c>
      <c r="DF538" s="21">
        <v>0</v>
      </c>
      <c r="DG538" s="21">
        <v>5</v>
      </c>
      <c r="DH538" s="21">
        <v>5</v>
      </c>
      <c r="DI538" s="21">
        <v>0</v>
      </c>
      <c r="DJ538" s="21">
        <v>0</v>
      </c>
      <c r="DK538" s="21">
        <v>17</v>
      </c>
      <c r="DL538" s="21">
        <v>25</v>
      </c>
      <c r="DM538" s="21">
        <v>23</v>
      </c>
      <c r="DN538" s="21">
        <v>25</v>
      </c>
      <c r="DO538" s="21">
        <v>25</v>
      </c>
      <c r="DP538" s="21">
        <v>25</v>
      </c>
      <c r="DQ538" s="21">
        <v>35</v>
      </c>
      <c r="DR538" s="21">
        <v>0</v>
      </c>
      <c r="DS538" s="21">
        <v>0</v>
      </c>
      <c r="DT538" s="21">
        <v>0</v>
      </c>
      <c r="DU538" s="21">
        <v>0</v>
      </c>
      <c r="DV538" s="21">
        <v>0</v>
      </c>
      <c r="DW538" s="21">
        <v>0</v>
      </c>
      <c r="DX538" s="21">
        <v>0</v>
      </c>
      <c r="DY538" s="21">
        <v>0</v>
      </c>
      <c r="DZ538" s="21">
        <v>0</v>
      </c>
      <c r="EA538" s="21">
        <v>0</v>
      </c>
      <c r="EB538" s="21">
        <v>0</v>
      </c>
      <c r="EC538" s="21">
        <v>0</v>
      </c>
      <c r="ED538" s="21">
        <v>0</v>
      </c>
      <c r="EE538" s="21">
        <v>0</v>
      </c>
      <c r="EF538" s="21">
        <v>0</v>
      </c>
    </row>
    <row r="539" spans="1:136" ht="14.5" x14ac:dyDescent="0.35">
      <c r="A539" s="20" t="s">
        <v>12</v>
      </c>
      <c r="B539" s="20" t="s">
        <v>25</v>
      </c>
      <c r="C539" s="20" t="s">
        <v>25</v>
      </c>
      <c r="D539" s="20" t="s">
        <v>337</v>
      </c>
      <c r="E539" s="20" t="s">
        <v>16</v>
      </c>
      <c r="F539" s="20" t="s">
        <v>90</v>
      </c>
      <c r="G539" s="21">
        <v>0</v>
      </c>
      <c r="H539" s="21">
        <v>0</v>
      </c>
      <c r="I539" s="21">
        <v>4</v>
      </c>
      <c r="J539" s="21">
        <v>-4</v>
      </c>
      <c r="K539" s="21">
        <v>0</v>
      </c>
      <c r="L539" s="21">
        <v>0</v>
      </c>
      <c r="M539" s="21">
        <v>0</v>
      </c>
      <c r="N539" s="21">
        <v>0</v>
      </c>
      <c r="O539" s="21">
        <v>0</v>
      </c>
      <c r="P539" s="21">
        <v>0</v>
      </c>
      <c r="Q539" s="21">
        <v>0</v>
      </c>
      <c r="R539" s="21">
        <v>0</v>
      </c>
      <c r="S539" s="21">
        <v>0</v>
      </c>
      <c r="T539" s="21">
        <v>0</v>
      </c>
      <c r="U539" s="21">
        <v>0</v>
      </c>
      <c r="V539" s="21">
        <v>0</v>
      </c>
      <c r="W539" s="21">
        <v>0</v>
      </c>
      <c r="X539" s="21">
        <v>0</v>
      </c>
      <c r="Y539" s="21">
        <v>3</v>
      </c>
      <c r="Z539" s="21">
        <v>1</v>
      </c>
      <c r="AA539" s="21">
        <v>0</v>
      </c>
      <c r="AB539" s="21">
        <v>0</v>
      </c>
      <c r="AC539" s="21">
        <v>0</v>
      </c>
      <c r="AD539" s="21">
        <v>0</v>
      </c>
      <c r="AE539" s="21">
        <v>0</v>
      </c>
      <c r="AF539" s="21">
        <v>0</v>
      </c>
      <c r="AG539" s="21">
        <v>0</v>
      </c>
      <c r="AH539" s="21">
        <v>0</v>
      </c>
      <c r="AI539" s="21">
        <v>0</v>
      </c>
      <c r="AJ539" s="21">
        <v>0</v>
      </c>
      <c r="AK539" s="21">
        <v>0</v>
      </c>
      <c r="AL539" s="21">
        <v>0</v>
      </c>
      <c r="AM539" s="21">
        <v>0</v>
      </c>
      <c r="AN539" s="21">
        <v>0</v>
      </c>
      <c r="AO539" s="21">
        <v>0</v>
      </c>
      <c r="AP539" s="21">
        <v>0</v>
      </c>
      <c r="AQ539" s="21">
        <v>0</v>
      </c>
      <c r="AR539" s="21">
        <v>0</v>
      </c>
      <c r="AS539" s="21">
        <v>0</v>
      </c>
      <c r="AT539" s="21">
        <v>0</v>
      </c>
      <c r="AU539" s="21">
        <v>0</v>
      </c>
      <c r="AV539" s="21">
        <v>0</v>
      </c>
      <c r="AW539" s="21">
        <v>0</v>
      </c>
      <c r="AX539" s="21">
        <v>0</v>
      </c>
      <c r="AY539" s="21">
        <v>0</v>
      </c>
      <c r="AZ539" s="21">
        <v>0</v>
      </c>
      <c r="BA539" s="21">
        <v>0</v>
      </c>
      <c r="BB539" s="21">
        <v>0</v>
      </c>
      <c r="BC539" s="21">
        <v>0</v>
      </c>
      <c r="BD539" s="21">
        <v>0</v>
      </c>
      <c r="BE539" s="21">
        <v>0</v>
      </c>
      <c r="BF539" s="21">
        <v>0</v>
      </c>
      <c r="BG539" s="21">
        <v>0</v>
      </c>
      <c r="BH539" s="21">
        <v>0</v>
      </c>
      <c r="BI539" s="21">
        <v>0</v>
      </c>
      <c r="BJ539" s="21">
        <v>0</v>
      </c>
      <c r="BK539" s="21">
        <v>0</v>
      </c>
      <c r="BL539" s="21">
        <v>0</v>
      </c>
      <c r="BM539" s="21">
        <v>0</v>
      </c>
      <c r="BN539" s="21">
        <v>0</v>
      </c>
      <c r="BO539" s="21">
        <v>0</v>
      </c>
      <c r="BP539" s="21">
        <v>0</v>
      </c>
      <c r="BQ539" s="21">
        <v>0</v>
      </c>
      <c r="BR539" s="21">
        <v>0</v>
      </c>
      <c r="BS539" s="21">
        <v>0</v>
      </c>
      <c r="BT539" s="21">
        <v>0</v>
      </c>
      <c r="BU539" s="21">
        <v>0</v>
      </c>
      <c r="BV539" s="21">
        <v>0</v>
      </c>
      <c r="BW539" s="21">
        <v>0</v>
      </c>
      <c r="BX539" s="21">
        <v>0</v>
      </c>
      <c r="BY539" s="21">
        <v>0</v>
      </c>
      <c r="BZ539" s="21">
        <v>0</v>
      </c>
      <c r="CA539" s="21">
        <v>0</v>
      </c>
      <c r="CB539" s="21">
        <v>0</v>
      </c>
      <c r="CC539" s="21">
        <v>0</v>
      </c>
      <c r="CD539" s="21">
        <v>0</v>
      </c>
      <c r="CE539" s="21">
        <v>0</v>
      </c>
      <c r="CF539" s="21">
        <v>0</v>
      </c>
      <c r="CG539" s="21">
        <v>0</v>
      </c>
      <c r="CH539" s="21">
        <v>0</v>
      </c>
      <c r="CI539" s="21">
        <v>0</v>
      </c>
      <c r="CJ539" s="21">
        <v>0</v>
      </c>
      <c r="CK539" s="21">
        <v>0</v>
      </c>
      <c r="CL539" s="21">
        <v>0</v>
      </c>
      <c r="CM539" s="21">
        <v>0</v>
      </c>
      <c r="CN539" s="21">
        <v>0</v>
      </c>
      <c r="CO539" s="21">
        <v>0</v>
      </c>
      <c r="CP539" s="21">
        <v>0</v>
      </c>
      <c r="CQ539" s="21">
        <v>0</v>
      </c>
      <c r="CR539" s="21">
        <v>0</v>
      </c>
      <c r="CS539" s="21">
        <v>0</v>
      </c>
      <c r="CT539" s="21">
        <v>0</v>
      </c>
      <c r="CU539" s="21">
        <v>0</v>
      </c>
      <c r="CV539" s="21">
        <v>0</v>
      </c>
      <c r="CW539" s="21">
        <v>0</v>
      </c>
      <c r="CX539" s="21">
        <v>0</v>
      </c>
      <c r="CY539" s="21">
        <v>0</v>
      </c>
      <c r="CZ539" s="21">
        <v>0</v>
      </c>
      <c r="DA539" s="21">
        <v>0</v>
      </c>
      <c r="DB539" s="21">
        <v>0</v>
      </c>
      <c r="DC539" s="21">
        <v>0</v>
      </c>
      <c r="DD539" s="21">
        <v>0</v>
      </c>
      <c r="DE539" s="21">
        <v>0</v>
      </c>
      <c r="DF539" s="21">
        <v>0</v>
      </c>
      <c r="DG539" s="21">
        <v>0</v>
      </c>
      <c r="DH539" s="21">
        <v>0</v>
      </c>
      <c r="DI539" s="21">
        <v>0</v>
      </c>
      <c r="DJ539" s="21">
        <v>0</v>
      </c>
      <c r="DK539" s="21">
        <v>0</v>
      </c>
      <c r="DL539" s="21">
        <v>0</v>
      </c>
      <c r="DM539" s="21">
        <v>0</v>
      </c>
      <c r="DN539" s="21">
        <v>0</v>
      </c>
      <c r="DO539" s="21">
        <v>0</v>
      </c>
      <c r="DP539" s="21">
        <v>0</v>
      </c>
      <c r="DQ539" s="21">
        <v>0</v>
      </c>
      <c r="DR539" s="21">
        <v>0</v>
      </c>
      <c r="DS539" s="21">
        <v>0</v>
      </c>
      <c r="DT539" s="21">
        <v>0</v>
      </c>
      <c r="DU539" s="21">
        <v>0</v>
      </c>
      <c r="DV539" s="21">
        <v>0</v>
      </c>
      <c r="DW539" s="21">
        <v>0</v>
      </c>
      <c r="DX539" s="21">
        <v>0</v>
      </c>
      <c r="DY539" s="21">
        <v>0</v>
      </c>
      <c r="DZ539" s="21">
        <v>0</v>
      </c>
      <c r="EA539" s="21">
        <v>0</v>
      </c>
      <c r="EB539" s="21">
        <v>0</v>
      </c>
      <c r="EC539" s="21">
        <v>0</v>
      </c>
      <c r="ED539" s="21">
        <v>0</v>
      </c>
      <c r="EE539" s="21">
        <v>0</v>
      </c>
      <c r="EF539" s="21">
        <v>0</v>
      </c>
    </row>
    <row r="540" spans="1:136" ht="14.5" x14ac:dyDescent="0.35">
      <c r="A540" s="20" t="s">
        <v>12</v>
      </c>
      <c r="B540" s="20" t="s">
        <v>25</v>
      </c>
      <c r="C540" s="20" t="s">
        <v>25</v>
      </c>
      <c r="D540" s="20" t="s">
        <v>337</v>
      </c>
      <c r="E540" s="20" t="s">
        <v>16</v>
      </c>
      <c r="F540" s="20" t="s">
        <v>82</v>
      </c>
      <c r="G540" s="21">
        <v>20</v>
      </c>
      <c r="H540" s="21">
        <v>48</v>
      </c>
      <c r="I540" s="21">
        <v>4</v>
      </c>
      <c r="J540" s="21">
        <v>44</v>
      </c>
      <c r="K540" s="21">
        <v>0</v>
      </c>
      <c r="L540" s="21">
        <v>0</v>
      </c>
      <c r="M540" s="21">
        <v>0</v>
      </c>
      <c r="N540" s="21">
        <v>0</v>
      </c>
      <c r="O540" s="21">
        <v>0</v>
      </c>
      <c r="P540" s="21">
        <v>0</v>
      </c>
      <c r="Q540" s="21">
        <v>0</v>
      </c>
      <c r="R540" s="21">
        <v>0</v>
      </c>
      <c r="S540" s="21">
        <v>0</v>
      </c>
      <c r="T540" s="21">
        <v>0</v>
      </c>
      <c r="U540" s="21">
        <v>0</v>
      </c>
      <c r="V540" s="21">
        <v>0</v>
      </c>
      <c r="W540" s="21">
        <v>0</v>
      </c>
      <c r="X540" s="21">
        <v>0</v>
      </c>
      <c r="Y540" s="21">
        <v>0</v>
      </c>
      <c r="Z540" s="21">
        <v>0</v>
      </c>
      <c r="AA540" s="21">
        <v>0</v>
      </c>
      <c r="AB540" s="21">
        <v>0</v>
      </c>
      <c r="AC540" s="21">
        <v>0</v>
      </c>
      <c r="AD540" s="21">
        <v>0</v>
      </c>
      <c r="AE540" s="21">
        <v>0</v>
      </c>
      <c r="AF540" s="21">
        <v>0</v>
      </c>
      <c r="AG540" s="21">
        <v>0</v>
      </c>
      <c r="AH540" s="21">
        <v>2</v>
      </c>
      <c r="AI540" s="21">
        <v>2</v>
      </c>
      <c r="AJ540" s="21">
        <v>0</v>
      </c>
      <c r="AK540" s="21">
        <v>0</v>
      </c>
      <c r="AL540" s="21">
        <v>0</v>
      </c>
      <c r="AM540" s="21">
        <v>0</v>
      </c>
      <c r="AN540" s="21">
        <v>0</v>
      </c>
      <c r="AO540" s="21">
        <v>0</v>
      </c>
      <c r="AP540" s="21">
        <v>0</v>
      </c>
      <c r="AQ540" s="21">
        <v>0</v>
      </c>
      <c r="AR540" s="21">
        <v>0</v>
      </c>
      <c r="AS540" s="21">
        <v>0</v>
      </c>
      <c r="AT540" s="21">
        <v>0</v>
      </c>
      <c r="AU540" s="21">
        <v>0</v>
      </c>
      <c r="AV540" s="21">
        <v>0</v>
      </c>
      <c r="AW540" s="21">
        <v>0</v>
      </c>
      <c r="AX540" s="21">
        <v>0</v>
      </c>
      <c r="AY540" s="21">
        <v>0</v>
      </c>
      <c r="AZ540" s="21">
        <v>0</v>
      </c>
      <c r="BA540" s="21">
        <v>0</v>
      </c>
      <c r="BB540" s="21">
        <v>0</v>
      </c>
      <c r="BC540" s="21">
        <v>0</v>
      </c>
      <c r="BD540" s="21">
        <v>0</v>
      </c>
      <c r="BE540" s="21">
        <v>0</v>
      </c>
      <c r="BF540" s="21">
        <v>0</v>
      </c>
      <c r="BG540" s="21">
        <v>0</v>
      </c>
      <c r="BH540" s="21">
        <v>0</v>
      </c>
      <c r="BI540" s="21">
        <v>0</v>
      </c>
      <c r="BJ540" s="21">
        <v>0</v>
      </c>
      <c r="BK540" s="21">
        <v>0</v>
      </c>
      <c r="BL540" s="21">
        <v>0</v>
      </c>
      <c r="BM540" s="21">
        <v>0</v>
      </c>
      <c r="BN540" s="21">
        <v>0</v>
      </c>
      <c r="BO540" s="21">
        <v>0</v>
      </c>
      <c r="BP540" s="21">
        <v>0</v>
      </c>
      <c r="BQ540" s="21">
        <v>0</v>
      </c>
      <c r="BR540" s="21">
        <v>0</v>
      </c>
      <c r="BS540" s="21">
        <v>0</v>
      </c>
      <c r="BT540" s="21">
        <v>0</v>
      </c>
      <c r="BU540" s="21">
        <v>0</v>
      </c>
      <c r="BV540" s="21">
        <v>0</v>
      </c>
      <c r="BW540" s="21">
        <v>0</v>
      </c>
      <c r="BX540" s="21">
        <v>0</v>
      </c>
      <c r="BY540" s="21">
        <v>0</v>
      </c>
      <c r="BZ540" s="21">
        <v>0</v>
      </c>
      <c r="CA540" s="21">
        <v>0</v>
      </c>
      <c r="CB540" s="21">
        <v>0</v>
      </c>
      <c r="CC540" s="21">
        <v>0</v>
      </c>
      <c r="CD540" s="21">
        <v>0</v>
      </c>
      <c r="CE540" s="21">
        <v>0</v>
      </c>
      <c r="CF540" s="21">
        <v>0</v>
      </c>
      <c r="CG540" s="21">
        <v>0</v>
      </c>
      <c r="CH540" s="21">
        <v>0</v>
      </c>
      <c r="CI540" s="21">
        <v>0</v>
      </c>
      <c r="CJ540" s="21">
        <v>0</v>
      </c>
      <c r="CK540" s="21">
        <v>0</v>
      </c>
      <c r="CL540" s="21">
        <v>0</v>
      </c>
      <c r="CM540" s="21">
        <v>0</v>
      </c>
      <c r="CN540" s="21">
        <v>0</v>
      </c>
      <c r="CO540" s="21">
        <v>0</v>
      </c>
      <c r="CP540" s="21">
        <v>0</v>
      </c>
      <c r="CQ540" s="21">
        <v>0</v>
      </c>
      <c r="CR540" s="21">
        <v>0</v>
      </c>
      <c r="CS540" s="21">
        <v>0</v>
      </c>
      <c r="CT540" s="21">
        <v>0</v>
      </c>
      <c r="CU540" s="21">
        <v>0</v>
      </c>
      <c r="CV540" s="21">
        <v>0</v>
      </c>
      <c r="CW540" s="21">
        <v>0</v>
      </c>
      <c r="CX540" s="21">
        <v>0</v>
      </c>
      <c r="CY540" s="21">
        <v>0</v>
      </c>
      <c r="CZ540" s="21">
        <v>0</v>
      </c>
      <c r="DA540" s="21">
        <v>0</v>
      </c>
      <c r="DB540" s="21">
        <v>0</v>
      </c>
      <c r="DC540" s="21">
        <v>0</v>
      </c>
      <c r="DD540" s="21">
        <v>0</v>
      </c>
      <c r="DE540" s="21">
        <v>0</v>
      </c>
      <c r="DF540" s="21">
        <v>0</v>
      </c>
      <c r="DG540" s="21">
        <v>0</v>
      </c>
      <c r="DH540" s="21">
        <v>0</v>
      </c>
      <c r="DI540" s="21">
        <v>0</v>
      </c>
      <c r="DJ540" s="21">
        <v>0</v>
      </c>
      <c r="DK540" s="21">
        <v>0</v>
      </c>
      <c r="DL540" s="21">
        <v>0</v>
      </c>
      <c r="DM540" s="21">
        <v>0</v>
      </c>
      <c r="DN540" s="21">
        <v>0</v>
      </c>
      <c r="DO540" s="21">
        <v>0</v>
      </c>
      <c r="DP540" s="21">
        <v>0</v>
      </c>
      <c r="DQ540" s="21">
        <v>0</v>
      </c>
      <c r="DR540" s="21">
        <v>0</v>
      </c>
      <c r="DS540" s="21">
        <v>0</v>
      </c>
      <c r="DT540" s="21">
        <v>0</v>
      </c>
      <c r="DU540" s="21">
        <v>0</v>
      </c>
      <c r="DV540" s="21">
        <v>0</v>
      </c>
      <c r="DW540" s="21">
        <v>0</v>
      </c>
      <c r="DX540" s="21">
        <v>0</v>
      </c>
      <c r="DY540" s="21">
        <v>0</v>
      </c>
      <c r="DZ540" s="21">
        <v>0</v>
      </c>
      <c r="EA540" s="21">
        <v>0</v>
      </c>
      <c r="EB540" s="21">
        <v>0</v>
      </c>
      <c r="EC540" s="21">
        <v>0</v>
      </c>
      <c r="ED540" s="21">
        <v>0</v>
      </c>
      <c r="EE540" s="21">
        <v>0</v>
      </c>
      <c r="EF540" s="21">
        <v>0</v>
      </c>
    </row>
    <row r="541" spans="1:136" ht="14.5" x14ac:dyDescent="0.35">
      <c r="A541" s="20" t="s">
        <v>12</v>
      </c>
      <c r="B541" s="20" t="s">
        <v>25</v>
      </c>
      <c r="C541" s="20" t="s">
        <v>25</v>
      </c>
      <c r="D541" s="20" t="s">
        <v>336</v>
      </c>
      <c r="E541" s="20" t="s">
        <v>16</v>
      </c>
      <c r="F541" s="20" t="s">
        <v>82</v>
      </c>
      <c r="G541" s="21">
        <v>0</v>
      </c>
      <c r="H541" s="21">
        <v>0</v>
      </c>
      <c r="I541" s="21">
        <v>24.5</v>
      </c>
      <c r="J541" s="21">
        <v>-24.5</v>
      </c>
      <c r="K541" s="21">
        <v>0</v>
      </c>
      <c r="L541" s="21">
        <v>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1">
        <v>0</v>
      </c>
      <c r="S541" s="21">
        <v>0</v>
      </c>
      <c r="T541" s="21">
        <v>0</v>
      </c>
      <c r="U541" s="21">
        <v>0</v>
      </c>
      <c r="V541" s="21">
        <v>0</v>
      </c>
      <c r="W541" s="21">
        <v>0</v>
      </c>
      <c r="X541" s="21">
        <v>0</v>
      </c>
      <c r="Y541" s="21">
        <v>0</v>
      </c>
      <c r="Z541" s="21">
        <v>0</v>
      </c>
      <c r="AA541" s="21">
        <v>0</v>
      </c>
      <c r="AB541" s="21">
        <v>0</v>
      </c>
      <c r="AC541" s="21">
        <v>0</v>
      </c>
      <c r="AD541" s="21">
        <v>0</v>
      </c>
      <c r="AE541" s="21">
        <v>0</v>
      </c>
      <c r="AF541" s="21">
        <v>0</v>
      </c>
      <c r="AG541" s="21">
        <v>0</v>
      </c>
      <c r="AH541" s="21">
        <v>0</v>
      </c>
      <c r="AI541" s="21">
        <v>0</v>
      </c>
      <c r="AJ541" s="21">
        <v>0</v>
      </c>
      <c r="AK541" s="21">
        <v>1</v>
      </c>
      <c r="AL541" s="21">
        <v>0.5</v>
      </c>
      <c r="AM541" s="21">
        <v>1</v>
      </c>
      <c r="AN541" s="21">
        <v>2</v>
      </c>
      <c r="AO541" s="21">
        <v>2</v>
      </c>
      <c r="AP541" s="21">
        <v>2</v>
      </c>
      <c r="AQ541" s="21">
        <v>0</v>
      </c>
      <c r="AR541" s="21">
        <v>0</v>
      </c>
      <c r="AS541" s="21">
        <v>2</v>
      </c>
      <c r="AT541" s="21">
        <v>0</v>
      </c>
      <c r="AU541" s="21">
        <v>0</v>
      </c>
      <c r="AV541" s="21">
        <v>0</v>
      </c>
      <c r="AW541" s="21">
        <v>0</v>
      </c>
      <c r="AX541" s="21">
        <v>0</v>
      </c>
      <c r="AY541" s="21">
        <v>0</v>
      </c>
      <c r="AZ541" s="21">
        <v>0</v>
      </c>
      <c r="BA541" s="21">
        <v>0</v>
      </c>
      <c r="BB541" s="21">
        <v>0</v>
      </c>
      <c r="BC541" s="21">
        <v>0</v>
      </c>
      <c r="BD541" s="21">
        <v>0</v>
      </c>
      <c r="BE541" s="21">
        <v>0</v>
      </c>
      <c r="BF541" s="21">
        <v>0</v>
      </c>
      <c r="BG541" s="21">
        <v>0</v>
      </c>
      <c r="BH541" s="21">
        <v>0</v>
      </c>
      <c r="BI541" s="21">
        <v>0</v>
      </c>
      <c r="BJ541" s="21">
        <v>0</v>
      </c>
      <c r="BK541" s="21">
        <v>0</v>
      </c>
      <c r="BL541" s="21">
        <v>0</v>
      </c>
      <c r="BM541" s="21">
        <v>0</v>
      </c>
      <c r="BN541" s="21">
        <v>0</v>
      </c>
      <c r="BO541" s="21">
        <v>0</v>
      </c>
      <c r="BP541" s="21">
        <v>0</v>
      </c>
      <c r="BQ541" s="21">
        <v>0</v>
      </c>
      <c r="BR541" s="21">
        <v>0</v>
      </c>
      <c r="BS541" s="21">
        <v>0</v>
      </c>
      <c r="BT541" s="21">
        <v>0</v>
      </c>
      <c r="BU541" s="21">
        <v>0</v>
      </c>
      <c r="BV541" s="21">
        <v>0</v>
      </c>
      <c r="BW541" s="21">
        <v>0</v>
      </c>
      <c r="BX541" s="21">
        <v>0</v>
      </c>
      <c r="BY541" s="21">
        <v>0</v>
      </c>
      <c r="BZ541" s="21">
        <v>0</v>
      </c>
      <c r="CA541" s="21">
        <v>0</v>
      </c>
      <c r="CB541" s="21">
        <v>0</v>
      </c>
      <c r="CC541" s="21">
        <v>0</v>
      </c>
      <c r="CD541" s="21">
        <v>0</v>
      </c>
      <c r="CE541" s="21">
        <v>0</v>
      </c>
      <c r="CF541" s="21">
        <v>0</v>
      </c>
      <c r="CG541" s="21">
        <v>0</v>
      </c>
      <c r="CH541" s="21">
        <v>0</v>
      </c>
      <c r="CI541" s="21">
        <v>0</v>
      </c>
      <c r="CJ541" s="21">
        <v>0</v>
      </c>
      <c r="CK541" s="21">
        <v>0</v>
      </c>
      <c r="CL541" s="21">
        <v>0</v>
      </c>
      <c r="CM541" s="21">
        <v>0</v>
      </c>
      <c r="CN541" s="21">
        <v>0</v>
      </c>
      <c r="CO541" s="21">
        <v>0</v>
      </c>
      <c r="CP541" s="21">
        <v>0</v>
      </c>
      <c r="CQ541" s="21">
        <v>0</v>
      </c>
      <c r="CR541" s="21">
        <v>0</v>
      </c>
      <c r="CS541" s="21">
        <v>2</v>
      </c>
      <c r="CT541" s="21">
        <v>0</v>
      </c>
      <c r="CU541" s="21">
        <v>0</v>
      </c>
      <c r="CV541" s="21">
        <v>0</v>
      </c>
      <c r="CW541" s="21">
        <v>0</v>
      </c>
      <c r="CX541" s="21">
        <v>0</v>
      </c>
      <c r="CY541" s="21">
        <v>0</v>
      </c>
      <c r="CZ541" s="21">
        <v>0</v>
      </c>
      <c r="DA541" s="21">
        <v>0</v>
      </c>
      <c r="DB541" s="21">
        <v>0</v>
      </c>
      <c r="DC541" s="21">
        <v>0</v>
      </c>
      <c r="DD541" s="21">
        <v>0</v>
      </c>
      <c r="DE541" s="21">
        <v>0</v>
      </c>
      <c r="DF541" s="21">
        <v>0</v>
      </c>
      <c r="DG541" s="21">
        <v>0</v>
      </c>
      <c r="DH541" s="21">
        <v>0</v>
      </c>
      <c r="DI541" s="21">
        <v>0</v>
      </c>
      <c r="DJ541" s="21">
        <v>0</v>
      </c>
      <c r="DK541" s="21">
        <v>2</v>
      </c>
      <c r="DL541" s="21">
        <v>2</v>
      </c>
      <c r="DM541" s="21">
        <v>2</v>
      </c>
      <c r="DN541" s="21">
        <v>2</v>
      </c>
      <c r="DO541" s="21">
        <v>2</v>
      </c>
      <c r="DP541" s="21">
        <v>2</v>
      </c>
      <c r="DQ541" s="21">
        <v>2</v>
      </c>
      <c r="DR541" s="21">
        <v>0</v>
      </c>
      <c r="DS541" s="21">
        <v>0</v>
      </c>
      <c r="DT541" s="21">
        <v>0</v>
      </c>
      <c r="DU541" s="21">
        <v>0</v>
      </c>
      <c r="DV541" s="21">
        <v>0</v>
      </c>
      <c r="DW541" s="21">
        <v>0</v>
      </c>
      <c r="DX541" s="21">
        <v>0</v>
      </c>
      <c r="DY541" s="21">
        <v>0</v>
      </c>
      <c r="DZ541" s="21">
        <v>0</v>
      </c>
      <c r="EA541" s="21">
        <v>0</v>
      </c>
      <c r="EB541" s="21">
        <v>0</v>
      </c>
      <c r="EC541" s="21">
        <v>0</v>
      </c>
      <c r="ED541" s="21">
        <v>0</v>
      </c>
      <c r="EE541" s="21">
        <v>0</v>
      </c>
      <c r="EF541" s="21">
        <v>0</v>
      </c>
    </row>
    <row r="542" spans="1:136" ht="14.5" x14ac:dyDescent="0.35">
      <c r="A542" s="20" t="s">
        <v>12</v>
      </c>
      <c r="B542" s="20" t="s">
        <v>25</v>
      </c>
      <c r="C542" s="20" t="s">
        <v>25</v>
      </c>
      <c r="D542" s="20" t="s">
        <v>337</v>
      </c>
      <c r="E542" s="20" t="s">
        <v>16</v>
      </c>
      <c r="F542" s="20" t="s">
        <v>98</v>
      </c>
      <c r="G542" s="21">
        <v>64</v>
      </c>
      <c r="H542" s="21">
        <v>200</v>
      </c>
      <c r="I542" s="21">
        <v>8.5</v>
      </c>
      <c r="J542" s="21">
        <v>191.5</v>
      </c>
      <c r="K542" s="21">
        <v>0</v>
      </c>
      <c r="L542" s="21">
        <v>0</v>
      </c>
      <c r="M542" s="21">
        <v>0</v>
      </c>
      <c r="N542" s="21">
        <v>0</v>
      </c>
      <c r="O542" s="21">
        <v>0</v>
      </c>
      <c r="P542" s="21">
        <v>0</v>
      </c>
      <c r="Q542" s="21">
        <v>0</v>
      </c>
      <c r="R542" s="21">
        <v>0</v>
      </c>
      <c r="S542" s="21">
        <v>0</v>
      </c>
      <c r="T542" s="21">
        <v>0</v>
      </c>
      <c r="U542" s="21">
        <v>0</v>
      </c>
      <c r="V542" s="21">
        <v>0</v>
      </c>
      <c r="W542" s="21">
        <v>0</v>
      </c>
      <c r="X542" s="21">
        <v>0</v>
      </c>
      <c r="Y542" s="21">
        <v>0</v>
      </c>
      <c r="Z542" s="21">
        <v>0</v>
      </c>
      <c r="AA542" s="21">
        <v>0</v>
      </c>
      <c r="AB542" s="21">
        <v>0</v>
      </c>
      <c r="AC542" s="21">
        <v>0</v>
      </c>
      <c r="AD542" s="21">
        <v>0</v>
      </c>
      <c r="AE542" s="21">
        <v>0</v>
      </c>
      <c r="AF542" s="21">
        <v>0</v>
      </c>
      <c r="AG542" s="21">
        <v>0</v>
      </c>
      <c r="AH542" s="21">
        <v>2.5</v>
      </c>
      <c r="AI542" s="21">
        <v>3</v>
      </c>
      <c r="AJ542" s="21">
        <v>3</v>
      </c>
      <c r="AK542" s="21">
        <v>0</v>
      </c>
      <c r="AL542" s="21">
        <v>0</v>
      </c>
      <c r="AM542" s="21">
        <v>0</v>
      </c>
      <c r="AN542" s="21">
        <v>0</v>
      </c>
      <c r="AO542" s="21">
        <v>0</v>
      </c>
      <c r="AP542" s="21">
        <v>0</v>
      </c>
      <c r="AQ542" s="21">
        <v>0</v>
      </c>
      <c r="AR542" s="21">
        <v>0</v>
      </c>
      <c r="AS542" s="21">
        <v>0</v>
      </c>
      <c r="AT542" s="21">
        <v>0</v>
      </c>
      <c r="AU542" s="21">
        <v>0</v>
      </c>
      <c r="AV542" s="21">
        <v>0</v>
      </c>
      <c r="AW542" s="21">
        <v>0</v>
      </c>
      <c r="AX542" s="21">
        <v>0</v>
      </c>
      <c r="AY542" s="21">
        <v>0</v>
      </c>
      <c r="AZ542" s="21">
        <v>0</v>
      </c>
      <c r="BA542" s="21">
        <v>0</v>
      </c>
      <c r="BB542" s="21">
        <v>0</v>
      </c>
      <c r="BC542" s="21">
        <v>0</v>
      </c>
      <c r="BD542" s="21">
        <v>0</v>
      </c>
      <c r="BE542" s="21">
        <v>0</v>
      </c>
      <c r="BF542" s="21">
        <v>0</v>
      </c>
      <c r="BG542" s="21">
        <v>0</v>
      </c>
      <c r="BH542" s="21">
        <v>0</v>
      </c>
      <c r="BI542" s="21">
        <v>0</v>
      </c>
      <c r="BJ542" s="21">
        <v>0</v>
      </c>
      <c r="BK542" s="21">
        <v>0</v>
      </c>
      <c r="BL542" s="21">
        <v>0</v>
      </c>
      <c r="BM542" s="21">
        <v>0</v>
      </c>
      <c r="BN542" s="21">
        <v>0</v>
      </c>
      <c r="BO542" s="21">
        <v>0</v>
      </c>
      <c r="BP542" s="21">
        <v>0</v>
      </c>
      <c r="BQ542" s="21">
        <v>0</v>
      </c>
      <c r="BR542" s="21">
        <v>0</v>
      </c>
      <c r="BS542" s="21">
        <v>0</v>
      </c>
      <c r="BT542" s="21">
        <v>0</v>
      </c>
      <c r="BU542" s="21">
        <v>0</v>
      </c>
      <c r="BV542" s="21">
        <v>0</v>
      </c>
      <c r="BW542" s="21">
        <v>0</v>
      </c>
      <c r="BX542" s="21">
        <v>0</v>
      </c>
      <c r="BY542" s="21">
        <v>0</v>
      </c>
      <c r="BZ542" s="21">
        <v>0</v>
      </c>
      <c r="CA542" s="21">
        <v>0</v>
      </c>
      <c r="CB542" s="21">
        <v>0</v>
      </c>
      <c r="CC542" s="21">
        <v>0</v>
      </c>
      <c r="CD542" s="21">
        <v>0</v>
      </c>
      <c r="CE542" s="21">
        <v>0</v>
      </c>
      <c r="CF542" s="21">
        <v>0</v>
      </c>
      <c r="CG542" s="21">
        <v>0</v>
      </c>
      <c r="CH542" s="21">
        <v>0</v>
      </c>
      <c r="CI542" s="21">
        <v>0</v>
      </c>
      <c r="CJ542" s="21">
        <v>0</v>
      </c>
      <c r="CK542" s="21">
        <v>0</v>
      </c>
      <c r="CL542" s="21">
        <v>0</v>
      </c>
      <c r="CM542" s="21">
        <v>0</v>
      </c>
      <c r="CN542" s="21">
        <v>0</v>
      </c>
      <c r="CO542" s="21">
        <v>0</v>
      </c>
      <c r="CP542" s="21">
        <v>0</v>
      </c>
      <c r="CQ542" s="21">
        <v>0</v>
      </c>
      <c r="CR542" s="21">
        <v>0</v>
      </c>
      <c r="CS542" s="21">
        <v>0</v>
      </c>
      <c r="CT542" s="21">
        <v>0</v>
      </c>
      <c r="CU542" s="21">
        <v>0</v>
      </c>
      <c r="CV542" s="21">
        <v>0</v>
      </c>
      <c r="CW542" s="21">
        <v>0</v>
      </c>
      <c r="CX542" s="21">
        <v>0</v>
      </c>
      <c r="CY542" s="21">
        <v>0</v>
      </c>
      <c r="CZ542" s="21">
        <v>0</v>
      </c>
      <c r="DA542" s="21">
        <v>0</v>
      </c>
      <c r="DB542" s="21">
        <v>0</v>
      </c>
      <c r="DC542" s="21">
        <v>0</v>
      </c>
      <c r="DD542" s="21">
        <v>0</v>
      </c>
      <c r="DE542" s="21">
        <v>0</v>
      </c>
      <c r="DF542" s="21">
        <v>0</v>
      </c>
      <c r="DG542" s="21">
        <v>0</v>
      </c>
      <c r="DH542" s="21">
        <v>0</v>
      </c>
      <c r="DI542" s="21">
        <v>0</v>
      </c>
      <c r="DJ542" s="21">
        <v>0</v>
      </c>
      <c r="DK542" s="21">
        <v>0</v>
      </c>
      <c r="DL542" s="21">
        <v>0</v>
      </c>
      <c r="DM542" s="21">
        <v>0</v>
      </c>
      <c r="DN542" s="21">
        <v>0</v>
      </c>
      <c r="DO542" s="21">
        <v>0</v>
      </c>
      <c r="DP542" s="21">
        <v>0</v>
      </c>
      <c r="DQ542" s="21">
        <v>0</v>
      </c>
      <c r="DR542" s="21">
        <v>0</v>
      </c>
      <c r="DS542" s="21">
        <v>0</v>
      </c>
      <c r="DT542" s="21">
        <v>0</v>
      </c>
      <c r="DU542" s="21">
        <v>0</v>
      </c>
      <c r="DV542" s="21">
        <v>0</v>
      </c>
      <c r="DW542" s="21">
        <v>0</v>
      </c>
      <c r="DX542" s="21">
        <v>0</v>
      </c>
      <c r="DY542" s="21">
        <v>0</v>
      </c>
      <c r="DZ542" s="21">
        <v>0</v>
      </c>
      <c r="EA542" s="21">
        <v>0</v>
      </c>
      <c r="EB542" s="21">
        <v>0</v>
      </c>
      <c r="EC542" s="21">
        <v>0</v>
      </c>
      <c r="ED542" s="21">
        <v>0</v>
      </c>
      <c r="EE542" s="21">
        <v>0</v>
      </c>
      <c r="EF542" s="21">
        <v>0</v>
      </c>
    </row>
    <row r="543" spans="1:136" ht="14.5" x14ac:dyDescent="0.35">
      <c r="A543" s="20" t="s">
        <v>12</v>
      </c>
      <c r="B543" s="20" t="s">
        <v>25</v>
      </c>
      <c r="C543" s="20" t="s">
        <v>25</v>
      </c>
      <c r="D543" s="20" t="s">
        <v>336</v>
      </c>
      <c r="E543" s="20" t="s">
        <v>16</v>
      </c>
      <c r="F543" s="20" t="s">
        <v>98</v>
      </c>
      <c r="G543" s="21">
        <v>0</v>
      </c>
      <c r="H543" s="21">
        <v>0</v>
      </c>
      <c r="I543" s="21">
        <v>182</v>
      </c>
      <c r="J543" s="21">
        <v>-182</v>
      </c>
      <c r="K543" s="21">
        <v>0</v>
      </c>
      <c r="L543" s="21">
        <v>0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1">
        <v>0</v>
      </c>
      <c r="S543" s="21">
        <v>0</v>
      </c>
      <c r="T543" s="21">
        <v>0</v>
      </c>
      <c r="U543" s="21">
        <v>0</v>
      </c>
      <c r="V543" s="21">
        <v>0</v>
      </c>
      <c r="W543" s="21">
        <v>0</v>
      </c>
      <c r="X543" s="21">
        <v>0</v>
      </c>
      <c r="Y543" s="21">
        <v>0</v>
      </c>
      <c r="Z543" s="21">
        <v>0</v>
      </c>
      <c r="AA543" s="21">
        <v>0</v>
      </c>
      <c r="AB543" s="21">
        <v>0</v>
      </c>
      <c r="AC543" s="21">
        <v>0</v>
      </c>
      <c r="AD543" s="21">
        <v>0</v>
      </c>
      <c r="AE543" s="21">
        <v>0</v>
      </c>
      <c r="AF543" s="21">
        <v>0</v>
      </c>
      <c r="AG543" s="21">
        <v>0</v>
      </c>
      <c r="AH543" s="21">
        <v>0</v>
      </c>
      <c r="AI543" s="21">
        <v>0</v>
      </c>
      <c r="AJ543" s="21">
        <v>2</v>
      </c>
      <c r="AK543" s="21">
        <v>3</v>
      </c>
      <c r="AL543" s="21">
        <v>4</v>
      </c>
      <c r="AM543" s="21">
        <v>10</v>
      </c>
      <c r="AN543" s="21">
        <v>6.5</v>
      </c>
      <c r="AO543" s="21">
        <v>10</v>
      </c>
      <c r="AP543" s="21">
        <v>5.5</v>
      </c>
      <c r="AQ543" s="21">
        <v>0</v>
      </c>
      <c r="AR543" s="21">
        <v>3.5</v>
      </c>
      <c r="AS543" s="21">
        <v>2</v>
      </c>
      <c r="AT543" s="21">
        <v>0</v>
      </c>
      <c r="AU543" s="21">
        <v>0</v>
      </c>
      <c r="AV543" s="21">
        <v>0</v>
      </c>
      <c r="AW543" s="21">
        <v>0</v>
      </c>
      <c r="AX543" s="21">
        <v>0</v>
      </c>
      <c r="AY543" s="21">
        <v>0</v>
      </c>
      <c r="AZ543" s="21">
        <v>0</v>
      </c>
      <c r="BA543" s="21">
        <v>0</v>
      </c>
      <c r="BB543" s="21">
        <v>0</v>
      </c>
      <c r="BC543" s="21">
        <v>0</v>
      </c>
      <c r="BD543" s="21">
        <v>0</v>
      </c>
      <c r="BE543" s="21">
        <v>0</v>
      </c>
      <c r="BF543" s="21">
        <v>0</v>
      </c>
      <c r="BG543" s="21">
        <v>0</v>
      </c>
      <c r="BH543" s="21">
        <v>0</v>
      </c>
      <c r="BI543" s="21">
        <v>0</v>
      </c>
      <c r="BJ543" s="21">
        <v>0</v>
      </c>
      <c r="BK543" s="21">
        <v>0</v>
      </c>
      <c r="BL543" s="21">
        <v>0</v>
      </c>
      <c r="BM543" s="21">
        <v>0</v>
      </c>
      <c r="BN543" s="21">
        <v>0</v>
      </c>
      <c r="BO543" s="21">
        <v>0</v>
      </c>
      <c r="BP543" s="21">
        <v>0</v>
      </c>
      <c r="BQ543" s="21">
        <v>0</v>
      </c>
      <c r="BR543" s="21">
        <v>0</v>
      </c>
      <c r="BS543" s="21">
        <v>0</v>
      </c>
      <c r="BT543" s="21">
        <v>0</v>
      </c>
      <c r="BU543" s="21">
        <v>0</v>
      </c>
      <c r="BV543" s="21">
        <v>0</v>
      </c>
      <c r="BW543" s="21">
        <v>0</v>
      </c>
      <c r="BX543" s="21">
        <v>0</v>
      </c>
      <c r="BY543" s="21">
        <v>0</v>
      </c>
      <c r="BZ543" s="21">
        <v>0</v>
      </c>
      <c r="CA543" s="21">
        <v>0</v>
      </c>
      <c r="CB543" s="21">
        <v>0</v>
      </c>
      <c r="CC543" s="21">
        <v>0</v>
      </c>
      <c r="CD543" s="21">
        <v>0</v>
      </c>
      <c r="CE543" s="21">
        <v>0</v>
      </c>
      <c r="CF543" s="21">
        <v>0</v>
      </c>
      <c r="CG543" s="21">
        <v>0</v>
      </c>
      <c r="CH543" s="21">
        <v>0</v>
      </c>
      <c r="CI543" s="21">
        <v>0</v>
      </c>
      <c r="CJ543" s="21">
        <v>0</v>
      </c>
      <c r="CK543" s="21">
        <v>0</v>
      </c>
      <c r="CL543" s="21">
        <v>0</v>
      </c>
      <c r="CM543" s="21">
        <v>0</v>
      </c>
      <c r="CN543" s="21">
        <v>0</v>
      </c>
      <c r="CO543" s="21">
        <v>0</v>
      </c>
      <c r="CP543" s="21">
        <v>0</v>
      </c>
      <c r="CQ543" s="21">
        <v>0</v>
      </c>
      <c r="CR543" s="21">
        <v>0</v>
      </c>
      <c r="CS543" s="21">
        <v>5.5</v>
      </c>
      <c r="CT543" s="21">
        <v>4</v>
      </c>
      <c r="CU543" s="21">
        <v>3</v>
      </c>
      <c r="CV543" s="21">
        <v>0</v>
      </c>
      <c r="CW543" s="21">
        <v>0</v>
      </c>
      <c r="CX543" s="21">
        <v>0</v>
      </c>
      <c r="CY543" s="21">
        <v>0</v>
      </c>
      <c r="CZ543" s="21">
        <v>0</v>
      </c>
      <c r="DA543" s="21">
        <v>0</v>
      </c>
      <c r="DB543" s="21">
        <v>0</v>
      </c>
      <c r="DC543" s="21">
        <v>0</v>
      </c>
      <c r="DD543" s="21">
        <v>0</v>
      </c>
      <c r="DE543" s="21">
        <v>0</v>
      </c>
      <c r="DF543" s="21">
        <v>0</v>
      </c>
      <c r="DG543" s="21">
        <v>0</v>
      </c>
      <c r="DH543" s="21">
        <v>3</v>
      </c>
      <c r="DI543" s="21">
        <v>0</v>
      </c>
      <c r="DJ543" s="21">
        <v>0</v>
      </c>
      <c r="DK543" s="21">
        <v>2</v>
      </c>
      <c r="DL543" s="21">
        <v>15</v>
      </c>
      <c r="DM543" s="21">
        <v>15</v>
      </c>
      <c r="DN543" s="21">
        <v>15</v>
      </c>
      <c r="DO543" s="21">
        <v>15</v>
      </c>
      <c r="DP543" s="21">
        <v>20</v>
      </c>
      <c r="DQ543" s="21">
        <v>20</v>
      </c>
      <c r="DR543" s="21">
        <v>20</v>
      </c>
      <c r="DS543" s="21">
        <v>0</v>
      </c>
      <c r="DT543" s="21">
        <v>0</v>
      </c>
      <c r="DU543" s="21">
        <v>0</v>
      </c>
      <c r="DV543" s="21">
        <v>0</v>
      </c>
      <c r="DW543" s="21">
        <v>0</v>
      </c>
      <c r="DX543" s="21">
        <v>0</v>
      </c>
      <c r="DY543" s="21">
        <v>0</v>
      </c>
      <c r="DZ543" s="21">
        <v>0</v>
      </c>
      <c r="EA543" s="21">
        <v>0</v>
      </c>
      <c r="EB543" s="21">
        <v>0</v>
      </c>
      <c r="EC543" s="21">
        <v>0</v>
      </c>
      <c r="ED543" s="21">
        <v>0</v>
      </c>
      <c r="EE543" s="21">
        <v>0</v>
      </c>
      <c r="EF543" s="21">
        <v>0</v>
      </c>
    </row>
    <row r="544" spans="1:136" ht="14.5" x14ac:dyDescent="0.35">
      <c r="A544" s="20" t="s">
        <v>12</v>
      </c>
      <c r="B544" s="20" t="s">
        <v>25</v>
      </c>
      <c r="C544" s="20" t="s">
        <v>25</v>
      </c>
      <c r="D544" s="20" t="s">
        <v>337</v>
      </c>
      <c r="E544" s="20" t="s">
        <v>16</v>
      </c>
      <c r="F544" s="20" t="s">
        <v>113</v>
      </c>
      <c r="G544" s="21">
        <v>0</v>
      </c>
      <c r="H544" s="21">
        <v>0</v>
      </c>
      <c r="I544" s="21">
        <v>5</v>
      </c>
      <c r="J544" s="21">
        <v>-5</v>
      </c>
      <c r="K544" s="21">
        <v>0</v>
      </c>
      <c r="L544" s="21">
        <v>0</v>
      </c>
      <c r="M544" s="21">
        <v>0</v>
      </c>
      <c r="N544" s="21">
        <v>0</v>
      </c>
      <c r="O544" s="21">
        <v>0</v>
      </c>
      <c r="P544" s="21">
        <v>0</v>
      </c>
      <c r="Q544" s="21">
        <v>0</v>
      </c>
      <c r="R544" s="21">
        <v>0</v>
      </c>
      <c r="S544" s="21">
        <v>0</v>
      </c>
      <c r="T544" s="21">
        <v>0</v>
      </c>
      <c r="U544" s="21">
        <v>0</v>
      </c>
      <c r="V544" s="21">
        <v>0</v>
      </c>
      <c r="W544" s="21">
        <v>0</v>
      </c>
      <c r="X544" s="21">
        <v>0</v>
      </c>
      <c r="Y544" s="21">
        <v>0</v>
      </c>
      <c r="Z544" s="21">
        <v>0</v>
      </c>
      <c r="AA544" s="21">
        <v>5</v>
      </c>
      <c r="AB544" s="21">
        <v>0</v>
      </c>
      <c r="AC544" s="21">
        <v>0</v>
      </c>
      <c r="AD544" s="21">
        <v>0</v>
      </c>
      <c r="AE544" s="21">
        <v>0</v>
      </c>
      <c r="AF544" s="21">
        <v>0</v>
      </c>
      <c r="AG544" s="21">
        <v>0</v>
      </c>
      <c r="AH544" s="21">
        <v>0</v>
      </c>
      <c r="AI544" s="21">
        <v>0</v>
      </c>
      <c r="AJ544" s="21">
        <v>0</v>
      </c>
      <c r="AK544" s="21">
        <v>0</v>
      </c>
      <c r="AL544" s="21">
        <v>0</v>
      </c>
      <c r="AM544" s="21">
        <v>0</v>
      </c>
      <c r="AN544" s="21">
        <v>0</v>
      </c>
      <c r="AO544" s="21">
        <v>0</v>
      </c>
      <c r="AP544" s="21">
        <v>0</v>
      </c>
      <c r="AQ544" s="21">
        <v>0</v>
      </c>
      <c r="AR544" s="21">
        <v>0</v>
      </c>
      <c r="AS544" s="21">
        <v>0</v>
      </c>
      <c r="AT544" s="21">
        <v>0</v>
      </c>
      <c r="AU544" s="21">
        <v>0</v>
      </c>
      <c r="AV544" s="21">
        <v>0</v>
      </c>
      <c r="AW544" s="21">
        <v>0</v>
      </c>
      <c r="AX544" s="21">
        <v>0</v>
      </c>
      <c r="AY544" s="21">
        <v>0</v>
      </c>
      <c r="AZ544" s="21">
        <v>0</v>
      </c>
      <c r="BA544" s="21">
        <v>0</v>
      </c>
      <c r="BB544" s="21">
        <v>0</v>
      </c>
      <c r="BC544" s="21">
        <v>0</v>
      </c>
      <c r="BD544" s="21">
        <v>0</v>
      </c>
      <c r="BE544" s="21">
        <v>0</v>
      </c>
      <c r="BF544" s="21">
        <v>0</v>
      </c>
      <c r="BG544" s="21">
        <v>0</v>
      </c>
      <c r="BH544" s="21">
        <v>0</v>
      </c>
      <c r="BI544" s="21">
        <v>0</v>
      </c>
      <c r="BJ544" s="21">
        <v>0</v>
      </c>
      <c r="BK544" s="21">
        <v>0</v>
      </c>
      <c r="BL544" s="21">
        <v>0</v>
      </c>
      <c r="BM544" s="21">
        <v>0</v>
      </c>
      <c r="BN544" s="21">
        <v>0</v>
      </c>
      <c r="BO544" s="21">
        <v>0</v>
      </c>
      <c r="BP544" s="21">
        <v>0</v>
      </c>
      <c r="BQ544" s="21">
        <v>0</v>
      </c>
      <c r="BR544" s="21">
        <v>0</v>
      </c>
      <c r="BS544" s="21">
        <v>0</v>
      </c>
      <c r="BT544" s="21">
        <v>0</v>
      </c>
      <c r="BU544" s="21">
        <v>0</v>
      </c>
      <c r="BV544" s="21">
        <v>0</v>
      </c>
      <c r="BW544" s="21">
        <v>0</v>
      </c>
      <c r="BX544" s="21">
        <v>0</v>
      </c>
      <c r="BY544" s="21">
        <v>0</v>
      </c>
      <c r="BZ544" s="21">
        <v>0</v>
      </c>
      <c r="CA544" s="21">
        <v>0</v>
      </c>
      <c r="CB544" s="21">
        <v>0</v>
      </c>
      <c r="CC544" s="21">
        <v>0</v>
      </c>
      <c r="CD544" s="21">
        <v>0</v>
      </c>
      <c r="CE544" s="21">
        <v>0</v>
      </c>
      <c r="CF544" s="21">
        <v>0</v>
      </c>
      <c r="CG544" s="21">
        <v>0</v>
      </c>
      <c r="CH544" s="21">
        <v>0</v>
      </c>
      <c r="CI544" s="21">
        <v>0</v>
      </c>
      <c r="CJ544" s="21">
        <v>0</v>
      </c>
      <c r="CK544" s="21">
        <v>0</v>
      </c>
      <c r="CL544" s="21">
        <v>0</v>
      </c>
      <c r="CM544" s="21">
        <v>0</v>
      </c>
      <c r="CN544" s="21">
        <v>0</v>
      </c>
      <c r="CO544" s="21">
        <v>0</v>
      </c>
      <c r="CP544" s="21">
        <v>0</v>
      </c>
      <c r="CQ544" s="21">
        <v>0</v>
      </c>
      <c r="CR544" s="21">
        <v>0</v>
      </c>
      <c r="CS544" s="21">
        <v>0</v>
      </c>
      <c r="CT544" s="21">
        <v>0</v>
      </c>
      <c r="CU544" s="21">
        <v>0</v>
      </c>
      <c r="CV544" s="21">
        <v>0</v>
      </c>
      <c r="CW544" s="21">
        <v>0</v>
      </c>
      <c r="CX544" s="21">
        <v>0</v>
      </c>
      <c r="CY544" s="21">
        <v>0</v>
      </c>
      <c r="CZ544" s="21">
        <v>0</v>
      </c>
      <c r="DA544" s="21">
        <v>0</v>
      </c>
      <c r="DB544" s="21">
        <v>0</v>
      </c>
      <c r="DC544" s="21">
        <v>0</v>
      </c>
      <c r="DD544" s="21">
        <v>0</v>
      </c>
      <c r="DE544" s="21">
        <v>0</v>
      </c>
      <c r="DF544" s="21">
        <v>0</v>
      </c>
      <c r="DG544" s="21">
        <v>0</v>
      </c>
      <c r="DH544" s="21">
        <v>0</v>
      </c>
      <c r="DI544" s="21">
        <v>0</v>
      </c>
      <c r="DJ544" s="21">
        <v>0</v>
      </c>
      <c r="DK544" s="21">
        <v>0</v>
      </c>
      <c r="DL544" s="21">
        <v>0</v>
      </c>
      <c r="DM544" s="21">
        <v>0</v>
      </c>
      <c r="DN544" s="21">
        <v>0</v>
      </c>
      <c r="DO544" s="21">
        <v>0</v>
      </c>
      <c r="DP544" s="21">
        <v>0</v>
      </c>
      <c r="DQ544" s="21">
        <v>0</v>
      </c>
      <c r="DR544" s="21">
        <v>0</v>
      </c>
      <c r="DS544" s="21">
        <v>0</v>
      </c>
      <c r="DT544" s="21">
        <v>0</v>
      </c>
      <c r="DU544" s="21">
        <v>0</v>
      </c>
      <c r="DV544" s="21">
        <v>0</v>
      </c>
      <c r="DW544" s="21">
        <v>0</v>
      </c>
      <c r="DX544" s="21">
        <v>0</v>
      </c>
      <c r="DY544" s="21">
        <v>0</v>
      </c>
      <c r="DZ544" s="21">
        <v>0</v>
      </c>
      <c r="EA544" s="21">
        <v>0</v>
      </c>
      <c r="EB544" s="21">
        <v>0</v>
      </c>
      <c r="EC544" s="21">
        <v>0</v>
      </c>
      <c r="ED544" s="21">
        <v>0</v>
      </c>
      <c r="EE544" s="21">
        <v>0</v>
      </c>
      <c r="EF544" s="21">
        <v>0</v>
      </c>
    </row>
    <row r="545" spans="1:136" ht="14.5" x14ac:dyDescent="0.35">
      <c r="A545" s="20" t="s">
        <v>12</v>
      </c>
      <c r="B545" s="20" t="s">
        <v>25</v>
      </c>
      <c r="C545" s="20" t="s">
        <v>25</v>
      </c>
      <c r="D545" s="20" t="s">
        <v>337</v>
      </c>
      <c r="E545" s="20" t="s">
        <v>16</v>
      </c>
      <c r="F545" s="20" t="s">
        <v>113</v>
      </c>
      <c r="G545" s="21">
        <v>67</v>
      </c>
      <c r="H545" s="21">
        <v>145</v>
      </c>
      <c r="I545" s="21">
        <v>19.5</v>
      </c>
      <c r="J545" s="21">
        <v>125.5</v>
      </c>
      <c r="K545" s="21">
        <v>0</v>
      </c>
      <c r="L545" s="21">
        <v>0</v>
      </c>
      <c r="M545" s="21">
        <v>0</v>
      </c>
      <c r="N545" s="21">
        <v>0</v>
      </c>
      <c r="O545" s="21">
        <v>0</v>
      </c>
      <c r="P545" s="21">
        <v>0</v>
      </c>
      <c r="Q545" s="21">
        <v>0</v>
      </c>
      <c r="R545" s="21">
        <v>0</v>
      </c>
      <c r="S545" s="21">
        <v>0</v>
      </c>
      <c r="T545" s="21">
        <v>0</v>
      </c>
      <c r="U545" s="21">
        <v>0</v>
      </c>
      <c r="V545" s="21">
        <v>0</v>
      </c>
      <c r="W545" s="21">
        <v>0</v>
      </c>
      <c r="X545" s="21">
        <v>0</v>
      </c>
      <c r="Y545" s="21">
        <v>0</v>
      </c>
      <c r="Z545" s="21">
        <v>0</v>
      </c>
      <c r="AA545" s="21">
        <v>0</v>
      </c>
      <c r="AB545" s="21">
        <v>1</v>
      </c>
      <c r="AC545" s="21">
        <v>0</v>
      </c>
      <c r="AD545" s="21">
        <v>2</v>
      </c>
      <c r="AE545" s="21">
        <v>2</v>
      </c>
      <c r="AF545" s="21">
        <v>3</v>
      </c>
      <c r="AG545" s="21">
        <v>4</v>
      </c>
      <c r="AH545" s="21">
        <v>3.5</v>
      </c>
      <c r="AI545" s="21">
        <v>3</v>
      </c>
      <c r="AJ545" s="21">
        <v>1</v>
      </c>
      <c r="AK545" s="21">
        <v>0</v>
      </c>
      <c r="AL545" s="21">
        <v>0</v>
      </c>
      <c r="AM545" s="21">
        <v>0</v>
      </c>
      <c r="AN545" s="21">
        <v>0</v>
      </c>
      <c r="AO545" s="21">
        <v>0</v>
      </c>
      <c r="AP545" s="21">
        <v>0</v>
      </c>
      <c r="AQ545" s="21">
        <v>0</v>
      </c>
      <c r="AR545" s="21">
        <v>0</v>
      </c>
      <c r="AS545" s="21">
        <v>0</v>
      </c>
      <c r="AT545" s="21">
        <v>0</v>
      </c>
      <c r="AU545" s="21">
        <v>0</v>
      </c>
      <c r="AV545" s="21">
        <v>0</v>
      </c>
      <c r="AW545" s="21">
        <v>0</v>
      </c>
      <c r="AX545" s="21">
        <v>0</v>
      </c>
      <c r="AY545" s="21">
        <v>0</v>
      </c>
      <c r="AZ545" s="21">
        <v>0</v>
      </c>
      <c r="BA545" s="21">
        <v>0</v>
      </c>
      <c r="BB545" s="21">
        <v>0</v>
      </c>
      <c r="BC545" s="21">
        <v>0</v>
      </c>
      <c r="BD545" s="21">
        <v>0</v>
      </c>
      <c r="BE545" s="21">
        <v>0</v>
      </c>
      <c r="BF545" s="21">
        <v>0</v>
      </c>
      <c r="BG545" s="21">
        <v>0</v>
      </c>
      <c r="BH545" s="21">
        <v>0</v>
      </c>
      <c r="BI545" s="21">
        <v>0</v>
      </c>
      <c r="BJ545" s="21">
        <v>0</v>
      </c>
      <c r="BK545" s="21">
        <v>0</v>
      </c>
      <c r="BL545" s="21">
        <v>0</v>
      </c>
      <c r="BM545" s="21">
        <v>0</v>
      </c>
      <c r="BN545" s="21">
        <v>0</v>
      </c>
      <c r="BO545" s="21">
        <v>0</v>
      </c>
      <c r="BP545" s="21">
        <v>0</v>
      </c>
      <c r="BQ545" s="21">
        <v>0</v>
      </c>
      <c r="BR545" s="21">
        <v>0</v>
      </c>
      <c r="BS545" s="21">
        <v>0</v>
      </c>
      <c r="BT545" s="21">
        <v>0</v>
      </c>
      <c r="BU545" s="21">
        <v>0</v>
      </c>
      <c r="BV545" s="21">
        <v>0</v>
      </c>
      <c r="BW545" s="21">
        <v>0</v>
      </c>
      <c r="BX545" s="21">
        <v>0</v>
      </c>
      <c r="BY545" s="21">
        <v>0</v>
      </c>
      <c r="BZ545" s="21">
        <v>0</v>
      </c>
      <c r="CA545" s="21">
        <v>0</v>
      </c>
      <c r="CB545" s="21">
        <v>0</v>
      </c>
      <c r="CC545" s="21">
        <v>0</v>
      </c>
      <c r="CD545" s="21">
        <v>0</v>
      </c>
      <c r="CE545" s="21">
        <v>0</v>
      </c>
      <c r="CF545" s="21">
        <v>0</v>
      </c>
      <c r="CG545" s="21">
        <v>0</v>
      </c>
      <c r="CH545" s="21">
        <v>0</v>
      </c>
      <c r="CI545" s="21">
        <v>0</v>
      </c>
      <c r="CJ545" s="21">
        <v>0</v>
      </c>
      <c r="CK545" s="21">
        <v>0</v>
      </c>
      <c r="CL545" s="21">
        <v>0</v>
      </c>
      <c r="CM545" s="21">
        <v>0</v>
      </c>
      <c r="CN545" s="21">
        <v>0</v>
      </c>
      <c r="CO545" s="21">
        <v>0</v>
      </c>
      <c r="CP545" s="21">
        <v>0</v>
      </c>
      <c r="CQ545" s="21">
        <v>0</v>
      </c>
      <c r="CR545" s="21">
        <v>0</v>
      </c>
      <c r="CS545" s="21">
        <v>0</v>
      </c>
      <c r="CT545" s="21">
        <v>0</v>
      </c>
      <c r="CU545" s="21">
        <v>0</v>
      </c>
      <c r="CV545" s="21">
        <v>0</v>
      </c>
      <c r="CW545" s="21">
        <v>0</v>
      </c>
      <c r="CX545" s="21">
        <v>0</v>
      </c>
      <c r="CY545" s="21">
        <v>0</v>
      </c>
      <c r="CZ545" s="21">
        <v>0</v>
      </c>
      <c r="DA545" s="21">
        <v>0</v>
      </c>
      <c r="DB545" s="21">
        <v>0</v>
      </c>
      <c r="DC545" s="21">
        <v>0</v>
      </c>
      <c r="DD545" s="21">
        <v>0</v>
      </c>
      <c r="DE545" s="21">
        <v>0</v>
      </c>
      <c r="DF545" s="21">
        <v>0</v>
      </c>
      <c r="DG545" s="21">
        <v>0</v>
      </c>
      <c r="DH545" s="21">
        <v>0</v>
      </c>
      <c r="DI545" s="21">
        <v>0</v>
      </c>
      <c r="DJ545" s="21">
        <v>0</v>
      </c>
      <c r="DK545" s="21">
        <v>0</v>
      </c>
      <c r="DL545" s="21">
        <v>0</v>
      </c>
      <c r="DM545" s="21">
        <v>0</v>
      </c>
      <c r="DN545" s="21">
        <v>0</v>
      </c>
      <c r="DO545" s="21">
        <v>0</v>
      </c>
      <c r="DP545" s="21">
        <v>0</v>
      </c>
      <c r="DQ545" s="21">
        <v>0</v>
      </c>
      <c r="DR545" s="21">
        <v>0</v>
      </c>
      <c r="DS545" s="21">
        <v>0</v>
      </c>
      <c r="DT545" s="21">
        <v>0</v>
      </c>
      <c r="DU545" s="21">
        <v>0</v>
      </c>
      <c r="DV545" s="21">
        <v>0</v>
      </c>
      <c r="DW545" s="21">
        <v>0</v>
      </c>
      <c r="DX545" s="21">
        <v>0</v>
      </c>
      <c r="DY545" s="21">
        <v>0</v>
      </c>
      <c r="DZ545" s="21">
        <v>0</v>
      </c>
      <c r="EA545" s="21">
        <v>0</v>
      </c>
      <c r="EB545" s="21">
        <v>0</v>
      </c>
      <c r="EC545" s="21">
        <v>0</v>
      </c>
      <c r="ED545" s="21">
        <v>0</v>
      </c>
      <c r="EE545" s="21">
        <v>0</v>
      </c>
      <c r="EF545" s="21">
        <v>0</v>
      </c>
    </row>
    <row r="546" spans="1:136" ht="14.5" x14ac:dyDescent="0.35">
      <c r="A546" s="20" t="s">
        <v>12</v>
      </c>
      <c r="B546" s="20" t="s">
        <v>25</v>
      </c>
      <c r="C546" s="20" t="s">
        <v>25</v>
      </c>
      <c r="D546" s="20" t="s">
        <v>336</v>
      </c>
      <c r="E546" s="20" t="s">
        <v>16</v>
      </c>
      <c r="F546" s="20" t="s">
        <v>113</v>
      </c>
      <c r="G546" s="21">
        <v>0</v>
      </c>
      <c r="H546" s="21">
        <v>0</v>
      </c>
      <c r="I546" s="21">
        <v>116</v>
      </c>
      <c r="J546" s="21">
        <v>-116</v>
      </c>
      <c r="K546" s="21">
        <v>0</v>
      </c>
      <c r="L546" s="21">
        <v>0</v>
      </c>
      <c r="M546" s="21">
        <v>0</v>
      </c>
      <c r="N546" s="21">
        <v>0</v>
      </c>
      <c r="O546" s="21">
        <v>0</v>
      </c>
      <c r="P546" s="21">
        <v>0</v>
      </c>
      <c r="Q546" s="21">
        <v>0</v>
      </c>
      <c r="R546" s="21">
        <v>0</v>
      </c>
      <c r="S546" s="21">
        <v>0</v>
      </c>
      <c r="T546" s="21">
        <v>0</v>
      </c>
      <c r="U546" s="21">
        <v>0</v>
      </c>
      <c r="V546" s="21">
        <v>0</v>
      </c>
      <c r="W546" s="21">
        <v>0</v>
      </c>
      <c r="X546" s="21">
        <v>0</v>
      </c>
      <c r="Y546" s="21">
        <v>0</v>
      </c>
      <c r="Z546" s="21">
        <v>0</v>
      </c>
      <c r="AA546" s="21">
        <v>0</v>
      </c>
      <c r="AB546" s="21">
        <v>0</v>
      </c>
      <c r="AC546" s="21">
        <v>0</v>
      </c>
      <c r="AD546" s="21">
        <v>0</v>
      </c>
      <c r="AE546" s="21">
        <v>0</v>
      </c>
      <c r="AF546" s="21">
        <v>0</v>
      </c>
      <c r="AG546" s="21">
        <v>0</v>
      </c>
      <c r="AH546" s="21">
        <v>0</v>
      </c>
      <c r="AI546" s="21">
        <v>0</v>
      </c>
      <c r="AJ546" s="21">
        <v>1</v>
      </c>
      <c r="AK546" s="21">
        <v>4</v>
      </c>
      <c r="AL546" s="21">
        <v>2</v>
      </c>
      <c r="AM546" s="21">
        <v>4</v>
      </c>
      <c r="AN546" s="21">
        <v>4</v>
      </c>
      <c r="AO546" s="21">
        <v>4</v>
      </c>
      <c r="AP546" s="21">
        <v>5</v>
      </c>
      <c r="AQ546" s="21">
        <v>0</v>
      </c>
      <c r="AR546" s="21">
        <v>8</v>
      </c>
      <c r="AS546" s="21">
        <v>2</v>
      </c>
      <c r="AT546" s="21">
        <v>0</v>
      </c>
      <c r="AU546" s="21">
        <v>0</v>
      </c>
      <c r="AV546" s="21">
        <v>0</v>
      </c>
      <c r="AW546" s="21">
        <v>0</v>
      </c>
      <c r="AX546" s="21">
        <v>0</v>
      </c>
      <c r="AY546" s="21">
        <v>0</v>
      </c>
      <c r="AZ546" s="21">
        <v>0</v>
      </c>
      <c r="BA546" s="21">
        <v>0</v>
      </c>
      <c r="BB546" s="21">
        <v>0</v>
      </c>
      <c r="BC546" s="21">
        <v>0</v>
      </c>
      <c r="BD546" s="21">
        <v>0</v>
      </c>
      <c r="BE546" s="21">
        <v>0</v>
      </c>
      <c r="BF546" s="21">
        <v>0</v>
      </c>
      <c r="BG546" s="21">
        <v>0</v>
      </c>
      <c r="BH546" s="21">
        <v>0</v>
      </c>
      <c r="BI546" s="21">
        <v>0</v>
      </c>
      <c r="BJ546" s="21">
        <v>0</v>
      </c>
      <c r="BK546" s="21">
        <v>0</v>
      </c>
      <c r="BL546" s="21">
        <v>0</v>
      </c>
      <c r="BM546" s="21">
        <v>0</v>
      </c>
      <c r="BN546" s="21">
        <v>0</v>
      </c>
      <c r="BO546" s="21">
        <v>0</v>
      </c>
      <c r="BP546" s="21">
        <v>0</v>
      </c>
      <c r="BQ546" s="21">
        <v>0</v>
      </c>
      <c r="BR546" s="21">
        <v>0</v>
      </c>
      <c r="BS546" s="21">
        <v>0</v>
      </c>
      <c r="BT546" s="21">
        <v>0</v>
      </c>
      <c r="BU546" s="21">
        <v>0</v>
      </c>
      <c r="BV546" s="21">
        <v>0</v>
      </c>
      <c r="BW546" s="21">
        <v>0</v>
      </c>
      <c r="BX546" s="21">
        <v>0</v>
      </c>
      <c r="BY546" s="21">
        <v>0</v>
      </c>
      <c r="BZ546" s="21">
        <v>0</v>
      </c>
      <c r="CA546" s="21">
        <v>0</v>
      </c>
      <c r="CB546" s="21">
        <v>0</v>
      </c>
      <c r="CC546" s="21">
        <v>0</v>
      </c>
      <c r="CD546" s="21">
        <v>0</v>
      </c>
      <c r="CE546" s="21">
        <v>0</v>
      </c>
      <c r="CF546" s="21">
        <v>0</v>
      </c>
      <c r="CG546" s="21">
        <v>0</v>
      </c>
      <c r="CH546" s="21">
        <v>0</v>
      </c>
      <c r="CI546" s="21">
        <v>0</v>
      </c>
      <c r="CJ546" s="21">
        <v>0</v>
      </c>
      <c r="CK546" s="21">
        <v>0</v>
      </c>
      <c r="CL546" s="21">
        <v>0</v>
      </c>
      <c r="CM546" s="21">
        <v>0</v>
      </c>
      <c r="CN546" s="21">
        <v>0</v>
      </c>
      <c r="CO546" s="21">
        <v>0</v>
      </c>
      <c r="CP546" s="21">
        <v>0</v>
      </c>
      <c r="CQ546" s="21">
        <v>0</v>
      </c>
      <c r="CR546" s="21">
        <v>0</v>
      </c>
      <c r="CS546" s="21">
        <v>2</v>
      </c>
      <c r="CT546" s="21">
        <v>0</v>
      </c>
      <c r="CU546" s="21">
        <v>0</v>
      </c>
      <c r="CV546" s="21">
        <v>0</v>
      </c>
      <c r="CW546" s="21">
        <v>0</v>
      </c>
      <c r="CX546" s="21">
        <v>8</v>
      </c>
      <c r="CY546" s="21">
        <v>8</v>
      </c>
      <c r="CZ546" s="21">
        <v>6</v>
      </c>
      <c r="DA546" s="21">
        <v>6</v>
      </c>
      <c r="DB546" s="21">
        <v>6</v>
      </c>
      <c r="DC546" s="21">
        <v>6</v>
      </c>
      <c r="DD546" s="21">
        <v>6</v>
      </c>
      <c r="DE546" s="21">
        <v>0</v>
      </c>
      <c r="DF546" s="21">
        <v>6</v>
      </c>
      <c r="DG546" s="21">
        <v>4</v>
      </c>
      <c r="DH546" s="21">
        <v>6</v>
      </c>
      <c r="DI546" s="21">
        <v>0</v>
      </c>
      <c r="DJ546" s="21">
        <v>0</v>
      </c>
      <c r="DK546" s="21">
        <v>8</v>
      </c>
      <c r="DL546" s="21">
        <v>8</v>
      </c>
      <c r="DM546" s="21">
        <v>4</v>
      </c>
      <c r="DN546" s="21">
        <v>0</v>
      </c>
      <c r="DO546" s="21">
        <v>0</v>
      </c>
      <c r="DP546" s="21">
        <v>0</v>
      </c>
      <c r="DQ546" s="21">
        <v>0</v>
      </c>
      <c r="DR546" s="21">
        <v>0</v>
      </c>
      <c r="DS546" s="21">
        <v>0</v>
      </c>
      <c r="DT546" s="21">
        <v>0</v>
      </c>
      <c r="DU546" s="21">
        <v>0</v>
      </c>
      <c r="DV546" s="21">
        <v>0</v>
      </c>
      <c r="DW546" s="21">
        <v>0</v>
      </c>
      <c r="DX546" s="21">
        <v>0</v>
      </c>
      <c r="DY546" s="21">
        <v>0</v>
      </c>
      <c r="DZ546" s="21">
        <v>0</v>
      </c>
      <c r="EA546" s="21">
        <v>0</v>
      </c>
      <c r="EB546" s="21">
        <v>0</v>
      </c>
      <c r="EC546" s="21">
        <v>0</v>
      </c>
      <c r="ED546" s="21">
        <v>0</v>
      </c>
      <c r="EE546" s="21">
        <v>0</v>
      </c>
      <c r="EF546" s="21">
        <v>0</v>
      </c>
    </row>
    <row r="547" spans="1:136" ht="14.5" x14ac:dyDescent="0.35">
      <c r="A547" s="20" t="s">
        <v>12</v>
      </c>
      <c r="B547" s="20" t="s">
        <v>25</v>
      </c>
      <c r="C547" s="20" t="s">
        <v>25</v>
      </c>
      <c r="D547" s="20" t="s">
        <v>337</v>
      </c>
      <c r="E547" s="20" t="s">
        <v>16</v>
      </c>
      <c r="F547" s="20" t="s">
        <v>102</v>
      </c>
      <c r="G547" s="21">
        <v>3</v>
      </c>
      <c r="H547" s="21">
        <v>12</v>
      </c>
      <c r="I547" s="21">
        <v>0</v>
      </c>
      <c r="J547" s="21">
        <v>12</v>
      </c>
      <c r="K547" s="21">
        <v>0</v>
      </c>
      <c r="L547" s="21">
        <v>0</v>
      </c>
      <c r="M547" s="21">
        <v>0</v>
      </c>
      <c r="N547" s="21">
        <v>0</v>
      </c>
      <c r="O547" s="21">
        <v>0</v>
      </c>
      <c r="P547" s="21">
        <v>0</v>
      </c>
      <c r="Q547" s="21">
        <v>0</v>
      </c>
      <c r="R547" s="21">
        <v>0</v>
      </c>
      <c r="S547" s="21">
        <v>0</v>
      </c>
      <c r="T547" s="21">
        <v>0</v>
      </c>
      <c r="U547" s="21">
        <v>0</v>
      </c>
      <c r="V547" s="21">
        <v>0</v>
      </c>
      <c r="W547" s="21">
        <v>0</v>
      </c>
      <c r="X547" s="21">
        <v>0</v>
      </c>
      <c r="Y547" s="21">
        <v>0</v>
      </c>
      <c r="Z547" s="21">
        <v>0</v>
      </c>
      <c r="AA547" s="21">
        <v>0</v>
      </c>
      <c r="AB547" s="21">
        <v>0</v>
      </c>
      <c r="AC547" s="21">
        <v>0</v>
      </c>
      <c r="AD547" s="21">
        <v>0</v>
      </c>
      <c r="AE547" s="21">
        <v>0</v>
      </c>
      <c r="AF547" s="21">
        <v>0</v>
      </c>
      <c r="AG547" s="21">
        <v>0</v>
      </c>
      <c r="AH547" s="21">
        <v>0</v>
      </c>
      <c r="AI547" s="21">
        <v>0</v>
      </c>
      <c r="AJ547" s="21">
        <v>0</v>
      </c>
      <c r="AK547" s="21">
        <v>0</v>
      </c>
      <c r="AL547" s="21">
        <v>0</v>
      </c>
      <c r="AM547" s="21">
        <v>0</v>
      </c>
      <c r="AN547" s="21">
        <v>0</v>
      </c>
      <c r="AO547" s="21">
        <v>0</v>
      </c>
      <c r="AP547" s="21">
        <v>0</v>
      </c>
      <c r="AQ547" s="21">
        <v>0</v>
      </c>
      <c r="AR547" s="21">
        <v>0</v>
      </c>
      <c r="AS547" s="21">
        <v>0</v>
      </c>
      <c r="AT547" s="21">
        <v>0</v>
      </c>
      <c r="AU547" s="21">
        <v>0</v>
      </c>
      <c r="AV547" s="21">
        <v>0</v>
      </c>
      <c r="AW547" s="21">
        <v>0</v>
      </c>
      <c r="AX547" s="21">
        <v>0</v>
      </c>
      <c r="AY547" s="21">
        <v>0</v>
      </c>
      <c r="AZ547" s="21">
        <v>0</v>
      </c>
      <c r="BA547" s="21">
        <v>0</v>
      </c>
      <c r="BB547" s="21">
        <v>0</v>
      </c>
      <c r="BC547" s="21">
        <v>0</v>
      </c>
      <c r="BD547" s="21">
        <v>0</v>
      </c>
      <c r="BE547" s="21">
        <v>0</v>
      </c>
      <c r="BF547" s="21">
        <v>0</v>
      </c>
      <c r="BG547" s="21">
        <v>0</v>
      </c>
      <c r="BH547" s="21">
        <v>0</v>
      </c>
      <c r="BI547" s="21">
        <v>0</v>
      </c>
      <c r="BJ547" s="21">
        <v>0</v>
      </c>
      <c r="BK547" s="21">
        <v>0</v>
      </c>
      <c r="BL547" s="21">
        <v>0</v>
      </c>
      <c r="BM547" s="21">
        <v>0</v>
      </c>
      <c r="BN547" s="21">
        <v>0</v>
      </c>
      <c r="BO547" s="21">
        <v>0</v>
      </c>
      <c r="BP547" s="21">
        <v>0</v>
      </c>
      <c r="BQ547" s="21">
        <v>0</v>
      </c>
      <c r="BR547" s="21">
        <v>0</v>
      </c>
      <c r="BS547" s="21">
        <v>0</v>
      </c>
      <c r="BT547" s="21">
        <v>0</v>
      </c>
      <c r="BU547" s="21">
        <v>0</v>
      </c>
      <c r="BV547" s="21">
        <v>0</v>
      </c>
      <c r="BW547" s="21">
        <v>0</v>
      </c>
      <c r="BX547" s="21">
        <v>0</v>
      </c>
      <c r="BY547" s="21">
        <v>0</v>
      </c>
      <c r="BZ547" s="21">
        <v>0</v>
      </c>
      <c r="CA547" s="21">
        <v>0</v>
      </c>
      <c r="CB547" s="21">
        <v>0</v>
      </c>
      <c r="CC547" s="21">
        <v>0</v>
      </c>
      <c r="CD547" s="21">
        <v>0</v>
      </c>
      <c r="CE547" s="21">
        <v>0</v>
      </c>
      <c r="CF547" s="21">
        <v>0</v>
      </c>
      <c r="CG547" s="21">
        <v>0</v>
      </c>
      <c r="CH547" s="21">
        <v>0</v>
      </c>
      <c r="CI547" s="21">
        <v>0</v>
      </c>
      <c r="CJ547" s="21">
        <v>0</v>
      </c>
      <c r="CK547" s="21">
        <v>0</v>
      </c>
      <c r="CL547" s="21">
        <v>0</v>
      </c>
      <c r="CM547" s="21">
        <v>0</v>
      </c>
      <c r="CN547" s="21">
        <v>0</v>
      </c>
      <c r="CO547" s="21">
        <v>0</v>
      </c>
      <c r="CP547" s="21">
        <v>0</v>
      </c>
      <c r="CQ547" s="21">
        <v>0</v>
      </c>
      <c r="CR547" s="21">
        <v>0</v>
      </c>
      <c r="CS547" s="21">
        <v>0</v>
      </c>
      <c r="CT547" s="21">
        <v>0</v>
      </c>
      <c r="CU547" s="21">
        <v>0</v>
      </c>
      <c r="CV547" s="21">
        <v>0</v>
      </c>
      <c r="CW547" s="21">
        <v>0</v>
      </c>
      <c r="CX547" s="21">
        <v>0</v>
      </c>
      <c r="CY547" s="21">
        <v>0</v>
      </c>
      <c r="CZ547" s="21">
        <v>0</v>
      </c>
      <c r="DA547" s="21">
        <v>0</v>
      </c>
      <c r="DB547" s="21">
        <v>0</v>
      </c>
      <c r="DC547" s="21">
        <v>0</v>
      </c>
      <c r="DD547" s="21">
        <v>0</v>
      </c>
      <c r="DE547" s="21">
        <v>0</v>
      </c>
      <c r="DF547" s="21">
        <v>0</v>
      </c>
      <c r="DG547" s="21">
        <v>0</v>
      </c>
      <c r="DH547" s="21">
        <v>0</v>
      </c>
      <c r="DI547" s="21">
        <v>0</v>
      </c>
      <c r="DJ547" s="21">
        <v>0</v>
      </c>
      <c r="DK547" s="21">
        <v>0</v>
      </c>
      <c r="DL547" s="21">
        <v>0</v>
      </c>
      <c r="DM547" s="21">
        <v>0</v>
      </c>
      <c r="DN547" s="21">
        <v>0</v>
      </c>
      <c r="DO547" s="21">
        <v>0</v>
      </c>
      <c r="DP547" s="21">
        <v>0</v>
      </c>
      <c r="DQ547" s="21">
        <v>0</v>
      </c>
      <c r="DR547" s="21">
        <v>0</v>
      </c>
      <c r="DS547" s="21">
        <v>0</v>
      </c>
      <c r="DT547" s="21">
        <v>0</v>
      </c>
      <c r="DU547" s="21">
        <v>0</v>
      </c>
      <c r="DV547" s="21">
        <v>0</v>
      </c>
      <c r="DW547" s="21">
        <v>0</v>
      </c>
      <c r="DX547" s="21">
        <v>0</v>
      </c>
      <c r="DY547" s="21">
        <v>0</v>
      </c>
      <c r="DZ547" s="21">
        <v>0</v>
      </c>
      <c r="EA547" s="21">
        <v>0</v>
      </c>
      <c r="EB547" s="21">
        <v>0</v>
      </c>
      <c r="EC547" s="21">
        <v>0</v>
      </c>
      <c r="ED547" s="21">
        <v>0</v>
      </c>
      <c r="EE547" s="21">
        <v>0</v>
      </c>
      <c r="EF547" s="21">
        <v>0</v>
      </c>
    </row>
    <row r="548" spans="1:136" ht="14.5" x14ac:dyDescent="0.35">
      <c r="A548" s="20" t="s">
        <v>12</v>
      </c>
      <c r="B548" s="20" t="s">
        <v>25</v>
      </c>
      <c r="C548" s="20" t="s">
        <v>25</v>
      </c>
      <c r="D548" s="20" t="s">
        <v>336</v>
      </c>
      <c r="E548" s="20" t="s">
        <v>16</v>
      </c>
      <c r="F548" s="20" t="s">
        <v>102</v>
      </c>
      <c r="G548" s="21">
        <v>0</v>
      </c>
      <c r="H548" s="21">
        <v>0</v>
      </c>
      <c r="I548" s="21">
        <v>2</v>
      </c>
      <c r="J548" s="21">
        <v>-2</v>
      </c>
      <c r="K548" s="21">
        <v>0</v>
      </c>
      <c r="L548" s="21">
        <v>0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0</v>
      </c>
      <c r="T548" s="21">
        <v>0</v>
      </c>
      <c r="U548" s="21">
        <v>0</v>
      </c>
      <c r="V548" s="21">
        <v>0</v>
      </c>
      <c r="W548" s="21">
        <v>0</v>
      </c>
      <c r="X548" s="21">
        <v>0</v>
      </c>
      <c r="Y548" s="21">
        <v>0</v>
      </c>
      <c r="Z548" s="21">
        <v>0</v>
      </c>
      <c r="AA548" s="21">
        <v>0</v>
      </c>
      <c r="AB548" s="21">
        <v>0</v>
      </c>
      <c r="AC548" s="21">
        <v>0</v>
      </c>
      <c r="AD548" s="21">
        <v>0</v>
      </c>
      <c r="AE548" s="21">
        <v>0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0</v>
      </c>
      <c r="AM548" s="21">
        <v>0</v>
      </c>
      <c r="AN548" s="21">
        <v>0</v>
      </c>
      <c r="AO548" s="21">
        <v>0</v>
      </c>
      <c r="AP548" s="21">
        <v>0</v>
      </c>
      <c r="AQ548" s="21">
        <v>0</v>
      </c>
      <c r="AR548" s="21">
        <v>0</v>
      </c>
      <c r="AS548" s="21">
        <v>0</v>
      </c>
      <c r="AT548" s="21">
        <v>0</v>
      </c>
      <c r="AU548" s="21">
        <v>0</v>
      </c>
      <c r="AV548" s="21">
        <v>0</v>
      </c>
      <c r="AW548" s="21">
        <v>0</v>
      </c>
      <c r="AX548" s="21">
        <v>0</v>
      </c>
      <c r="AY548" s="21">
        <v>0</v>
      </c>
      <c r="AZ548" s="21">
        <v>0</v>
      </c>
      <c r="BA548" s="21">
        <v>0</v>
      </c>
      <c r="BB548" s="21">
        <v>0</v>
      </c>
      <c r="BC548" s="21">
        <v>0</v>
      </c>
      <c r="BD548" s="21">
        <v>0</v>
      </c>
      <c r="BE548" s="21">
        <v>0</v>
      </c>
      <c r="BF548" s="21">
        <v>0</v>
      </c>
      <c r="BG548" s="21">
        <v>0</v>
      </c>
      <c r="BH548" s="21">
        <v>0</v>
      </c>
      <c r="BI548" s="21">
        <v>0</v>
      </c>
      <c r="BJ548" s="21">
        <v>0</v>
      </c>
      <c r="BK548" s="21">
        <v>0</v>
      </c>
      <c r="BL548" s="21">
        <v>0</v>
      </c>
      <c r="BM548" s="21">
        <v>0</v>
      </c>
      <c r="BN548" s="21">
        <v>0</v>
      </c>
      <c r="BO548" s="21">
        <v>0</v>
      </c>
      <c r="BP548" s="21">
        <v>0</v>
      </c>
      <c r="BQ548" s="21">
        <v>0</v>
      </c>
      <c r="BR548" s="21">
        <v>0</v>
      </c>
      <c r="BS548" s="21">
        <v>0</v>
      </c>
      <c r="BT548" s="21">
        <v>0</v>
      </c>
      <c r="BU548" s="21">
        <v>0</v>
      </c>
      <c r="BV548" s="21">
        <v>0</v>
      </c>
      <c r="BW548" s="21">
        <v>0</v>
      </c>
      <c r="BX548" s="21">
        <v>0</v>
      </c>
      <c r="BY548" s="21">
        <v>0</v>
      </c>
      <c r="BZ548" s="21">
        <v>0</v>
      </c>
      <c r="CA548" s="21">
        <v>0</v>
      </c>
      <c r="CB548" s="21">
        <v>0</v>
      </c>
      <c r="CC548" s="21">
        <v>0</v>
      </c>
      <c r="CD548" s="21">
        <v>0</v>
      </c>
      <c r="CE548" s="21">
        <v>0</v>
      </c>
      <c r="CF548" s="21">
        <v>0</v>
      </c>
      <c r="CG548" s="21">
        <v>0</v>
      </c>
      <c r="CH548" s="21">
        <v>0</v>
      </c>
      <c r="CI548" s="21">
        <v>0</v>
      </c>
      <c r="CJ548" s="21">
        <v>0</v>
      </c>
      <c r="CK548" s="21">
        <v>0</v>
      </c>
      <c r="CL548" s="21">
        <v>0</v>
      </c>
      <c r="CM548" s="21">
        <v>0</v>
      </c>
      <c r="CN548" s="21">
        <v>0</v>
      </c>
      <c r="CO548" s="21">
        <v>0</v>
      </c>
      <c r="CP548" s="21">
        <v>0</v>
      </c>
      <c r="CQ548" s="21">
        <v>0</v>
      </c>
      <c r="CR548" s="21">
        <v>0</v>
      </c>
      <c r="CS548" s="21">
        <v>0</v>
      </c>
      <c r="CT548" s="21">
        <v>0</v>
      </c>
      <c r="CU548" s="21">
        <v>0</v>
      </c>
      <c r="CV548" s="21">
        <v>0</v>
      </c>
      <c r="CW548" s="21">
        <v>0</v>
      </c>
      <c r="CX548" s="21">
        <v>0</v>
      </c>
      <c r="CY548" s="21">
        <v>0</v>
      </c>
      <c r="CZ548" s="21">
        <v>0</v>
      </c>
      <c r="DA548" s="21">
        <v>0</v>
      </c>
      <c r="DB548" s="21">
        <v>0</v>
      </c>
      <c r="DC548" s="21">
        <v>0</v>
      </c>
      <c r="DD548" s="21">
        <v>0</v>
      </c>
      <c r="DE548" s="21">
        <v>0</v>
      </c>
      <c r="DF548" s="21">
        <v>0</v>
      </c>
      <c r="DG548" s="21">
        <v>0</v>
      </c>
      <c r="DH548" s="21">
        <v>0</v>
      </c>
      <c r="DI548" s="21">
        <v>0</v>
      </c>
      <c r="DJ548" s="21">
        <v>0</v>
      </c>
      <c r="DK548" s="21">
        <v>0</v>
      </c>
      <c r="DL548" s="21">
        <v>0</v>
      </c>
      <c r="DM548" s="21">
        <v>0</v>
      </c>
      <c r="DN548" s="21">
        <v>0</v>
      </c>
      <c r="DO548" s="21">
        <v>0</v>
      </c>
      <c r="DP548" s="21">
        <v>0</v>
      </c>
      <c r="DQ548" s="21">
        <v>0</v>
      </c>
      <c r="DR548" s="21">
        <v>2</v>
      </c>
      <c r="DS548" s="21">
        <v>0</v>
      </c>
      <c r="DT548" s="21">
        <v>0</v>
      </c>
      <c r="DU548" s="21">
        <v>0</v>
      </c>
      <c r="DV548" s="21">
        <v>0</v>
      </c>
      <c r="DW548" s="21">
        <v>0</v>
      </c>
      <c r="DX548" s="21">
        <v>0</v>
      </c>
      <c r="DY548" s="21">
        <v>0</v>
      </c>
      <c r="DZ548" s="21">
        <v>0</v>
      </c>
      <c r="EA548" s="21">
        <v>0</v>
      </c>
      <c r="EB548" s="21">
        <v>0</v>
      </c>
      <c r="EC548" s="21">
        <v>0</v>
      </c>
      <c r="ED548" s="21">
        <v>0</v>
      </c>
      <c r="EE548" s="21">
        <v>0</v>
      </c>
      <c r="EF548" s="21">
        <v>0</v>
      </c>
    </row>
    <row r="549" spans="1:136" ht="14.5" x14ac:dyDescent="0.35">
      <c r="A549" s="20" t="s">
        <v>12</v>
      </c>
      <c r="B549" s="20" t="s">
        <v>25</v>
      </c>
      <c r="C549" s="20" t="s">
        <v>25</v>
      </c>
      <c r="D549" s="20" t="s">
        <v>337</v>
      </c>
      <c r="E549" s="20" t="s">
        <v>16</v>
      </c>
      <c r="F549" s="20" t="s">
        <v>91</v>
      </c>
      <c r="G549" s="21">
        <v>8</v>
      </c>
      <c r="H549" s="21">
        <v>8</v>
      </c>
      <c r="I549" s="21">
        <v>0</v>
      </c>
      <c r="J549" s="21">
        <v>8</v>
      </c>
      <c r="K549" s="21">
        <v>0</v>
      </c>
      <c r="L549" s="21">
        <v>0</v>
      </c>
      <c r="M549" s="21">
        <v>0</v>
      </c>
      <c r="N549" s="21">
        <v>0</v>
      </c>
      <c r="O549" s="21">
        <v>0</v>
      </c>
      <c r="P549" s="21">
        <v>0</v>
      </c>
      <c r="Q549" s="21">
        <v>0</v>
      </c>
      <c r="R549" s="21">
        <v>0</v>
      </c>
      <c r="S549" s="21">
        <v>0</v>
      </c>
      <c r="T549" s="21">
        <v>0</v>
      </c>
      <c r="U549" s="21">
        <v>0</v>
      </c>
      <c r="V549" s="21">
        <v>0</v>
      </c>
      <c r="W549" s="21">
        <v>0</v>
      </c>
      <c r="X549" s="21">
        <v>0</v>
      </c>
      <c r="Y549" s="21">
        <v>0</v>
      </c>
      <c r="Z549" s="21">
        <v>0</v>
      </c>
      <c r="AA549" s="21">
        <v>0</v>
      </c>
      <c r="AB549" s="21">
        <v>0</v>
      </c>
      <c r="AC549" s="21">
        <v>0</v>
      </c>
      <c r="AD549" s="21">
        <v>0</v>
      </c>
      <c r="AE549" s="21">
        <v>0</v>
      </c>
      <c r="AF549" s="21">
        <v>0</v>
      </c>
      <c r="AG549" s="21">
        <v>0</v>
      </c>
      <c r="AH549" s="21">
        <v>0</v>
      </c>
      <c r="AI549" s="21">
        <v>0</v>
      </c>
      <c r="AJ549" s="21">
        <v>0</v>
      </c>
      <c r="AK549" s="21">
        <v>0</v>
      </c>
      <c r="AL549" s="21">
        <v>0</v>
      </c>
      <c r="AM549" s="21">
        <v>0</v>
      </c>
      <c r="AN549" s="21">
        <v>0</v>
      </c>
      <c r="AO549" s="21">
        <v>0</v>
      </c>
      <c r="AP549" s="21">
        <v>0</v>
      </c>
      <c r="AQ549" s="21">
        <v>0</v>
      </c>
      <c r="AR549" s="21">
        <v>0</v>
      </c>
      <c r="AS549" s="21">
        <v>0</v>
      </c>
      <c r="AT549" s="21">
        <v>0</v>
      </c>
      <c r="AU549" s="21">
        <v>0</v>
      </c>
      <c r="AV549" s="21">
        <v>0</v>
      </c>
      <c r="AW549" s="21">
        <v>0</v>
      </c>
      <c r="AX549" s="21">
        <v>0</v>
      </c>
      <c r="AY549" s="21">
        <v>0</v>
      </c>
      <c r="AZ549" s="21">
        <v>0</v>
      </c>
      <c r="BA549" s="21">
        <v>0</v>
      </c>
      <c r="BB549" s="21">
        <v>0</v>
      </c>
      <c r="BC549" s="21">
        <v>0</v>
      </c>
      <c r="BD549" s="21">
        <v>0</v>
      </c>
      <c r="BE549" s="21">
        <v>0</v>
      </c>
      <c r="BF549" s="21">
        <v>0</v>
      </c>
      <c r="BG549" s="21">
        <v>0</v>
      </c>
      <c r="BH549" s="21">
        <v>0</v>
      </c>
      <c r="BI549" s="21">
        <v>0</v>
      </c>
      <c r="BJ549" s="21">
        <v>0</v>
      </c>
      <c r="BK549" s="21">
        <v>0</v>
      </c>
      <c r="BL549" s="21">
        <v>0</v>
      </c>
      <c r="BM549" s="21">
        <v>0</v>
      </c>
      <c r="BN549" s="21">
        <v>0</v>
      </c>
      <c r="BO549" s="21">
        <v>0</v>
      </c>
      <c r="BP549" s="21">
        <v>0</v>
      </c>
      <c r="BQ549" s="21">
        <v>0</v>
      </c>
      <c r="BR549" s="21">
        <v>0</v>
      </c>
      <c r="BS549" s="21">
        <v>0</v>
      </c>
      <c r="BT549" s="21">
        <v>0</v>
      </c>
      <c r="BU549" s="21">
        <v>0</v>
      </c>
      <c r="BV549" s="21">
        <v>0</v>
      </c>
      <c r="BW549" s="21">
        <v>0</v>
      </c>
      <c r="BX549" s="21">
        <v>0</v>
      </c>
      <c r="BY549" s="21">
        <v>0</v>
      </c>
      <c r="BZ549" s="21">
        <v>0</v>
      </c>
      <c r="CA549" s="21">
        <v>0</v>
      </c>
      <c r="CB549" s="21">
        <v>0</v>
      </c>
      <c r="CC549" s="21">
        <v>0</v>
      </c>
      <c r="CD549" s="21">
        <v>0</v>
      </c>
      <c r="CE549" s="21">
        <v>0</v>
      </c>
      <c r="CF549" s="21">
        <v>0</v>
      </c>
      <c r="CG549" s="21">
        <v>0</v>
      </c>
      <c r="CH549" s="21">
        <v>0</v>
      </c>
      <c r="CI549" s="21">
        <v>0</v>
      </c>
      <c r="CJ549" s="21">
        <v>0</v>
      </c>
      <c r="CK549" s="21">
        <v>0</v>
      </c>
      <c r="CL549" s="21">
        <v>0</v>
      </c>
      <c r="CM549" s="21">
        <v>0</v>
      </c>
      <c r="CN549" s="21">
        <v>0</v>
      </c>
      <c r="CO549" s="21">
        <v>0</v>
      </c>
      <c r="CP549" s="21">
        <v>0</v>
      </c>
      <c r="CQ549" s="21">
        <v>0</v>
      </c>
      <c r="CR549" s="21">
        <v>0</v>
      </c>
      <c r="CS549" s="21">
        <v>0</v>
      </c>
      <c r="CT549" s="21">
        <v>0</v>
      </c>
      <c r="CU549" s="21">
        <v>0</v>
      </c>
      <c r="CV549" s="21">
        <v>0</v>
      </c>
      <c r="CW549" s="21">
        <v>0</v>
      </c>
      <c r="CX549" s="21">
        <v>0</v>
      </c>
      <c r="CY549" s="21">
        <v>0</v>
      </c>
      <c r="CZ549" s="21">
        <v>0</v>
      </c>
      <c r="DA549" s="21">
        <v>0</v>
      </c>
      <c r="DB549" s="21">
        <v>0</v>
      </c>
      <c r="DC549" s="21">
        <v>0</v>
      </c>
      <c r="DD549" s="21">
        <v>0</v>
      </c>
      <c r="DE549" s="21">
        <v>0</v>
      </c>
      <c r="DF549" s="21">
        <v>0</v>
      </c>
      <c r="DG549" s="21">
        <v>0</v>
      </c>
      <c r="DH549" s="21">
        <v>0</v>
      </c>
      <c r="DI549" s="21">
        <v>0</v>
      </c>
      <c r="DJ549" s="21">
        <v>0</v>
      </c>
      <c r="DK549" s="21">
        <v>0</v>
      </c>
      <c r="DL549" s="21">
        <v>0</v>
      </c>
      <c r="DM549" s="21">
        <v>0</v>
      </c>
      <c r="DN549" s="21">
        <v>0</v>
      </c>
      <c r="DO549" s="21">
        <v>0</v>
      </c>
      <c r="DP549" s="21">
        <v>0</v>
      </c>
      <c r="DQ549" s="21">
        <v>0</v>
      </c>
      <c r="DR549" s="21">
        <v>0</v>
      </c>
      <c r="DS549" s="21">
        <v>0</v>
      </c>
      <c r="DT549" s="21">
        <v>0</v>
      </c>
      <c r="DU549" s="21">
        <v>0</v>
      </c>
      <c r="DV549" s="21">
        <v>0</v>
      </c>
      <c r="DW549" s="21">
        <v>0</v>
      </c>
      <c r="DX549" s="21">
        <v>0</v>
      </c>
      <c r="DY549" s="21">
        <v>0</v>
      </c>
      <c r="DZ549" s="21">
        <v>0</v>
      </c>
      <c r="EA549" s="21">
        <v>0</v>
      </c>
      <c r="EB549" s="21">
        <v>0</v>
      </c>
      <c r="EC549" s="21">
        <v>0</v>
      </c>
      <c r="ED549" s="21">
        <v>0</v>
      </c>
      <c r="EE549" s="21">
        <v>0</v>
      </c>
      <c r="EF549" s="21">
        <v>0</v>
      </c>
    </row>
    <row r="550" spans="1:136" ht="14.5" x14ac:dyDescent="0.35">
      <c r="A550" s="20" t="s">
        <v>12</v>
      </c>
      <c r="B550" s="20" t="s">
        <v>25</v>
      </c>
      <c r="C550" s="20" t="s">
        <v>25</v>
      </c>
      <c r="D550" s="20" t="s">
        <v>336</v>
      </c>
      <c r="E550" s="20" t="s">
        <v>16</v>
      </c>
      <c r="F550" s="20" t="s">
        <v>91</v>
      </c>
      <c r="G550" s="21">
        <v>0</v>
      </c>
      <c r="H550" s="21">
        <v>0</v>
      </c>
      <c r="I550" s="21">
        <v>2</v>
      </c>
      <c r="J550" s="21">
        <v>-2</v>
      </c>
      <c r="K550" s="21">
        <v>0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>
        <v>0</v>
      </c>
      <c r="T550" s="21">
        <v>0</v>
      </c>
      <c r="U550" s="21">
        <v>0</v>
      </c>
      <c r="V550" s="21">
        <v>0</v>
      </c>
      <c r="W550" s="21">
        <v>0</v>
      </c>
      <c r="X550" s="21">
        <v>0</v>
      </c>
      <c r="Y550" s="21">
        <v>0</v>
      </c>
      <c r="Z550" s="21">
        <v>0</v>
      </c>
      <c r="AA550" s="21">
        <v>0</v>
      </c>
      <c r="AB550" s="21">
        <v>0</v>
      </c>
      <c r="AC550" s="21">
        <v>0</v>
      </c>
      <c r="AD550" s="21">
        <v>0</v>
      </c>
      <c r="AE550" s="21">
        <v>0</v>
      </c>
      <c r="AF550" s="21">
        <v>0</v>
      </c>
      <c r="AG550" s="21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2</v>
      </c>
      <c r="AM550" s="21">
        <v>0</v>
      </c>
      <c r="AN550" s="21">
        <v>0</v>
      </c>
      <c r="AO550" s="21">
        <v>0</v>
      </c>
      <c r="AP550" s="21">
        <v>0</v>
      </c>
      <c r="AQ550" s="21">
        <v>0</v>
      </c>
      <c r="AR550" s="21">
        <v>0</v>
      </c>
      <c r="AS550" s="21">
        <v>0</v>
      </c>
      <c r="AT550" s="21">
        <v>0</v>
      </c>
      <c r="AU550" s="21">
        <v>0</v>
      </c>
      <c r="AV550" s="21">
        <v>0</v>
      </c>
      <c r="AW550" s="21">
        <v>0</v>
      </c>
      <c r="AX550" s="21">
        <v>0</v>
      </c>
      <c r="AY550" s="21">
        <v>0</v>
      </c>
      <c r="AZ550" s="21">
        <v>0</v>
      </c>
      <c r="BA550" s="21">
        <v>0</v>
      </c>
      <c r="BB550" s="21">
        <v>0</v>
      </c>
      <c r="BC550" s="21">
        <v>0</v>
      </c>
      <c r="BD550" s="21">
        <v>0</v>
      </c>
      <c r="BE550" s="21">
        <v>0</v>
      </c>
      <c r="BF550" s="21">
        <v>0</v>
      </c>
      <c r="BG550" s="21">
        <v>0</v>
      </c>
      <c r="BH550" s="21">
        <v>0</v>
      </c>
      <c r="BI550" s="21">
        <v>0</v>
      </c>
      <c r="BJ550" s="21">
        <v>0</v>
      </c>
      <c r="BK550" s="21">
        <v>0</v>
      </c>
      <c r="BL550" s="21">
        <v>0</v>
      </c>
      <c r="BM550" s="21">
        <v>0</v>
      </c>
      <c r="BN550" s="21">
        <v>0</v>
      </c>
      <c r="BO550" s="21">
        <v>0</v>
      </c>
      <c r="BP550" s="21">
        <v>0</v>
      </c>
      <c r="BQ550" s="21">
        <v>0</v>
      </c>
      <c r="BR550" s="21">
        <v>0</v>
      </c>
      <c r="BS550" s="21">
        <v>0</v>
      </c>
      <c r="BT550" s="21">
        <v>0</v>
      </c>
      <c r="BU550" s="21">
        <v>0</v>
      </c>
      <c r="BV550" s="21">
        <v>0</v>
      </c>
      <c r="BW550" s="21">
        <v>0</v>
      </c>
      <c r="BX550" s="21">
        <v>0</v>
      </c>
      <c r="BY550" s="21">
        <v>0</v>
      </c>
      <c r="BZ550" s="21">
        <v>0</v>
      </c>
      <c r="CA550" s="21">
        <v>0</v>
      </c>
      <c r="CB550" s="21">
        <v>0</v>
      </c>
      <c r="CC550" s="21">
        <v>0</v>
      </c>
      <c r="CD550" s="21">
        <v>0</v>
      </c>
      <c r="CE550" s="21">
        <v>0</v>
      </c>
      <c r="CF550" s="21">
        <v>0</v>
      </c>
      <c r="CG550" s="21">
        <v>0</v>
      </c>
      <c r="CH550" s="21">
        <v>0</v>
      </c>
      <c r="CI550" s="21">
        <v>0</v>
      </c>
      <c r="CJ550" s="21">
        <v>0</v>
      </c>
      <c r="CK550" s="21">
        <v>0</v>
      </c>
      <c r="CL550" s="21">
        <v>0</v>
      </c>
      <c r="CM550" s="21">
        <v>0</v>
      </c>
      <c r="CN550" s="21">
        <v>0</v>
      </c>
      <c r="CO550" s="21">
        <v>0</v>
      </c>
      <c r="CP550" s="21">
        <v>0</v>
      </c>
      <c r="CQ550" s="21">
        <v>0</v>
      </c>
      <c r="CR550" s="21">
        <v>0</v>
      </c>
      <c r="CS550" s="21">
        <v>0</v>
      </c>
      <c r="CT550" s="21">
        <v>0</v>
      </c>
      <c r="CU550" s="21">
        <v>0</v>
      </c>
      <c r="CV550" s="21">
        <v>0</v>
      </c>
      <c r="CW550" s="21">
        <v>0</v>
      </c>
      <c r="CX550" s="21">
        <v>0</v>
      </c>
      <c r="CY550" s="21">
        <v>0</v>
      </c>
      <c r="CZ550" s="21">
        <v>0</v>
      </c>
      <c r="DA550" s="21">
        <v>0</v>
      </c>
      <c r="DB550" s="21">
        <v>0</v>
      </c>
      <c r="DC550" s="21">
        <v>0</v>
      </c>
      <c r="DD550" s="21">
        <v>0</v>
      </c>
      <c r="DE550" s="21">
        <v>0</v>
      </c>
      <c r="DF550" s="21">
        <v>0</v>
      </c>
      <c r="DG550" s="21">
        <v>0</v>
      </c>
      <c r="DH550" s="21">
        <v>0</v>
      </c>
      <c r="DI550" s="21">
        <v>0</v>
      </c>
      <c r="DJ550" s="21">
        <v>0</v>
      </c>
      <c r="DK550" s="21">
        <v>0</v>
      </c>
      <c r="DL550" s="21">
        <v>0</v>
      </c>
      <c r="DM550" s="21">
        <v>0</v>
      </c>
      <c r="DN550" s="21">
        <v>0</v>
      </c>
      <c r="DO550" s="21">
        <v>0</v>
      </c>
      <c r="DP550" s="21">
        <v>0</v>
      </c>
      <c r="DQ550" s="21">
        <v>0</v>
      </c>
      <c r="DR550" s="21">
        <v>0</v>
      </c>
      <c r="DS550" s="21">
        <v>0</v>
      </c>
      <c r="DT550" s="21">
        <v>0</v>
      </c>
      <c r="DU550" s="21">
        <v>0</v>
      </c>
      <c r="DV550" s="21">
        <v>0</v>
      </c>
      <c r="DW550" s="21">
        <v>0</v>
      </c>
      <c r="DX550" s="21">
        <v>0</v>
      </c>
      <c r="DY550" s="21">
        <v>0</v>
      </c>
      <c r="DZ550" s="21">
        <v>0</v>
      </c>
      <c r="EA550" s="21">
        <v>0</v>
      </c>
      <c r="EB550" s="21">
        <v>0</v>
      </c>
      <c r="EC550" s="21">
        <v>0</v>
      </c>
      <c r="ED550" s="21">
        <v>0</v>
      </c>
      <c r="EE550" s="21">
        <v>0</v>
      </c>
      <c r="EF550" s="21">
        <v>0</v>
      </c>
    </row>
    <row r="551" spans="1:136" ht="14.5" x14ac:dyDescent="0.35">
      <c r="A551" s="20" t="s">
        <v>12</v>
      </c>
      <c r="B551" s="20" t="s">
        <v>25</v>
      </c>
      <c r="C551" s="20" t="s">
        <v>25</v>
      </c>
      <c r="D551" s="20" t="s">
        <v>337</v>
      </c>
      <c r="E551" s="20" t="s">
        <v>16</v>
      </c>
      <c r="F551" s="20" t="s">
        <v>92</v>
      </c>
      <c r="G551" s="21">
        <v>0</v>
      </c>
      <c r="H551" s="21">
        <v>20</v>
      </c>
      <c r="I551" s="21">
        <v>0</v>
      </c>
      <c r="J551" s="21">
        <v>20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  <c r="Q551" s="21">
        <v>0</v>
      </c>
      <c r="R551" s="21">
        <v>0</v>
      </c>
      <c r="S551" s="21">
        <v>0</v>
      </c>
      <c r="T551" s="21">
        <v>0</v>
      </c>
      <c r="U551" s="21">
        <v>0</v>
      </c>
      <c r="V551" s="21">
        <v>0</v>
      </c>
      <c r="W551" s="21">
        <v>0</v>
      </c>
      <c r="X551" s="21">
        <v>0</v>
      </c>
      <c r="Y551" s="21">
        <v>0</v>
      </c>
      <c r="Z551" s="21">
        <v>0</v>
      </c>
      <c r="AA551" s="21">
        <v>0</v>
      </c>
      <c r="AB551" s="21">
        <v>0</v>
      </c>
      <c r="AC551" s="21">
        <v>0</v>
      </c>
      <c r="AD551" s="21">
        <v>0</v>
      </c>
      <c r="AE551" s="21">
        <v>0</v>
      </c>
      <c r="AF551" s="21">
        <v>0</v>
      </c>
      <c r="AG551" s="21">
        <v>0</v>
      </c>
      <c r="AH551" s="21">
        <v>0</v>
      </c>
      <c r="AI551" s="21">
        <v>0</v>
      </c>
      <c r="AJ551" s="21">
        <v>0</v>
      </c>
      <c r="AK551" s="21">
        <v>0</v>
      </c>
      <c r="AL551" s="21">
        <v>0</v>
      </c>
      <c r="AM551" s="21">
        <v>0</v>
      </c>
      <c r="AN551" s="21">
        <v>0</v>
      </c>
      <c r="AO551" s="21">
        <v>0</v>
      </c>
      <c r="AP551" s="21">
        <v>0</v>
      </c>
      <c r="AQ551" s="21">
        <v>0</v>
      </c>
      <c r="AR551" s="21">
        <v>0</v>
      </c>
      <c r="AS551" s="21">
        <v>0</v>
      </c>
      <c r="AT551" s="21">
        <v>0</v>
      </c>
      <c r="AU551" s="21">
        <v>0</v>
      </c>
      <c r="AV551" s="21">
        <v>0</v>
      </c>
      <c r="AW551" s="21">
        <v>0</v>
      </c>
      <c r="AX551" s="21">
        <v>0</v>
      </c>
      <c r="AY551" s="21">
        <v>0</v>
      </c>
      <c r="AZ551" s="21">
        <v>0</v>
      </c>
      <c r="BA551" s="21">
        <v>0</v>
      </c>
      <c r="BB551" s="21">
        <v>0</v>
      </c>
      <c r="BC551" s="21">
        <v>0</v>
      </c>
      <c r="BD551" s="21">
        <v>0</v>
      </c>
      <c r="BE551" s="21">
        <v>0</v>
      </c>
      <c r="BF551" s="21">
        <v>0</v>
      </c>
      <c r="BG551" s="21">
        <v>0</v>
      </c>
      <c r="BH551" s="21">
        <v>0</v>
      </c>
      <c r="BI551" s="21">
        <v>0</v>
      </c>
      <c r="BJ551" s="21">
        <v>0</v>
      </c>
      <c r="BK551" s="21">
        <v>0</v>
      </c>
      <c r="BL551" s="21">
        <v>0</v>
      </c>
      <c r="BM551" s="21">
        <v>0</v>
      </c>
      <c r="BN551" s="21">
        <v>0</v>
      </c>
      <c r="BO551" s="21">
        <v>0</v>
      </c>
      <c r="BP551" s="21">
        <v>0</v>
      </c>
      <c r="BQ551" s="21">
        <v>0</v>
      </c>
      <c r="BR551" s="21">
        <v>0</v>
      </c>
      <c r="BS551" s="21">
        <v>0</v>
      </c>
      <c r="BT551" s="21">
        <v>0</v>
      </c>
      <c r="BU551" s="21">
        <v>0</v>
      </c>
      <c r="BV551" s="21">
        <v>0</v>
      </c>
      <c r="BW551" s="21">
        <v>0</v>
      </c>
      <c r="BX551" s="21">
        <v>0</v>
      </c>
      <c r="BY551" s="21">
        <v>0</v>
      </c>
      <c r="BZ551" s="21">
        <v>0</v>
      </c>
      <c r="CA551" s="21">
        <v>0</v>
      </c>
      <c r="CB551" s="21">
        <v>0</v>
      </c>
      <c r="CC551" s="21">
        <v>0</v>
      </c>
      <c r="CD551" s="21">
        <v>0</v>
      </c>
      <c r="CE551" s="21">
        <v>0</v>
      </c>
      <c r="CF551" s="21">
        <v>0</v>
      </c>
      <c r="CG551" s="21">
        <v>0</v>
      </c>
      <c r="CH551" s="21">
        <v>0</v>
      </c>
      <c r="CI551" s="21">
        <v>0</v>
      </c>
      <c r="CJ551" s="21">
        <v>0</v>
      </c>
      <c r="CK551" s="21">
        <v>0</v>
      </c>
      <c r="CL551" s="21">
        <v>0</v>
      </c>
      <c r="CM551" s="21">
        <v>0</v>
      </c>
      <c r="CN551" s="21">
        <v>0</v>
      </c>
      <c r="CO551" s="21">
        <v>0</v>
      </c>
      <c r="CP551" s="21">
        <v>0</v>
      </c>
      <c r="CQ551" s="21">
        <v>0</v>
      </c>
      <c r="CR551" s="21">
        <v>0</v>
      </c>
      <c r="CS551" s="21">
        <v>0</v>
      </c>
      <c r="CT551" s="21">
        <v>0</v>
      </c>
      <c r="CU551" s="21">
        <v>0</v>
      </c>
      <c r="CV551" s="21">
        <v>0</v>
      </c>
      <c r="CW551" s="21">
        <v>0</v>
      </c>
      <c r="CX551" s="21">
        <v>0</v>
      </c>
      <c r="CY551" s="21">
        <v>0</v>
      </c>
      <c r="CZ551" s="21">
        <v>0</v>
      </c>
      <c r="DA551" s="21">
        <v>0</v>
      </c>
      <c r="DB551" s="21">
        <v>0</v>
      </c>
      <c r="DC551" s="21">
        <v>0</v>
      </c>
      <c r="DD551" s="21">
        <v>0</v>
      </c>
      <c r="DE551" s="21">
        <v>0</v>
      </c>
      <c r="DF551" s="21">
        <v>0</v>
      </c>
      <c r="DG551" s="21">
        <v>0</v>
      </c>
      <c r="DH551" s="21">
        <v>0</v>
      </c>
      <c r="DI551" s="21">
        <v>0</v>
      </c>
      <c r="DJ551" s="21">
        <v>0</v>
      </c>
      <c r="DK551" s="21">
        <v>0</v>
      </c>
      <c r="DL551" s="21">
        <v>0</v>
      </c>
      <c r="DM551" s="21">
        <v>0</v>
      </c>
      <c r="DN551" s="21">
        <v>0</v>
      </c>
      <c r="DO551" s="21">
        <v>0</v>
      </c>
      <c r="DP551" s="21">
        <v>0</v>
      </c>
      <c r="DQ551" s="21">
        <v>0</v>
      </c>
      <c r="DR551" s="21">
        <v>0</v>
      </c>
      <c r="DS551" s="21">
        <v>0</v>
      </c>
      <c r="DT551" s="21">
        <v>0</v>
      </c>
      <c r="DU551" s="21">
        <v>0</v>
      </c>
      <c r="DV551" s="21">
        <v>0</v>
      </c>
      <c r="DW551" s="21">
        <v>0</v>
      </c>
      <c r="DX551" s="21">
        <v>0</v>
      </c>
      <c r="DY551" s="21">
        <v>0</v>
      </c>
      <c r="DZ551" s="21">
        <v>0</v>
      </c>
      <c r="EA551" s="21">
        <v>0</v>
      </c>
      <c r="EB551" s="21">
        <v>0</v>
      </c>
      <c r="EC551" s="21">
        <v>0</v>
      </c>
      <c r="ED551" s="21">
        <v>0</v>
      </c>
      <c r="EE551" s="21">
        <v>0</v>
      </c>
      <c r="EF551" s="21">
        <v>0</v>
      </c>
    </row>
    <row r="552" spans="1:136" ht="14.5" x14ac:dyDescent="0.35">
      <c r="A552" s="20" t="s">
        <v>12</v>
      </c>
      <c r="B552" s="20" t="s">
        <v>25</v>
      </c>
      <c r="C552" s="20" t="s">
        <v>25</v>
      </c>
      <c r="D552" s="20" t="s">
        <v>336</v>
      </c>
      <c r="E552" s="20" t="s">
        <v>16</v>
      </c>
      <c r="F552" s="20" t="s">
        <v>92</v>
      </c>
      <c r="G552" s="21">
        <v>0</v>
      </c>
      <c r="H552" s="21">
        <v>0</v>
      </c>
      <c r="I552" s="21">
        <v>20</v>
      </c>
      <c r="J552" s="21">
        <v>-20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>
        <v>0</v>
      </c>
      <c r="T552" s="21">
        <v>0</v>
      </c>
      <c r="U552" s="21">
        <v>0</v>
      </c>
      <c r="V552" s="21">
        <v>0</v>
      </c>
      <c r="W552" s="21">
        <v>0</v>
      </c>
      <c r="X552" s="21">
        <v>0</v>
      </c>
      <c r="Y552" s="21">
        <v>0</v>
      </c>
      <c r="Z552" s="21">
        <v>0</v>
      </c>
      <c r="AA552" s="21">
        <v>0</v>
      </c>
      <c r="AB552" s="21">
        <v>0</v>
      </c>
      <c r="AC552" s="21">
        <v>0</v>
      </c>
      <c r="AD552" s="21">
        <v>0</v>
      </c>
      <c r="AE552" s="21">
        <v>0</v>
      </c>
      <c r="AF552" s="21">
        <v>0</v>
      </c>
      <c r="AG552" s="21">
        <v>0</v>
      </c>
      <c r="AH552" s="21">
        <v>0</v>
      </c>
      <c r="AI552" s="21">
        <v>0</v>
      </c>
      <c r="AJ552" s="21">
        <v>0</v>
      </c>
      <c r="AK552" s="21">
        <v>0</v>
      </c>
      <c r="AL552" s="21">
        <v>0</v>
      </c>
      <c r="AM552" s="21">
        <v>0</v>
      </c>
      <c r="AN552" s="21">
        <v>0</v>
      </c>
      <c r="AO552" s="21">
        <v>0</v>
      </c>
      <c r="AP552" s="21">
        <v>0</v>
      </c>
      <c r="AQ552" s="21">
        <v>0</v>
      </c>
      <c r="AR552" s="21">
        <v>0</v>
      </c>
      <c r="AS552" s="21">
        <v>0</v>
      </c>
      <c r="AT552" s="21">
        <v>0</v>
      </c>
      <c r="AU552" s="21">
        <v>0</v>
      </c>
      <c r="AV552" s="21">
        <v>0</v>
      </c>
      <c r="AW552" s="21">
        <v>0</v>
      </c>
      <c r="AX552" s="21">
        <v>0</v>
      </c>
      <c r="AY552" s="21">
        <v>0</v>
      </c>
      <c r="AZ552" s="21">
        <v>0</v>
      </c>
      <c r="BA552" s="21">
        <v>0</v>
      </c>
      <c r="BB552" s="21">
        <v>0</v>
      </c>
      <c r="BC552" s="21">
        <v>0</v>
      </c>
      <c r="BD552" s="21">
        <v>0</v>
      </c>
      <c r="BE552" s="21">
        <v>0</v>
      </c>
      <c r="BF552" s="21">
        <v>0</v>
      </c>
      <c r="BG552" s="21">
        <v>0</v>
      </c>
      <c r="BH552" s="21">
        <v>0</v>
      </c>
      <c r="BI552" s="21">
        <v>0</v>
      </c>
      <c r="BJ552" s="21">
        <v>0</v>
      </c>
      <c r="BK552" s="21">
        <v>0</v>
      </c>
      <c r="BL552" s="21">
        <v>0</v>
      </c>
      <c r="BM552" s="21">
        <v>0</v>
      </c>
      <c r="BN552" s="21">
        <v>0</v>
      </c>
      <c r="BO552" s="21">
        <v>0</v>
      </c>
      <c r="BP552" s="21">
        <v>0</v>
      </c>
      <c r="BQ552" s="21">
        <v>0</v>
      </c>
      <c r="BR552" s="21">
        <v>0</v>
      </c>
      <c r="BS552" s="21">
        <v>0</v>
      </c>
      <c r="BT552" s="21">
        <v>0</v>
      </c>
      <c r="BU552" s="21">
        <v>0</v>
      </c>
      <c r="BV552" s="21">
        <v>0</v>
      </c>
      <c r="BW552" s="21">
        <v>0</v>
      </c>
      <c r="BX552" s="21">
        <v>0</v>
      </c>
      <c r="BY552" s="21">
        <v>0</v>
      </c>
      <c r="BZ552" s="21">
        <v>0</v>
      </c>
      <c r="CA552" s="21">
        <v>0</v>
      </c>
      <c r="CB552" s="21">
        <v>0</v>
      </c>
      <c r="CC552" s="21">
        <v>0</v>
      </c>
      <c r="CD552" s="21">
        <v>0</v>
      </c>
      <c r="CE552" s="21">
        <v>0</v>
      </c>
      <c r="CF552" s="21">
        <v>0</v>
      </c>
      <c r="CG552" s="21">
        <v>0</v>
      </c>
      <c r="CH552" s="21">
        <v>0</v>
      </c>
      <c r="CI552" s="21">
        <v>0</v>
      </c>
      <c r="CJ552" s="21">
        <v>0</v>
      </c>
      <c r="CK552" s="21">
        <v>0</v>
      </c>
      <c r="CL552" s="21">
        <v>0</v>
      </c>
      <c r="CM552" s="21">
        <v>0</v>
      </c>
      <c r="CN552" s="21">
        <v>0</v>
      </c>
      <c r="CO552" s="21">
        <v>0</v>
      </c>
      <c r="CP552" s="21">
        <v>0</v>
      </c>
      <c r="CQ552" s="21">
        <v>0</v>
      </c>
      <c r="CR552" s="21">
        <v>0</v>
      </c>
      <c r="CS552" s="21">
        <v>0</v>
      </c>
      <c r="CT552" s="21">
        <v>0</v>
      </c>
      <c r="CU552" s="21">
        <v>0</v>
      </c>
      <c r="CV552" s="21">
        <v>0</v>
      </c>
      <c r="CW552" s="21">
        <v>0</v>
      </c>
      <c r="CX552" s="21">
        <v>0</v>
      </c>
      <c r="CY552" s="21">
        <v>0</v>
      </c>
      <c r="CZ552" s="21">
        <v>10</v>
      </c>
      <c r="DA552" s="21">
        <v>10</v>
      </c>
      <c r="DB552" s="21">
        <v>0</v>
      </c>
      <c r="DC552" s="21">
        <v>0</v>
      </c>
      <c r="DD552" s="21">
        <v>0</v>
      </c>
      <c r="DE552" s="21">
        <v>0</v>
      </c>
      <c r="DF552" s="21">
        <v>0</v>
      </c>
      <c r="DG552" s="21">
        <v>0</v>
      </c>
      <c r="DH552" s="21">
        <v>0</v>
      </c>
      <c r="DI552" s="21">
        <v>0</v>
      </c>
      <c r="DJ552" s="21">
        <v>0</v>
      </c>
      <c r="DK552" s="21">
        <v>0</v>
      </c>
      <c r="DL552" s="21">
        <v>0</v>
      </c>
      <c r="DM552" s="21">
        <v>0</v>
      </c>
      <c r="DN552" s="21">
        <v>0</v>
      </c>
      <c r="DO552" s="21">
        <v>0</v>
      </c>
      <c r="DP552" s="21">
        <v>0</v>
      </c>
      <c r="DQ552" s="21">
        <v>0</v>
      </c>
      <c r="DR552" s="21">
        <v>0</v>
      </c>
      <c r="DS552" s="21">
        <v>0</v>
      </c>
      <c r="DT552" s="21">
        <v>0</v>
      </c>
      <c r="DU552" s="21">
        <v>0</v>
      </c>
      <c r="DV552" s="21">
        <v>0</v>
      </c>
      <c r="DW552" s="21">
        <v>0</v>
      </c>
      <c r="DX552" s="21">
        <v>0</v>
      </c>
      <c r="DY552" s="21">
        <v>0</v>
      </c>
      <c r="DZ552" s="21">
        <v>0</v>
      </c>
      <c r="EA552" s="21">
        <v>0</v>
      </c>
      <c r="EB552" s="21">
        <v>0</v>
      </c>
      <c r="EC552" s="21">
        <v>0</v>
      </c>
      <c r="ED552" s="21">
        <v>0</v>
      </c>
      <c r="EE552" s="21">
        <v>0</v>
      </c>
      <c r="EF552" s="21">
        <v>0</v>
      </c>
    </row>
    <row r="553" spans="1:136" ht="14.5" x14ac:dyDescent="0.35">
      <c r="A553" s="20" t="s">
        <v>12</v>
      </c>
      <c r="B553" s="20" t="s">
        <v>25</v>
      </c>
      <c r="C553" s="20" t="s">
        <v>25</v>
      </c>
      <c r="D553" s="20" t="s">
        <v>337</v>
      </c>
      <c r="E553" s="20" t="s">
        <v>16</v>
      </c>
      <c r="F553" s="20" t="s">
        <v>120</v>
      </c>
      <c r="G553" s="21">
        <v>4.9000000000000004</v>
      </c>
      <c r="H553" s="21">
        <v>69.5</v>
      </c>
      <c r="I553" s="21">
        <v>0</v>
      </c>
      <c r="J553" s="21">
        <v>69.5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  <c r="Q553" s="21">
        <v>0</v>
      </c>
      <c r="R553" s="21">
        <v>0</v>
      </c>
      <c r="S553" s="21">
        <v>0</v>
      </c>
      <c r="T553" s="21">
        <v>0</v>
      </c>
      <c r="U553" s="21">
        <v>0</v>
      </c>
      <c r="V553" s="21">
        <v>0</v>
      </c>
      <c r="W553" s="21">
        <v>0</v>
      </c>
      <c r="X553" s="21">
        <v>0</v>
      </c>
      <c r="Y553" s="21">
        <v>0</v>
      </c>
      <c r="Z553" s="21">
        <v>0</v>
      </c>
      <c r="AA553" s="21">
        <v>0</v>
      </c>
      <c r="AB553" s="21">
        <v>0</v>
      </c>
      <c r="AC553" s="21">
        <v>0</v>
      </c>
      <c r="AD553" s="21">
        <v>0</v>
      </c>
      <c r="AE553" s="21">
        <v>0</v>
      </c>
      <c r="AF553" s="21">
        <v>0</v>
      </c>
      <c r="AG553" s="21">
        <v>0</v>
      </c>
      <c r="AH553" s="21">
        <v>0</v>
      </c>
      <c r="AI553" s="21">
        <v>0</v>
      </c>
      <c r="AJ553" s="21">
        <v>0</v>
      </c>
      <c r="AK553" s="21">
        <v>0</v>
      </c>
      <c r="AL553" s="21">
        <v>0</v>
      </c>
      <c r="AM553" s="21">
        <v>0</v>
      </c>
      <c r="AN553" s="21">
        <v>0</v>
      </c>
      <c r="AO553" s="21">
        <v>0</v>
      </c>
      <c r="AP553" s="21">
        <v>0</v>
      </c>
      <c r="AQ553" s="21">
        <v>0</v>
      </c>
      <c r="AR553" s="21">
        <v>0</v>
      </c>
      <c r="AS553" s="21">
        <v>0</v>
      </c>
      <c r="AT553" s="21">
        <v>0</v>
      </c>
      <c r="AU553" s="21">
        <v>0</v>
      </c>
      <c r="AV553" s="21">
        <v>0</v>
      </c>
      <c r="AW553" s="21">
        <v>0</v>
      </c>
      <c r="AX553" s="21">
        <v>0</v>
      </c>
      <c r="AY553" s="21">
        <v>0</v>
      </c>
      <c r="AZ553" s="21">
        <v>0</v>
      </c>
      <c r="BA553" s="21">
        <v>0</v>
      </c>
      <c r="BB553" s="21">
        <v>0</v>
      </c>
      <c r="BC553" s="21">
        <v>0</v>
      </c>
      <c r="BD553" s="21">
        <v>0</v>
      </c>
      <c r="BE553" s="21">
        <v>0</v>
      </c>
      <c r="BF553" s="21">
        <v>0</v>
      </c>
      <c r="BG553" s="21">
        <v>0</v>
      </c>
      <c r="BH553" s="21">
        <v>0</v>
      </c>
      <c r="BI553" s="21">
        <v>0</v>
      </c>
      <c r="BJ553" s="21">
        <v>0</v>
      </c>
      <c r="BK553" s="21">
        <v>0</v>
      </c>
      <c r="BL553" s="21">
        <v>0</v>
      </c>
      <c r="BM553" s="21">
        <v>0</v>
      </c>
      <c r="BN553" s="21">
        <v>0</v>
      </c>
      <c r="BO553" s="21">
        <v>0</v>
      </c>
      <c r="BP553" s="21">
        <v>0</v>
      </c>
      <c r="BQ553" s="21">
        <v>0</v>
      </c>
      <c r="BR553" s="21">
        <v>0</v>
      </c>
      <c r="BS553" s="21">
        <v>0</v>
      </c>
      <c r="BT553" s="21">
        <v>0</v>
      </c>
      <c r="BU553" s="21">
        <v>0</v>
      </c>
      <c r="BV553" s="21">
        <v>0</v>
      </c>
      <c r="BW553" s="21">
        <v>0</v>
      </c>
      <c r="BX553" s="21">
        <v>0</v>
      </c>
      <c r="BY553" s="21">
        <v>0</v>
      </c>
      <c r="BZ553" s="21">
        <v>0</v>
      </c>
      <c r="CA553" s="21">
        <v>0</v>
      </c>
      <c r="CB553" s="21">
        <v>0</v>
      </c>
      <c r="CC553" s="21">
        <v>0</v>
      </c>
      <c r="CD553" s="21">
        <v>0</v>
      </c>
      <c r="CE553" s="21">
        <v>0</v>
      </c>
      <c r="CF553" s="21">
        <v>0</v>
      </c>
      <c r="CG553" s="21">
        <v>0</v>
      </c>
      <c r="CH553" s="21">
        <v>0</v>
      </c>
      <c r="CI553" s="21">
        <v>0</v>
      </c>
      <c r="CJ553" s="21">
        <v>0</v>
      </c>
      <c r="CK553" s="21">
        <v>0</v>
      </c>
      <c r="CL553" s="21">
        <v>0</v>
      </c>
      <c r="CM553" s="21">
        <v>0</v>
      </c>
      <c r="CN553" s="21">
        <v>0</v>
      </c>
      <c r="CO553" s="21">
        <v>0</v>
      </c>
      <c r="CP553" s="21">
        <v>0</v>
      </c>
      <c r="CQ553" s="21">
        <v>0</v>
      </c>
      <c r="CR553" s="21">
        <v>0</v>
      </c>
      <c r="CS553" s="21">
        <v>0</v>
      </c>
      <c r="CT553" s="21">
        <v>0</v>
      </c>
      <c r="CU553" s="21">
        <v>0</v>
      </c>
      <c r="CV553" s="21">
        <v>0</v>
      </c>
      <c r="CW553" s="21">
        <v>0</v>
      </c>
      <c r="CX553" s="21">
        <v>0</v>
      </c>
      <c r="CY553" s="21">
        <v>0</v>
      </c>
      <c r="CZ553" s="21">
        <v>0</v>
      </c>
      <c r="DA553" s="21">
        <v>0</v>
      </c>
      <c r="DB553" s="21">
        <v>0</v>
      </c>
      <c r="DC553" s="21">
        <v>0</v>
      </c>
      <c r="DD553" s="21">
        <v>0</v>
      </c>
      <c r="DE553" s="21">
        <v>0</v>
      </c>
      <c r="DF553" s="21">
        <v>0</v>
      </c>
      <c r="DG553" s="21">
        <v>0</v>
      </c>
      <c r="DH553" s="21">
        <v>0</v>
      </c>
      <c r="DI553" s="21">
        <v>0</v>
      </c>
      <c r="DJ553" s="21">
        <v>0</v>
      </c>
      <c r="DK553" s="21">
        <v>0</v>
      </c>
      <c r="DL553" s="21">
        <v>0</v>
      </c>
      <c r="DM553" s="21">
        <v>0</v>
      </c>
      <c r="DN553" s="21">
        <v>0</v>
      </c>
      <c r="DO553" s="21">
        <v>0</v>
      </c>
      <c r="DP553" s="21">
        <v>0</v>
      </c>
      <c r="DQ553" s="21">
        <v>0</v>
      </c>
      <c r="DR553" s="21">
        <v>0</v>
      </c>
      <c r="DS553" s="21">
        <v>0</v>
      </c>
      <c r="DT553" s="21">
        <v>0</v>
      </c>
      <c r="DU553" s="21">
        <v>0</v>
      </c>
      <c r="DV553" s="21">
        <v>0</v>
      </c>
      <c r="DW553" s="21">
        <v>0</v>
      </c>
      <c r="DX553" s="21">
        <v>0</v>
      </c>
      <c r="DY553" s="21">
        <v>0</v>
      </c>
      <c r="DZ553" s="21">
        <v>0</v>
      </c>
      <c r="EA553" s="21">
        <v>0</v>
      </c>
      <c r="EB553" s="21">
        <v>0</v>
      </c>
      <c r="EC553" s="21">
        <v>0</v>
      </c>
      <c r="ED553" s="21">
        <v>0</v>
      </c>
      <c r="EE553" s="21">
        <v>0</v>
      </c>
      <c r="EF553" s="21">
        <v>0</v>
      </c>
    </row>
    <row r="554" spans="1:136" ht="14.5" x14ac:dyDescent="0.35">
      <c r="A554" s="20" t="s">
        <v>12</v>
      </c>
      <c r="B554" s="20" t="s">
        <v>25</v>
      </c>
      <c r="C554" s="20" t="s">
        <v>25</v>
      </c>
      <c r="D554" s="20" t="s">
        <v>336</v>
      </c>
      <c r="E554" s="20" t="s">
        <v>16</v>
      </c>
      <c r="F554" s="20" t="s">
        <v>120</v>
      </c>
      <c r="G554" s="21">
        <v>0</v>
      </c>
      <c r="H554" s="21">
        <v>0</v>
      </c>
      <c r="I554" s="21">
        <v>65.599999999999994</v>
      </c>
      <c r="J554" s="21">
        <v>-65.599999999999994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0</v>
      </c>
      <c r="Q554" s="21">
        <v>0</v>
      </c>
      <c r="R554" s="21">
        <v>0</v>
      </c>
      <c r="S554" s="21">
        <v>0</v>
      </c>
      <c r="T554" s="21">
        <v>0</v>
      </c>
      <c r="U554" s="21">
        <v>0</v>
      </c>
      <c r="V554" s="21">
        <v>0</v>
      </c>
      <c r="W554" s="21">
        <v>0</v>
      </c>
      <c r="X554" s="21">
        <v>0</v>
      </c>
      <c r="Y554" s="21">
        <v>0</v>
      </c>
      <c r="Z554" s="21">
        <v>0</v>
      </c>
      <c r="AA554" s="21">
        <v>0</v>
      </c>
      <c r="AB554" s="21">
        <v>0</v>
      </c>
      <c r="AC554" s="21">
        <v>0</v>
      </c>
      <c r="AD554" s="21">
        <v>0</v>
      </c>
      <c r="AE554" s="21">
        <v>0</v>
      </c>
      <c r="AF554" s="21">
        <v>0</v>
      </c>
      <c r="AG554" s="21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0</v>
      </c>
      <c r="AM554" s="21">
        <v>0</v>
      </c>
      <c r="AN554" s="21">
        <v>0</v>
      </c>
      <c r="AO554" s="21">
        <v>0</v>
      </c>
      <c r="AP554" s="21">
        <v>0</v>
      </c>
      <c r="AQ554" s="21">
        <v>0</v>
      </c>
      <c r="AR554" s="21">
        <v>1</v>
      </c>
      <c r="AS554" s="21">
        <v>0</v>
      </c>
      <c r="AT554" s="21">
        <v>0</v>
      </c>
      <c r="AU554" s="21">
        <v>0</v>
      </c>
      <c r="AV554" s="21">
        <v>0</v>
      </c>
      <c r="AW554" s="21">
        <v>0</v>
      </c>
      <c r="AX554" s="21">
        <v>0</v>
      </c>
      <c r="AY554" s="21">
        <v>0</v>
      </c>
      <c r="AZ554" s="21">
        <v>0</v>
      </c>
      <c r="BA554" s="21">
        <v>0</v>
      </c>
      <c r="BB554" s="21">
        <v>0</v>
      </c>
      <c r="BC554" s="21">
        <v>0</v>
      </c>
      <c r="BD554" s="21">
        <v>0</v>
      </c>
      <c r="BE554" s="21">
        <v>0</v>
      </c>
      <c r="BF554" s="21">
        <v>0</v>
      </c>
      <c r="BG554" s="21">
        <v>0</v>
      </c>
      <c r="BH554" s="21">
        <v>0</v>
      </c>
      <c r="BI554" s="21">
        <v>0</v>
      </c>
      <c r="BJ554" s="21">
        <v>0</v>
      </c>
      <c r="BK554" s="21">
        <v>0</v>
      </c>
      <c r="BL554" s="21">
        <v>0</v>
      </c>
      <c r="BM554" s="21">
        <v>0</v>
      </c>
      <c r="BN554" s="21">
        <v>0</v>
      </c>
      <c r="BO554" s="21">
        <v>0</v>
      </c>
      <c r="BP554" s="21">
        <v>0</v>
      </c>
      <c r="BQ554" s="21">
        <v>0</v>
      </c>
      <c r="BR554" s="21">
        <v>0</v>
      </c>
      <c r="BS554" s="21">
        <v>0</v>
      </c>
      <c r="BT554" s="21">
        <v>0</v>
      </c>
      <c r="BU554" s="21">
        <v>0</v>
      </c>
      <c r="BV554" s="21">
        <v>0</v>
      </c>
      <c r="BW554" s="21">
        <v>0</v>
      </c>
      <c r="BX554" s="21">
        <v>0</v>
      </c>
      <c r="BY554" s="21">
        <v>0</v>
      </c>
      <c r="BZ554" s="21">
        <v>0</v>
      </c>
      <c r="CA554" s="21">
        <v>0</v>
      </c>
      <c r="CB554" s="21">
        <v>0</v>
      </c>
      <c r="CC554" s="21">
        <v>0</v>
      </c>
      <c r="CD554" s="21">
        <v>0</v>
      </c>
      <c r="CE554" s="21">
        <v>0</v>
      </c>
      <c r="CF554" s="21">
        <v>0</v>
      </c>
      <c r="CG554" s="21">
        <v>0</v>
      </c>
      <c r="CH554" s="21">
        <v>0</v>
      </c>
      <c r="CI554" s="21">
        <v>0</v>
      </c>
      <c r="CJ554" s="21">
        <v>0</v>
      </c>
      <c r="CK554" s="21">
        <v>0</v>
      </c>
      <c r="CL554" s="21">
        <v>0</v>
      </c>
      <c r="CM554" s="21">
        <v>0</v>
      </c>
      <c r="CN554" s="21">
        <v>0</v>
      </c>
      <c r="CO554" s="21">
        <v>0</v>
      </c>
      <c r="CP554" s="21">
        <v>0</v>
      </c>
      <c r="CQ554" s="21">
        <v>0</v>
      </c>
      <c r="CR554" s="21">
        <v>0</v>
      </c>
      <c r="CS554" s="21">
        <v>4</v>
      </c>
      <c r="CT554" s="21">
        <v>4</v>
      </c>
      <c r="CU554" s="21">
        <v>2</v>
      </c>
      <c r="CV554" s="21">
        <v>1</v>
      </c>
      <c r="CW554" s="21">
        <v>1</v>
      </c>
      <c r="CX554" s="21">
        <v>0.7</v>
      </c>
      <c r="CY554" s="21">
        <v>0.1</v>
      </c>
      <c r="CZ554" s="21">
        <v>0</v>
      </c>
      <c r="DA554" s="21">
        <v>0.1</v>
      </c>
      <c r="DB554" s="21">
        <v>0.1</v>
      </c>
      <c r="DC554" s="21">
        <v>0</v>
      </c>
      <c r="DD554" s="21">
        <v>0</v>
      </c>
      <c r="DE554" s="21">
        <v>0</v>
      </c>
      <c r="DF554" s="21">
        <v>7</v>
      </c>
      <c r="DG554" s="21">
        <v>7</v>
      </c>
      <c r="DH554" s="21">
        <v>7</v>
      </c>
      <c r="DI554" s="21">
        <v>0</v>
      </c>
      <c r="DJ554" s="21">
        <v>0</v>
      </c>
      <c r="DK554" s="21">
        <v>4.0999999999999996</v>
      </c>
      <c r="DL554" s="21">
        <v>0.1</v>
      </c>
      <c r="DM554" s="21">
        <v>0</v>
      </c>
      <c r="DN554" s="21">
        <v>0</v>
      </c>
      <c r="DO554" s="21">
        <v>0</v>
      </c>
      <c r="DP554" s="21">
        <v>0</v>
      </c>
      <c r="DQ554" s="21">
        <v>0</v>
      </c>
      <c r="DR554" s="21">
        <v>0.7</v>
      </c>
      <c r="DS554" s="21">
        <v>2.2000000000000002</v>
      </c>
      <c r="DT554" s="21">
        <v>3.1</v>
      </c>
      <c r="DU554" s="21">
        <v>4</v>
      </c>
      <c r="DV554" s="21">
        <v>5.0999999999999996</v>
      </c>
      <c r="DW554" s="21">
        <v>5.6</v>
      </c>
      <c r="DX554" s="21">
        <v>3.9</v>
      </c>
      <c r="DY554" s="21">
        <v>1.8</v>
      </c>
      <c r="DZ554" s="21">
        <v>0</v>
      </c>
      <c r="EA554" s="21">
        <v>0</v>
      </c>
      <c r="EB554" s="21">
        <v>0</v>
      </c>
      <c r="EC554" s="21">
        <v>0</v>
      </c>
      <c r="ED554" s="21">
        <v>0</v>
      </c>
      <c r="EE554" s="21">
        <v>0</v>
      </c>
      <c r="EF554" s="2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Staffing Detail</vt:lpstr>
      <vt:lpstr>Proposed Hours</vt:lpstr>
      <vt:lpstr>Retained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Daniela Rodriguez (AC Buenos Aires)</cp:lastModifiedBy>
  <dcterms:modified xsi:type="dcterms:W3CDTF">2026-09-03T23:17:20Z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2026-09-03T22:55:03Z</dcterms:created>
  <dc:creator>openpyxl</dc:creator>
  <dc:description/>
  <dc:language>en-US</dc:language>
  <cp:lastModifiedBy/>
  <dcterms:modified xsi:type="dcterms:W3CDTF">2026-09-03T22:55:17Z</dcterms:modified>
  <cp:revision>0</cp:revision>
  <dc:subject/>
  <dc:title/>
</cp:coreProperties>
</file>