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sofia_s_rodriguez_pwc_com/Documents/Downloads/"/>
    </mc:Choice>
  </mc:AlternateContent>
  <xr:revisionPtr revIDLastSave="8" documentId="11_323671D5253E809020ADB2C5A7676278CCA9C156" xr6:coauthVersionLast="47" xr6:coauthVersionMax="47" xr10:uidLastSave="{DC470FF1-0DAB-4041-8B71-F68B35F54B27}"/>
  <bookViews>
    <workbookView xWindow="-110" yWindow="-110" windowWidth="19420" windowHeight="11500" activeTab="2" xr2:uid="{00000000-000D-0000-FFFF-FFFF00000000}"/>
  </bookViews>
  <sheets>
    <sheet name="Summary" sheetId="1" r:id="rId1"/>
    <sheet name="Staffing Detail" sheetId="2" r:id="rId2"/>
    <sheet name="Proposed Hours" sheetId="3" r:id="rId3"/>
    <sheet name="Movement Log" sheetId="4" r:id="rId4"/>
    <sheet name="Retained Data" sheetId="5" r:id="rId5"/>
  </sheets>
  <definedNames>
    <definedName name="_xlnm._FilterDatabase" localSheetId="3" hidden="1">'Movement Log'!$A$1:$L$1</definedName>
    <definedName name="_xlnm._FilterDatabase" localSheetId="2" hidden="1">'Proposed Hours'!$A$1:$AS$1</definedName>
    <definedName name="_xlnm._FilterDatabase" localSheetId="1" hidden="1">'Staffing Detail'!$A$1:$AW$1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S326" i="3" l="1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AS324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AS314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AS312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AS306" i="3"/>
  <c r="AR306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AS302" i="3"/>
  <c r="AR302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AS283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AW307" i="2"/>
  <c r="AV307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AW301" i="2"/>
  <c r="AV301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AW235" i="2"/>
  <c r="AV235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</calcChain>
</file>

<file path=xl/sharedStrings.xml><?xml version="1.0" encoding="utf-8"?>
<sst xmlns="http://schemas.openxmlformats.org/spreadsheetml/2006/main" count="11193" uniqueCount="357">
  <si>
    <t>GS + BBH Weekly Staffing &amp; Overbooking Review</t>
  </si>
  <si>
    <t>As of 03-Sep-2026 | Capacity evaluated across both clients</t>
  </si>
  <si>
    <t>Resource Name</t>
  </si>
  <si>
    <t>Staff Category</t>
  </si>
  <si>
    <t>Weeks &gt; threshold</t>
  </si>
  <si>
    <t>Max Weekly Hours</t>
  </si>
  <si>
    <t>First Overbook Week</t>
  </si>
  <si>
    <t>Severity</t>
  </si>
  <si>
    <t>Clients</t>
  </si>
  <si>
    <t>Camila Vargas</t>
  </si>
  <si>
    <t>Senior</t>
  </si>
  <si>
    <t>Red</t>
  </si>
  <si>
    <t>GS</t>
  </si>
  <si>
    <t>Alan gabriel Gonzalez</t>
  </si>
  <si>
    <t>Staff</t>
  </si>
  <si>
    <t>Lacey Tovar Roa</t>
  </si>
  <si>
    <t>Manager</t>
  </si>
  <si>
    <t>Ignacio Borda</t>
  </si>
  <si>
    <t>Sofía Daniela Rodriguez</t>
  </si>
  <si>
    <t>GS + BBH</t>
  </si>
  <si>
    <t>Gaston Sales</t>
  </si>
  <si>
    <t>Nahuel Niglio</t>
  </si>
  <si>
    <t>Fiorella Cuervo</t>
  </si>
  <si>
    <t>Gonzalo Enzo Monti</t>
  </si>
  <si>
    <t>Katerine Garcia Macias</t>
  </si>
  <si>
    <t>Yanina Judith Peralta</t>
  </si>
  <si>
    <t>Catalina Renata Cuesso</t>
  </si>
  <si>
    <t>Micaela Lapuente</t>
  </si>
  <si>
    <t>Pilar Navarro</t>
  </si>
  <si>
    <t>BBH</t>
  </si>
  <si>
    <t>Sebastian Fauve Raul</t>
  </si>
  <si>
    <t>Eugenia Trezza</t>
  </si>
  <si>
    <t>Pedro Rattagan</t>
  </si>
  <si>
    <t>Juan Pirez</t>
  </si>
  <si>
    <t>Orange</t>
  </si>
  <si>
    <t>Juan Vicente</t>
  </si>
  <si>
    <t>Ezequiel Francisco Basualdo</t>
  </si>
  <si>
    <t>Argentina Team members not found in Flex Hours</t>
  </si>
  <si>
    <t>Argentina TBDs in Flex not included in Team List</t>
  </si>
  <si>
    <t>TBD-RR-2469563</t>
  </si>
  <si>
    <t>GS Bank USA Audit Dec26</t>
  </si>
  <si>
    <t>TBD-RR-2469563 (TBD ASR AC Argentina BCM Senior)</t>
  </si>
  <si>
    <t>TBD-RR-2469864</t>
  </si>
  <si>
    <t>GS J. Aron &amp; Company Financial Aud Dec26</t>
  </si>
  <si>
    <t>TBD-RR-2469864 (TBD ASR AC Argentina BCM Senior)</t>
  </si>
  <si>
    <t>TBD-RR-2602502</t>
  </si>
  <si>
    <t>GS Corp Financial Reporting Audit Dec26</t>
  </si>
  <si>
    <t>TBD-RR-2602502 (TBD ASR AC Argentina BCM Associate)</t>
  </si>
  <si>
    <t>Run controls</t>
  </si>
  <si>
    <t>Current week logic</t>
  </si>
  <si>
    <t>Actual + ETC for week of 31-Aug-2026</t>
  </si>
  <si>
    <t>Future week logic</t>
  </si>
  <si>
    <t>ETC</t>
  </si>
  <si>
    <t>Capacity scope</t>
  </si>
  <si>
    <t>Combined GS + BBH per real person</t>
  </si>
  <si>
    <t>Redistribution eligibility</t>
  </si>
  <si>
    <t>Target must be listed on the relevant client team</t>
  </si>
  <si>
    <t>Human review</t>
  </si>
  <si>
    <t>Required before any production staffing changes</t>
  </si>
  <si>
    <t>Rules applied in v2</t>
  </si>
  <si>
    <t>Staffing Detail consolidates each person across GS and BBH under a single TOTAL.</t>
  </si>
  <si>
    <t>Juan Manuel Anit Pirez, Fiorella Cuervo and Ezequiel Francisco Basualdo are treated as Senior effective July 2026.</t>
  </si>
  <si>
    <t>Orange proposal rows = hours proposed to remove; green proposal rows = hours proposed to add.</t>
  </si>
  <si>
    <t>Overbooking is evaluated on combined GS + BBH weekly hours.</t>
  </si>
  <si>
    <t>v3 readability changes</t>
  </si>
  <si>
    <t>Excluded TBD detail rows with Projected Total Hours = 0: 68</t>
  </si>
  <si>
    <t>Single-code TBDs renamed using Project Line Name; zero-PTH TBD targets replaced with project-specific TBDs.</t>
  </si>
  <si>
    <t>Proposed Hours now shows the final proposed staffing matrix; Movement Log preserves transfer-level traceability.</t>
  </si>
  <si>
    <t>Client</t>
  </si>
  <si>
    <t>Row Type</t>
  </si>
  <si>
    <t>Project Line Name</t>
  </si>
  <si>
    <t>Budget Hours To Date</t>
  </si>
  <si>
    <t>Budget Hours</t>
  </si>
  <si>
    <t>Projected Total Hours</t>
  </si>
  <si>
    <t>Variance</t>
  </si>
  <si>
    <t>Joaquin Lorenzo</t>
  </si>
  <si>
    <t>TOTAL</t>
  </si>
  <si>
    <t>All Projects</t>
  </si>
  <si>
    <t>Detail</t>
  </si>
  <si>
    <t>GS AC Management Dec26</t>
  </si>
  <si>
    <t>GS AM Subsidiaries Audit Dec26</t>
  </si>
  <si>
    <t>GS BD Financials GS&amp;Co Audit Dec26</t>
  </si>
  <si>
    <t>GS Bank USA - Q1 Review Dec26</t>
  </si>
  <si>
    <t>GS Bank USA - Q2 Review Dec26</t>
  </si>
  <si>
    <t>GS Bank USA - Q3 Review Dec26</t>
  </si>
  <si>
    <t>GS Centralized Testing - Pod 3 Dec26</t>
  </si>
  <si>
    <t>GS First Quarter 10-Q Audit Dec26</t>
  </si>
  <si>
    <t>GS Second Quarter 10-Q Audit Dec26</t>
  </si>
  <si>
    <t>GS Third Quarter 10-Q Audit Dec26</t>
  </si>
  <si>
    <t>BBH / GS</t>
  </si>
  <si>
    <t>Julian Martin Oliva</t>
  </si>
  <si>
    <t>BBH&amp;Co. Audit - Trust Companies Dec26</t>
  </si>
  <si>
    <t>BBH&amp;Co. Audit Dec26</t>
  </si>
  <si>
    <t>GS Lending Ptnrs Financials Audit Dec26</t>
  </si>
  <si>
    <t>GS BD Net Capital Regulatory Dec26</t>
  </si>
  <si>
    <t>GS BHC Regulatory Capital Dec26</t>
  </si>
  <si>
    <t>GS Centralized Testing - Pod 1 Dec26</t>
  </si>
  <si>
    <t>GS Centralized Testing - Pod 2 Dec26</t>
  </si>
  <si>
    <t>GS Folio Dec26</t>
  </si>
  <si>
    <t>GS GSFM Sub Audit Dec26</t>
  </si>
  <si>
    <t>GS MMDP Audit Dec26</t>
  </si>
  <si>
    <t>Martin Ogara</t>
  </si>
  <si>
    <t>GS BD Regulatory Procedures Dec26</t>
  </si>
  <si>
    <t>GS Centralized Testing SLC Dec26</t>
  </si>
  <si>
    <t>TBD GS Vals (Derivs MIDA PV &amp; Models) Dec26</t>
  </si>
  <si>
    <t>GS Vals (Derivs MIDA PV &amp; Models) Dec26</t>
  </si>
  <si>
    <t>GS IMD Audit Dec26</t>
  </si>
  <si>
    <t>GS Trust Dec26</t>
  </si>
  <si>
    <t>GS BD CFTC Regulatory Dec26</t>
  </si>
  <si>
    <t>GS BD Possession Dec26</t>
  </si>
  <si>
    <t>GS BD Reserve Requirement Regulato Dec26</t>
  </si>
  <si>
    <t>GS MBD Group Audit Dec26</t>
  </si>
  <si>
    <t>GS Mercer Allied Audit Dec26</t>
  </si>
  <si>
    <t>GS Ayco Company LP Dec26</t>
  </si>
  <si>
    <t>GS Mortgage Sub Financials Audits Dec26</t>
  </si>
  <si>
    <t>Juan Manuel Anit Pirez</t>
  </si>
  <si>
    <t>María Ferreira</t>
  </si>
  <si>
    <t>María Isabel Martinez Ferreira</t>
  </si>
  <si>
    <t>TBD GS Third Quarter 10-Q Audit Dec26 1</t>
  </si>
  <si>
    <t>TBD GS Third Quarter 10-Q Audit Dec26 2</t>
  </si>
  <si>
    <t>Fiorella Caterina Rosenbach</t>
  </si>
  <si>
    <t>GS Audit (Tax ) - (FinReg) Dec26</t>
  </si>
  <si>
    <t>GS Transfer Pricing Audit Dec26</t>
  </si>
  <si>
    <t>Jackson Da Silva</t>
  </si>
  <si>
    <t>Magali Alvarez</t>
  </si>
  <si>
    <t>Maria Guadalupe Musa</t>
  </si>
  <si>
    <t>TBD GS Bank USA - Q3 Review Dec26</t>
  </si>
  <si>
    <t>TBD GS Bank USA Audit Dec26</t>
  </si>
  <si>
    <t>TBD GS BD CFTC Regulatory Dec26</t>
  </si>
  <si>
    <t>TBD GS BD Regulatory Procedures Dec26</t>
  </si>
  <si>
    <t>TBD GS Centralized Testing - Pod 3 Dec26</t>
  </si>
  <si>
    <t>TBD GS Centralized Testing SLC Dec26 1</t>
  </si>
  <si>
    <t>TBD GS Centralized Testing SLC Dec26 2</t>
  </si>
  <si>
    <t>TBD GS Corp Financial Reporting Audit Dec26</t>
  </si>
  <si>
    <t>TBD GS GSFM Sub Audit Dec26</t>
  </si>
  <si>
    <t>TBD GS J. Aron &amp; Company Financial Aud Dec26 1</t>
  </si>
  <si>
    <t>TBD GS J. Aron &amp; Company Financial Aud Dec26 2</t>
  </si>
  <si>
    <t>TBD GS MMDP Audit Dec26</t>
  </si>
  <si>
    <t>TBD-0002</t>
  </si>
  <si>
    <t>TBD-REG</t>
  </si>
  <si>
    <t>BBH Proposed TBD Manager 01</t>
  </si>
  <si>
    <t>Proposed</t>
  </si>
  <si>
    <t>GS Proposed TBD Manager 01</t>
  </si>
  <si>
    <t>BBH Proposed TBD Senior 01</t>
  </si>
  <si>
    <t>GS Proposed TBD Senior 01</t>
  </si>
  <si>
    <t>GS Proposed TBD Senior 02</t>
  </si>
  <si>
    <t>GS Proposed TBD Staff 01</t>
  </si>
  <si>
    <t>GS Proposed TBD Staff 02</t>
  </si>
  <si>
    <t>GS Proposed TBD Staff 03</t>
  </si>
  <si>
    <t>GS Proposed TBD Staff 04</t>
  </si>
  <si>
    <t>GS Proposed TBD Staff 05</t>
  </si>
  <si>
    <t>GS Proposed TBD Staff 06</t>
  </si>
  <si>
    <t>GS Proposed TBD Staff 07</t>
  </si>
  <si>
    <t>GS Proposed TBD Staff 08</t>
  </si>
  <si>
    <t>GS Proposed TBD Staff 09</t>
  </si>
  <si>
    <t>GS Proposed TBD Staff 10</t>
  </si>
  <si>
    <t>GS Proposed TBD Staff 11</t>
  </si>
  <si>
    <t>GS Proposed TBD Staff 12</t>
  </si>
  <si>
    <t>TBD GS Audit (Tax ) - (FinReg) Dec26</t>
  </si>
  <si>
    <t>TBD GS BD Financials GS&amp;Co Audit Dec26</t>
  </si>
  <si>
    <t>TBD GS BD Net Capital Regulatory Dec26</t>
  </si>
  <si>
    <t>TBD GS Centralized Testing - Pod 2 Dec26</t>
  </si>
  <si>
    <t>TBD GS Centralized Testing SLC Dec26</t>
  </si>
  <si>
    <t>TBD GS Folio Dec26</t>
  </si>
  <si>
    <t>TBD GS Mercer Allied Audit Dec26</t>
  </si>
  <si>
    <t>TBD GS Transfer Pricing Audit Dec26</t>
  </si>
  <si>
    <t>Source Resource</t>
  </si>
  <si>
    <t>Source Staff Category</t>
  </si>
  <si>
    <t>Target Resource</t>
  </si>
  <si>
    <t>Target Staff Category</t>
  </si>
  <si>
    <t>Week</t>
  </si>
  <si>
    <t>Hours to Move</t>
  </si>
  <si>
    <t>Reason</t>
  </si>
  <si>
    <t>Continuity</t>
  </si>
  <si>
    <t>Resulting Weekly Hours</t>
  </si>
  <si>
    <t>Target Type</t>
  </si>
  <si>
    <t>Overbooking reduction</t>
  </si>
  <si>
    <t>Yes</t>
  </si>
  <si>
    <t>Existing Resource</t>
  </si>
  <si>
    <t>Overbooking reduction / zero-PTH TBD replaced</t>
  </si>
  <si>
    <t>No</t>
  </si>
  <si>
    <t>Proposed TBD</t>
  </si>
  <si>
    <t>Existing TBD coverage</t>
  </si>
  <si>
    <t>Existing TBD coverage / zero-PTH TBD replaced</t>
  </si>
  <si>
    <t>Unlisted Argentina TBD coverage</t>
  </si>
  <si>
    <t>TBD consolidation</t>
  </si>
  <si>
    <t>Sebastian OOO</t>
  </si>
  <si>
    <t>Resource Match ID</t>
  </si>
  <si>
    <t>Staff Level</t>
  </si>
  <si>
    <t>01/05/2026 Actual</t>
  </si>
  <si>
    <t>01/12/2026 Actual</t>
  </si>
  <si>
    <t>01/19/2026 Actual</t>
  </si>
  <si>
    <t>01/26/2026 Actual</t>
  </si>
  <si>
    <t>02/02/2026 Actual</t>
  </si>
  <si>
    <t>02/09/2026 Actual</t>
  </si>
  <si>
    <t>02/16/2026 Actual</t>
  </si>
  <si>
    <t>02/23/2026 Actual</t>
  </si>
  <si>
    <t>03/02/2026 Actual</t>
  </si>
  <si>
    <t>03/09/2026 Actual</t>
  </si>
  <si>
    <t>03/16/2026 Actual</t>
  </si>
  <si>
    <t>03/23/2026 Actual</t>
  </si>
  <si>
    <t>03/30/2026 Actual</t>
  </si>
  <si>
    <t>04/06/2026 Actual</t>
  </si>
  <si>
    <t>04/13/2026 Actual</t>
  </si>
  <si>
    <t>04/20/2026 Actual</t>
  </si>
  <si>
    <t>04/27/2026 Actual</t>
  </si>
  <si>
    <t>05/04/2026 Actual</t>
  </si>
  <si>
    <t>05/11/2026 Actual</t>
  </si>
  <si>
    <t>05/18/2026 Actual</t>
  </si>
  <si>
    <t>05/25/2026 Actual</t>
  </si>
  <si>
    <t>06/01/2026 Actual</t>
  </si>
  <si>
    <t>06/08/2026 Actual</t>
  </si>
  <si>
    <t>06/15/2026 Actual</t>
  </si>
  <si>
    <t>06/22/2026 Actual</t>
  </si>
  <si>
    <t>06/29/2026 Actual</t>
  </si>
  <si>
    <t>07/06/2026 Actual</t>
  </si>
  <si>
    <t>07/13/2026 Actual</t>
  </si>
  <si>
    <t>07/20/2026 Actual</t>
  </si>
  <si>
    <t>07/27/2026 Actual</t>
  </si>
  <si>
    <t>08/03/2026 Actual</t>
  </si>
  <si>
    <t>08/10/2026 Actual</t>
  </si>
  <si>
    <t>08/17/2026 Actual</t>
  </si>
  <si>
    <t>08/24/2026 Actual</t>
  </si>
  <si>
    <t>08/31/2026 Actual</t>
  </si>
  <si>
    <t>09/07/2026 Actual</t>
  </si>
  <si>
    <t>09/14/2026 Actual</t>
  </si>
  <si>
    <t>09/21/2026 Actual</t>
  </si>
  <si>
    <t>09/28/2026 Actual</t>
  </si>
  <si>
    <t>10/05/2026 Actual</t>
  </si>
  <si>
    <t>10/12/2026 Actual</t>
  </si>
  <si>
    <t>10/19/2026 Actual</t>
  </si>
  <si>
    <t>10/26/2026 Actual</t>
  </si>
  <si>
    <t>11/02/2026 Actual</t>
  </si>
  <si>
    <t>11/09/2026 Actual</t>
  </si>
  <si>
    <t>11/16/2026 Actual</t>
  </si>
  <si>
    <t>11/23/2026 Actual</t>
  </si>
  <si>
    <t>11/30/2026 Actual</t>
  </si>
  <si>
    <t>12/07/2026 Actual</t>
  </si>
  <si>
    <t>12/14/2026 Actual</t>
  </si>
  <si>
    <t>12/21/2026 Actual</t>
  </si>
  <si>
    <t>12/28/2026 Actual</t>
  </si>
  <si>
    <t>01/05/2026 ETC</t>
  </si>
  <si>
    <t>01/12/2026 ETC</t>
  </si>
  <si>
    <t>01/19/2026 ETC</t>
  </si>
  <si>
    <t>01/26/2026 ETC</t>
  </si>
  <si>
    <t>02/02/2026 ETC</t>
  </si>
  <si>
    <t>02/09/2026 ETC</t>
  </si>
  <si>
    <t>02/16/2026 ETC</t>
  </si>
  <si>
    <t>02/23/2026 ETC</t>
  </si>
  <si>
    <t>03/02/2026 ETC</t>
  </si>
  <si>
    <t>03/09/2026 ETC</t>
  </si>
  <si>
    <t>03/16/2026 ETC</t>
  </si>
  <si>
    <t>03/23/2026 ETC</t>
  </si>
  <si>
    <t>03/30/2026 ETC</t>
  </si>
  <si>
    <t>04/06/2026 ETC</t>
  </si>
  <si>
    <t>04/13/2026 ETC</t>
  </si>
  <si>
    <t>04/20/2026 ETC</t>
  </si>
  <si>
    <t>04/27/2026 ETC</t>
  </si>
  <si>
    <t>05/04/2026 ETC</t>
  </si>
  <si>
    <t>05/11/2026 ETC</t>
  </si>
  <si>
    <t>05/18/2026 ETC</t>
  </si>
  <si>
    <t>05/25/2026 ETC</t>
  </si>
  <si>
    <t>06/01/2026 ETC</t>
  </si>
  <si>
    <t>06/08/2026 ETC</t>
  </si>
  <si>
    <t>06/15/2026 ETC</t>
  </si>
  <si>
    <t>06/22/2026 ETC</t>
  </si>
  <si>
    <t>06/29/2026 ETC</t>
  </si>
  <si>
    <t>07/06/2026 ETC</t>
  </si>
  <si>
    <t>07/13/2026 ETC</t>
  </si>
  <si>
    <t>07/20/2026 ETC</t>
  </si>
  <si>
    <t>07/27/2026 ETC</t>
  </si>
  <si>
    <t>08/03/2026 ETC</t>
  </si>
  <si>
    <t>08/10/2026 ETC</t>
  </si>
  <si>
    <t>08/17/2026 ETC</t>
  </si>
  <si>
    <t>08/24/2026 ETC</t>
  </si>
  <si>
    <t>08/31/2026 ETC</t>
  </si>
  <si>
    <t>09/07/2026 ETC</t>
  </si>
  <si>
    <t>09/14/2026 ETC</t>
  </si>
  <si>
    <t>09/21/2026 ETC</t>
  </si>
  <si>
    <t>09/28/2026 ETC</t>
  </si>
  <si>
    <t>10/05/2026 ETC</t>
  </si>
  <si>
    <t>10/12/2026 ETC</t>
  </si>
  <si>
    <t>10/19/2026 ETC</t>
  </si>
  <si>
    <t>10/26/2026 ETC</t>
  </si>
  <si>
    <t>11/02/2026 ETC</t>
  </si>
  <si>
    <t>11/09/2026 ETC</t>
  </si>
  <si>
    <t>11/16/2026 ETC</t>
  </si>
  <si>
    <t>11/23/2026 ETC</t>
  </si>
  <si>
    <t>11/30/2026 ETC</t>
  </si>
  <si>
    <t>12/07/2026 ETC</t>
  </si>
  <si>
    <t>12/14/2026 ETC</t>
  </si>
  <si>
    <t>12/21/2026 ETC</t>
  </si>
  <si>
    <t>12/28/2026 ETC</t>
  </si>
  <si>
    <t>01/04/2027 ETC</t>
  </si>
  <si>
    <t>01/11/2027 ETC</t>
  </si>
  <si>
    <t>01/18/2027 ETC</t>
  </si>
  <si>
    <t>01/25/2027 ETC</t>
  </si>
  <si>
    <t>02/01/2027 ETC</t>
  </si>
  <si>
    <t>02/08/2027 ETC</t>
  </si>
  <si>
    <t>02/15/2027 ETC</t>
  </si>
  <si>
    <t>02/22/2027 ETC</t>
  </si>
  <si>
    <t>03/01/2027 ETC</t>
  </si>
  <si>
    <t>03/08/2027 ETC</t>
  </si>
  <si>
    <t>03/15/2027 ETC</t>
  </si>
  <si>
    <t>03/22/2027 ETC</t>
  </si>
  <si>
    <t>03/29/2027 ETC</t>
  </si>
  <si>
    <t>04/05/2027 ETC</t>
  </si>
  <si>
    <t>04/12/2027 ETC</t>
  </si>
  <si>
    <t>04/19/2027 ETC</t>
  </si>
  <si>
    <t>04/26/2027 ETC</t>
  </si>
  <si>
    <t>05/03/2027 ETC</t>
  </si>
  <si>
    <t>05/10/2027 ETC</t>
  </si>
  <si>
    <t>05/17/2027 ETC</t>
  </si>
  <si>
    <t>05/24/2027 ETC</t>
  </si>
  <si>
    <t>05/31/2027 ETC</t>
  </si>
  <si>
    <t>AC - Staff - Experienced</t>
  </si>
  <si>
    <t>AC - Non-equity Owned -Staff</t>
  </si>
  <si>
    <t>AC - Senior</t>
  </si>
  <si>
    <t>AC - Non-equity Owned -Senior</t>
  </si>
  <si>
    <t>AC - Manager</t>
  </si>
  <si>
    <t>AC - Non-equity Owned -Manager</t>
  </si>
  <si>
    <t>AC - Senior Manager</t>
  </si>
  <si>
    <t>AC - Staff</t>
  </si>
  <si>
    <t>TBD-0001 (TBD ASR AC Argentina BCM Senior)</t>
  </si>
  <si>
    <t>TBD-0001</t>
  </si>
  <si>
    <t>TBD-0002 (TBD ASR AC Argentina BCM Experienced Associate)</t>
  </si>
  <si>
    <t>TBD-0002 (TBD ASR AC Argentina BCM Associate)</t>
  </si>
  <si>
    <t>TBD-0002 (TBD ASR AC Argentina BCM Senior Manager)</t>
  </si>
  <si>
    <t>TBD-0003 (TBD ASR AC Argentina BCM Senior)</t>
  </si>
  <si>
    <t>TBD-0003</t>
  </si>
  <si>
    <t>TBD-0004 (TBD ASR AC Argentina BCM Associate)</t>
  </si>
  <si>
    <t>TBD-0004</t>
  </si>
  <si>
    <t>TBD-0005 (TBD ASR AC Argentina BCM Senior)</t>
  </si>
  <si>
    <t>TBD-0005</t>
  </si>
  <si>
    <t>TBD-2 AC POD 3 Intern (TBD ASR AC Argentina BCM Associate)</t>
  </si>
  <si>
    <t>TBD-2 AC POD 3 Intern</t>
  </si>
  <si>
    <t>TBD-3613 (TBD ASR AC Argentina BCM Experienced Associate)</t>
  </si>
  <si>
    <t>TBD-3613</t>
  </si>
  <si>
    <t>TBD-ACBA1 (TBD ASR AC Argentina BCM Experienced Associate)</t>
  </si>
  <si>
    <t>TBD-ACBA1</t>
  </si>
  <si>
    <t>TBD-Associate (TBD ASR AC Argentina BCM Associate)</t>
  </si>
  <si>
    <t>TBD-Associate</t>
  </si>
  <si>
    <t>TBD-REG (TBD ASR AC Argentina BCM Associate)</t>
  </si>
  <si>
    <t>TBD-RR-1072962 (TBD ASR AC Argentina BCM Associate)</t>
  </si>
  <si>
    <t>TBD-RR-1072962</t>
  </si>
  <si>
    <t>TBD-RR-2725857 (TBD ASR AC Argentina BCM Associate)</t>
  </si>
  <si>
    <t>TBD-RR-2725857</t>
  </si>
  <si>
    <t>TBD-RR-2931057 (TBD ASR AC Argentina BCM Associate)</t>
  </si>
  <si>
    <t>TBD-RR-2931057</t>
  </si>
  <si>
    <t>TBD-Rec&amp;Pay (TBD ASR AC Argentina BCM Associate)</t>
  </si>
  <si>
    <t>TBD-Rec&amp;Pay</t>
  </si>
  <si>
    <t>TBD-Rec&amp;Pay-PLCs (TBD ASR AC Argentina BCM Associate)</t>
  </si>
  <si>
    <t>TBD-Rec&amp;Pay-PLCs</t>
  </si>
  <si>
    <t>TBD-nahue replacement (TBD ASR AC Argentina BCM Associate)</t>
  </si>
  <si>
    <t>TBD-nahue replacement</t>
  </si>
  <si>
    <t>TBD-rec&amp;pay (TBD ASR AC Argentina BCM Associate)</t>
  </si>
  <si>
    <t>TBD-rec&amp;pay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</si>
</sst>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:mm:ss"/>
    <numFmt numFmtId="165" formatCode="0.0;\-0.0;\-"/>
    <numFmt numFmtId="166" formatCode="dd\-mmm\-yyyy"/>
    <numFmt numFmtId="167" formatCode="0.0"/>
    <numFmt numFmtId="168" formatCode="#,##0.0;[Red]\(#,##0.0\);\-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CE4D6"/>
        <bgColor rgb="FFF4CCCC"/>
      </patternFill>
    </fill>
    <fill>
      <patternFill patternType="solid">
        <fgColor rgb="FFF4CCCC"/>
        <bgColor rgb="FFFCE4D6"/>
      </patternFill>
    </fill>
    <fill>
      <patternFill patternType="solid">
        <fgColor rgb="FF17365D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5" fontId="2" fillId="0" borderId="0" xfId="0" applyNumberFormat="1" applyFont="1"/>
    <xf numFmtId="0" fontId="0" fillId="0" borderId="0" xfId="0" applyAlignment="1">
      <alignment vertical="center"/>
    </xf>
    <xf numFmtId="165" fontId="0" fillId="0" borderId="0" xfId="0" applyNumberFormat="1"/>
    <xf numFmtId="165" fontId="2" fillId="3" borderId="0" xfId="0" applyNumberFormat="1" applyFont="1" applyFill="1"/>
    <xf numFmtId="165" fontId="2" fillId="4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3441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zoomScaleNormal="100" workbookViewId="0"/>
  </sheetViews>
  <sheetFormatPr defaultColWidth="8.6328125" defaultRowHeight="15" customHeight="1" x14ac:dyDescent="0.35"/>
  <cols>
    <col min="1" max="1" width="38" customWidth="1"/>
  </cols>
  <sheetData>
    <row r="1" spans="1:7" ht="15" customHeight="1" x14ac:dyDescent="0.35">
      <c r="A1" s="1" t="s">
        <v>0</v>
      </c>
      <c r="B1" s="1"/>
      <c r="C1" s="1"/>
      <c r="D1" s="1"/>
      <c r="E1" s="1"/>
      <c r="F1" s="1"/>
      <c r="G1" s="1"/>
    </row>
    <row r="2" spans="1:7" ht="15" customHeight="1" x14ac:dyDescent="0.35">
      <c r="A2" t="s">
        <v>1</v>
      </c>
    </row>
    <row r="4" spans="1:7" ht="15" customHeight="1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ht="15" customHeight="1" x14ac:dyDescent="0.35">
      <c r="A5" t="s">
        <v>9</v>
      </c>
      <c r="B5" t="s">
        <v>10</v>
      </c>
      <c r="C5">
        <v>5</v>
      </c>
      <c r="D5">
        <v>190</v>
      </c>
      <c r="E5" s="2">
        <v>46356</v>
      </c>
      <c r="F5" t="s">
        <v>11</v>
      </c>
      <c r="G5" t="s">
        <v>12</v>
      </c>
    </row>
    <row r="6" spans="1:7" ht="15" customHeight="1" x14ac:dyDescent="0.35">
      <c r="A6" t="s">
        <v>13</v>
      </c>
      <c r="B6" t="s">
        <v>14</v>
      </c>
      <c r="C6">
        <v>7</v>
      </c>
      <c r="D6">
        <v>132</v>
      </c>
      <c r="E6" s="2">
        <v>46265</v>
      </c>
      <c r="F6" t="s">
        <v>11</v>
      </c>
      <c r="G6" t="s">
        <v>12</v>
      </c>
    </row>
    <row r="7" spans="1:7" ht="15" customHeight="1" x14ac:dyDescent="0.35">
      <c r="A7" t="s">
        <v>15</v>
      </c>
      <c r="B7" t="s">
        <v>16</v>
      </c>
      <c r="C7">
        <v>4</v>
      </c>
      <c r="D7">
        <v>95.203508999999997</v>
      </c>
      <c r="E7" s="2">
        <v>46356</v>
      </c>
      <c r="F7" t="s">
        <v>11</v>
      </c>
      <c r="G7" t="s">
        <v>12</v>
      </c>
    </row>
    <row r="8" spans="1:7" ht="15" customHeight="1" x14ac:dyDescent="0.35">
      <c r="A8" t="s">
        <v>17</v>
      </c>
      <c r="B8" t="s">
        <v>14</v>
      </c>
      <c r="C8">
        <v>6</v>
      </c>
      <c r="D8">
        <v>90</v>
      </c>
      <c r="E8" s="2">
        <v>46314</v>
      </c>
      <c r="F8" t="s">
        <v>11</v>
      </c>
      <c r="G8" t="s">
        <v>12</v>
      </c>
    </row>
    <row r="9" spans="1:7" ht="15" customHeight="1" x14ac:dyDescent="0.35">
      <c r="A9" t="s">
        <v>18</v>
      </c>
      <c r="B9" t="s">
        <v>16</v>
      </c>
      <c r="C9">
        <v>10</v>
      </c>
      <c r="D9">
        <v>73.403509</v>
      </c>
      <c r="E9" s="2">
        <v>46314</v>
      </c>
      <c r="F9" t="s">
        <v>11</v>
      </c>
      <c r="G9" t="s">
        <v>19</v>
      </c>
    </row>
    <row r="10" spans="1:7" ht="15" customHeight="1" x14ac:dyDescent="0.35">
      <c r="A10" t="s">
        <v>20</v>
      </c>
      <c r="B10" t="s">
        <v>10</v>
      </c>
      <c r="C10">
        <v>9</v>
      </c>
      <c r="D10">
        <v>72.5</v>
      </c>
      <c r="E10" s="2">
        <v>46265</v>
      </c>
      <c r="F10" t="s">
        <v>11</v>
      </c>
      <c r="G10" t="s">
        <v>12</v>
      </c>
    </row>
    <row r="11" spans="1:7" ht="15" customHeight="1" x14ac:dyDescent="0.35">
      <c r="A11" t="s">
        <v>21</v>
      </c>
      <c r="B11" t="s">
        <v>14</v>
      </c>
      <c r="C11">
        <v>7</v>
      </c>
      <c r="D11">
        <v>71</v>
      </c>
      <c r="E11" s="2">
        <v>46265</v>
      </c>
      <c r="F11" t="s">
        <v>11</v>
      </c>
      <c r="G11" t="s">
        <v>12</v>
      </c>
    </row>
    <row r="12" spans="1:7" ht="15" customHeight="1" x14ac:dyDescent="0.35">
      <c r="A12" t="s">
        <v>22</v>
      </c>
      <c r="B12" t="s">
        <v>10</v>
      </c>
      <c r="C12">
        <v>5</v>
      </c>
      <c r="D12">
        <v>70</v>
      </c>
      <c r="E12" s="2">
        <v>46405</v>
      </c>
      <c r="F12" t="s">
        <v>11</v>
      </c>
      <c r="G12" t="s">
        <v>12</v>
      </c>
    </row>
    <row r="13" spans="1:7" ht="15" customHeight="1" x14ac:dyDescent="0.35">
      <c r="A13" t="s">
        <v>23</v>
      </c>
      <c r="B13" t="s">
        <v>10</v>
      </c>
      <c r="C13">
        <v>6</v>
      </c>
      <c r="D13">
        <v>69.5</v>
      </c>
      <c r="E13" s="2">
        <v>46314</v>
      </c>
      <c r="F13" t="s">
        <v>11</v>
      </c>
      <c r="G13" t="s">
        <v>12</v>
      </c>
    </row>
    <row r="14" spans="1:7" ht="15" customHeight="1" x14ac:dyDescent="0.35">
      <c r="A14" t="s">
        <v>24</v>
      </c>
      <c r="B14" t="s">
        <v>14</v>
      </c>
      <c r="C14">
        <v>8</v>
      </c>
      <c r="D14">
        <v>69.5</v>
      </c>
      <c r="E14" s="2">
        <v>46314</v>
      </c>
      <c r="F14" t="s">
        <v>11</v>
      </c>
      <c r="G14" t="s">
        <v>12</v>
      </c>
    </row>
    <row r="15" spans="1:7" ht="15" customHeight="1" x14ac:dyDescent="0.35">
      <c r="A15" t="s">
        <v>25</v>
      </c>
      <c r="B15" t="s">
        <v>16</v>
      </c>
      <c r="C15">
        <v>3</v>
      </c>
      <c r="D15">
        <v>69.403509</v>
      </c>
      <c r="E15" s="2">
        <v>46398</v>
      </c>
      <c r="F15" t="s">
        <v>11</v>
      </c>
      <c r="G15" t="s">
        <v>12</v>
      </c>
    </row>
    <row r="16" spans="1:7" ht="15" customHeight="1" x14ac:dyDescent="0.35">
      <c r="A16" t="s">
        <v>26</v>
      </c>
      <c r="B16" t="s">
        <v>14</v>
      </c>
      <c r="C16">
        <v>5</v>
      </c>
      <c r="D16">
        <v>65.5</v>
      </c>
      <c r="E16" s="2">
        <v>46265</v>
      </c>
      <c r="F16" t="s">
        <v>11</v>
      </c>
      <c r="G16" t="s">
        <v>12</v>
      </c>
    </row>
    <row r="17" spans="1:7" ht="15" customHeight="1" x14ac:dyDescent="0.35">
      <c r="A17" t="s">
        <v>27</v>
      </c>
      <c r="B17" t="s">
        <v>14</v>
      </c>
      <c r="C17">
        <v>5</v>
      </c>
      <c r="D17">
        <v>60</v>
      </c>
      <c r="E17" s="2">
        <v>46342</v>
      </c>
      <c r="F17" t="s">
        <v>11</v>
      </c>
      <c r="G17" t="s">
        <v>12</v>
      </c>
    </row>
    <row r="18" spans="1:7" ht="15" customHeight="1" x14ac:dyDescent="0.35">
      <c r="A18" t="s">
        <v>28</v>
      </c>
      <c r="B18" t="s">
        <v>10</v>
      </c>
      <c r="C18">
        <v>7</v>
      </c>
      <c r="D18">
        <v>60</v>
      </c>
      <c r="E18" s="2">
        <v>46293</v>
      </c>
      <c r="F18" t="s">
        <v>11</v>
      </c>
      <c r="G18" t="s">
        <v>29</v>
      </c>
    </row>
    <row r="19" spans="1:7" ht="15" customHeight="1" x14ac:dyDescent="0.35">
      <c r="A19" t="s">
        <v>30</v>
      </c>
      <c r="B19" t="s">
        <v>14</v>
      </c>
      <c r="C19">
        <v>1</v>
      </c>
      <c r="D19">
        <v>55</v>
      </c>
      <c r="E19" s="2">
        <v>46307</v>
      </c>
      <c r="F19" t="s">
        <v>11</v>
      </c>
      <c r="G19" t="s">
        <v>12</v>
      </c>
    </row>
    <row r="20" spans="1:7" ht="15" customHeight="1" x14ac:dyDescent="0.35">
      <c r="A20" t="s">
        <v>31</v>
      </c>
      <c r="B20" t="s">
        <v>14</v>
      </c>
      <c r="C20">
        <v>1</v>
      </c>
      <c r="D20">
        <v>50</v>
      </c>
      <c r="E20" s="2">
        <v>46307</v>
      </c>
      <c r="F20" t="s">
        <v>11</v>
      </c>
      <c r="G20" t="s">
        <v>29</v>
      </c>
    </row>
    <row r="21" spans="1:7" ht="15" customHeight="1" x14ac:dyDescent="0.35">
      <c r="A21" t="s">
        <v>32</v>
      </c>
      <c r="B21" t="s">
        <v>14</v>
      </c>
      <c r="C21">
        <v>1</v>
      </c>
      <c r="D21">
        <v>50</v>
      </c>
      <c r="E21" s="2">
        <v>46307</v>
      </c>
      <c r="F21" t="s">
        <v>11</v>
      </c>
      <c r="G21" t="s">
        <v>29</v>
      </c>
    </row>
    <row r="22" spans="1:7" ht="15" customHeight="1" x14ac:dyDescent="0.35">
      <c r="A22" t="s">
        <v>33</v>
      </c>
      <c r="B22" t="s">
        <v>10</v>
      </c>
      <c r="C22">
        <v>4</v>
      </c>
      <c r="D22">
        <v>65</v>
      </c>
      <c r="E22" s="2">
        <v>46405</v>
      </c>
      <c r="F22" t="s">
        <v>34</v>
      </c>
      <c r="G22" t="s">
        <v>12</v>
      </c>
    </row>
    <row r="23" spans="1:7" ht="15" customHeight="1" x14ac:dyDescent="0.35">
      <c r="A23" t="s">
        <v>35</v>
      </c>
      <c r="B23" t="s">
        <v>10</v>
      </c>
      <c r="C23">
        <v>3</v>
      </c>
      <c r="D23">
        <v>60</v>
      </c>
      <c r="E23" s="2">
        <v>46419</v>
      </c>
      <c r="F23" t="s">
        <v>34</v>
      </c>
      <c r="G23" t="s">
        <v>29</v>
      </c>
    </row>
    <row r="24" spans="1:7" ht="15" customHeight="1" x14ac:dyDescent="0.35">
      <c r="A24" t="s">
        <v>36</v>
      </c>
      <c r="B24" t="s">
        <v>10</v>
      </c>
      <c r="C24">
        <v>1</v>
      </c>
      <c r="D24">
        <v>42.5</v>
      </c>
      <c r="E24" s="2">
        <v>46314</v>
      </c>
      <c r="F24" t="s">
        <v>34</v>
      </c>
      <c r="G24" t="s">
        <v>12</v>
      </c>
    </row>
    <row r="27" spans="1:7" ht="15" customHeight="1" x14ac:dyDescent="0.35">
      <c r="A27" t="s">
        <v>37</v>
      </c>
    </row>
    <row r="29" spans="1:7" ht="15" customHeight="1" x14ac:dyDescent="0.35">
      <c r="A29" t="s">
        <v>38</v>
      </c>
    </row>
    <row r="30" spans="1:7" ht="15" customHeight="1" x14ac:dyDescent="0.35">
      <c r="A30" t="s">
        <v>39</v>
      </c>
      <c r="B30" t="s">
        <v>10</v>
      </c>
      <c r="C30" t="s">
        <v>12</v>
      </c>
      <c r="D30" t="s">
        <v>40</v>
      </c>
      <c r="E30" t="s">
        <v>41</v>
      </c>
    </row>
    <row r="31" spans="1:7" ht="15" customHeight="1" x14ac:dyDescent="0.35">
      <c r="A31" t="s">
        <v>42</v>
      </c>
      <c r="B31" t="s">
        <v>10</v>
      </c>
      <c r="C31" t="s">
        <v>12</v>
      </c>
      <c r="D31" t="s">
        <v>43</v>
      </c>
      <c r="E31" t="s">
        <v>44</v>
      </c>
    </row>
    <row r="32" spans="1:7" ht="15" customHeight="1" x14ac:dyDescent="0.35">
      <c r="A32" t="s">
        <v>45</v>
      </c>
      <c r="B32" t="s">
        <v>14</v>
      </c>
      <c r="C32" t="s">
        <v>12</v>
      </c>
      <c r="D32" t="s">
        <v>46</v>
      </c>
      <c r="E32" t="s">
        <v>47</v>
      </c>
    </row>
    <row r="34" spans="1:2" ht="15" customHeight="1" x14ac:dyDescent="0.35">
      <c r="A34" t="s">
        <v>48</v>
      </c>
    </row>
    <row r="35" spans="1:2" ht="15" customHeight="1" x14ac:dyDescent="0.35">
      <c r="A35" t="s">
        <v>49</v>
      </c>
      <c r="B35" t="s">
        <v>50</v>
      </c>
    </row>
    <row r="36" spans="1:2" ht="15" customHeight="1" x14ac:dyDescent="0.35">
      <c r="A36" t="s">
        <v>51</v>
      </c>
      <c r="B36" t="s">
        <v>52</v>
      </c>
    </row>
    <row r="37" spans="1:2" ht="15" customHeight="1" x14ac:dyDescent="0.35">
      <c r="A37" t="s">
        <v>53</v>
      </c>
      <c r="B37" t="s">
        <v>54</v>
      </c>
    </row>
    <row r="38" spans="1:2" ht="15" customHeight="1" x14ac:dyDescent="0.35">
      <c r="A38" t="s">
        <v>55</v>
      </c>
      <c r="B38" t="s">
        <v>56</v>
      </c>
    </row>
    <row r="39" spans="1:2" ht="15" customHeight="1" x14ac:dyDescent="0.35">
      <c r="A39" t="s">
        <v>57</v>
      </c>
      <c r="B39" t="s">
        <v>58</v>
      </c>
    </row>
    <row r="41" spans="1:2" ht="15" customHeight="1" x14ac:dyDescent="0.35">
      <c r="A41" s="3" t="s">
        <v>59</v>
      </c>
    </row>
    <row r="42" spans="1:2" ht="15" customHeight="1" x14ac:dyDescent="0.35">
      <c r="A42" t="s">
        <v>60</v>
      </c>
    </row>
    <row r="43" spans="1:2" ht="15" customHeight="1" x14ac:dyDescent="0.35">
      <c r="A43" t="s">
        <v>61</v>
      </c>
    </row>
    <row r="44" spans="1:2" ht="15" customHeight="1" x14ac:dyDescent="0.35">
      <c r="A44" t="s">
        <v>62</v>
      </c>
    </row>
    <row r="45" spans="1:2" ht="15" customHeight="1" x14ac:dyDescent="0.35">
      <c r="A45" t="s">
        <v>63</v>
      </c>
    </row>
    <row r="47" spans="1:2" ht="15" customHeight="1" x14ac:dyDescent="0.35">
      <c r="A47" s="1" t="s">
        <v>64</v>
      </c>
    </row>
    <row r="48" spans="1:2" ht="15" customHeight="1" x14ac:dyDescent="0.35">
      <c r="A48" t="s">
        <v>65</v>
      </c>
    </row>
    <row r="49" spans="1:1" ht="15" customHeight="1" x14ac:dyDescent="0.35">
      <c r="A49" t="s">
        <v>66</v>
      </c>
    </row>
    <row r="50" spans="1:1" ht="15" customHeight="1" x14ac:dyDescent="0.35">
      <c r="A50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21"/>
  <sheetViews>
    <sheetView showGridLines="0" zoomScale="52" zoomScaleNormal="100" workbookViewId="0">
      <pane xSplit="9" ySplit="1" topLeftCell="AA2" activePane="bottomRight" state="frozen"/>
      <selection pane="topRight" activeCell="J1" sqref="J1"/>
      <selection pane="bottomLeft" activeCell="A2" sqref="A2"/>
      <selection pane="bottomRight" activeCell="AN178" sqref="AN178"/>
    </sheetView>
  </sheetViews>
  <sheetFormatPr defaultColWidth="8.6328125" defaultRowHeight="15" customHeight="1" outlineLevelRow="1" x14ac:dyDescent="0.35"/>
  <cols>
    <col min="1" max="1" width="12" customWidth="1"/>
    <col min="2" max="2" width="16" customWidth="1"/>
    <col min="3" max="3" width="34" customWidth="1"/>
    <col min="4" max="4" width="18" customWidth="1"/>
    <col min="5" max="5" width="46" customWidth="1"/>
    <col min="6" max="6" width="18" customWidth="1"/>
    <col min="7" max="7" width="16" customWidth="1"/>
    <col min="8" max="8" width="20" customWidth="1"/>
    <col min="9" max="9" width="14" customWidth="1"/>
    <col min="10" max="10" width="13" customWidth="1"/>
  </cols>
  <sheetData>
    <row r="1" spans="1:49" ht="31.5" customHeight="1" x14ac:dyDescent="0.35">
      <c r="A1" s="4" t="s">
        <v>68</v>
      </c>
      <c r="B1" s="4" t="s">
        <v>3</v>
      </c>
      <c r="C1" s="4" t="s">
        <v>2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5">
        <v>46265</v>
      </c>
      <c r="K1" s="5">
        <v>46272</v>
      </c>
      <c r="L1" s="5">
        <v>46279</v>
      </c>
      <c r="M1" s="5">
        <v>46286</v>
      </c>
      <c r="N1" s="5">
        <v>46293</v>
      </c>
      <c r="O1" s="5">
        <v>46300</v>
      </c>
      <c r="P1" s="5">
        <v>46307</v>
      </c>
      <c r="Q1" s="5">
        <v>46314</v>
      </c>
      <c r="R1" s="5">
        <v>46321</v>
      </c>
      <c r="S1" s="5">
        <v>46328</v>
      </c>
      <c r="T1" s="5">
        <v>46335</v>
      </c>
      <c r="U1" s="5">
        <v>46342</v>
      </c>
      <c r="V1" s="5">
        <v>46349</v>
      </c>
      <c r="W1" s="5">
        <v>46356</v>
      </c>
      <c r="X1" s="5">
        <v>46363</v>
      </c>
      <c r="Y1" s="5">
        <v>46370</v>
      </c>
      <c r="Z1" s="5">
        <v>46377</v>
      </c>
      <c r="AA1" s="5">
        <v>46384</v>
      </c>
      <c r="AB1" s="5">
        <v>46391</v>
      </c>
      <c r="AC1" s="5">
        <v>46398</v>
      </c>
      <c r="AD1" s="5">
        <v>46405</v>
      </c>
      <c r="AE1" s="5">
        <v>46412</v>
      </c>
      <c r="AF1" s="5">
        <v>46419</v>
      </c>
      <c r="AG1" s="5">
        <v>46426</v>
      </c>
      <c r="AH1" s="5">
        <v>46433</v>
      </c>
      <c r="AI1" s="5">
        <v>46440</v>
      </c>
      <c r="AJ1" s="5">
        <v>46447</v>
      </c>
      <c r="AK1" s="5">
        <v>46454</v>
      </c>
      <c r="AL1" s="5">
        <v>46461</v>
      </c>
      <c r="AM1" s="5">
        <v>46468</v>
      </c>
      <c r="AN1" s="5">
        <v>46475</v>
      </c>
      <c r="AO1" s="5">
        <v>46482</v>
      </c>
      <c r="AP1" s="5">
        <v>46489</v>
      </c>
      <c r="AQ1" s="5">
        <v>46496</v>
      </c>
      <c r="AR1" s="5">
        <v>46503</v>
      </c>
      <c r="AS1" s="5">
        <v>46510</v>
      </c>
      <c r="AT1" s="5">
        <v>46517</v>
      </c>
      <c r="AU1" s="5">
        <v>46524</v>
      </c>
      <c r="AV1" s="5">
        <v>46531</v>
      </c>
      <c r="AW1" s="5">
        <v>46538</v>
      </c>
    </row>
    <row r="2" spans="1:49" ht="14.5" x14ac:dyDescent="0.35">
      <c r="A2" s="6" t="s">
        <v>12</v>
      </c>
      <c r="B2" s="6" t="s">
        <v>16</v>
      </c>
      <c r="C2" s="6" t="s">
        <v>75</v>
      </c>
      <c r="D2" s="6" t="s">
        <v>76</v>
      </c>
      <c r="E2" s="6" t="s">
        <v>77</v>
      </c>
      <c r="F2" s="7">
        <f t="shared" ref="F2:AW2" si="0">SUM(F3,F4,F5,F6,F7,F8,F9,F10,F11,F12,F13,F14,F15)</f>
        <v>320.89999999999998</v>
      </c>
      <c r="G2" s="7">
        <f t="shared" si="0"/>
        <v>1063.7</v>
      </c>
      <c r="H2" s="7">
        <f t="shared" si="0"/>
        <v>968.9</v>
      </c>
      <c r="I2" s="7">
        <f t="shared" si="0"/>
        <v>94.800000000000011</v>
      </c>
      <c r="J2" s="7">
        <f t="shared" si="0"/>
        <v>22.429825000000001</v>
      </c>
      <c r="K2" s="7">
        <f t="shared" si="0"/>
        <v>20.929825000000001</v>
      </c>
      <c r="L2" s="7">
        <f t="shared" si="0"/>
        <v>21.929825000000001</v>
      </c>
      <c r="M2" s="7">
        <f t="shared" si="0"/>
        <v>9.929825000000001</v>
      </c>
      <c r="N2" s="7">
        <f t="shared" si="0"/>
        <v>9.929825000000001</v>
      </c>
      <c r="O2" s="7">
        <f t="shared" si="0"/>
        <v>9.929825000000001</v>
      </c>
      <c r="P2" s="7">
        <f t="shared" si="0"/>
        <v>9.929825000000001</v>
      </c>
      <c r="Q2" s="7">
        <f t="shared" si="0"/>
        <v>33.929825000000001</v>
      </c>
      <c r="R2" s="7">
        <f t="shared" si="0"/>
        <v>33.929825000000001</v>
      </c>
      <c r="S2" s="7">
        <f t="shared" si="0"/>
        <v>9.929825000000001</v>
      </c>
      <c r="T2" s="7">
        <f t="shared" si="0"/>
        <v>9.929825000000001</v>
      </c>
      <c r="U2" s="7">
        <f t="shared" si="0"/>
        <v>13.929825000000001</v>
      </c>
      <c r="V2" s="7">
        <f t="shared" si="0"/>
        <v>19.929825000000001</v>
      </c>
      <c r="W2" s="7">
        <f t="shared" si="0"/>
        <v>25.929825000000001</v>
      </c>
      <c r="X2" s="7">
        <f t="shared" si="0"/>
        <v>15.929825000000001</v>
      </c>
      <c r="Y2" s="7">
        <f t="shared" si="0"/>
        <v>9.929825000000001</v>
      </c>
      <c r="Z2" s="7">
        <f t="shared" si="0"/>
        <v>4.9298250000000001</v>
      </c>
      <c r="AA2" s="7">
        <f t="shared" si="0"/>
        <v>1.9298249999999999</v>
      </c>
      <c r="AB2" s="7">
        <f t="shared" si="0"/>
        <v>10.903509</v>
      </c>
      <c r="AC2" s="7">
        <f t="shared" si="0"/>
        <v>20.903509</v>
      </c>
      <c r="AD2" s="7">
        <f t="shared" si="0"/>
        <v>31.903509</v>
      </c>
      <c r="AE2" s="7">
        <f t="shared" si="0"/>
        <v>30.903509</v>
      </c>
      <c r="AF2" s="7">
        <f t="shared" si="0"/>
        <v>36.903509</v>
      </c>
      <c r="AG2" s="7">
        <f t="shared" si="0"/>
        <v>47.903509</v>
      </c>
      <c r="AH2" s="7">
        <f t="shared" si="0"/>
        <v>34.903509</v>
      </c>
      <c r="AI2" s="7">
        <f t="shared" si="0"/>
        <v>28.903509</v>
      </c>
      <c r="AJ2" s="7">
        <f t="shared" si="0"/>
        <v>5.4035089999999997</v>
      </c>
      <c r="AK2" s="7">
        <f t="shared" si="0"/>
        <v>5.4035089999999997</v>
      </c>
      <c r="AL2" s="7">
        <f t="shared" si="0"/>
        <v>10.403509</v>
      </c>
      <c r="AM2" s="7">
        <f t="shared" si="0"/>
        <v>1.4035089999999999</v>
      </c>
      <c r="AN2" s="7">
        <f t="shared" si="0"/>
        <v>1.4035089999999999</v>
      </c>
      <c r="AO2" s="7">
        <f t="shared" si="0"/>
        <v>1.4035089999999999</v>
      </c>
      <c r="AP2" s="7">
        <f t="shared" si="0"/>
        <v>1.4035089999999999</v>
      </c>
      <c r="AQ2" s="7">
        <f t="shared" si="0"/>
        <v>1.4035089999999999</v>
      </c>
      <c r="AR2" s="7">
        <f t="shared" si="0"/>
        <v>1.4035089999999999</v>
      </c>
      <c r="AS2" s="7">
        <f t="shared" si="0"/>
        <v>1.4035089999999999</v>
      </c>
      <c r="AT2" s="7">
        <f t="shared" si="0"/>
        <v>1.4035089999999999</v>
      </c>
      <c r="AU2" s="7">
        <f t="shared" si="0"/>
        <v>0</v>
      </c>
      <c r="AV2" s="7">
        <f t="shared" si="0"/>
        <v>0</v>
      </c>
      <c r="AW2" s="7">
        <f t="shared" si="0"/>
        <v>0</v>
      </c>
    </row>
    <row r="3" spans="1:49" ht="14.5" hidden="1" outlineLevel="1" x14ac:dyDescent="0.35">
      <c r="A3" s="8" t="s">
        <v>12</v>
      </c>
      <c r="B3" s="8" t="s">
        <v>16</v>
      </c>
      <c r="C3" s="8" t="s">
        <v>75</v>
      </c>
      <c r="D3" s="8" t="s">
        <v>78</v>
      </c>
      <c r="E3" s="8" t="s">
        <v>79</v>
      </c>
      <c r="F3" s="9">
        <v>19.399999999999999</v>
      </c>
      <c r="G3" s="9">
        <v>71.400000000000006</v>
      </c>
      <c r="H3" s="9">
        <v>74.400000000000006</v>
      </c>
      <c r="I3" s="9">
        <v>-2.9999999999999898</v>
      </c>
      <c r="J3" s="9">
        <v>2.4035090000000001</v>
      </c>
      <c r="K3" s="9">
        <v>1.4035089999999999</v>
      </c>
      <c r="L3" s="9">
        <v>1.4035089999999999</v>
      </c>
      <c r="M3" s="9">
        <v>1.4035089999999999</v>
      </c>
      <c r="N3" s="9">
        <v>1.4035089999999999</v>
      </c>
      <c r="O3" s="9">
        <v>1.4035089999999999</v>
      </c>
      <c r="P3" s="9">
        <v>1.4035089999999999</v>
      </c>
      <c r="Q3" s="9">
        <v>1.4035089999999999</v>
      </c>
      <c r="R3" s="9">
        <v>1.4035089999999999</v>
      </c>
      <c r="S3" s="9">
        <v>1.4035089999999999</v>
      </c>
      <c r="T3" s="9">
        <v>1.4035089999999999</v>
      </c>
      <c r="U3" s="9">
        <v>1.4035089999999999</v>
      </c>
      <c r="V3" s="9">
        <v>1.4035089999999999</v>
      </c>
      <c r="W3" s="9">
        <v>1.4035089999999999</v>
      </c>
      <c r="X3" s="9">
        <v>1.4035089999999999</v>
      </c>
      <c r="Y3" s="9">
        <v>1.4035089999999999</v>
      </c>
      <c r="Z3" s="9">
        <v>1.4035089999999999</v>
      </c>
      <c r="AA3" s="9">
        <v>1.4035089999999999</v>
      </c>
      <c r="AB3" s="9">
        <v>1.4035089999999999</v>
      </c>
      <c r="AC3" s="9">
        <v>1.4035089999999999</v>
      </c>
      <c r="AD3" s="9">
        <v>1.4035089999999999</v>
      </c>
      <c r="AE3" s="9">
        <v>1.4035089999999999</v>
      </c>
      <c r="AF3" s="9">
        <v>1.4035089999999999</v>
      </c>
      <c r="AG3" s="9">
        <v>1.4035089999999999</v>
      </c>
      <c r="AH3" s="9">
        <v>1.4035089999999999</v>
      </c>
      <c r="AI3" s="9">
        <v>1.4035089999999999</v>
      </c>
      <c r="AJ3" s="9">
        <v>1.4035089999999999</v>
      </c>
      <c r="AK3" s="9">
        <v>1.4035089999999999</v>
      </c>
      <c r="AL3" s="9">
        <v>1.4035089999999999</v>
      </c>
      <c r="AM3" s="9">
        <v>1.4035089999999999</v>
      </c>
      <c r="AN3" s="9">
        <v>1.4035089999999999</v>
      </c>
      <c r="AO3" s="9">
        <v>1.4035089999999999</v>
      </c>
      <c r="AP3" s="9">
        <v>1.4035089999999999</v>
      </c>
      <c r="AQ3" s="9">
        <v>1.4035089999999999</v>
      </c>
      <c r="AR3" s="9">
        <v>1.4035089999999999</v>
      </c>
      <c r="AS3" s="9">
        <v>1.4035089999999999</v>
      </c>
      <c r="AT3" s="9">
        <v>1.4035089999999999</v>
      </c>
      <c r="AU3" s="9">
        <v>0</v>
      </c>
      <c r="AV3" s="9">
        <v>0</v>
      </c>
      <c r="AW3" s="9">
        <v>0</v>
      </c>
    </row>
    <row r="4" spans="1:49" ht="14.5" hidden="1" outlineLevel="1" x14ac:dyDescent="0.35">
      <c r="A4" s="8" t="s">
        <v>12</v>
      </c>
      <c r="B4" s="8" t="s">
        <v>16</v>
      </c>
      <c r="C4" s="8" t="s">
        <v>75</v>
      </c>
      <c r="D4" s="8" t="s">
        <v>78</v>
      </c>
      <c r="E4" s="8" t="s">
        <v>80</v>
      </c>
      <c r="F4" s="9">
        <v>0</v>
      </c>
      <c r="G4" s="9">
        <v>5</v>
      </c>
      <c r="H4" s="9">
        <v>5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5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</row>
    <row r="5" spans="1:49" ht="14.5" hidden="1" outlineLevel="1" x14ac:dyDescent="0.35">
      <c r="A5" s="8" t="s">
        <v>12</v>
      </c>
      <c r="B5" s="8" t="s">
        <v>16</v>
      </c>
      <c r="C5" s="8" t="s">
        <v>75</v>
      </c>
      <c r="D5" s="8" t="s">
        <v>78</v>
      </c>
      <c r="E5" s="8" t="s">
        <v>81</v>
      </c>
      <c r="F5" s="9">
        <v>5.5</v>
      </c>
      <c r="G5" s="9">
        <v>25.3</v>
      </c>
      <c r="H5" s="9">
        <v>19.5</v>
      </c>
      <c r="I5" s="9">
        <v>5.8</v>
      </c>
      <c r="J5" s="9">
        <v>0.52631600000000001</v>
      </c>
      <c r="K5" s="9">
        <v>0.52631600000000001</v>
      </c>
      <c r="L5" s="9">
        <v>0.52631600000000001</v>
      </c>
      <c r="M5" s="9">
        <v>0.52631600000000001</v>
      </c>
      <c r="N5" s="9">
        <v>0.52631600000000001</v>
      </c>
      <c r="O5" s="9">
        <v>0.52631600000000001</v>
      </c>
      <c r="P5" s="9">
        <v>0.52631600000000001</v>
      </c>
      <c r="Q5" s="9">
        <v>0.52631600000000001</v>
      </c>
      <c r="R5" s="9">
        <v>0.52631600000000001</v>
      </c>
      <c r="S5" s="9">
        <v>0.52631600000000001</v>
      </c>
      <c r="T5" s="9">
        <v>0.52631600000000001</v>
      </c>
      <c r="U5" s="9">
        <v>0.52631600000000001</v>
      </c>
      <c r="V5" s="9">
        <v>0.52631600000000001</v>
      </c>
      <c r="W5" s="9">
        <v>0.52631600000000001</v>
      </c>
      <c r="X5" s="9">
        <v>0.52631600000000001</v>
      </c>
      <c r="Y5" s="9">
        <v>0.52631600000000001</v>
      </c>
      <c r="Z5" s="9">
        <v>0.52631600000000001</v>
      </c>
      <c r="AA5" s="9">
        <v>0.52631600000000001</v>
      </c>
      <c r="AB5" s="9">
        <v>1</v>
      </c>
      <c r="AC5" s="9">
        <v>1</v>
      </c>
      <c r="AD5" s="9">
        <v>1</v>
      </c>
      <c r="AE5" s="9">
        <v>1</v>
      </c>
      <c r="AF5" s="9">
        <v>1.5</v>
      </c>
      <c r="AG5" s="9">
        <v>1.5</v>
      </c>
      <c r="AH5" s="9">
        <v>1.5</v>
      </c>
      <c r="AI5" s="9">
        <v>1.5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</row>
    <row r="6" spans="1:49" ht="14.5" hidden="1" outlineLevel="1" x14ac:dyDescent="0.35">
      <c r="A6" s="8" t="s">
        <v>12</v>
      </c>
      <c r="B6" s="8" t="s">
        <v>16</v>
      </c>
      <c r="C6" s="8" t="s">
        <v>75</v>
      </c>
      <c r="D6" s="8" t="s">
        <v>78</v>
      </c>
      <c r="E6" s="8" t="s">
        <v>82</v>
      </c>
      <c r="F6" s="9">
        <v>11</v>
      </c>
      <c r="G6" s="9">
        <v>11</v>
      </c>
      <c r="H6" s="9">
        <v>24</v>
      </c>
      <c r="I6" s="9">
        <v>-13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</row>
    <row r="7" spans="1:49" ht="14.5" hidden="1" outlineLevel="1" x14ac:dyDescent="0.35">
      <c r="A7" s="8" t="s">
        <v>12</v>
      </c>
      <c r="B7" s="8" t="s">
        <v>16</v>
      </c>
      <c r="C7" s="8" t="s">
        <v>75</v>
      </c>
      <c r="D7" s="8" t="s">
        <v>78</v>
      </c>
      <c r="E7" s="8" t="s">
        <v>83</v>
      </c>
      <c r="F7" s="9">
        <v>10</v>
      </c>
      <c r="G7" s="9">
        <v>10</v>
      </c>
      <c r="H7" s="9">
        <v>25</v>
      </c>
      <c r="I7" s="9">
        <v>-15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</row>
    <row r="8" spans="1:49" ht="14.5" hidden="1" outlineLevel="1" x14ac:dyDescent="0.35">
      <c r="A8" s="8" t="s">
        <v>12</v>
      </c>
      <c r="B8" s="8" t="s">
        <v>16</v>
      </c>
      <c r="C8" s="8" t="s">
        <v>75</v>
      </c>
      <c r="D8" s="8" t="s">
        <v>78</v>
      </c>
      <c r="E8" s="8" t="s">
        <v>84</v>
      </c>
      <c r="F8" s="9">
        <v>0</v>
      </c>
      <c r="G8" s="9">
        <v>10</v>
      </c>
      <c r="H8" s="9">
        <v>10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5</v>
      </c>
      <c r="R8" s="9">
        <v>5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</row>
    <row r="9" spans="1:49" ht="14.5" hidden="1" outlineLevel="1" x14ac:dyDescent="0.35">
      <c r="A9" s="8" t="s">
        <v>12</v>
      </c>
      <c r="B9" s="8" t="s">
        <v>16</v>
      </c>
      <c r="C9" s="8" t="s">
        <v>75</v>
      </c>
      <c r="D9" s="8" t="s">
        <v>78</v>
      </c>
      <c r="E9" s="8" t="s">
        <v>40</v>
      </c>
      <c r="F9" s="9">
        <v>0</v>
      </c>
      <c r="G9" s="9">
        <v>15</v>
      </c>
      <c r="H9" s="9">
        <v>20.5</v>
      </c>
      <c r="I9" s="9">
        <v>-5.5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5</v>
      </c>
      <c r="AH9" s="9">
        <v>5</v>
      </c>
      <c r="AI9" s="9">
        <v>5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</row>
    <row r="10" spans="1:49" ht="14.5" hidden="1" outlineLevel="1" x14ac:dyDescent="0.35">
      <c r="A10" s="8" t="s">
        <v>12</v>
      </c>
      <c r="B10" s="8" t="s">
        <v>16</v>
      </c>
      <c r="C10" s="8" t="s">
        <v>75</v>
      </c>
      <c r="D10" s="8" t="s">
        <v>78</v>
      </c>
      <c r="E10" s="8" t="s">
        <v>85</v>
      </c>
      <c r="F10" s="9">
        <v>112</v>
      </c>
      <c r="G10" s="9">
        <v>458</v>
      </c>
      <c r="H10" s="9">
        <v>257.5</v>
      </c>
      <c r="I10" s="9">
        <v>200.5</v>
      </c>
      <c r="J10" s="9">
        <v>11</v>
      </c>
      <c r="K10" s="9">
        <v>14</v>
      </c>
      <c r="L10" s="9">
        <v>14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9">
        <v>3</v>
      </c>
      <c r="S10" s="9">
        <v>3</v>
      </c>
      <c r="T10" s="9">
        <v>3</v>
      </c>
      <c r="U10" s="9">
        <v>3</v>
      </c>
      <c r="V10" s="9">
        <v>13</v>
      </c>
      <c r="W10" s="9">
        <v>19</v>
      </c>
      <c r="X10" s="9">
        <v>3</v>
      </c>
      <c r="Y10" s="9">
        <v>3</v>
      </c>
      <c r="Z10" s="9">
        <v>3</v>
      </c>
      <c r="AA10" s="9">
        <v>0</v>
      </c>
      <c r="AB10" s="9">
        <v>4.5</v>
      </c>
      <c r="AC10" s="9">
        <v>6.5</v>
      </c>
      <c r="AD10" s="9">
        <v>3.5</v>
      </c>
      <c r="AE10" s="9">
        <v>3.5</v>
      </c>
      <c r="AF10" s="9">
        <v>7</v>
      </c>
      <c r="AG10" s="9">
        <v>12</v>
      </c>
      <c r="AH10" s="9">
        <v>11</v>
      </c>
      <c r="AI10" s="9">
        <v>11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</row>
    <row r="11" spans="1:49" ht="14.5" hidden="1" outlineLevel="1" x14ac:dyDescent="0.35">
      <c r="A11" s="8" t="s">
        <v>12</v>
      </c>
      <c r="B11" s="8" t="s">
        <v>16</v>
      </c>
      <c r="C11" s="8" t="s">
        <v>75</v>
      </c>
      <c r="D11" s="8" t="s">
        <v>78</v>
      </c>
      <c r="E11" s="8" t="s">
        <v>46</v>
      </c>
      <c r="F11" s="9">
        <v>94.5</v>
      </c>
      <c r="G11" s="9">
        <v>304.5</v>
      </c>
      <c r="H11" s="9">
        <v>324.5</v>
      </c>
      <c r="I11" s="9">
        <v>-20</v>
      </c>
      <c r="J11" s="9">
        <v>7.5</v>
      </c>
      <c r="K11" s="9">
        <v>4</v>
      </c>
      <c r="L11" s="9">
        <v>5</v>
      </c>
      <c r="M11" s="9">
        <v>4</v>
      </c>
      <c r="N11" s="9">
        <v>4</v>
      </c>
      <c r="O11" s="9">
        <v>4</v>
      </c>
      <c r="P11" s="9">
        <v>4</v>
      </c>
      <c r="Q11" s="9">
        <v>4</v>
      </c>
      <c r="R11" s="9">
        <v>4</v>
      </c>
      <c r="S11" s="9">
        <v>4</v>
      </c>
      <c r="T11" s="9">
        <v>4</v>
      </c>
      <c r="U11" s="9">
        <v>8</v>
      </c>
      <c r="V11" s="9">
        <v>4</v>
      </c>
      <c r="W11" s="9">
        <v>4</v>
      </c>
      <c r="X11" s="9">
        <v>10</v>
      </c>
      <c r="Y11" s="9">
        <v>4</v>
      </c>
      <c r="Z11" s="9">
        <v>0</v>
      </c>
      <c r="AA11" s="9">
        <v>0</v>
      </c>
      <c r="AB11" s="9">
        <v>4</v>
      </c>
      <c r="AC11" s="9">
        <v>11</v>
      </c>
      <c r="AD11" s="9">
        <v>21</v>
      </c>
      <c r="AE11" s="9">
        <v>20</v>
      </c>
      <c r="AF11" s="9">
        <v>21</v>
      </c>
      <c r="AG11" s="9">
        <v>22</v>
      </c>
      <c r="AH11" s="9">
        <v>15</v>
      </c>
      <c r="AI11" s="9">
        <v>9</v>
      </c>
      <c r="AJ11" s="9">
        <v>4</v>
      </c>
      <c r="AK11" s="9">
        <v>4</v>
      </c>
      <c r="AL11" s="9">
        <v>4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</row>
    <row r="12" spans="1:49" ht="14.5" hidden="1" outlineLevel="1" x14ac:dyDescent="0.35">
      <c r="A12" s="8" t="s">
        <v>12</v>
      </c>
      <c r="B12" s="8" t="s">
        <v>16</v>
      </c>
      <c r="C12" s="8" t="s">
        <v>75</v>
      </c>
      <c r="D12" s="8" t="s">
        <v>78</v>
      </c>
      <c r="E12" s="8" t="s">
        <v>86</v>
      </c>
      <c r="F12" s="9">
        <v>4.5</v>
      </c>
      <c r="G12" s="9">
        <v>4.5</v>
      </c>
      <c r="H12" s="9">
        <v>67.5</v>
      </c>
      <c r="I12" s="9">
        <v>-63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</row>
    <row r="13" spans="1:49" ht="14.5" hidden="1" outlineLevel="1" x14ac:dyDescent="0.35">
      <c r="A13" s="8" t="s">
        <v>12</v>
      </c>
      <c r="B13" s="8" t="s">
        <v>16</v>
      </c>
      <c r="C13" s="8" t="s">
        <v>75</v>
      </c>
      <c r="D13" s="8" t="s">
        <v>78</v>
      </c>
      <c r="E13" s="8" t="s">
        <v>43</v>
      </c>
      <c r="F13" s="9">
        <v>4</v>
      </c>
      <c r="G13" s="9">
        <v>49</v>
      </c>
      <c r="H13" s="9">
        <v>42</v>
      </c>
      <c r="I13" s="9">
        <v>7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0</v>
      </c>
      <c r="R13" s="9">
        <v>0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5</v>
      </c>
      <c r="AE13" s="9">
        <v>5</v>
      </c>
      <c r="AF13" s="9">
        <v>6</v>
      </c>
      <c r="AG13" s="9">
        <v>6</v>
      </c>
      <c r="AH13" s="9">
        <v>1</v>
      </c>
      <c r="AI13" s="9">
        <v>1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</row>
    <row r="14" spans="1:49" ht="14.5" hidden="1" outlineLevel="1" x14ac:dyDescent="0.35">
      <c r="A14" s="8" t="s">
        <v>12</v>
      </c>
      <c r="B14" s="8" t="s">
        <v>16</v>
      </c>
      <c r="C14" s="8" t="s">
        <v>75</v>
      </c>
      <c r="D14" s="8" t="s">
        <v>78</v>
      </c>
      <c r="E14" s="8" t="s">
        <v>87</v>
      </c>
      <c r="F14" s="9">
        <v>60</v>
      </c>
      <c r="G14" s="9">
        <v>60</v>
      </c>
      <c r="H14" s="9">
        <v>59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</row>
    <row r="15" spans="1:49" ht="14.5" hidden="1" outlineLevel="1" x14ac:dyDescent="0.35">
      <c r="A15" s="8" t="s">
        <v>12</v>
      </c>
      <c r="B15" s="8" t="s">
        <v>16</v>
      </c>
      <c r="C15" s="8" t="s">
        <v>75</v>
      </c>
      <c r="D15" s="8" t="s">
        <v>78</v>
      </c>
      <c r="E15" s="8" t="s">
        <v>88</v>
      </c>
      <c r="F15" s="9">
        <v>0</v>
      </c>
      <c r="G15" s="9">
        <v>40</v>
      </c>
      <c r="H15" s="9">
        <v>40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20</v>
      </c>
      <c r="R15" s="9">
        <v>20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</row>
    <row r="16" spans="1:49" ht="14.5" collapsed="1" x14ac:dyDescent="0.35">
      <c r="A16" s="6" t="s">
        <v>89</v>
      </c>
      <c r="B16" s="6" t="s">
        <v>16</v>
      </c>
      <c r="C16" s="6" t="s">
        <v>90</v>
      </c>
      <c r="D16" s="6" t="s">
        <v>76</v>
      </c>
      <c r="E16" s="6" t="s">
        <v>77</v>
      </c>
      <c r="F16" s="7">
        <f t="shared" ref="F16:AW16" si="1">SUM(F17,F18,F19,F20,F21,F22,F23)</f>
        <v>92</v>
      </c>
      <c r="G16" s="7">
        <f t="shared" si="1"/>
        <v>605</v>
      </c>
      <c r="H16" s="7">
        <f t="shared" si="1"/>
        <v>754.6</v>
      </c>
      <c r="I16" s="7">
        <f t="shared" si="1"/>
        <v>-149.6</v>
      </c>
      <c r="J16" s="7">
        <f t="shared" si="1"/>
        <v>10</v>
      </c>
      <c r="K16" s="7">
        <f t="shared" si="1"/>
        <v>10</v>
      </c>
      <c r="L16" s="7">
        <f t="shared" si="1"/>
        <v>10</v>
      </c>
      <c r="M16" s="7">
        <f t="shared" si="1"/>
        <v>10</v>
      </c>
      <c r="N16" s="7">
        <f t="shared" si="1"/>
        <v>10</v>
      </c>
      <c r="O16" s="7">
        <f t="shared" si="1"/>
        <v>10.5</v>
      </c>
      <c r="P16" s="7">
        <f t="shared" si="1"/>
        <v>20.5</v>
      </c>
      <c r="Q16" s="7">
        <f t="shared" si="1"/>
        <v>25.5</v>
      </c>
      <c r="R16" s="7">
        <f t="shared" si="1"/>
        <v>25.5</v>
      </c>
      <c r="S16" s="7">
        <f t="shared" si="1"/>
        <v>10.5</v>
      </c>
      <c r="T16" s="7">
        <f t="shared" si="1"/>
        <v>10.5</v>
      </c>
      <c r="U16" s="7">
        <f t="shared" si="1"/>
        <v>10.5</v>
      </c>
      <c r="V16" s="7">
        <f t="shared" si="1"/>
        <v>10.5</v>
      </c>
      <c r="W16" s="7">
        <f t="shared" si="1"/>
        <v>0.5</v>
      </c>
      <c r="X16" s="7">
        <f t="shared" si="1"/>
        <v>0.5</v>
      </c>
      <c r="Y16" s="7">
        <f t="shared" si="1"/>
        <v>3.5</v>
      </c>
      <c r="Z16" s="7">
        <f t="shared" si="1"/>
        <v>0.5</v>
      </c>
      <c r="AA16" s="7">
        <f t="shared" si="1"/>
        <v>0</v>
      </c>
      <c r="AB16" s="7">
        <f t="shared" si="1"/>
        <v>15</v>
      </c>
      <c r="AC16" s="7">
        <f t="shared" si="1"/>
        <v>23</v>
      </c>
      <c r="AD16" s="7">
        <f t="shared" si="1"/>
        <v>43</v>
      </c>
      <c r="AE16" s="7">
        <f t="shared" si="1"/>
        <v>38</v>
      </c>
      <c r="AF16" s="7">
        <f t="shared" si="1"/>
        <v>38</v>
      </c>
      <c r="AG16" s="7">
        <f t="shared" si="1"/>
        <v>38</v>
      </c>
      <c r="AH16" s="7">
        <f t="shared" si="1"/>
        <v>30</v>
      </c>
      <c r="AI16" s="7">
        <f t="shared" si="1"/>
        <v>35</v>
      </c>
      <c r="AJ16" s="7">
        <f t="shared" si="1"/>
        <v>12</v>
      </c>
      <c r="AK16" s="7">
        <f t="shared" si="1"/>
        <v>23.5</v>
      </c>
      <c r="AL16" s="7">
        <f t="shared" si="1"/>
        <v>23.5</v>
      </c>
      <c r="AM16" s="7">
        <f t="shared" si="1"/>
        <v>24</v>
      </c>
      <c r="AN16" s="7">
        <f t="shared" si="1"/>
        <v>24.8</v>
      </c>
      <c r="AO16" s="7">
        <f t="shared" si="1"/>
        <v>19</v>
      </c>
      <c r="AP16" s="7">
        <f t="shared" si="1"/>
        <v>25</v>
      </c>
      <c r="AQ16" s="7">
        <f t="shared" si="1"/>
        <v>18.5</v>
      </c>
      <c r="AR16" s="7">
        <f t="shared" si="1"/>
        <v>17.8</v>
      </c>
      <c r="AS16" s="7">
        <f t="shared" si="1"/>
        <v>15</v>
      </c>
      <c r="AT16" s="7">
        <f t="shared" si="1"/>
        <v>5</v>
      </c>
      <c r="AU16" s="7">
        <f t="shared" si="1"/>
        <v>0</v>
      </c>
      <c r="AV16" s="7">
        <f t="shared" si="1"/>
        <v>0</v>
      </c>
      <c r="AW16" s="7">
        <f t="shared" si="1"/>
        <v>0</v>
      </c>
    </row>
    <row r="17" spans="1:49" ht="14.5" hidden="1" outlineLevel="1" x14ac:dyDescent="0.35">
      <c r="A17" s="8" t="s">
        <v>29</v>
      </c>
      <c r="B17" s="8" t="s">
        <v>16</v>
      </c>
      <c r="C17" s="8" t="s">
        <v>90</v>
      </c>
      <c r="D17" s="8" t="s">
        <v>78</v>
      </c>
      <c r="E17" s="8" t="s">
        <v>91</v>
      </c>
      <c r="F17" s="9">
        <v>0</v>
      </c>
      <c r="G17" s="9">
        <v>165</v>
      </c>
      <c r="H17" s="9">
        <v>183</v>
      </c>
      <c r="I17" s="9">
        <v>-18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12</v>
      </c>
      <c r="AK17" s="9">
        <v>22</v>
      </c>
      <c r="AL17" s="9">
        <v>17</v>
      </c>
      <c r="AM17" s="9">
        <v>22</v>
      </c>
      <c r="AN17" s="9">
        <v>22</v>
      </c>
      <c r="AO17" s="9">
        <v>17</v>
      </c>
      <c r="AP17" s="9">
        <v>17</v>
      </c>
      <c r="AQ17" s="9">
        <v>17</v>
      </c>
      <c r="AR17" s="9">
        <v>17</v>
      </c>
      <c r="AS17" s="9">
        <v>15</v>
      </c>
      <c r="AT17" s="9">
        <v>5</v>
      </c>
      <c r="AU17" s="9">
        <v>0</v>
      </c>
      <c r="AV17" s="9">
        <v>0</v>
      </c>
      <c r="AW17" s="9">
        <v>0</v>
      </c>
    </row>
    <row r="18" spans="1:49" ht="14.5" hidden="1" outlineLevel="1" x14ac:dyDescent="0.35">
      <c r="A18" s="8" t="s">
        <v>29</v>
      </c>
      <c r="B18" s="8" t="s">
        <v>16</v>
      </c>
      <c r="C18" s="8" t="s">
        <v>90</v>
      </c>
      <c r="D18" s="8" t="s">
        <v>78</v>
      </c>
      <c r="E18" s="8" t="s">
        <v>92</v>
      </c>
      <c r="F18" s="9">
        <v>60</v>
      </c>
      <c r="G18" s="9">
        <v>398</v>
      </c>
      <c r="H18" s="9">
        <v>540.6</v>
      </c>
      <c r="I18" s="9">
        <v>-142.6</v>
      </c>
      <c r="J18" s="9">
        <v>10</v>
      </c>
      <c r="K18" s="9">
        <v>10</v>
      </c>
      <c r="L18" s="9">
        <v>10</v>
      </c>
      <c r="M18" s="9">
        <v>10</v>
      </c>
      <c r="N18" s="9">
        <v>10</v>
      </c>
      <c r="O18" s="9">
        <v>10.5</v>
      </c>
      <c r="P18" s="9">
        <v>20.5</v>
      </c>
      <c r="Q18" s="9">
        <v>20.5</v>
      </c>
      <c r="R18" s="9">
        <v>20.5</v>
      </c>
      <c r="S18" s="9">
        <v>10.5</v>
      </c>
      <c r="T18" s="9">
        <v>10.5</v>
      </c>
      <c r="U18" s="9">
        <v>10.5</v>
      </c>
      <c r="V18" s="9">
        <v>10.5</v>
      </c>
      <c r="W18" s="9">
        <v>0.5</v>
      </c>
      <c r="X18" s="9">
        <v>0.5</v>
      </c>
      <c r="Y18" s="9">
        <v>3.5</v>
      </c>
      <c r="Z18" s="9">
        <v>0.5</v>
      </c>
      <c r="AA18" s="9">
        <v>0</v>
      </c>
      <c r="AB18" s="9">
        <v>15</v>
      </c>
      <c r="AC18" s="9">
        <v>23</v>
      </c>
      <c r="AD18" s="9">
        <v>43</v>
      </c>
      <c r="AE18" s="9">
        <v>38</v>
      </c>
      <c r="AF18" s="9">
        <v>38</v>
      </c>
      <c r="AG18" s="9">
        <v>38</v>
      </c>
      <c r="AH18" s="9">
        <v>30</v>
      </c>
      <c r="AI18" s="9">
        <v>35</v>
      </c>
      <c r="AJ18" s="9">
        <v>0</v>
      </c>
      <c r="AK18" s="9">
        <v>1.5</v>
      </c>
      <c r="AL18" s="9">
        <v>6.5</v>
      </c>
      <c r="AM18" s="9">
        <v>2</v>
      </c>
      <c r="AN18" s="9">
        <v>2.8</v>
      </c>
      <c r="AO18" s="9">
        <v>2</v>
      </c>
      <c r="AP18" s="9">
        <v>8</v>
      </c>
      <c r="AQ18" s="9">
        <v>1.5</v>
      </c>
      <c r="AR18" s="9">
        <v>0.8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</row>
    <row r="19" spans="1:49" ht="14.5" hidden="1" outlineLevel="1" x14ac:dyDescent="0.35">
      <c r="A19" s="8" t="s">
        <v>12</v>
      </c>
      <c r="B19" s="8" t="s">
        <v>16</v>
      </c>
      <c r="C19" s="8" t="s">
        <v>90</v>
      </c>
      <c r="D19" s="8" t="s">
        <v>78</v>
      </c>
      <c r="E19" s="8" t="s">
        <v>82</v>
      </c>
      <c r="F19" s="9">
        <v>6</v>
      </c>
      <c r="G19" s="9">
        <v>6</v>
      </c>
      <c r="H19" s="9">
        <v>6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</row>
    <row r="20" spans="1:49" ht="14.5" hidden="1" outlineLevel="1" x14ac:dyDescent="0.35">
      <c r="A20" s="8" t="s">
        <v>12</v>
      </c>
      <c r="B20" s="8" t="s">
        <v>16</v>
      </c>
      <c r="C20" s="8" t="s">
        <v>90</v>
      </c>
      <c r="D20" s="8" t="s">
        <v>78</v>
      </c>
      <c r="E20" s="8" t="s">
        <v>84</v>
      </c>
      <c r="F20" s="9">
        <v>0</v>
      </c>
      <c r="G20" s="9">
        <v>10</v>
      </c>
      <c r="H20" s="9">
        <v>10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5</v>
      </c>
      <c r="R20" s="9">
        <v>5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</row>
    <row r="21" spans="1:49" ht="14.5" hidden="1" outlineLevel="1" x14ac:dyDescent="0.35">
      <c r="A21" s="8" t="s">
        <v>12</v>
      </c>
      <c r="B21" s="8" t="s">
        <v>16</v>
      </c>
      <c r="C21" s="8" t="s">
        <v>90</v>
      </c>
      <c r="D21" s="8" t="s">
        <v>78</v>
      </c>
      <c r="E21" s="8" t="s">
        <v>86</v>
      </c>
      <c r="F21" s="9">
        <v>0</v>
      </c>
      <c r="G21" s="9">
        <v>0</v>
      </c>
      <c r="H21" s="9">
        <v>13</v>
      </c>
      <c r="I21" s="9">
        <v>-13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</row>
    <row r="22" spans="1:49" ht="14.5" hidden="1" outlineLevel="1" x14ac:dyDescent="0.35">
      <c r="A22" s="8" t="s">
        <v>12</v>
      </c>
      <c r="B22" s="8" t="s">
        <v>16</v>
      </c>
      <c r="C22" s="8" t="s">
        <v>90</v>
      </c>
      <c r="D22" s="8" t="s">
        <v>78</v>
      </c>
      <c r="E22" s="8" t="s">
        <v>93</v>
      </c>
      <c r="F22" s="9">
        <v>2</v>
      </c>
      <c r="G22" s="9">
        <v>2</v>
      </c>
      <c r="H22" s="9">
        <v>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</row>
    <row r="23" spans="1:49" ht="14.5" hidden="1" outlineLevel="1" x14ac:dyDescent="0.35">
      <c r="A23" s="8" t="s">
        <v>12</v>
      </c>
      <c r="B23" s="8" t="s">
        <v>16</v>
      </c>
      <c r="C23" s="8" t="s">
        <v>90</v>
      </c>
      <c r="D23" s="8" t="s">
        <v>78</v>
      </c>
      <c r="E23" s="8" t="s">
        <v>87</v>
      </c>
      <c r="F23" s="9">
        <v>24</v>
      </c>
      <c r="G23" s="9">
        <v>24</v>
      </c>
      <c r="H23" s="9">
        <v>0</v>
      </c>
      <c r="I23" s="9">
        <v>24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</row>
    <row r="24" spans="1:49" ht="14.5" collapsed="1" x14ac:dyDescent="0.35">
      <c r="A24" s="6" t="s">
        <v>12</v>
      </c>
      <c r="B24" s="6" t="s">
        <v>16</v>
      </c>
      <c r="C24" s="6" t="s">
        <v>15</v>
      </c>
      <c r="D24" s="6" t="s">
        <v>76</v>
      </c>
      <c r="E24" s="6" t="s">
        <v>77</v>
      </c>
      <c r="F24" s="7">
        <f t="shared" ref="F24:AW24" si="2">SUM(F25,F26,F27,F28,F29,F30,F31,F32,F33,F34,F35,F36,F37,F38)</f>
        <v>337.59999999999997</v>
      </c>
      <c r="G24" s="7">
        <f t="shared" si="2"/>
        <v>959.20000000000016</v>
      </c>
      <c r="H24" s="7">
        <f t="shared" si="2"/>
        <v>898</v>
      </c>
      <c r="I24" s="7">
        <f t="shared" si="2"/>
        <v>61.199999999999989</v>
      </c>
      <c r="J24" s="7">
        <f t="shared" si="2"/>
        <v>39.203509000000004</v>
      </c>
      <c r="K24" s="7">
        <f t="shared" si="2"/>
        <v>16.203509</v>
      </c>
      <c r="L24" s="7">
        <f t="shared" si="2"/>
        <v>7.4035089999999997</v>
      </c>
      <c r="M24" s="7">
        <f t="shared" si="2"/>
        <v>7.4035089999999997</v>
      </c>
      <c r="N24" s="7">
        <f t="shared" si="2"/>
        <v>5.4035089999999997</v>
      </c>
      <c r="O24" s="7">
        <f t="shared" si="2"/>
        <v>12.603508999999999</v>
      </c>
      <c r="P24" s="7">
        <f t="shared" si="2"/>
        <v>12.903509</v>
      </c>
      <c r="Q24" s="7">
        <f t="shared" si="2"/>
        <v>12.403509</v>
      </c>
      <c r="R24" s="7">
        <f t="shared" si="2"/>
        <v>8.4035089999999997</v>
      </c>
      <c r="S24" s="7">
        <f t="shared" si="2"/>
        <v>12.503509000000001</v>
      </c>
      <c r="T24" s="7">
        <f t="shared" si="2"/>
        <v>21.003509000000001</v>
      </c>
      <c r="U24" s="7">
        <f t="shared" si="2"/>
        <v>19.203508999999997</v>
      </c>
      <c r="V24" s="7">
        <f t="shared" si="2"/>
        <v>20.803508999999998</v>
      </c>
      <c r="W24" s="10">
        <f t="shared" si="2"/>
        <v>44.903509</v>
      </c>
      <c r="X24" s="7">
        <f t="shared" si="2"/>
        <v>34.503509000000001</v>
      </c>
      <c r="Y24" s="10">
        <f t="shared" si="2"/>
        <v>44.903509</v>
      </c>
      <c r="Z24" s="7">
        <f t="shared" si="2"/>
        <v>10.403509</v>
      </c>
      <c r="AA24" s="7">
        <f t="shared" si="2"/>
        <v>2.4035089999999997</v>
      </c>
      <c r="AB24" s="7">
        <f t="shared" si="2"/>
        <v>2.4035089999999997</v>
      </c>
      <c r="AC24" s="7">
        <f t="shared" si="2"/>
        <v>6.9035089999999997</v>
      </c>
      <c r="AD24" s="7">
        <f t="shared" si="2"/>
        <v>11.103508999999999</v>
      </c>
      <c r="AE24" s="7">
        <f t="shared" si="2"/>
        <v>23.403509</v>
      </c>
      <c r="AF24" s="7">
        <f t="shared" si="2"/>
        <v>41.503508999999994</v>
      </c>
      <c r="AG24" s="11">
        <f t="shared" si="2"/>
        <v>79.203508999999997</v>
      </c>
      <c r="AH24" s="11">
        <f t="shared" si="2"/>
        <v>95.203508999999997</v>
      </c>
      <c r="AI24" s="7">
        <f t="shared" si="2"/>
        <v>32.903509</v>
      </c>
      <c r="AJ24" s="7">
        <f t="shared" si="2"/>
        <v>2.6035089999999999</v>
      </c>
      <c r="AK24" s="7">
        <f t="shared" si="2"/>
        <v>1.4035089999999999</v>
      </c>
      <c r="AL24" s="7">
        <f t="shared" si="2"/>
        <v>1.4035089999999999</v>
      </c>
      <c r="AM24" s="7">
        <f t="shared" si="2"/>
        <v>1.4035089999999999</v>
      </c>
      <c r="AN24" s="7">
        <f t="shared" si="2"/>
        <v>1.4035089999999999</v>
      </c>
      <c r="AO24" s="7">
        <f t="shared" si="2"/>
        <v>1.4035089999999999</v>
      </c>
      <c r="AP24" s="7">
        <f t="shared" si="2"/>
        <v>1.4035089999999999</v>
      </c>
      <c r="AQ24" s="7">
        <f t="shared" si="2"/>
        <v>1.4035089999999999</v>
      </c>
      <c r="AR24" s="7">
        <f t="shared" si="2"/>
        <v>1.4035089999999999</v>
      </c>
      <c r="AS24" s="7">
        <f t="shared" si="2"/>
        <v>1.4035089999999999</v>
      </c>
      <c r="AT24" s="7">
        <f t="shared" si="2"/>
        <v>1.4035089999999999</v>
      </c>
      <c r="AU24" s="7">
        <f t="shared" si="2"/>
        <v>0</v>
      </c>
      <c r="AV24" s="7">
        <f t="shared" si="2"/>
        <v>0</v>
      </c>
      <c r="AW24" s="7">
        <f t="shared" si="2"/>
        <v>0</v>
      </c>
    </row>
    <row r="25" spans="1:49" ht="14.5" hidden="1" outlineLevel="1" x14ac:dyDescent="0.35">
      <c r="A25" s="8" t="s">
        <v>12</v>
      </c>
      <c r="B25" s="8" t="s">
        <v>16</v>
      </c>
      <c r="C25" s="8" t="s">
        <v>15</v>
      </c>
      <c r="D25" s="8" t="s">
        <v>78</v>
      </c>
      <c r="E25" s="8" t="s">
        <v>79</v>
      </c>
      <c r="F25" s="9">
        <v>42.9</v>
      </c>
      <c r="G25" s="9">
        <v>94.9</v>
      </c>
      <c r="H25" s="9">
        <v>84.9</v>
      </c>
      <c r="I25" s="9">
        <v>10</v>
      </c>
      <c r="J25" s="9">
        <v>1.9035089999999999</v>
      </c>
      <c r="K25" s="9">
        <v>1.4035089999999999</v>
      </c>
      <c r="L25" s="9">
        <v>1.4035089999999999</v>
      </c>
      <c r="M25" s="9">
        <v>1.4035089999999999</v>
      </c>
      <c r="N25" s="9">
        <v>1.4035089999999999</v>
      </c>
      <c r="O25" s="9">
        <v>1.4035089999999999</v>
      </c>
      <c r="P25" s="9">
        <v>1.4035089999999999</v>
      </c>
      <c r="Q25" s="9">
        <v>1.4035089999999999</v>
      </c>
      <c r="R25" s="9">
        <v>1.4035089999999999</v>
      </c>
      <c r="S25" s="9">
        <v>1.4035089999999999</v>
      </c>
      <c r="T25" s="9">
        <v>1.4035089999999999</v>
      </c>
      <c r="U25" s="9">
        <v>1.4035089999999999</v>
      </c>
      <c r="V25" s="9">
        <v>1.4035089999999999</v>
      </c>
      <c r="W25" s="9">
        <v>1.4035089999999999</v>
      </c>
      <c r="X25" s="9">
        <v>1.4035089999999999</v>
      </c>
      <c r="Y25" s="9">
        <v>1.4035089999999999</v>
      </c>
      <c r="Z25" s="9">
        <v>1.4035089999999999</v>
      </c>
      <c r="AA25" s="9">
        <v>1.4035089999999999</v>
      </c>
      <c r="AB25" s="9">
        <v>1.4035089999999999</v>
      </c>
      <c r="AC25" s="9">
        <v>1.4035089999999999</v>
      </c>
      <c r="AD25" s="9">
        <v>1.4035089999999999</v>
      </c>
      <c r="AE25" s="9">
        <v>1.4035089999999999</v>
      </c>
      <c r="AF25" s="9">
        <v>1.4035089999999999</v>
      </c>
      <c r="AG25" s="9">
        <v>1.4035089999999999</v>
      </c>
      <c r="AH25" s="9">
        <v>1.4035089999999999</v>
      </c>
      <c r="AI25" s="9">
        <v>1.4035089999999999</v>
      </c>
      <c r="AJ25" s="9">
        <v>1.4035089999999999</v>
      </c>
      <c r="AK25" s="9">
        <v>1.4035089999999999</v>
      </c>
      <c r="AL25" s="9">
        <v>1.4035089999999999</v>
      </c>
      <c r="AM25" s="9">
        <v>1.4035089999999999</v>
      </c>
      <c r="AN25" s="9">
        <v>1.4035089999999999</v>
      </c>
      <c r="AO25" s="9">
        <v>1.4035089999999999</v>
      </c>
      <c r="AP25" s="9">
        <v>1.4035089999999999</v>
      </c>
      <c r="AQ25" s="9">
        <v>1.4035089999999999</v>
      </c>
      <c r="AR25" s="9">
        <v>1.4035089999999999</v>
      </c>
      <c r="AS25" s="9">
        <v>1.4035089999999999</v>
      </c>
      <c r="AT25" s="9">
        <v>1.4035089999999999</v>
      </c>
      <c r="AU25" s="9">
        <v>0</v>
      </c>
      <c r="AV25" s="9">
        <v>0</v>
      </c>
      <c r="AW25" s="9">
        <v>0</v>
      </c>
    </row>
    <row r="26" spans="1:49" ht="14.5" hidden="1" outlineLevel="1" x14ac:dyDescent="0.35">
      <c r="A26" s="8" t="s">
        <v>12</v>
      </c>
      <c r="B26" s="8" t="s">
        <v>16</v>
      </c>
      <c r="C26" s="8" t="s">
        <v>15</v>
      </c>
      <c r="D26" s="8" t="s">
        <v>78</v>
      </c>
      <c r="E26" s="8" t="s">
        <v>81</v>
      </c>
      <c r="F26" s="9">
        <v>21.1</v>
      </c>
      <c r="G26" s="9">
        <v>93.1</v>
      </c>
      <c r="H26" s="9">
        <v>73.5</v>
      </c>
      <c r="I26" s="9">
        <v>19.600000000000001</v>
      </c>
      <c r="J26" s="9">
        <v>1.3</v>
      </c>
      <c r="K26" s="9">
        <v>11.5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2</v>
      </c>
      <c r="S26" s="9">
        <v>0</v>
      </c>
      <c r="T26" s="9">
        <v>2.2999999999999998</v>
      </c>
      <c r="U26" s="9">
        <v>1.9</v>
      </c>
      <c r="V26" s="9">
        <v>1</v>
      </c>
      <c r="W26" s="9">
        <v>8.8000000000000007</v>
      </c>
      <c r="X26" s="9">
        <v>1.4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1</v>
      </c>
      <c r="AF26" s="9">
        <v>3.4</v>
      </c>
      <c r="AG26" s="9">
        <v>7.9</v>
      </c>
      <c r="AH26" s="9">
        <v>13.7</v>
      </c>
      <c r="AI26" s="9">
        <v>15.8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</row>
    <row r="27" spans="1:49" ht="14.5" hidden="1" outlineLevel="1" x14ac:dyDescent="0.35">
      <c r="A27" s="8" t="s">
        <v>12</v>
      </c>
      <c r="B27" s="8" t="s">
        <v>16</v>
      </c>
      <c r="C27" s="8" t="s">
        <v>15</v>
      </c>
      <c r="D27" s="8" t="s">
        <v>78</v>
      </c>
      <c r="E27" s="8" t="s">
        <v>94</v>
      </c>
      <c r="F27" s="9">
        <v>25.1</v>
      </c>
      <c r="G27" s="9">
        <v>70.8</v>
      </c>
      <c r="H27" s="9">
        <v>63.2</v>
      </c>
      <c r="I27" s="9">
        <v>7.5999999999999899</v>
      </c>
      <c r="J27" s="9">
        <v>0</v>
      </c>
      <c r="K27" s="9">
        <v>0.3</v>
      </c>
      <c r="L27" s="9">
        <v>0</v>
      </c>
      <c r="M27" s="9">
        <v>0</v>
      </c>
      <c r="N27" s="9">
        <v>0</v>
      </c>
      <c r="O27" s="9">
        <v>0.2</v>
      </c>
      <c r="P27" s="9">
        <v>0</v>
      </c>
      <c r="Q27" s="9">
        <v>0</v>
      </c>
      <c r="R27" s="9">
        <v>1</v>
      </c>
      <c r="S27" s="9">
        <v>0</v>
      </c>
      <c r="T27" s="9">
        <v>0</v>
      </c>
      <c r="U27" s="9">
        <v>2</v>
      </c>
      <c r="V27" s="9">
        <v>0</v>
      </c>
      <c r="W27" s="9">
        <v>1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1</v>
      </c>
      <c r="AD27" s="9">
        <v>5.2</v>
      </c>
      <c r="AE27" s="9">
        <v>8</v>
      </c>
      <c r="AF27" s="9">
        <v>8</v>
      </c>
      <c r="AG27" s="9">
        <v>5</v>
      </c>
      <c r="AH27" s="9">
        <v>14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</row>
    <row r="28" spans="1:49" ht="14.5" hidden="1" outlineLevel="1" x14ac:dyDescent="0.35">
      <c r="A28" s="8" t="s">
        <v>12</v>
      </c>
      <c r="B28" s="8" t="s">
        <v>16</v>
      </c>
      <c r="C28" s="8" t="s">
        <v>15</v>
      </c>
      <c r="D28" s="8" t="s">
        <v>78</v>
      </c>
      <c r="E28" s="8" t="s">
        <v>95</v>
      </c>
      <c r="F28" s="9">
        <v>117.5</v>
      </c>
      <c r="G28" s="9">
        <v>245</v>
      </c>
      <c r="H28" s="9">
        <v>214.5</v>
      </c>
      <c r="I28" s="9">
        <v>30.5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6</v>
      </c>
      <c r="V28" s="9">
        <v>10</v>
      </c>
      <c r="W28" s="9">
        <v>12</v>
      </c>
      <c r="X28" s="9">
        <v>10</v>
      </c>
      <c r="Y28" s="9">
        <v>21</v>
      </c>
      <c r="Z28" s="9">
        <v>4</v>
      </c>
      <c r="AA28" s="9">
        <v>1</v>
      </c>
      <c r="AB28" s="9">
        <v>1</v>
      </c>
      <c r="AC28" s="9">
        <v>2.5</v>
      </c>
      <c r="AD28" s="9">
        <v>2.5</v>
      </c>
      <c r="AE28" s="9">
        <v>9</v>
      </c>
      <c r="AF28" s="9">
        <v>11.5</v>
      </c>
      <c r="AG28" s="9">
        <v>12</v>
      </c>
      <c r="AH28" s="9">
        <v>25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</row>
    <row r="29" spans="1:49" ht="14.5" hidden="1" outlineLevel="1" x14ac:dyDescent="0.35">
      <c r="A29" s="8" t="s">
        <v>12</v>
      </c>
      <c r="B29" s="8" t="s">
        <v>16</v>
      </c>
      <c r="C29" s="8" t="s">
        <v>15</v>
      </c>
      <c r="D29" s="8" t="s">
        <v>78</v>
      </c>
      <c r="E29" s="8" t="s">
        <v>82</v>
      </c>
      <c r="F29" s="9">
        <v>3</v>
      </c>
      <c r="G29" s="9">
        <v>3</v>
      </c>
      <c r="H29" s="9">
        <v>3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</row>
    <row r="30" spans="1:49" ht="14.5" hidden="1" outlineLevel="1" x14ac:dyDescent="0.35">
      <c r="A30" s="8" t="s">
        <v>12</v>
      </c>
      <c r="B30" s="8" t="s">
        <v>16</v>
      </c>
      <c r="C30" s="8" t="s">
        <v>15</v>
      </c>
      <c r="D30" s="8" t="s">
        <v>78</v>
      </c>
      <c r="E30" s="8" t="s">
        <v>83</v>
      </c>
      <c r="F30" s="9">
        <v>0</v>
      </c>
      <c r="G30" s="9">
        <v>0</v>
      </c>
      <c r="H30" s="9">
        <v>10</v>
      </c>
      <c r="I30" s="9">
        <v>-10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</row>
    <row r="31" spans="1:49" ht="14.5" hidden="1" outlineLevel="1" x14ac:dyDescent="0.35">
      <c r="A31" s="8" t="s">
        <v>12</v>
      </c>
      <c r="B31" s="8" t="s">
        <v>16</v>
      </c>
      <c r="C31" s="8" t="s">
        <v>15</v>
      </c>
      <c r="D31" s="8" t="s">
        <v>78</v>
      </c>
      <c r="E31" s="8" t="s">
        <v>40</v>
      </c>
      <c r="F31" s="9">
        <v>11.8</v>
      </c>
      <c r="G31" s="9">
        <v>64.900000000000006</v>
      </c>
      <c r="H31" s="9">
        <v>55.1</v>
      </c>
      <c r="I31" s="9">
        <v>9.8000000000000007</v>
      </c>
      <c r="J31" s="9">
        <v>7.9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1.8</v>
      </c>
      <c r="T31" s="9">
        <v>1.4</v>
      </c>
      <c r="U31" s="9">
        <v>0</v>
      </c>
      <c r="V31" s="9">
        <v>6.4</v>
      </c>
      <c r="W31" s="9">
        <v>3.8</v>
      </c>
      <c r="X31" s="9">
        <v>0</v>
      </c>
      <c r="Y31" s="9">
        <v>6</v>
      </c>
      <c r="Z31" s="9">
        <v>5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6.9</v>
      </c>
      <c r="AG31" s="9">
        <v>2.9</v>
      </c>
      <c r="AH31" s="9">
        <v>9.8000000000000007</v>
      </c>
      <c r="AI31" s="9">
        <v>1.2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</row>
    <row r="32" spans="1:49" ht="14.5" hidden="1" outlineLevel="1" x14ac:dyDescent="0.35">
      <c r="A32" s="8" t="s">
        <v>12</v>
      </c>
      <c r="B32" s="8" t="s">
        <v>16</v>
      </c>
      <c r="C32" s="8" t="s">
        <v>15</v>
      </c>
      <c r="D32" s="8" t="s">
        <v>78</v>
      </c>
      <c r="E32" s="8" t="s">
        <v>96</v>
      </c>
      <c r="F32" s="9">
        <v>55.8</v>
      </c>
      <c r="G32" s="9">
        <v>168.6</v>
      </c>
      <c r="H32" s="9">
        <v>166.1</v>
      </c>
      <c r="I32" s="9">
        <v>2.5</v>
      </c>
      <c r="J32" s="9">
        <v>12</v>
      </c>
      <c r="K32" s="9">
        <v>1</v>
      </c>
      <c r="L32" s="9">
        <v>0</v>
      </c>
      <c r="M32" s="9">
        <v>0</v>
      </c>
      <c r="N32" s="9">
        <v>0</v>
      </c>
      <c r="O32" s="9">
        <v>11</v>
      </c>
      <c r="P32" s="9">
        <v>10.5</v>
      </c>
      <c r="Q32" s="9">
        <v>11</v>
      </c>
      <c r="R32" s="9">
        <v>0</v>
      </c>
      <c r="S32" s="9">
        <v>0</v>
      </c>
      <c r="T32" s="9">
        <v>7.4</v>
      </c>
      <c r="U32" s="9">
        <v>1</v>
      </c>
      <c r="V32" s="9">
        <v>0</v>
      </c>
      <c r="W32" s="9">
        <v>2</v>
      </c>
      <c r="X32" s="9">
        <v>14.5</v>
      </c>
      <c r="Y32" s="9">
        <v>11.5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15</v>
      </c>
      <c r="AH32" s="9">
        <v>20.2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</row>
    <row r="33" spans="1:49" ht="14.5" hidden="1" outlineLevel="1" x14ac:dyDescent="0.35">
      <c r="A33" s="8" t="s">
        <v>12</v>
      </c>
      <c r="B33" s="8" t="s">
        <v>16</v>
      </c>
      <c r="C33" s="8" t="s">
        <v>15</v>
      </c>
      <c r="D33" s="8" t="s">
        <v>78</v>
      </c>
      <c r="E33" s="8" t="s">
        <v>97</v>
      </c>
      <c r="F33" s="9">
        <v>30.5</v>
      </c>
      <c r="G33" s="9">
        <v>102.5</v>
      </c>
      <c r="H33" s="9">
        <v>106.2</v>
      </c>
      <c r="I33" s="9">
        <v>-3.7</v>
      </c>
      <c r="J33" s="9">
        <v>6.5</v>
      </c>
      <c r="K33" s="9">
        <v>0</v>
      </c>
      <c r="L33" s="9">
        <v>4</v>
      </c>
      <c r="M33" s="9">
        <v>4</v>
      </c>
      <c r="N33" s="9">
        <v>4</v>
      </c>
      <c r="O33" s="9">
        <v>0</v>
      </c>
      <c r="P33" s="9">
        <v>0</v>
      </c>
      <c r="Q33" s="9">
        <v>0</v>
      </c>
      <c r="R33" s="9">
        <v>4</v>
      </c>
      <c r="S33" s="9">
        <v>5</v>
      </c>
      <c r="T33" s="9">
        <v>5</v>
      </c>
      <c r="U33" s="9">
        <v>5</v>
      </c>
      <c r="V33" s="9">
        <v>0</v>
      </c>
      <c r="W33" s="9">
        <v>5</v>
      </c>
      <c r="X33" s="9">
        <v>4</v>
      </c>
      <c r="Y33" s="9">
        <v>4</v>
      </c>
      <c r="Z33" s="9">
        <v>0</v>
      </c>
      <c r="AA33" s="9">
        <v>0</v>
      </c>
      <c r="AB33" s="9">
        <v>0</v>
      </c>
      <c r="AC33" s="9">
        <v>2</v>
      </c>
      <c r="AD33" s="9">
        <v>2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</row>
    <row r="34" spans="1:49" ht="14.5" hidden="1" outlineLevel="1" x14ac:dyDescent="0.35">
      <c r="A34" s="8" t="s">
        <v>12</v>
      </c>
      <c r="B34" s="8" t="s">
        <v>16</v>
      </c>
      <c r="C34" s="8" t="s">
        <v>15</v>
      </c>
      <c r="D34" s="8" t="s">
        <v>78</v>
      </c>
      <c r="E34" s="8" t="s">
        <v>98</v>
      </c>
      <c r="F34" s="9">
        <v>0</v>
      </c>
      <c r="G34" s="9">
        <v>0</v>
      </c>
      <c r="H34" s="9">
        <v>13</v>
      </c>
      <c r="I34" s="9">
        <v>-13</v>
      </c>
      <c r="J34" s="9">
        <v>0</v>
      </c>
      <c r="K34" s="9">
        <v>2</v>
      </c>
      <c r="L34" s="9">
        <v>2</v>
      </c>
      <c r="M34" s="9">
        <v>2</v>
      </c>
      <c r="N34" s="9">
        <v>0</v>
      </c>
      <c r="O34" s="9">
        <v>0</v>
      </c>
      <c r="P34" s="9">
        <v>1</v>
      </c>
      <c r="Q34" s="9">
        <v>0</v>
      </c>
      <c r="R34" s="9">
        <v>0</v>
      </c>
      <c r="S34" s="9">
        <v>1</v>
      </c>
      <c r="T34" s="9">
        <v>1</v>
      </c>
      <c r="U34" s="9">
        <v>1</v>
      </c>
      <c r="V34" s="9">
        <v>0</v>
      </c>
      <c r="W34" s="9">
        <v>1</v>
      </c>
      <c r="X34" s="9">
        <v>1</v>
      </c>
      <c r="Y34" s="9">
        <v>1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</row>
    <row r="35" spans="1:49" ht="14.5" hidden="1" outlineLevel="1" x14ac:dyDescent="0.35">
      <c r="A35" s="8" t="s">
        <v>12</v>
      </c>
      <c r="B35" s="8" t="s">
        <v>16</v>
      </c>
      <c r="C35" s="8" t="s">
        <v>15</v>
      </c>
      <c r="D35" s="8" t="s">
        <v>78</v>
      </c>
      <c r="E35" s="8" t="s">
        <v>99</v>
      </c>
      <c r="F35" s="9">
        <v>25.2</v>
      </c>
      <c r="G35" s="9">
        <v>55.6</v>
      </c>
      <c r="H35" s="9">
        <v>30.4</v>
      </c>
      <c r="I35" s="9">
        <v>25.2</v>
      </c>
      <c r="J35" s="9">
        <v>2.4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1.4</v>
      </c>
      <c r="T35" s="9">
        <v>1.2</v>
      </c>
      <c r="U35" s="9">
        <v>0</v>
      </c>
      <c r="V35" s="9">
        <v>2</v>
      </c>
      <c r="W35" s="9">
        <v>1.4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2</v>
      </c>
      <c r="AG35" s="9">
        <v>16.7</v>
      </c>
      <c r="AH35" s="9">
        <v>2.1</v>
      </c>
      <c r="AI35" s="9">
        <v>1.2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</row>
    <row r="36" spans="1:49" ht="14.5" hidden="1" outlineLevel="1" x14ac:dyDescent="0.35">
      <c r="A36" s="8" t="s">
        <v>12</v>
      </c>
      <c r="B36" s="8" t="s">
        <v>16</v>
      </c>
      <c r="C36" s="8" t="s">
        <v>15</v>
      </c>
      <c r="D36" s="8" t="s">
        <v>78</v>
      </c>
      <c r="E36" s="8" t="s">
        <v>43</v>
      </c>
      <c r="F36" s="9">
        <v>1.4</v>
      </c>
      <c r="G36" s="9">
        <v>33.200000000000003</v>
      </c>
      <c r="H36" s="9">
        <v>31.8</v>
      </c>
      <c r="I36" s="9">
        <v>1.4</v>
      </c>
      <c r="J36" s="9">
        <v>3.6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1.3</v>
      </c>
      <c r="U36" s="9">
        <v>0.9</v>
      </c>
      <c r="V36" s="9">
        <v>0</v>
      </c>
      <c r="W36" s="9">
        <v>4</v>
      </c>
      <c r="X36" s="9">
        <v>2.2000000000000002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4.3</v>
      </c>
      <c r="AH36" s="9">
        <v>5</v>
      </c>
      <c r="AI36" s="9">
        <v>9.3000000000000007</v>
      </c>
      <c r="AJ36" s="9">
        <v>1.2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</row>
    <row r="37" spans="1:49" ht="14.5" hidden="1" outlineLevel="1" x14ac:dyDescent="0.35">
      <c r="A37" s="8" t="s">
        <v>12</v>
      </c>
      <c r="B37" s="8" t="s">
        <v>16</v>
      </c>
      <c r="C37" s="8" t="s">
        <v>15</v>
      </c>
      <c r="D37" s="8" t="s">
        <v>78</v>
      </c>
      <c r="E37" s="8" t="s">
        <v>100</v>
      </c>
      <c r="F37" s="9">
        <v>3.3</v>
      </c>
      <c r="G37" s="9">
        <v>27.6</v>
      </c>
      <c r="H37" s="9">
        <v>25.3</v>
      </c>
      <c r="I37" s="9">
        <v>2.2999999999999998</v>
      </c>
      <c r="J37" s="9">
        <v>3.6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1.9</v>
      </c>
      <c r="T37" s="9">
        <v>0</v>
      </c>
      <c r="U37" s="9">
        <v>0</v>
      </c>
      <c r="V37" s="9">
        <v>0</v>
      </c>
      <c r="W37" s="9">
        <v>4.5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4.3</v>
      </c>
      <c r="AG37" s="9">
        <v>10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</row>
    <row r="38" spans="1:49" ht="14.5" hidden="1" outlineLevel="1" x14ac:dyDescent="0.35">
      <c r="A38" s="8" t="s">
        <v>12</v>
      </c>
      <c r="B38" s="8" t="s">
        <v>16</v>
      </c>
      <c r="C38" s="8" t="s">
        <v>15</v>
      </c>
      <c r="D38" s="8" t="s">
        <v>78</v>
      </c>
      <c r="E38" s="8" t="s">
        <v>87</v>
      </c>
      <c r="F38" s="9">
        <v>0</v>
      </c>
      <c r="G38" s="9">
        <v>0</v>
      </c>
      <c r="H38" s="9">
        <v>21</v>
      </c>
      <c r="I38" s="9">
        <v>-21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</row>
    <row r="39" spans="1:49" ht="14.5" collapsed="1" x14ac:dyDescent="0.35">
      <c r="A39" s="6" t="s">
        <v>12</v>
      </c>
      <c r="B39" s="6" t="s">
        <v>16</v>
      </c>
      <c r="C39" s="6" t="s">
        <v>101</v>
      </c>
      <c r="D39" s="6" t="s">
        <v>76</v>
      </c>
      <c r="E39" s="6" t="s">
        <v>77</v>
      </c>
      <c r="F39" s="7">
        <f t="shared" ref="F39:AW39" si="3">SUM(F40,F41,F42,F43)</f>
        <v>15.5</v>
      </c>
      <c r="G39" s="7">
        <f t="shared" si="3"/>
        <v>196.5</v>
      </c>
      <c r="H39" s="7">
        <f t="shared" si="3"/>
        <v>249.5</v>
      </c>
      <c r="I39" s="7">
        <f t="shared" si="3"/>
        <v>-53</v>
      </c>
      <c r="J39" s="7">
        <f t="shared" si="3"/>
        <v>3</v>
      </c>
      <c r="K39" s="7">
        <f t="shared" si="3"/>
        <v>6</v>
      </c>
      <c r="L39" s="7">
        <f t="shared" si="3"/>
        <v>8</v>
      </c>
      <c r="M39" s="7">
        <f t="shared" si="3"/>
        <v>8</v>
      </c>
      <c r="N39" s="7">
        <f t="shared" si="3"/>
        <v>5</v>
      </c>
      <c r="O39" s="7">
        <f t="shared" si="3"/>
        <v>2</v>
      </c>
      <c r="P39" s="7">
        <f t="shared" si="3"/>
        <v>2</v>
      </c>
      <c r="Q39" s="7">
        <f t="shared" si="3"/>
        <v>4</v>
      </c>
      <c r="R39" s="7">
        <f t="shared" si="3"/>
        <v>4</v>
      </c>
      <c r="S39" s="7">
        <f t="shared" si="3"/>
        <v>4</v>
      </c>
      <c r="T39" s="7">
        <f t="shared" si="3"/>
        <v>7</v>
      </c>
      <c r="U39" s="7">
        <f t="shared" si="3"/>
        <v>5</v>
      </c>
      <c r="V39" s="7">
        <f t="shared" si="3"/>
        <v>4</v>
      </c>
      <c r="W39" s="7">
        <f t="shared" si="3"/>
        <v>2</v>
      </c>
      <c r="X39" s="7">
        <f t="shared" si="3"/>
        <v>3</v>
      </c>
      <c r="Y39" s="7">
        <f t="shared" si="3"/>
        <v>5</v>
      </c>
      <c r="Z39" s="7">
        <f t="shared" si="3"/>
        <v>0</v>
      </c>
      <c r="AA39" s="7">
        <f t="shared" si="3"/>
        <v>0</v>
      </c>
      <c r="AB39" s="7">
        <f t="shared" si="3"/>
        <v>10</v>
      </c>
      <c r="AC39" s="7">
        <f t="shared" si="3"/>
        <v>10</v>
      </c>
      <c r="AD39" s="7">
        <f t="shared" si="3"/>
        <v>17</v>
      </c>
      <c r="AE39" s="7">
        <f t="shared" si="3"/>
        <v>25</v>
      </c>
      <c r="AF39" s="7">
        <f t="shared" si="3"/>
        <v>30</v>
      </c>
      <c r="AG39" s="7">
        <f t="shared" si="3"/>
        <v>30</v>
      </c>
      <c r="AH39" s="7">
        <f t="shared" si="3"/>
        <v>30</v>
      </c>
      <c r="AI39" s="7">
        <f t="shared" si="3"/>
        <v>10</v>
      </c>
      <c r="AJ39" s="7">
        <f t="shared" si="3"/>
        <v>0</v>
      </c>
      <c r="AK39" s="7">
        <f t="shared" si="3"/>
        <v>0</v>
      </c>
      <c r="AL39" s="7">
        <f t="shared" si="3"/>
        <v>0</v>
      </c>
      <c r="AM39" s="7">
        <f t="shared" si="3"/>
        <v>0</v>
      </c>
      <c r="AN39" s="7">
        <f t="shared" si="3"/>
        <v>0</v>
      </c>
      <c r="AO39" s="7">
        <f t="shared" si="3"/>
        <v>0</v>
      </c>
      <c r="AP39" s="7">
        <f t="shared" si="3"/>
        <v>0</v>
      </c>
      <c r="AQ39" s="7">
        <f t="shared" si="3"/>
        <v>0</v>
      </c>
      <c r="AR39" s="7">
        <f t="shared" si="3"/>
        <v>0</v>
      </c>
      <c r="AS39" s="7">
        <f t="shared" si="3"/>
        <v>0</v>
      </c>
      <c r="AT39" s="7">
        <f t="shared" si="3"/>
        <v>0</v>
      </c>
      <c r="AU39" s="7">
        <f t="shared" si="3"/>
        <v>0</v>
      </c>
      <c r="AV39" s="7">
        <f t="shared" si="3"/>
        <v>0</v>
      </c>
      <c r="AW39" s="7">
        <f t="shared" si="3"/>
        <v>0</v>
      </c>
    </row>
    <row r="40" spans="1:49" ht="14.5" hidden="1" outlineLevel="1" x14ac:dyDescent="0.35">
      <c r="A40" s="8" t="s">
        <v>12</v>
      </c>
      <c r="B40" s="8" t="s">
        <v>16</v>
      </c>
      <c r="C40" s="8" t="s">
        <v>101</v>
      </c>
      <c r="D40" s="8" t="s">
        <v>78</v>
      </c>
      <c r="E40" s="8" t="s">
        <v>79</v>
      </c>
      <c r="F40" s="9">
        <v>1.5</v>
      </c>
      <c r="G40" s="9">
        <v>1.5</v>
      </c>
      <c r="H40" s="9">
        <v>18.5</v>
      </c>
      <c r="I40" s="9">
        <v>-17</v>
      </c>
      <c r="J40" s="9">
        <v>3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</row>
    <row r="41" spans="1:49" ht="14.5" hidden="1" outlineLevel="1" x14ac:dyDescent="0.35">
      <c r="A41" s="8" t="s">
        <v>12</v>
      </c>
      <c r="B41" s="8" t="s">
        <v>16</v>
      </c>
      <c r="C41" s="8" t="s">
        <v>101</v>
      </c>
      <c r="D41" s="8" t="s">
        <v>78</v>
      </c>
      <c r="E41" s="8" t="s">
        <v>102</v>
      </c>
      <c r="F41" s="9">
        <v>4</v>
      </c>
      <c r="G41" s="9">
        <v>185</v>
      </c>
      <c r="H41" s="9">
        <v>181</v>
      </c>
      <c r="I41" s="9">
        <v>4</v>
      </c>
      <c r="J41" s="9">
        <v>0</v>
      </c>
      <c r="K41" s="9">
        <v>6</v>
      </c>
      <c r="L41" s="9">
        <v>8</v>
      </c>
      <c r="M41" s="9">
        <v>8</v>
      </c>
      <c r="N41" s="9">
        <v>5</v>
      </c>
      <c r="O41" s="9">
        <v>2</v>
      </c>
      <c r="P41" s="9">
        <v>2</v>
      </c>
      <c r="Q41" s="9">
        <v>4</v>
      </c>
      <c r="R41" s="9">
        <v>4</v>
      </c>
      <c r="S41" s="9">
        <v>4</v>
      </c>
      <c r="T41" s="9">
        <v>7</v>
      </c>
      <c r="U41" s="9">
        <v>5</v>
      </c>
      <c r="V41" s="9">
        <v>4</v>
      </c>
      <c r="W41" s="9">
        <v>2</v>
      </c>
      <c r="X41" s="9">
        <v>3</v>
      </c>
      <c r="Y41" s="9">
        <v>5</v>
      </c>
      <c r="Z41" s="9">
        <v>0</v>
      </c>
      <c r="AA41" s="9">
        <v>0</v>
      </c>
      <c r="AB41" s="9">
        <v>10</v>
      </c>
      <c r="AC41" s="9">
        <v>10</v>
      </c>
      <c r="AD41" s="9">
        <v>12</v>
      </c>
      <c r="AE41" s="9">
        <v>15</v>
      </c>
      <c r="AF41" s="9">
        <v>20</v>
      </c>
      <c r="AG41" s="9">
        <v>20</v>
      </c>
      <c r="AH41" s="9">
        <v>15</v>
      </c>
      <c r="AI41" s="9">
        <v>10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</row>
    <row r="42" spans="1:49" ht="14.5" hidden="1" outlineLevel="1" x14ac:dyDescent="0.35">
      <c r="A42" s="8" t="s">
        <v>12</v>
      </c>
      <c r="B42" s="8" t="s">
        <v>16</v>
      </c>
      <c r="C42" s="8" t="s">
        <v>101</v>
      </c>
      <c r="D42" s="8" t="s">
        <v>78</v>
      </c>
      <c r="E42" s="8" t="s">
        <v>83</v>
      </c>
      <c r="F42" s="9">
        <v>10</v>
      </c>
      <c r="G42" s="9">
        <v>10</v>
      </c>
      <c r="H42" s="9">
        <v>0</v>
      </c>
      <c r="I42" s="9">
        <v>10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</row>
    <row r="43" spans="1:49" ht="14.5" hidden="1" outlineLevel="1" x14ac:dyDescent="0.35">
      <c r="A43" s="8" t="s">
        <v>12</v>
      </c>
      <c r="B43" s="8" t="s">
        <v>16</v>
      </c>
      <c r="C43" s="8" t="s">
        <v>101</v>
      </c>
      <c r="D43" s="8" t="s">
        <v>78</v>
      </c>
      <c r="E43" s="8" t="s">
        <v>103</v>
      </c>
      <c r="F43" s="9">
        <v>0</v>
      </c>
      <c r="G43" s="9">
        <v>0</v>
      </c>
      <c r="H43" s="9">
        <v>50</v>
      </c>
      <c r="I43" s="9">
        <v>-50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5</v>
      </c>
      <c r="AE43" s="9">
        <v>10</v>
      </c>
      <c r="AF43" s="9">
        <v>10</v>
      </c>
      <c r="AG43" s="9">
        <v>10</v>
      </c>
      <c r="AH43" s="9">
        <v>15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</row>
    <row r="44" spans="1:49" ht="14.5" collapsed="1" x14ac:dyDescent="0.35">
      <c r="A44" s="6" t="s">
        <v>89</v>
      </c>
      <c r="B44" s="6" t="s">
        <v>16</v>
      </c>
      <c r="C44" s="6" t="s">
        <v>18</v>
      </c>
      <c r="D44" s="6" t="s">
        <v>76</v>
      </c>
      <c r="E44" s="6" t="s">
        <v>77</v>
      </c>
      <c r="F44" s="7">
        <f t="shared" ref="F44:AW44" si="4">SUM(F45,F46,F47,F48,F49,F50,F51,F52,F53,F54,F55,F56,F57,F58)</f>
        <v>348.70000000000005</v>
      </c>
      <c r="G44" s="7">
        <f t="shared" si="4"/>
        <v>1470.5</v>
      </c>
      <c r="H44" s="7">
        <f t="shared" si="4"/>
        <v>1393.1999999999998</v>
      </c>
      <c r="I44" s="7">
        <f t="shared" si="4"/>
        <v>77.300000000000011</v>
      </c>
      <c r="J44" s="7">
        <f t="shared" si="4"/>
        <v>28.653509</v>
      </c>
      <c r="K44" s="7">
        <f t="shared" si="4"/>
        <v>29.653509</v>
      </c>
      <c r="L44" s="7">
        <f t="shared" si="4"/>
        <v>23.653509</v>
      </c>
      <c r="M44" s="7">
        <f t="shared" si="4"/>
        <v>12.653509</v>
      </c>
      <c r="N44" s="7">
        <f t="shared" si="4"/>
        <v>12.653509</v>
      </c>
      <c r="O44" s="7">
        <f t="shared" si="4"/>
        <v>17.653509</v>
      </c>
      <c r="P44" s="7">
        <f t="shared" si="4"/>
        <v>39.653509</v>
      </c>
      <c r="Q44" s="11">
        <f t="shared" si="4"/>
        <v>67.653509</v>
      </c>
      <c r="R44" s="11">
        <f t="shared" si="4"/>
        <v>69.653509</v>
      </c>
      <c r="S44" s="10">
        <f t="shared" si="4"/>
        <v>42.653509</v>
      </c>
      <c r="T44" s="7">
        <f t="shared" si="4"/>
        <v>32.653509</v>
      </c>
      <c r="U44" s="11">
        <f t="shared" si="4"/>
        <v>49.153509</v>
      </c>
      <c r="V44" s="7">
        <f t="shared" si="4"/>
        <v>39.653509</v>
      </c>
      <c r="W44" s="7">
        <f t="shared" si="4"/>
        <v>17.153509</v>
      </c>
      <c r="X44" s="7">
        <f t="shared" si="4"/>
        <v>2.6535089999999997</v>
      </c>
      <c r="Y44" s="7">
        <f t="shared" si="4"/>
        <v>11.653509</v>
      </c>
      <c r="Z44" s="7">
        <f t="shared" si="4"/>
        <v>2.6535089999999997</v>
      </c>
      <c r="AA44" s="7">
        <f t="shared" si="4"/>
        <v>1.6535089999999999</v>
      </c>
      <c r="AB44" s="10">
        <f t="shared" si="4"/>
        <v>56.903509</v>
      </c>
      <c r="AC44" s="11">
        <f t="shared" si="4"/>
        <v>65.903509</v>
      </c>
      <c r="AD44" s="7">
        <f t="shared" si="4"/>
        <v>50.903509</v>
      </c>
      <c r="AE44" s="10">
        <f t="shared" si="4"/>
        <v>55.903509</v>
      </c>
      <c r="AF44" s="10">
        <f t="shared" si="4"/>
        <v>57.003509000000001</v>
      </c>
      <c r="AG44" s="11">
        <f t="shared" si="4"/>
        <v>69.903509</v>
      </c>
      <c r="AH44" s="11">
        <f t="shared" si="4"/>
        <v>73.403509</v>
      </c>
      <c r="AI44" s="7">
        <f t="shared" si="4"/>
        <v>39.103509000000003</v>
      </c>
      <c r="AJ44" s="7">
        <f t="shared" si="4"/>
        <v>11.403509</v>
      </c>
      <c r="AK44" s="7">
        <f t="shared" si="4"/>
        <v>21.403509</v>
      </c>
      <c r="AL44" s="7">
        <f t="shared" si="4"/>
        <v>16.403509</v>
      </c>
      <c r="AM44" s="7">
        <f t="shared" si="4"/>
        <v>21.403509</v>
      </c>
      <c r="AN44" s="7">
        <f t="shared" si="4"/>
        <v>21.403509</v>
      </c>
      <c r="AO44" s="7">
        <f t="shared" si="4"/>
        <v>16.403509</v>
      </c>
      <c r="AP44" s="7">
        <f t="shared" si="4"/>
        <v>16.403509</v>
      </c>
      <c r="AQ44" s="7">
        <f t="shared" si="4"/>
        <v>16.403509</v>
      </c>
      <c r="AR44" s="7">
        <f t="shared" si="4"/>
        <v>16.403509</v>
      </c>
      <c r="AS44" s="7">
        <f t="shared" si="4"/>
        <v>16.403509</v>
      </c>
      <c r="AT44" s="7">
        <f t="shared" si="4"/>
        <v>6.4035089999999997</v>
      </c>
      <c r="AU44" s="7">
        <f t="shared" si="4"/>
        <v>0</v>
      </c>
      <c r="AV44" s="7">
        <f t="shared" si="4"/>
        <v>0</v>
      </c>
      <c r="AW44" s="7">
        <f t="shared" si="4"/>
        <v>0</v>
      </c>
    </row>
    <row r="45" spans="1:49" ht="14.5" hidden="1" outlineLevel="1" x14ac:dyDescent="0.35">
      <c r="A45" s="8" t="s">
        <v>29</v>
      </c>
      <c r="B45" s="8" t="s">
        <v>16</v>
      </c>
      <c r="C45" s="8" t="s">
        <v>18</v>
      </c>
      <c r="D45" s="8" t="s">
        <v>78</v>
      </c>
      <c r="E45" s="8" t="s">
        <v>91</v>
      </c>
      <c r="F45" s="9">
        <v>20</v>
      </c>
      <c r="G45" s="9">
        <v>250</v>
      </c>
      <c r="H45" s="9">
        <v>230</v>
      </c>
      <c r="I45" s="9">
        <v>20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5</v>
      </c>
      <c r="P45" s="9">
        <v>5</v>
      </c>
      <c r="Q45" s="9">
        <v>15</v>
      </c>
      <c r="R45" s="9">
        <v>15</v>
      </c>
      <c r="S45" s="9">
        <v>5</v>
      </c>
      <c r="T45" s="9">
        <v>5</v>
      </c>
      <c r="U45" s="9">
        <v>5</v>
      </c>
      <c r="V45" s="9">
        <v>5</v>
      </c>
      <c r="W45" s="9">
        <v>5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10</v>
      </c>
      <c r="AK45" s="9">
        <v>20</v>
      </c>
      <c r="AL45" s="9">
        <v>15</v>
      </c>
      <c r="AM45" s="9">
        <v>20</v>
      </c>
      <c r="AN45" s="9">
        <v>20</v>
      </c>
      <c r="AO45" s="9">
        <v>15</v>
      </c>
      <c r="AP45" s="9">
        <v>15</v>
      </c>
      <c r="AQ45" s="9">
        <v>15</v>
      </c>
      <c r="AR45" s="9">
        <v>15</v>
      </c>
      <c r="AS45" s="9">
        <v>15</v>
      </c>
      <c r="AT45" s="9">
        <v>5</v>
      </c>
      <c r="AU45" s="9">
        <v>0</v>
      </c>
      <c r="AV45" s="9">
        <v>0</v>
      </c>
      <c r="AW45" s="9">
        <v>0</v>
      </c>
    </row>
    <row r="46" spans="1:49" ht="14.5" hidden="1" outlineLevel="1" x14ac:dyDescent="0.35">
      <c r="A46" s="8" t="s">
        <v>29</v>
      </c>
      <c r="B46" s="8" t="s">
        <v>16</v>
      </c>
      <c r="C46" s="8" t="s">
        <v>18</v>
      </c>
      <c r="D46" s="8" t="s">
        <v>78</v>
      </c>
      <c r="E46" s="8" t="s">
        <v>92</v>
      </c>
      <c r="F46" s="9">
        <v>175</v>
      </c>
      <c r="G46" s="9">
        <v>693</v>
      </c>
      <c r="H46" s="9">
        <v>565</v>
      </c>
      <c r="I46" s="9">
        <v>128</v>
      </c>
      <c r="J46" s="9">
        <v>10</v>
      </c>
      <c r="K46" s="9">
        <v>10</v>
      </c>
      <c r="L46" s="9">
        <v>10</v>
      </c>
      <c r="M46" s="9">
        <v>10</v>
      </c>
      <c r="N46" s="9">
        <v>10</v>
      </c>
      <c r="O46" s="9">
        <v>10</v>
      </c>
      <c r="P46" s="9">
        <v>30</v>
      </c>
      <c r="Q46" s="9">
        <v>30</v>
      </c>
      <c r="R46" s="9">
        <v>30</v>
      </c>
      <c r="S46" s="9">
        <v>25</v>
      </c>
      <c r="T46" s="9">
        <v>25</v>
      </c>
      <c r="U46" s="9">
        <v>25</v>
      </c>
      <c r="V46" s="9">
        <v>25</v>
      </c>
      <c r="W46" s="9">
        <v>0</v>
      </c>
      <c r="X46" s="9">
        <v>0</v>
      </c>
      <c r="Y46" s="9">
        <v>3</v>
      </c>
      <c r="Z46" s="9">
        <v>0</v>
      </c>
      <c r="AA46" s="9">
        <v>0</v>
      </c>
      <c r="AB46" s="9">
        <v>40</v>
      </c>
      <c r="AC46" s="9">
        <v>40</v>
      </c>
      <c r="AD46" s="9">
        <v>30</v>
      </c>
      <c r="AE46" s="9">
        <v>30</v>
      </c>
      <c r="AF46" s="9">
        <v>30</v>
      </c>
      <c r="AG46" s="9">
        <v>25</v>
      </c>
      <c r="AH46" s="9">
        <v>15</v>
      </c>
      <c r="AI46" s="9">
        <v>20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</row>
    <row r="47" spans="1:49" ht="14.5" hidden="1" outlineLevel="1" x14ac:dyDescent="0.35">
      <c r="A47" s="8" t="s">
        <v>12</v>
      </c>
      <c r="B47" s="8" t="s">
        <v>16</v>
      </c>
      <c r="C47" s="8" t="s">
        <v>18</v>
      </c>
      <c r="D47" s="8" t="s">
        <v>78</v>
      </c>
      <c r="E47" s="8" t="s">
        <v>79</v>
      </c>
      <c r="F47" s="9">
        <v>22.9</v>
      </c>
      <c r="G47" s="9">
        <v>74.900000000000006</v>
      </c>
      <c r="H47" s="9">
        <v>80.900000000000006</v>
      </c>
      <c r="I47" s="9">
        <v>-5.9999999999999902</v>
      </c>
      <c r="J47" s="9">
        <v>1.4035089999999999</v>
      </c>
      <c r="K47" s="9">
        <v>1.4035089999999999</v>
      </c>
      <c r="L47" s="9">
        <v>1.4035089999999999</v>
      </c>
      <c r="M47" s="9">
        <v>1.4035089999999999</v>
      </c>
      <c r="N47" s="9">
        <v>1.4035089999999999</v>
      </c>
      <c r="O47" s="9">
        <v>1.4035089999999999</v>
      </c>
      <c r="P47" s="9">
        <v>1.4035089999999999</v>
      </c>
      <c r="Q47" s="9">
        <v>1.4035089999999999</v>
      </c>
      <c r="R47" s="9">
        <v>1.4035089999999999</v>
      </c>
      <c r="S47" s="9">
        <v>1.4035089999999999</v>
      </c>
      <c r="T47" s="9">
        <v>1.4035089999999999</v>
      </c>
      <c r="U47" s="9">
        <v>1.4035089999999999</v>
      </c>
      <c r="V47" s="9">
        <v>1.4035089999999999</v>
      </c>
      <c r="W47" s="9">
        <v>1.4035089999999999</v>
      </c>
      <c r="X47" s="9">
        <v>1.4035089999999999</v>
      </c>
      <c r="Y47" s="9">
        <v>1.4035089999999999</v>
      </c>
      <c r="Z47" s="9">
        <v>1.4035089999999999</v>
      </c>
      <c r="AA47" s="9">
        <v>1.4035089999999999</v>
      </c>
      <c r="AB47" s="9">
        <v>1.4035089999999999</v>
      </c>
      <c r="AC47" s="9">
        <v>1.4035089999999999</v>
      </c>
      <c r="AD47" s="9">
        <v>1.4035089999999999</v>
      </c>
      <c r="AE47" s="9">
        <v>1.4035089999999999</v>
      </c>
      <c r="AF47" s="9">
        <v>1.4035089999999999</v>
      </c>
      <c r="AG47" s="9">
        <v>1.4035089999999999</v>
      </c>
      <c r="AH47" s="9">
        <v>1.4035089999999999</v>
      </c>
      <c r="AI47" s="9">
        <v>1.4035089999999999</v>
      </c>
      <c r="AJ47" s="9">
        <v>1.4035089999999999</v>
      </c>
      <c r="AK47" s="9">
        <v>1.4035089999999999</v>
      </c>
      <c r="AL47" s="9">
        <v>1.4035089999999999</v>
      </c>
      <c r="AM47" s="9">
        <v>1.4035089999999999</v>
      </c>
      <c r="AN47" s="9">
        <v>1.4035089999999999</v>
      </c>
      <c r="AO47" s="9">
        <v>1.4035089999999999</v>
      </c>
      <c r="AP47" s="9">
        <v>1.4035089999999999</v>
      </c>
      <c r="AQ47" s="9">
        <v>1.4035089999999999</v>
      </c>
      <c r="AR47" s="9">
        <v>1.4035089999999999</v>
      </c>
      <c r="AS47" s="9">
        <v>1.4035089999999999</v>
      </c>
      <c r="AT47" s="9">
        <v>1.4035089999999999</v>
      </c>
      <c r="AU47" s="9">
        <v>0</v>
      </c>
      <c r="AV47" s="9">
        <v>0</v>
      </c>
      <c r="AW47" s="9">
        <v>0</v>
      </c>
    </row>
    <row r="48" spans="1:49" ht="14.5" hidden="1" outlineLevel="1" x14ac:dyDescent="0.35">
      <c r="A48" s="8" t="s">
        <v>12</v>
      </c>
      <c r="B48" s="8" t="s">
        <v>16</v>
      </c>
      <c r="C48" s="8" t="s">
        <v>18</v>
      </c>
      <c r="D48" s="8" t="s">
        <v>78</v>
      </c>
      <c r="E48" s="8" t="s">
        <v>81</v>
      </c>
      <c r="F48" s="9">
        <v>3.3</v>
      </c>
      <c r="G48" s="9">
        <v>12.1</v>
      </c>
      <c r="H48" s="9">
        <v>9.3000000000000007</v>
      </c>
      <c r="I48" s="9">
        <v>2.8</v>
      </c>
      <c r="J48" s="9">
        <v>0.25</v>
      </c>
      <c r="K48" s="9">
        <v>0.25</v>
      </c>
      <c r="L48" s="9">
        <v>0.25</v>
      </c>
      <c r="M48" s="9">
        <v>0.25</v>
      </c>
      <c r="N48" s="9">
        <v>0.25</v>
      </c>
      <c r="O48" s="9">
        <v>0.25</v>
      </c>
      <c r="P48" s="9">
        <v>0.25</v>
      </c>
      <c r="Q48" s="9">
        <v>0.25</v>
      </c>
      <c r="R48" s="9">
        <v>0.25</v>
      </c>
      <c r="S48" s="9">
        <v>0.25</v>
      </c>
      <c r="T48" s="9">
        <v>0.25</v>
      </c>
      <c r="U48" s="9">
        <v>0.25</v>
      </c>
      <c r="V48" s="9">
        <v>0.25</v>
      </c>
      <c r="W48" s="9">
        <v>0.25</v>
      </c>
      <c r="X48" s="9">
        <v>0.25</v>
      </c>
      <c r="Y48" s="9">
        <v>0.25</v>
      </c>
      <c r="Z48" s="9">
        <v>0.25</v>
      </c>
      <c r="AA48" s="9">
        <v>0.25</v>
      </c>
      <c r="AB48" s="9">
        <v>0.5</v>
      </c>
      <c r="AC48" s="9">
        <v>0.5</v>
      </c>
      <c r="AD48" s="9">
        <v>0.5</v>
      </c>
      <c r="AE48" s="9">
        <v>0.5</v>
      </c>
      <c r="AF48" s="9">
        <v>0.6</v>
      </c>
      <c r="AG48" s="9">
        <v>0.5</v>
      </c>
      <c r="AH48" s="9">
        <v>1</v>
      </c>
      <c r="AI48" s="9">
        <v>0.7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</row>
    <row r="49" spans="1:49" ht="14.5" hidden="1" outlineLevel="1" x14ac:dyDescent="0.35">
      <c r="A49" s="8" t="s">
        <v>12</v>
      </c>
      <c r="B49" s="8" t="s">
        <v>16</v>
      </c>
      <c r="C49" s="8" t="s">
        <v>18</v>
      </c>
      <c r="D49" s="8" t="s">
        <v>78</v>
      </c>
      <c r="E49" s="8" t="s">
        <v>82</v>
      </c>
      <c r="F49" s="9">
        <v>4</v>
      </c>
      <c r="G49" s="9">
        <v>4</v>
      </c>
      <c r="H49" s="9">
        <v>4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</row>
    <row r="50" spans="1:49" ht="14.5" hidden="1" outlineLevel="1" x14ac:dyDescent="0.35">
      <c r="A50" s="8" t="s">
        <v>12</v>
      </c>
      <c r="B50" s="8" t="s">
        <v>16</v>
      </c>
      <c r="C50" s="8" t="s">
        <v>18</v>
      </c>
      <c r="D50" s="8" t="s">
        <v>78</v>
      </c>
      <c r="E50" s="8" t="s">
        <v>83</v>
      </c>
      <c r="F50" s="9">
        <v>3</v>
      </c>
      <c r="G50" s="9">
        <v>3</v>
      </c>
      <c r="H50" s="9">
        <v>9</v>
      </c>
      <c r="I50" s="9">
        <v>-6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</row>
    <row r="51" spans="1:49" ht="14.5" hidden="1" outlineLevel="1" x14ac:dyDescent="0.35">
      <c r="A51" s="8" t="s">
        <v>12</v>
      </c>
      <c r="B51" s="8" t="s">
        <v>16</v>
      </c>
      <c r="C51" s="8" t="s">
        <v>18</v>
      </c>
      <c r="D51" s="8" t="s">
        <v>78</v>
      </c>
      <c r="E51" s="8" t="s">
        <v>84</v>
      </c>
      <c r="F51" s="9">
        <v>0</v>
      </c>
      <c r="G51" s="9">
        <v>3</v>
      </c>
      <c r="H51" s="9">
        <v>3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1</v>
      </c>
      <c r="R51" s="9">
        <v>2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</row>
    <row r="52" spans="1:49" ht="14.5" hidden="1" outlineLevel="1" x14ac:dyDescent="0.35">
      <c r="A52" s="8" t="s">
        <v>12</v>
      </c>
      <c r="B52" s="8" t="s">
        <v>16</v>
      </c>
      <c r="C52" s="8" t="s">
        <v>18</v>
      </c>
      <c r="D52" s="8" t="s">
        <v>78</v>
      </c>
      <c r="E52" s="8" t="s">
        <v>40</v>
      </c>
      <c r="F52" s="9">
        <v>0</v>
      </c>
      <c r="G52" s="9">
        <v>15</v>
      </c>
      <c r="H52" s="9">
        <v>15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5</v>
      </c>
      <c r="AH52" s="9">
        <v>5</v>
      </c>
      <c r="AI52" s="9">
        <v>5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</row>
    <row r="53" spans="1:49" ht="14.5" hidden="1" outlineLevel="1" x14ac:dyDescent="0.35">
      <c r="A53" s="8" t="s">
        <v>12</v>
      </c>
      <c r="B53" s="8" t="s">
        <v>16</v>
      </c>
      <c r="C53" s="8" t="s">
        <v>18</v>
      </c>
      <c r="D53" s="8" t="s">
        <v>78</v>
      </c>
      <c r="E53" s="8" t="s">
        <v>85</v>
      </c>
      <c r="F53" s="9">
        <v>8</v>
      </c>
      <c r="G53" s="9">
        <v>8</v>
      </c>
      <c r="H53" s="9">
        <v>124.5</v>
      </c>
      <c r="I53" s="9">
        <v>-116.5</v>
      </c>
      <c r="J53" s="9">
        <v>1</v>
      </c>
      <c r="K53" s="9">
        <v>8</v>
      </c>
      <c r="L53" s="9">
        <v>12</v>
      </c>
      <c r="M53" s="9">
        <v>1</v>
      </c>
      <c r="N53" s="9">
        <v>1</v>
      </c>
      <c r="O53" s="9">
        <v>1</v>
      </c>
      <c r="P53" s="9">
        <v>1</v>
      </c>
      <c r="Q53" s="9">
        <v>1</v>
      </c>
      <c r="R53" s="9">
        <v>1</v>
      </c>
      <c r="S53" s="9">
        <v>1</v>
      </c>
      <c r="T53" s="9">
        <v>1</v>
      </c>
      <c r="U53" s="9">
        <v>2.5</v>
      </c>
      <c r="V53" s="9">
        <v>8</v>
      </c>
      <c r="W53" s="9">
        <v>10.5</v>
      </c>
      <c r="X53" s="9">
        <v>1</v>
      </c>
      <c r="Y53" s="9">
        <v>1</v>
      </c>
      <c r="Z53" s="9">
        <v>1</v>
      </c>
      <c r="AA53" s="9">
        <v>0</v>
      </c>
      <c r="AB53" s="9">
        <v>3</v>
      </c>
      <c r="AC53" s="9">
        <v>1</v>
      </c>
      <c r="AD53" s="9">
        <v>1</v>
      </c>
      <c r="AE53" s="9">
        <v>1</v>
      </c>
      <c r="AF53" s="9">
        <v>2</v>
      </c>
      <c r="AG53" s="9">
        <v>10</v>
      </c>
      <c r="AH53" s="9">
        <v>12</v>
      </c>
      <c r="AI53" s="9">
        <v>2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</row>
    <row r="54" spans="1:49" ht="14.5" hidden="1" outlineLevel="1" x14ac:dyDescent="0.35">
      <c r="A54" s="8" t="s">
        <v>12</v>
      </c>
      <c r="B54" s="8" t="s">
        <v>16</v>
      </c>
      <c r="C54" s="8" t="s">
        <v>18</v>
      </c>
      <c r="D54" s="8" t="s">
        <v>78</v>
      </c>
      <c r="E54" s="8" t="s">
        <v>103</v>
      </c>
      <c r="F54" s="9">
        <v>65.5</v>
      </c>
      <c r="G54" s="9">
        <v>284.5</v>
      </c>
      <c r="H54" s="9">
        <v>248.5</v>
      </c>
      <c r="I54" s="9">
        <v>36</v>
      </c>
      <c r="J54" s="9">
        <v>16</v>
      </c>
      <c r="K54" s="9">
        <v>10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10</v>
      </c>
      <c r="R54" s="9">
        <v>10</v>
      </c>
      <c r="S54" s="9">
        <v>10</v>
      </c>
      <c r="T54" s="9">
        <v>0</v>
      </c>
      <c r="U54" s="9">
        <v>15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11</v>
      </c>
      <c r="AC54" s="9">
        <v>20</v>
      </c>
      <c r="AD54" s="9">
        <v>13</v>
      </c>
      <c r="AE54" s="9">
        <v>18</v>
      </c>
      <c r="AF54" s="9">
        <v>18</v>
      </c>
      <c r="AG54" s="9">
        <v>18</v>
      </c>
      <c r="AH54" s="9">
        <v>29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</row>
    <row r="55" spans="1:49" ht="14.5" hidden="1" outlineLevel="1" x14ac:dyDescent="0.35">
      <c r="A55" s="8" t="s">
        <v>12</v>
      </c>
      <c r="B55" s="8" t="s">
        <v>16</v>
      </c>
      <c r="C55" s="8" t="s">
        <v>18</v>
      </c>
      <c r="D55" s="8" t="s">
        <v>78</v>
      </c>
      <c r="E55" s="8" t="s">
        <v>86</v>
      </c>
      <c r="F55" s="9">
        <v>0</v>
      </c>
      <c r="G55" s="9">
        <v>0</v>
      </c>
      <c r="H55" s="9">
        <v>10</v>
      </c>
      <c r="I55" s="9">
        <v>-10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</row>
    <row r="56" spans="1:49" ht="14.5" hidden="1" outlineLevel="1" x14ac:dyDescent="0.35">
      <c r="A56" s="8" t="s">
        <v>12</v>
      </c>
      <c r="B56" s="8" t="s">
        <v>16</v>
      </c>
      <c r="C56" s="8" t="s">
        <v>18</v>
      </c>
      <c r="D56" s="8" t="s">
        <v>78</v>
      </c>
      <c r="E56" s="8" t="s">
        <v>99</v>
      </c>
      <c r="F56" s="9">
        <v>39</v>
      </c>
      <c r="G56" s="9">
        <v>98</v>
      </c>
      <c r="H56" s="9">
        <v>64</v>
      </c>
      <c r="I56" s="9">
        <v>34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2</v>
      </c>
      <c r="Q56" s="9">
        <v>2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6</v>
      </c>
      <c r="Z56" s="9">
        <v>0</v>
      </c>
      <c r="AA56" s="9">
        <v>0</v>
      </c>
      <c r="AB56" s="9">
        <v>1</v>
      </c>
      <c r="AC56" s="9">
        <v>3</v>
      </c>
      <c r="AD56" s="9">
        <v>5</v>
      </c>
      <c r="AE56" s="9">
        <v>5</v>
      </c>
      <c r="AF56" s="9">
        <v>5</v>
      </c>
      <c r="AG56" s="9">
        <v>10</v>
      </c>
      <c r="AH56" s="9">
        <v>10</v>
      </c>
      <c r="AI56" s="9">
        <v>10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</row>
    <row r="57" spans="1:49" ht="14.5" hidden="1" outlineLevel="1" x14ac:dyDescent="0.35">
      <c r="A57" s="8" t="s">
        <v>12</v>
      </c>
      <c r="B57" s="8" t="s">
        <v>16</v>
      </c>
      <c r="C57" s="8" t="s">
        <v>18</v>
      </c>
      <c r="D57" s="8" t="s">
        <v>78</v>
      </c>
      <c r="E57" s="8" t="s">
        <v>87</v>
      </c>
      <c r="F57" s="9">
        <v>8</v>
      </c>
      <c r="G57" s="9">
        <v>8</v>
      </c>
      <c r="H57" s="9">
        <v>13</v>
      </c>
      <c r="I57" s="9">
        <v>-5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</row>
    <row r="58" spans="1:49" ht="14.5" hidden="1" outlineLevel="1" x14ac:dyDescent="0.35">
      <c r="A58" s="8" t="s">
        <v>12</v>
      </c>
      <c r="B58" s="8" t="s">
        <v>16</v>
      </c>
      <c r="C58" s="8" t="s">
        <v>18</v>
      </c>
      <c r="D58" s="8" t="s">
        <v>78</v>
      </c>
      <c r="E58" s="8" t="s">
        <v>88</v>
      </c>
      <c r="F58" s="9">
        <v>0</v>
      </c>
      <c r="G58" s="9">
        <v>17</v>
      </c>
      <c r="H58" s="9">
        <v>17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7</v>
      </c>
      <c r="R58" s="9">
        <v>10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</row>
    <row r="59" spans="1:49" ht="14.5" collapsed="1" x14ac:dyDescent="0.35">
      <c r="A59" s="6" t="s">
        <v>12</v>
      </c>
      <c r="B59" s="6" t="s">
        <v>16</v>
      </c>
      <c r="C59" s="6" t="s">
        <v>104</v>
      </c>
      <c r="D59" s="6" t="s">
        <v>76</v>
      </c>
      <c r="E59" s="6" t="s">
        <v>77</v>
      </c>
      <c r="F59" s="7">
        <f t="shared" ref="F59:AW59" si="5">SUM(F60)</f>
        <v>4</v>
      </c>
      <c r="G59" s="7">
        <f t="shared" si="5"/>
        <v>20</v>
      </c>
      <c r="H59" s="7">
        <f t="shared" si="5"/>
        <v>16</v>
      </c>
      <c r="I59" s="7">
        <f t="shared" si="5"/>
        <v>4</v>
      </c>
      <c r="J59" s="7">
        <f t="shared" si="5"/>
        <v>0</v>
      </c>
      <c r="K59" s="7">
        <f t="shared" si="5"/>
        <v>0</v>
      </c>
      <c r="L59" s="7">
        <f t="shared" si="5"/>
        <v>0</v>
      </c>
      <c r="M59" s="7">
        <f t="shared" si="5"/>
        <v>0</v>
      </c>
      <c r="N59" s="7">
        <f t="shared" si="5"/>
        <v>0</v>
      </c>
      <c r="O59" s="7">
        <f t="shared" si="5"/>
        <v>0</v>
      </c>
      <c r="P59" s="7">
        <f t="shared" si="5"/>
        <v>0</v>
      </c>
      <c r="Q59" s="7">
        <f t="shared" si="5"/>
        <v>0</v>
      </c>
      <c r="R59" s="7">
        <f t="shared" si="5"/>
        <v>0</v>
      </c>
      <c r="S59" s="7">
        <f t="shared" si="5"/>
        <v>0</v>
      </c>
      <c r="T59" s="7">
        <f t="shared" si="5"/>
        <v>0</v>
      </c>
      <c r="U59" s="7">
        <f t="shared" si="5"/>
        <v>0</v>
      </c>
      <c r="V59" s="7">
        <f t="shared" si="5"/>
        <v>0</v>
      </c>
      <c r="W59" s="7">
        <f t="shared" si="5"/>
        <v>0</v>
      </c>
      <c r="X59" s="7">
        <f t="shared" si="5"/>
        <v>0</v>
      </c>
      <c r="Y59" s="7">
        <f t="shared" si="5"/>
        <v>0</v>
      </c>
      <c r="Z59" s="7">
        <f t="shared" si="5"/>
        <v>0</v>
      </c>
      <c r="AA59" s="7">
        <f t="shared" si="5"/>
        <v>0</v>
      </c>
      <c r="AB59" s="7">
        <f t="shared" si="5"/>
        <v>0</v>
      </c>
      <c r="AC59" s="7">
        <f t="shared" si="5"/>
        <v>0</v>
      </c>
      <c r="AD59" s="7">
        <f t="shared" si="5"/>
        <v>0</v>
      </c>
      <c r="AE59" s="7">
        <f t="shared" si="5"/>
        <v>4</v>
      </c>
      <c r="AF59" s="7">
        <f t="shared" si="5"/>
        <v>4</v>
      </c>
      <c r="AG59" s="7">
        <f t="shared" si="5"/>
        <v>4</v>
      </c>
      <c r="AH59" s="7">
        <f t="shared" si="5"/>
        <v>4</v>
      </c>
      <c r="AI59" s="7">
        <f t="shared" si="5"/>
        <v>0</v>
      </c>
      <c r="AJ59" s="7">
        <f t="shared" si="5"/>
        <v>0</v>
      </c>
      <c r="AK59" s="7">
        <f t="shared" si="5"/>
        <v>0</v>
      </c>
      <c r="AL59" s="7">
        <f t="shared" si="5"/>
        <v>0</v>
      </c>
      <c r="AM59" s="7">
        <f t="shared" si="5"/>
        <v>0</v>
      </c>
      <c r="AN59" s="7">
        <f t="shared" si="5"/>
        <v>0</v>
      </c>
      <c r="AO59" s="7">
        <f t="shared" si="5"/>
        <v>0</v>
      </c>
      <c r="AP59" s="7">
        <f t="shared" si="5"/>
        <v>0</v>
      </c>
      <c r="AQ59" s="7">
        <f t="shared" si="5"/>
        <v>0</v>
      </c>
      <c r="AR59" s="7">
        <f t="shared" si="5"/>
        <v>0</v>
      </c>
      <c r="AS59" s="7">
        <f t="shared" si="5"/>
        <v>0</v>
      </c>
      <c r="AT59" s="7">
        <f t="shared" si="5"/>
        <v>0</v>
      </c>
      <c r="AU59" s="7">
        <f t="shared" si="5"/>
        <v>0</v>
      </c>
      <c r="AV59" s="7">
        <f t="shared" si="5"/>
        <v>0</v>
      </c>
      <c r="AW59" s="7">
        <f t="shared" si="5"/>
        <v>0</v>
      </c>
    </row>
    <row r="60" spans="1:49" ht="14.5" hidden="1" outlineLevel="1" x14ac:dyDescent="0.35">
      <c r="A60" s="8" t="s">
        <v>12</v>
      </c>
      <c r="B60" s="8" t="s">
        <v>16</v>
      </c>
      <c r="C60" s="8" t="s">
        <v>104</v>
      </c>
      <c r="D60" s="8" t="s">
        <v>78</v>
      </c>
      <c r="E60" s="8" t="s">
        <v>105</v>
      </c>
      <c r="F60" s="9">
        <v>4</v>
      </c>
      <c r="G60" s="9">
        <v>20</v>
      </c>
      <c r="H60" s="9">
        <v>16</v>
      </c>
      <c r="I60" s="9">
        <v>4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4</v>
      </c>
      <c r="AF60" s="9">
        <v>4</v>
      </c>
      <c r="AG60" s="9">
        <v>4</v>
      </c>
      <c r="AH60" s="9">
        <v>4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</row>
    <row r="61" spans="1:49" ht="14.5" collapsed="1" x14ac:dyDescent="0.35">
      <c r="A61" s="6" t="s">
        <v>12</v>
      </c>
      <c r="B61" s="6" t="s">
        <v>16</v>
      </c>
      <c r="C61" s="6" t="s">
        <v>25</v>
      </c>
      <c r="D61" s="6" t="s">
        <v>76</v>
      </c>
      <c r="E61" s="6" t="s">
        <v>77</v>
      </c>
      <c r="F61" s="7">
        <f t="shared" ref="F61:AW61" si="6">SUM(F62,F63,F64,F65,F66,F67,F68,F69,F70,F71,F72,F73,F74,F75)</f>
        <v>257.2</v>
      </c>
      <c r="G61" s="7">
        <f t="shared" si="6"/>
        <v>993.3</v>
      </c>
      <c r="H61" s="7">
        <f t="shared" si="6"/>
        <v>1009.6</v>
      </c>
      <c r="I61" s="7">
        <f t="shared" si="6"/>
        <v>-16.299999999999994</v>
      </c>
      <c r="J61" s="7">
        <f t="shared" si="6"/>
        <v>32.850876999999997</v>
      </c>
      <c r="K61" s="7">
        <f t="shared" si="6"/>
        <v>25.754386</v>
      </c>
      <c r="L61" s="7">
        <f t="shared" si="6"/>
        <v>13.754386</v>
      </c>
      <c r="M61" s="7">
        <f t="shared" si="6"/>
        <v>9.7543860000000002</v>
      </c>
      <c r="N61" s="7">
        <f t="shared" si="6"/>
        <v>4.7543860000000002</v>
      </c>
      <c r="O61" s="7">
        <f t="shared" si="6"/>
        <v>11.454386</v>
      </c>
      <c r="P61" s="7">
        <f t="shared" si="6"/>
        <v>10.854386</v>
      </c>
      <c r="Q61" s="7">
        <f t="shared" si="6"/>
        <v>34.754385999999997</v>
      </c>
      <c r="R61" s="7">
        <f t="shared" si="6"/>
        <v>36.854385999999998</v>
      </c>
      <c r="S61" s="7">
        <f t="shared" si="6"/>
        <v>15.854386</v>
      </c>
      <c r="T61" s="7">
        <f t="shared" si="6"/>
        <v>7.7543860000000002</v>
      </c>
      <c r="U61" s="7">
        <f t="shared" si="6"/>
        <v>7.7543860000000002</v>
      </c>
      <c r="V61" s="7">
        <f t="shared" si="6"/>
        <v>1.7543859999999998</v>
      </c>
      <c r="W61" s="7">
        <f t="shared" si="6"/>
        <v>14.754386</v>
      </c>
      <c r="X61" s="7">
        <f t="shared" si="6"/>
        <v>19.754386</v>
      </c>
      <c r="Y61" s="7">
        <f t="shared" si="6"/>
        <v>24.754386</v>
      </c>
      <c r="Z61" s="7">
        <f t="shared" si="6"/>
        <v>1.7543859999999998</v>
      </c>
      <c r="AA61" s="7">
        <f t="shared" si="6"/>
        <v>1.7543859999999998</v>
      </c>
      <c r="AB61" s="7">
        <f t="shared" si="6"/>
        <v>39.103509000000003</v>
      </c>
      <c r="AC61" s="10">
        <f t="shared" si="6"/>
        <v>57.103509000000003</v>
      </c>
      <c r="AD61" s="7">
        <f t="shared" si="6"/>
        <v>51.103509000000003</v>
      </c>
      <c r="AE61" s="7">
        <f t="shared" si="6"/>
        <v>51.403509</v>
      </c>
      <c r="AF61" s="7">
        <f t="shared" si="6"/>
        <v>49.403509</v>
      </c>
      <c r="AG61" s="10">
        <f t="shared" si="6"/>
        <v>59.403509</v>
      </c>
      <c r="AH61" s="11">
        <f t="shared" si="6"/>
        <v>69.403509</v>
      </c>
      <c r="AI61" s="7">
        <f t="shared" si="6"/>
        <v>34.903509</v>
      </c>
      <c r="AJ61" s="7">
        <f t="shared" si="6"/>
        <v>8.603508999999999</v>
      </c>
      <c r="AK61" s="7">
        <f t="shared" si="6"/>
        <v>12.503508999999999</v>
      </c>
      <c r="AL61" s="7">
        <f t="shared" si="6"/>
        <v>14.403509</v>
      </c>
      <c r="AM61" s="7">
        <f t="shared" si="6"/>
        <v>8.5035089999999993</v>
      </c>
      <c r="AN61" s="7">
        <f t="shared" si="6"/>
        <v>7.0035089999999993</v>
      </c>
      <c r="AO61" s="7">
        <f t="shared" si="6"/>
        <v>5.303509</v>
      </c>
      <c r="AP61" s="7">
        <f t="shared" si="6"/>
        <v>3.2035089999999999</v>
      </c>
      <c r="AQ61" s="7">
        <f t="shared" si="6"/>
        <v>1.4035089999999999</v>
      </c>
      <c r="AR61" s="7">
        <f t="shared" si="6"/>
        <v>1.4035089999999999</v>
      </c>
      <c r="AS61" s="7">
        <f t="shared" si="6"/>
        <v>1.4035089999999999</v>
      </c>
      <c r="AT61" s="7">
        <f t="shared" si="6"/>
        <v>1.4035089999999999</v>
      </c>
      <c r="AU61" s="7">
        <f t="shared" si="6"/>
        <v>0</v>
      </c>
      <c r="AV61" s="7">
        <f t="shared" si="6"/>
        <v>0</v>
      </c>
      <c r="AW61" s="7">
        <f t="shared" si="6"/>
        <v>0</v>
      </c>
    </row>
    <row r="62" spans="1:49" ht="14.5" hidden="1" outlineLevel="1" x14ac:dyDescent="0.35">
      <c r="A62" s="8" t="s">
        <v>12</v>
      </c>
      <c r="B62" s="8" t="s">
        <v>16</v>
      </c>
      <c r="C62" s="8" t="s">
        <v>25</v>
      </c>
      <c r="D62" s="8" t="s">
        <v>78</v>
      </c>
      <c r="E62" s="8" t="s">
        <v>79</v>
      </c>
      <c r="F62" s="9">
        <v>34.4</v>
      </c>
      <c r="G62" s="9">
        <v>86.4</v>
      </c>
      <c r="H62" s="9">
        <v>123</v>
      </c>
      <c r="I62" s="9">
        <v>-36.6</v>
      </c>
      <c r="J62" s="9">
        <v>5</v>
      </c>
      <c r="K62" s="9">
        <v>1.4035089999999999</v>
      </c>
      <c r="L62" s="9">
        <v>1.4035089999999999</v>
      </c>
      <c r="M62" s="9">
        <v>1.4035089999999999</v>
      </c>
      <c r="N62" s="9">
        <v>1.4035089999999999</v>
      </c>
      <c r="O62" s="9">
        <v>1.4035089999999999</v>
      </c>
      <c r="P62" s="9">
        <v>1.4035089999999999</v>
      </c>
      <c r="Q62" s="9">
        <v>1.4035089999999999</v>
      </c>
      <c r="R62" s="9">
        <v>1.4035089999999999</v>
      </c>
      <c r="S62" s="9">
        <v>1.4035089999999999</v>
      </c>
      <c r="T62" s="9">
        <v>1.4035089999999999</v>
      </c>
      <c r="U62" s="9">
        <v>1.4035089999999999</v>
      </c>
      <c r="V62" s="9">
        <v>1.4035089999999999</v>
      </c>
      <c r="W62" s="9">
        <v>1.4035089999999999</v>
      </c>
      <c r="X62" s="9">
        <v>1.4035089999999999</v>
      </c>
      <c r="Y62" s="9">
        <v>1.4035089999999999</v>
      </c>
      <c r="Z62" s="9">
        <v>1.4035089999999999</v>
      </c>
      <c r="AA62" s="9">
        <v>1.4035089999999999</v>
      </c>
      <c r="AB62" s="9">
        <v>1.4035089999999999</v>
      </c>
      <c r="AC62" s="9">
        <v>1.4035089999999999</v>
      </c>
      <c r="AD62" s="9">
        <v>1.4035089999999999</v>
      </c>
      <c r="AE62" s="9">
        <v>1.4035089999999999</v>
      </c>
      <c r="AF62" s="9">
        <v>1.4035089999999999</v>
      </c>
      <c r="AG62" s="9">
        <v>1.4035089999999999</v>
      </c>
      <c r="AH62" s="9">
        <v>1.4035089999999999</v>
      </c>
      <c r="AI62" s="9">
        <v>1.4035089999999999</v>
      </c>
      <c r="AJ62" s="9">
        <v>1.4035089999999999</v>
      </c>
      <c r="AK62" s="9">
        <v>1.4035089999999999</v>
      </c>
      <c r="AL62" s="9">
        <v>1.4035089999999999</v>
      </c>
      <c r="AM62" s="9">
        <v>1.4035089999999999</v>
      </c>
      <c r="AN62" s="9">
        <v>1.4035089999999999</v>
      </c>
      <c r="AO62" s="9">
        <v>1.4035089999999999</v>
      </c>
      <c r="AP62" s="9">
        <v>1.4035089999999999</v>
      </c>
      <c r="AQ62" s="9">
        <v>1.4035089999999999</v>
      </c>
      <c r="AR62" s="9">
        <v>1.4035089999999999</v>
      </c>
      <c r="AS62" s="9">
        <v>1.4035089999999999</v>
      </c>
      <c r="AT62" s="9">
        <v>1.4035089999999999</v>
      </c>
      <c r="AU62" s="9">
        <v>0</v>
      </c>
      <c r="AV62" s="9">
        <v>0</v>
      </c>
      <c r="AW62" s="9">
        <v>0</v>
      </c>
    </row>
    <row r="63" spans="1:49" ht="14.5" hidden="1" outlineLevel="1" x14ac:dyDescent="0.35">
      <c r="A63" s="8" t="s">
        <v>12</v>
      </c>
      <c r="B63" s="8" t="s">
        <v>16</v>
      </c>
      <c r="C63" s="8" t="s">
        <v>25</v>
      </c>
      <c r="D63" s="8" t="s">
        <v>78</v>
      </c>
      <c r="E63" s="8" t="s">
        <v>80</v>
      </c>
      <c r="F63" s="9">
        <v>5</v>
      </c>
      <c r="G63" s="9">
        <v>42</v>
      </c>
      <c r="H63" s="9">
        <v>37</v>
      </c>
      <c r="I63" s="9">
        <v>5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2</v>
      </c>
      <c r="S63" s="9">
        <v>3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2</v>
      </c>
      <c r="AC63" s="9">
        <v>2</v>
      </c>
      <c r="AD63" s="9">
        <v>2</v>
      </c>
      <c r="AE63" s="9">
        <v>2</v>
      </c>
      <c r="AF63" s="9">
        <v>0</v>
      </c>
      <c r="AG63" s="9">
        <v>0</v>
      </c>
      <c r="AH63" s="9">
        <v>0</v>
      </c>
      <c r="AI63" s="9">
        <v>0</v>
      </c>
      <c r="AJ63" s="9">
        <v>5</v>
      </c>
      <c r="AK63" s="9">
        <v>8</v>
      </c>
      <c r="AL63" s="9">
        <v>9</v>
      </c>
      <c r="AM63" s="9">
        <v>2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</row>
    <row r="64" spans="1:49" ht="14.5" hidden="1" outlineLevel="1" x14ac:dyDescent="0.35">
      <c r="A64" s="8" t="s">
        <v>12</v>
      </c>
      <c r="B64" s="8" t="s">
        <v>16</v>
      </c>
      <c r="C64" s="8" t="s">
        <v>25</v>
      </c>
      <c r="D64" s="8" t="s">
        <v>78</v>
      </c>
      <c r="E64" s="8" t="s">
        <v>81</v>
      </c>
      <c r="F64" s="9">
        <v>4.4000000000000004</v>
      </c>
      <c r="G64" s="9">
        <v>16.899999999999999</v>
      </c>
      <c r="H64" s="9">
        <v>13</v>
      </c>
      <c r="I64" s="9">
        <v>3.9</v>
      </c>
      <c r="J64" s="9">
        <v>0.35087699999999999</v>
      </c>
      <c r="K64" s="9">
        <v>0.35087699999999999</v>
      </c>
      <c r="L64" s="9">
        <v>0.35087699999999999</v>
      </c>
      <c r="M64" s="9">
        <v>0.35087699999999999</v>
      </c>
      <c r="N64" s="9">
        <v>0.35087699999999999</v>
      </c>
      <c r="O64" s="9">
        <v>0.35087699999999999</v>
      </c>
      <c r="P64" s="9">
        <v>0.35087699999999999</v>
      </c>
      <c r="Q64" s="9">
        <v>0.35087699999999999</v>
      </c>
      <c r="R64" s="9">
        <v>0.35087699999999999</v>
      </c>
      <c r="S64" s="9">
        <v>0.35087699999999999</v>
      </c>
      <c r="T64" s="9">
        <v>0.35087699999999999</v>
      </c>
      <c r="U64" s="9">
        <v>0.35087699999999999</v>
      </c>
      <c r="V64" s="9">
        <v>0.35087699999999999</v>
      </c>
      <c r="W64" s="9">
        <v>0.35087699999999999</v>
      </c>
      <c r="X64" s="9">
        <v>0.35087699999999999</v>
      </c>
      <c r="Y64" s="9">
        <v>0.35087699999999999</v>
      </c>
      <c r="Z64" s="9">
        <v>0.35087699999999999</v>
      </c>
      <c r="AA64" s="9">
        <v>0.35087699999999999</v>
      </c>
      <c r="AB64" s="9">
        <v>0.6</v>
      </c>
      <c r="AC64" s="9">
        <v>0.6</v>
      </c>
      <c r="AD64" s="9">
        <v>0.7</v>
      </c>
      <c r="AE64" s="9">
        <v>1</v>
      </c>
      <c r="AF64" s="9">
        <v>1</v>
      </c>
      <c r="AG64" s="9">
        <v>1</v>
      </c>
      <c r="AH64" s="9">
        <v>1</v>
      </c>
      <c r="AI64" s="9">
        <v>0.8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</row>
    <row r="65" spans="1:49" ht="14.5" hidden="1" outlineLevel="1" x14ac:dyDescent="0.35">
      <c r="A65" s="8" t="s">
        <v>12</v>
      </c>
      <c r="B65" s="8" t="s">
        <v>16</v>
      </c>
      <c r="C65" s="8" t="s">
        <v>25</v>
      </c>
      <c r="D65" s="8" t="s">
        <v>78</v>
      </c>
      <c r="E65" s="8" t="s">
        <v>102</v>
      </c>
      <c r="F65" s="9">
        <v>6</v>
      </c>
      <c r="G65" s="9">
        <v>65</v>
      </c>
      <c r="H65" s="9">
        <v>65</v>
      </c>
      <c r="I65" s="9">
        <v>0</v>
      </c>
      <c r="J65" s="9">
        <v>0</v>
      </c>
      <c r="K65" s="9">
        <v>6</v>
      </c>
      <c r="L65" s="9">
        <v>7</v>
      </c>
      <c r="M65" s="9">
        <v>7</v>
      </c>
      <c r="N65" s="9">
        <v>2</v>
      </c>
      <c r="O65" s="9">
        <v>1</v>
      </c>
      <c r="P65" s="9">
        <v>1</v>
      </c>
      <c r="Q65" s="9">
        <v>2</v>
      </c>
      <c r="R65" s="9">
        <v>2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2</v>
      </c>
      <c r="Y65" s="9">
        <v>2</v>
      </c>
      <c r="Z65" s="9">
        <v>0</v>
      </c>
      <c r="AA65" s="9">
        <v>0</v>
      </c>
      <c r="AB65" s="9">
        <v>2</v>
      </c>
      <c r="AC65" s="9">
        <v>3</v>
      </c>
      <c r="AD65" s="9">
        <v>3</v>
      </c>
      <c r="AE65" s="9">
        <v>5</v>
      </c>
      <c r="AF65" s="9">
        <v>5</v>
      </c>
      <c r="AG65" s="9">
        <v>5</v>
      </c>
      <c r="AH65" s="9">
        <v>5</v>
      </c>
      <c r="AI65" s="9">
        <v>5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</row>
    <row r="66" spans="1:49" ht="14.5" hidden="1" outlineLevel="1" x14ac:dyDescent="0.35">
      <c r="A66" s="8" t="s">
        <v>12</v>
      </c>
      <c r="B66" s="8" t="s">
        <v>16</v>
      </c>
      <c r="C66" s="8" t="s">
        <v>25</v>
      </c>
      <c r="D66" s="8" t="s">
        <v>78</v>
      </c>
      <c r="E66" s="8" t="s">
        <v>40</v>
      </c>
      <c r="F66" s="9">
        <v>0</v>
      </c>
      <c r="G66" s="9">
        <v>15</v>
      </c>
      <c r="H66" s="9">
        <v>15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5</v>
      </c>
      <c r="AH66" s="9">
        <v>5</v>
      </c>
      <c r="AI66" s="9">
        <v>5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</row>
    <row r="67" spans="1:49" ht="14.5" hidden="1" outlineLevel="1" x14ac:dyDescent="0.35">
      <c r="A67" s="8" t="s">
        <v>12</v>
      </c>
      <c r="B67" s="8" t="s">
        <v>16</v>
      </c>
      <c r="C67" s="8" t="s">
        <v>25</v>
      </c>
      <c r="D67" s="8" t="s">
        <v>78</v>
      </c>
      <c r="E67" s="8" t="s">
        <v>103</v>
      </c>
      <c r="F67" s="9">
        <v>40.5</v>
      </c>
      <c r="G67" s="9">
        <v>265.5</v>
      </c>
      <c r="H67" s="9">
        <v>303.5</v>
      </c>
      <c r="I67" s="9">
        <v>-38</v>
      </c>
      <c r="J67" s="9">
        <v>8</v>
      </c>
      <c r="K67" s="9">
        <v>10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15</v>
      </c>
      <c r="R67" s="9">
        <v>15</v>
      </c>
      <c r="S67" s="9">
        <v>5</v>
      </c>
      <c r="T67" s="9">
        <v>0</v>
      </c>
      <c r="U67" s="9">
        <v>0</v>
      </c>
      <c r="V67" s="9">
        <v>0</v>
      </c>
      <c r="W67" s="9">
        <v>0</v>
      </c>
      <c r="X67" s="9">
        <v>5</v>
      </c>
      <c r="Y67" s="9">
        <v>5</v>
      </c>
      <c r="Z67" s="9">
        <v>0</v>
      </c>
      <c r="AA67" s="9">
        <v>0</v>
      </c>
      <c r="AB67" s="9">
        <v>17</v>
      </c>
      <c r="AC67" s="9">
        <v>25</v>
      </c>
      <c r="AD67" s="9">
        <v>23</v>
      </c>
      <c r="AE67" s="9">
        <v>25</v>
      </c>
      <c r="AF67" s="9">
        <v>25</v>
      </c>
      <c r="AG67" s="9">
        <v>25</v>
      </c>
      <c r="AH67" s="9">
        <v>35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</row>
    <row r="68" spans="1:49" ht="14.5" hidden="1" outlineLevel="1" x14ac:dyDescent="0.35">
      <c r="A68" s="8" t="s">
        <v>12</v>
      </c>
      <c r="B68" s="8" t="s">
        <v>16</v>
      </c>
      <c r="C68" s="8" t="s">
        <v>25</v>
      </c>
      <c r="D68" s="8" t="s">
        <v>78</v>
      </c>
      <c r="E68" s="8" t="s">
        <v>86</v>
      </c>
      <c r="F68" s="9">
        <v>0</v>
      </c>
      <c r="G68" s="9">
        <v>0</v>
      </c>
      <c r="H68" s="9">
        <v>4</v>
      </c>
      <c r="I68" s="9">
        <v>-4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</row>
    <row r="69" spans="1:49" ht="14.5" hidden="1" outlineLevel="1" x14ac:dyDescent="0.35">
      <c r="A69" s="8" t="s">
        <v>12</v>
      </c>
      <c r="B69" s="8" t="s">
        <v>16</v>
      </c>
      <c r="C69" s="8" t="s">
        <v>25</v>
      </c>
      <c r="D69" s="8" t="s">
        <v>78</v>
      </c>
      <c r="E69" s="8" t="s">
        <v>98</v>
      </c>
      <c r="F69" s="9">
        <v>20</v>
      </c>
      <c r="G69" s="9">
        <v>48</v>
      </c>
      <c r="H69" s="9">
        <v>28.5</v>
      </c>
      <c r="I69" s="9">
        <v>19.5</v>
      </c>
      <c r="J69" s="9">
        <v>4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2</v>
      </c>
      <c r="AC69" s="9">
        <v>2</v>
      </c>
      <c r="AD69" s="9">
        <v>2</v>
      </c>
      <c r="AE69" s="9">
        <v>2</v>
      </c>
      <c r="AF69" s="9">
        <v>2</v>
      </c>
      <c r="AG69" s="9">
        <v>2</v>
      </c>
      <c r="AH69" s="9">
        <v>2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</row>
    <row r="70" spans="1:49" ht="14.5" hidden="1" outlineLevel="1" x14ac:dyDescent="0.35">
      <c r="A70" s="8" t="s">
        <v>12</v>
      </c>
      <c r="B70" s="8" t="s">
        <v>16</v>
      </c>
      <c r="C70" s="8" t="s">
        <v>25</v>
      </c>
      <c r="D70" s="8" t="s">
        <v>78</v>
      </c>
      <c r="E70" s="8" t="s">
        <v>99</v>
      </c>
      <c r="F70" s="9">
        <v>64</v>
      </c>
      <c r="G70" s="9">
        <v>200</v>
      </c>
      <c r="H70" s="9">
        <v>190.5</v>
      </c>
      <c r="I70" s="9">
        <v>9.5</v>
      </c>
      <c r="J70" s="9">
        <v>7.5</v>
      </c>
      <c r="K70" s="9">
        <v>4</v>
      </c>
      <c r="L70" s="9">
        <v>3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3</v>
      </c>
      <c r="Z70" s="9">
        <v>0</v>
      </c>
      <c r="AA70" s="9">
        <v>0</v>
      </c>
      <c r="AB70" s="9">
        <v>2</v>
      </c>
      <c r="AC70" s="9">
        <v>15</v>
      </c>
      <c r="AD70" s="9">
        <v>15</v>
      </c>
      <c r="AE70" s="9">
        <v>15</v>
      </c>
      <c r="AF70" s="9">
        <v>15</v>
      </c>
      <c r="AG70" s="9">
        <v>20</v>
      </c>
      <c r="AH70" s="9">
        <v>20</v>
      </c>
      <c r="AI70" s="9">
        <v>20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</row>
    <row r="71" spans="1:49" ht="14.5" hidden="1" outlineLevel="1" x14ac:dyDescent="0.35">
      <c r="A71" s="8" t="s">
        <v>12</v>
      </c>
      <c r="B71" s="8" t="s">
        <v>16</v>
      </c>
      <c r="C71" s="8" t="s">
        <v>25</v>
      </c>
      <c r="D71" s="8" t="s">
        <v>78</v>
      </c>
      <c r="E71" s="8" t="s">
        <v>106</v>
      </c>
      <c r="F71" s="9">
        <v>67</v>
      </c>
      <c r="G71" s="9">
        <v>145</v>
      </c>
      <c r="H71" s="9">
        <v>140.5</v>
      </c>
      <c r="I71" s="9">
        <v>4.5</v>
      </c>
      <c r="J71" s="9">
        <v>4</v>
      </c>
      <c r="K71" s="9">
        <v>0</v>
      </c>
      <c r="L71" s="9">
        <v>0</v>
      </c>
      <c r="M71" s="9">
        <v>0</v>
      </c>
      <c r="N71" s="9">
        <v>0</v>
      </c>
      <c r="O71" s="9">
        <v>8</v>
      </c>
      <c r="P71" s="9">
        <v>8</v>
      </c>
      <c r="Q71" s="9">
        <v>6</v>
      </c>
      <c r="R71" s="9">
        <v>6</v>
      </c>
      <c r="S71" s="9">
        <v>6</v>
      </c>
      <c r="T71" s="9">
        <v>6</v>
      </c>
      <c r="U71" s="9">
        <v>6</v>
      </c>
      <c r="V71" s="9">
        <v>0</v>
      </c>
      <c r="W71" s="9">
        <v>6</v>
      </c>
      <c r="X71" s="9">
        <v>4</v>
      </c>
      <c r="Y71" s="9">
        <v>6</v>
      </c>
      <c r="Z71" s="9">
        <v>0</v>
      </c>
      <c r="AA71" s="9">
        <v>0</v>
      </c>
      <c r="AB71" s="9">
        <v>8</v>
      </c>
      <c r="AC71" s="9">
        <v>8</v>
      </c>
      <c r="AD71" s="9">
        <v>4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</row>
    <row r="72" spans="1:49" ht="14.5" hidden="1" outlineLevel="1" x14ac:dyDescent="0.35">
      <c r="A72" s="8" t="s">
        <v>12</v>
      </c>
      <c r="B72" s="8" t="s">
        <v>16</v>
      </c>
      <c r="C72" s="8" t="s">
        <v>25</v>
      </c>
      <c r="D72" s="8" t="s">
        <v>78</v>
      </c>
      <c r="E72" s="8" t="s">
        <v>100</v>
      </c>
      <c r="F72" s="9">
        <v>3</v>
      </c>
      <c r="G72" s="9">
        <v>12</v>
      </c>
      <c r="H72" s="9">
        <v>2</v>
      </c>
      <c r="I72" s="9">
        <v>10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2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</row>
    <row r="73" spans="1:49" ht="14.5" hidden="1" outlineLevel="1" x14ac:dyDescent="0.35">
      <c r="A73" s="8" t="s">
        <v>12</v>
      </c>
      <c r="B73" s="8" t="s">
        <v>16</v>
      </c>
      <c r="C73" s="8" t="s">
        <v>25</v>
      </c>
      <c r="D73" s="8" t="s">
        <v>78</v>
      </c>
      <c r="E73" s="8" t="s">
        <v>87</v>
      </c>
      <c r="F73" s="9">
        <v>8</v>
      </c>
      <c r="G73" s="9">
        <v>8</v>
      </c>
      <c r="H73" s="9">
        <v>2</v>
      </c>
      <c r="I73" s="9">
        <v>6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</row>
    <row r="74" spans="1:49" ht="14.5" hidden="1" outlineLevel="1" x14ac:dyDescent="0.35">
      <c r="A74" s="8" t="s">
        <v>12</v>
      </c>
      <c r="B74" s="8" t="s">
        <v>16</v>
      </c>
      <c r="C74" s="8" t="s">
        <v>25</v>
      </c>
      <c r="D74" s="8" t="s">
        <v>78</v>
      </c>
      <c r="E74" s="8" t="s">
        <v>88</v>
      </c>
      <c r="F74" s="9">
        <v>0</v>
      </c>
      <c r="G74" s="9">
        <v>20</v>
      </c>
      <c r="H74" s="9">
        <v>20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10</v>
      </c>
      <c r="R74" s="9">
        <v>10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</row>
    <row r="75" spans="1:49" ht="14.5" hidden="1" outlineLevel="1" x14ac:dyDescent="0.35">
      <c r="A75" s="8" t="s">
        <v>12</v>
      </c>
      <c r="B75" s="8" t="s">
        <v>16</v>
      </c>
      <c r="C75" s="8" t="s">
        <v>25</v>
      </c>
      <c r="D75" s="8" t="s">
        <v>78</v>
      </c>
      <c r="E75" s="8" t="s">
        <v>107</v>
      </c>
      <c r="F75" s="9">
        <v>4.9000000000000004</v>
      </c>
      <c r="G75" s="9">
        <v>69.5</v>
      </c>
      <c r="H75" s="9">
        <v>65.599999999999994</v>
      </c>
      <c r="I75" s="9">
        <v>3.9000000000000101</v>
      </c>
      <c r="J75" s="9">
        <v>4</v>
      </c>
      <c r="K75" s="9">
        <v>4</v>
      </c>
      <c r="L75" s="9">
        <v>2</v>
      </c>
      <c r="M75" s="9">
        <v>1</v>
      </c>
      <c r="N75" s="9">
        <v>1</v>
      </c>
      <c r="O75" s="9">
        <v>0.7</v>
      </c>
      <c r="P75" s="9">
        <v>0.1</v>
      </c>
      <c r="Q75" s="9">
        <v>0</v>
      </c>
      <c r="R75" s="9">
        <v>0.1</v>
      </c>
      <c r="S75" s="9">
        <v>0.1</v>
      </c>
      <c r="T75" s="9">
        <v>0</v>
      </c>
      <c r="U75" s="9">
        <v>0</v>
      </c>
      <c r="V75" s="9">
        <v>0</v>
      </c>
      <c r="W75" s="9">
        <v>7</v>
      </c>
      <c r="X75" s="9">
        <v>7</v>
      </c>
      <c r="Y75" s="9">
        <v>7</v>
      </c>
      <c r="Z75" s="9">
        <v>0</v>
      </c>
      <c r="AA75" s="9">
        <v>0</v>
      </c>
      <c r="AB75" s="9">
        <v>4.0999999999999996</v>
      </c>
      <c r="AC75" s="9">
        <v>0.1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0.7</v>
      </c>
      <c r="AJ75" s="9">
        <v>2.2000000000000002</v>
      </c>
      <c r="AK75" s="9">
        <v>3.1</v>
      </c>
      <c r="AL75" s="9">
        <v>4</v>
      </c>
      <c r="AM75" s="9">
        <v>5.0999999999999996</v>
      </c>
      <c r="AN75" s="9">
        <v>5.6</v>
      </c>
      <c r="AO75" s="9">
        <v>3.9</v>
      </c>
      <c r="AP75" s="9">
        <v>1.8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</row>
    <row r="76" spans="1:49" ht="14.5" collapsed="1" x14ac:dyDescent="0.35">
      <c r="A76" s="6" t="s">
        <v>12</v>
      </c>
      <c r="B76" s="6" t="s">
        <v>10</v>
      </c>
      <c r="C76" s="6" t="s">
        <v>9</v>
      </c>
      <c r="D76" s="6" t="s">
        <v>76</v>
      </c>
      <c r="E76" s="6" t="s">
        <v>77</v>
      </c>
      <c r="F76" s="7">
        <f t="shared" ref="F76:AW76" si="7">SUM(F77,F78,F79,F80,F81,F82,F83,F84,F85,F86,F87,F88,F89,F90)</f>
        <v>504.8</v>
      </c>
      <c r="G76" s="7">
        <f t="shared" si="7"/>
        <v>1270</v>
      </c>
      <c r="H76" s="7">
        <f t="shared" si="7"/>
        <v>1272.3</v>
      </c>
      <c r="I76" s="7">
        <f t="shared" si="7"/>
        <v>-2.3000000000000043</v>
      </c>
      <c r="J76" s="7">
        <f t="shared" si="7"/>
        <v>25</v>
      </c>
      <c r="K76" s="7">
        <f t="shared" si="7"/>
        <v>22</v>
      </c>
      <c r="L76" s="7">
        <f t="shared" si="7"/>
        <v>0</v>
      </c>
      <c r="M76" s="7">
        <f t="shared" si="7"/>
        <v>0</v>
      </c>
      <c r="N76" s="7">
        <f t="shared" si="7"/>
        <v>8</v>
      </c>
      <c r="O76" s="7">
        <f t="shared" si="7"/>
        <v>0.5</v>
      </c>
      <c r="P76" s="7">
        <f t="shared" si="7"/>
        <v>3</v>
      </c>
      <c r="Q76" s="7">
        <f t="shared" si="7"/>
        <v>15</v>
      </c>
      <c r="R76" s="7">
        <f t="shared" si="7"/>
        <v>15</v>
      </c>
      <c r="S76" s="7">
        <f t="shared" si="7"/>
        <v>20.5</v>
      </c>
      <c r="T76" s="7">
        <f t="shared" si="7"/>
        <v>25</v>
      </c>
      <c r="U76" s="7">
        <f t="shared" si="7"/>
        <v>24</v>
      </c>
      <c r="V76" s="7">
        <f t="shared" si="7"/>
        <v>12</v>
      </c>
      <c r="W76" s="11">
        <f t="shared" si="7"/>
        <v>52.4</v>
      </c>
      <c r="X76" s="11">
        <f t="shared" si="7"/>
        <v>51.8</v>
      </c>
      <c r="Y76" s="7">
        <f t="shared" si="7"/>
        <v>15.5</v>
      </c>
      <c r="Z76" s="7">
        <f t="shared" si="7"/>
        <v>3</v>
      </c>
      <c r="AA76" s="7">
        <f t="shared" si="7"/>
        <v>0</v>
      </c>
      <c r="AB76" s="7">
        <f t="shared" si="7"/>
        <v>0</v>
      </c>
      <c r="AC76" s="7">
        <f t="shared" si="7"/>
        <v>14</v>
      </c>
      <c r="AD76" s="7">
        <f t="shared" si="7"/>
        <v>30</v>
      </c>
      <c r="AE76" s="7">
        <f t="shared" si="7"/>
        <v>29</v>
      </c>
      <c r="AF76" s="11">
        <f t="shared" si="7"/>
        <v>93.5</v>
      </c>
      <c r="AG76" s="11">
        <f t="shared" si="7"/>
        <v>190</v>
      </c>
      <c r="AH76" s="11">
        <f t="shared" si="7"/>
        <v>85.9</v>
      </c>
      <c r="AI76" s="7">
        <f t="shared" si="7"/>
        <v>12.5</v>
      </c>
      <c r="AJ76" s="7">
        <f t="shared" si="7"/>
        <v>0</v>
      </c>
      <c r="AK76" s="7">
        <f t="shared" si="7"/>
        <v>0</v>
      </c>
      <c r="AL76" s="7">
        <f t="shared" si="7"/>
        <v>0</v>
      </c>
      <c r="AM76" s="7">
        <f t="shared" si="7"/>
        <v>0</v>
      </c>
      <c r="AN76" s="7">
        <f t="shared" si="7"/>
        <v>0</v>
      </c>
      <c r="AO76" s="7">
        <f t="shared" si="7"/>
        <v>0</v>
      </c>
      <c r="AP76" s="7">
        <f t="shared" si="7"/>
        <v>0</v>
      </c>
      <c r="AQ76" s="7">
        <f t="shared" si="7"/>
        <v>0</v>
      </c>
      <c r="AR76" s="7">
        <f t="shared" si="7"/>
        <v>0</v>
      </c>
      <c r="AS76" s="7">
        <f t="shared" si="7"/>
        <v>0</v>
      </c>
      <c r="AT76" s="7">
        <f t="shared" si="7"/>
        <v>0</v>
      </c>
      <c r="AU76" s="7">
        <f t="shared" si="7"/>
        <v>0</v>
      </c>
      <c r="AV76" s="7">
        <f t="shared" si="7"/>
        <v>0</v>
      </c>
      <c r="AW76" s="7">
        <f t="shared" si="7"/>
        <v>0</v>
      </c>
    </row>
    <row r="77" spans="1:49" ht="14.5" hidden="1" outlineLevel="1" x14ac:dyDescent="0.35">
      <c r="A77" s="8" t="s">
        <v>12</v>
      </c>
      <c r="B77" s="8" t="s">
        <v>10</v>
      </c>
      <c r="C77" s="8" t="s">
        <v>9</v>
      </c>
      <c r="D77" s="8" t="s">
        <v>78</v>
      </c>
      <c r="E77" s="8" t="s">
        <v>81</v>
      </c>
      <c r="F77" s="9">
        <v>37.200000000000003</v>
      </c>
      <c r="G77" s="9">
        <v>152.19999999999999</v>
      </c>
      <c r="H77" s="9">
        <v>132.5</v>
      </c>
      <c r="I77" s="9">
        <v>19.7</v>
      </c>
      <c r="J77" s="9">
        <v>0</v>
      </c>
      <c r="K77" s="9">
        <v>1</v>
      </c>
      <c r="L77" s="9">
        <v>0</v>
      </c>
      <c r="M77" s="9">
        <v>0</v>
      </c>
      <c r="N77" s="9">
        <v>8</v>
      </c>
      <c r="O77" s="9">
        <v>0</v>
      </c>
      <c r="P77" s="9">
        <v>0</v>
      </c>
      <c r="Q77" s="9">
        <v>8</v>
      </c>
      <c r="R77" s="9">
        <v>8</v>
      </c>
      <c r="S77" s="9">
        <v>8</v>
      </c>
      <c r="T77" s="9">
        <v>2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8</v>
      </c>
      <c r="AD77" s="9">
        <v>24</v>
      </c>
      <c r="AE77" s="9">
        <v>8</v>
      </c>
      <c r="AF77" s="9">
        <v>8</v>
      </c>
      <c r="AG77" s="9">
        <v>24</v>
      </c>
      <c r="AH77" s="9">
        <v>8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</row>
    <row r="78" spans="1:49" ht="14.5" hidden="1" outlineLevel="1" x14ac:dyDescent="0.35">
      <c r="A78" s="8" t="s">
        <v>12</v>
      </c>
      <c r="B78" s="8" t="s">
        <v>10</v>
      </c>
      <c r="C78" s="8" t="s">
        <v>9</v>
      </c>
      <c r="D78" s="8" t="s">
        <v>78</v>
      </c>
      <c r="E78" s="8" t="s">
        <v>94</v>
      </c>
      <c r="F78" s="9">
        <v>76</v>
      </c>
      <c r="G78" s="9">
        <v>162.5</v>
      </c>
      <c r="H78" s="9">
        <v>163.19999999999999</v>
      </c>
      <c r="I78" s="9">
        <v>-0.70000000000000295</v>
      </c>
      <c r="J78" s="9">
        <v>0</v>
      </c>
      <c r="K78" s="9">
        <v>0.5</v>
      </c>
      <c r="L78" s="9">
        <v>0</v>
      </c>
      <c r="M78" s="9">
        <v>0</v>
      </c>
      <c r="N78" s="9">
        <v>0</v>
      </c>
      <c r="O78" s="9">
        <v>0.5</v>
      </c>
      <c r="P78" s="9">
        <v>0</v>
      </c>
      <c r="Q78" s="9">
        <v>2</v>
      </c>
      <c r="R78" s="9">
        <v>0</v>
      </c>
      <c r="S78" s="9">
        <v>3</v>
      </c>
      <c r="T78" s="9">
        <v>3</v>
      </c>
      <c r="U78" s="9">
        <v>1</v>
      </c>
      <c r="V78" s="9">
        <v>0</v>
      </c>
      <c r="W78" s="9">
        <v>7.5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3</v>
      </c>
      <c r="AE78" s="9">
        <v>7</v>
      </c>
      <c r="AF78" s="9">
        <v>5</v>
      </c>
      <c r="AG78" s="9">
        <v>36</v>
      </c>
      <c r="AH78" s="9">
        <v>18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</row>
    <row r="79" spans="1:49" ht="14.5" hidden="1" outlineLevel="1" x14ac:dyDescent="0.35">
      <c r="A79" s="8" t="s">
        <v>12</v>
      </c>
      <c r="B79" s="8" t="s">
        <v>10</v>
      </c>
      <c r="C79" s="8" t="s">
        <v>9</v>
      </c>
      <c r="D79" s="8" t="s">
        <v>78</v>
      </c>
      <c r="E79" s="8" t="s">
        <v>95</v>
      </c>
      <c r="F79" s="9">
        <v>206</v>
      </c>
      <c r="G79" s="9">
        <v>473</v>
      </c>
      <c r="H79" s="9">
        <v>474</v>
      </c>
      <c r="I79" s="9">
        <v>-1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3</v>
      </c>
      <c r="Q79" s="9">
        <v>0</v>
      </c>
      <c r="R79" s="9">
        <v>2</v>
      </c>
      <c r="S79" s="9">
        <v>2</v>
      </c>
      <c r="T79" s="9">
        <v>7</v>
      </c>
      <c r="U79" s="9">
        <v>16</v>
      </c>
      <c r="V79" s="9">
        <v>3</v>
      </c>
      <c r="W79" s="9">
        <v>24</v>
      </c>
      <c r="X79" s="9">
        <v>36</v>
      </c>
      <c r="Y79" s="9">
        <v>14</v>
      </c>
      <c r="Z79" s="9">
        <v>3</v>
      </c>
      <c r="AA79" s="9">
        <v>0</v>
      </c>
      <c r="AB79" s="9">
        <v>0</v>
      </c>
      <c r="AC79" s="9">
        <v>6</v>
      </c>
      <c r="AD79" s="9">
        <v>3</v>
      </c>
      <c r="AE79" s="9">
        <v>14</v>
      </c>
      <c r="AF79" s="9">
        <v>58</v>
      </c>
      <c r="AG79" s="9">
        <v>67</v>
      </c>
      <c r="AH79" s="9">
        <v>9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</row>
    <row r="80" spans="1:49" ht="14.5" hidden="1" outlineLevel="1" x14ac:dyDescent="0.35">
      <c r="A80" s="8" t="s">
        <v>12</v>
      </c>
      <c r="B80" s="8" t="s">
        <v>10</v>
      </c>
      <c r="C80" s="8" t="s">
        <v>9</v>
      </c>
      <c r="D80" s="8" t="s">
        <v>78</v>
      </c>
      <c r="E80" s="8" t="s">
        <v>82</v>
      </c>
      <c r="F80" s="9">
        <v>12.1</v>
      </c>
      <c r="G80" s="9">
        <v>12.1</v>
      </c>
      <c r="H80" s="9">
        <v>12.1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</row>
    <row r="81" spans="1:49" ht="14.5" hidden="1" outlineLevel="1" x14ac:dyDescent="0.35">
      <c r="A81" s="8" t="s">
        <v>12</v>
      </c>
      <c r="B81" s="8" t="s">
        <v>10</v>
      </c>
      <c r="C81" s="8" t="s">
        <v>9</v>
      </c>
      <c r="D81" s="8" t="s">
        <v>78</v>
      </c>
      <c r="E81" s="8" t="s">
        <v>83</v>
      </c>
      <c r="F81" s="9">
        <v>10</v>
      </c>
      <c r="G81" s="9">
        <v>10</v>
      </c>
      <c r="H81" s="9">
        <v>15.5</v>
      </c>
      <c r="I81" s="9">
        <v>-5.5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</row>
    <row r="82" spans="1:49" ht="14.5" hidden="1" outlineLevel="1" x14ac:dyDescent="0.35">
      <c r="A82" s="8" t="s">
        <v>12</v>
      </c>
      <c r="B82" s="8" t="s">
        <v>10</v>
      </c>
      <c r="C82" s="8" t="s">
        <v>9</v>
      </c>
      <c r="D82" s="8" t="s">
        <v>78</v>
      </c>
      <c r="E82" s="8" t="s">
        <v>84</v>
      </c>
      <c r="F82" s="9">
        <v>0</v>
      </c>
      <c r="G82" s="9">
        <v>10</v>
      </c>
      <c r="H82" s="9">
        <v>10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5</v>
      </c>
      <c r="R82" s="9">
        <v>5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</row>
    <row r="83" spans="1:49" ht="14.5" hidden="1" outlineLevel="1" x14ac:dyDescent="0.35">
      <c r="A83" s="8" t="s">
        <v>12</v>
      </c>
      <c r="B83" s="8" t="s">
        <v>10</v>
      </c>
      <c r="C83" s="8" t="s">
        <v>9</v>
      </c>
      <c r="D83" s="8" t="s">
        <v>78</v>
      </c>
      <c r="E83" s="8" t="s">
        <v>40</v>
      </c>
      <c r="F83" s="9">
        <v>1</v>
      </c>
      <c r="G83" s="9">
        <v>25</v>
      </c>
      <c r="H83" s="9">
        <v>36.5</v>
      </c>
      <c r="I83" s="9">
        <v>-11.5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5.5</v>
      </c>
      <c r="AG83" s="9">
        <v>1.5</v>
      </c>
      <c r="AH83" s="9">
        <v>16</v>
      </c>
      <c r="AI83" s="9">
        <v>1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</row>
    <row r="84" spans="1:49" ht="14.5" hidden="1" outlineLevel="1" x14ac:dyDescent="0.35">
      <c r="A84" s="8" t="s">
        <v>12</v>
      </c>
      <c r="B84" s="8" t="s">
        <v>10</v>
      </c>
      <c r="C84" s="8" t="s">
        <v>9</v>
      </c>
      <c r="D84" s="8" t="s">
        <v>78</v>
      </c>
      <c r="E84" s="8" t="s">
        <v>96</v>
      </c>
      <c r="F84" s="9">
        <v>102.5</v>
      </c>
      <c r="G84" s="9">
        <v>243.2</v>
      </c>
      <c r="H84" s="9">
        <v>212.6</v>
      </c>
      <c r="I84" s="9">
        <v>30.6</v>
      </c>
      <c r="J84" s="9">
        <v>18</v>
      </c>
      <c r="K84" s="9">
        <v>18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8.5</v>
      </c>
      <c r="U84" s="9">
        <v>3.5</v>
      </c>
      <c r="V84" s="9">
        <v>0</v>
      </c>
      <c r="W84" s="9">
        <v>18.399999999999999</v>
      </c>
      <c r="X84" s="9">
        <v>15.8</v>
      </c>
      <c r="Y84" s="9">
        <v>1.5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1</v>
      </c>
      <c r="AG84" s="9">
        <v>21.5</v>
      </c>
      <c r="AH84" s="9">
        <v>16.899999999999999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</row>
    <row r="85" spans="1:49" ht="14.5" hidden="1" outlineLevel="1" x14ac:dyDescent="0.35">
      <c r="A85" s="8" t="s">
        <v>12</v>
      </c>
      <c r="B85" s="8" t="s">
        <v>10</v>
      </c>
      <c r="C85" s="8" t="s">
        <v>9</v>
      </c>
      <c r="D85" s="8" t="s">
        <v>78</v>
      </c>
      <c r="E85" s="8" t="s">
        <v>97</v>
      </c>
      <c r="F85" s="9">
        <v>4.5</v>
      </c>
      <c r="G85" s="9">
        <v>4.5</v>
      </c>
      <c r="H85" s="9">
        <v>26</v>
      </c>
      <c r="I85" s="9">
        <v>-21.5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</row>
    <row r="86" spans="1:49" ht="14.5" hidden="1" outlineLevel="1" x14ac:dyDescent="0.35">
      <c r="A86" s="8" t="s">
        <v>12</v>
      </c>
      <c r="B86" s="8" t="s">
        <v>10</v>
      </c>
      <c r="C86" s="8" t="s">
        <v>9</v>
      </c>
      <c r="D86" s="8" t="s">
        <v>78</v>
      </c>
      <c r="E86" s="8" t="s">
        <v>86</v>
      </c>
      <c r="F86" s="9">
        <v>0</v>
      </c>
      <c r="G86" s="9">
        <v>0</v>
      </c>
      <c r="H86" s="9">
        <v>26.1</v>
      </c>
      <c r="I86" s="9">
        <v>-26.1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</row>
    <row r="87" spans="1:49" ht="14.5" hidden="1" outlineLevel="1" x14ac:dyDescent="0.35">
      <c r="A87" s="8" t="s">
        <v>12</v>
      </c>
      <c r="B87" s="8" t="s">
        <v>10</v>
      </c>
      <c r="C87" s="8" t="s">
        <v>9</v>
      </c>
      <c r="D87" s="8" t="s">
        <v>78</v>
      </c>
      <c r="E87" s="8" t="s">
        <v>99</v>
      </c>
      <c r="F87" s="9">
        <v>38</v>
      </c>
      <c r="G87" s="9">
        <v>77.5</v>
      </c>
      <c r="H87" s="9">
        <v>45.5</v>
      </c>
      <c r="I87" s="9">
        <v>32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3</v>
      </c>
      <c r="T87" s="9">
        <v>1</v>
      </c>
      <c r="U87" s="9">
        <v>2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10</v>
      </c>
      <c r="AG87" s="9">
        <v>15</v>
      </c>
      <c r="AH87" s="9">
        <v>8.5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</row>
    <row r="88" spans="1:49" ht="14.5" hidden="1" outlineLevel="1" x14ac:dyDescent="0.35">
      <c r="A88" s="8" t="s">
        <v>12</v>
      </c>
      <c r="B88" s="8" t="s">
        <v>10</v>
      </c>
      <c r="C88" s="8" t="s">
        <v>9</v>
      </c>
      <c r="D88" s="8" t="s">
        <v>78</v>
      </c>
      <c r="E88" s="8" t="s">
        <v>43</v>
      </c>
      <c r="F88" s="9">
        <v>4</v>
      </c>
      <c r="G88" s="9">
        <v>43</v>
      </c>
      <c r="H88" s="9">
        <v>41</v>
      </c>
      <c r="I88" s="9">
        <v>2</v>
      </c>
      <c r="J88" s="9">
        <v>3.5</v>
      </c>
      <c r="K88" s="9">
        <v>2.5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3</v>
      </c>
      <c r="U88" s="9">
        <v>1</v>
      </c>
      <c r="V88" s="9">
        <v>3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6</v>
      </c>
      <c r="AH88" s="9">
        <v>8.5</v>
      </c>
      <c r="AI88" s="9">
        <v>11.5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</row>
    <row r="89" spans="1:49" ht="14.5" hidden="1" outlineLevel="1" x14ac:dyDescent="0.35">
      <c r="A89" s="8" t="s">
        <v>12</v>
      </c>
      <c r="B89" s="8" t="s">
        <v>10</v>
      </c>
      <c r="C89" s="8" t="s">
        <v>9</v>
      </c>
      <c r="D89" s="8" t="s">
        <v>78</v>
      </c>
      <c r="E89" s="8" t="s">
        <v>100</v>
      </c>
      <c r="F89" s="9">
        <v>13.5</v>
      </c>
      <c r="G89" s="9">
        <v>57</v>
      </c>
      <c r="H89" s="9">
        <v>50.5</v>
      </c>
      <c r="I89" s="9">
        <v>6.5</v>
      </c>
      <c r="J89" s="9">
        <v>3.5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4.5</v>
      </c>
      <c r="T89" s="9">
        <v>0.5</v>
      </c>
      <c r="U89" s="9">
        <v>0.5</v>
      </c>
      <c r="V89" s="9">
        <v>6</v>
      </c>
      <c r="W89" s="9">
        <v>2.5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6</v>
      </c>
      <c r="AG89" s="9">
        <v>19</v>
      </c>
      <c r="AH89" s="9">
        <v>1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</row>
    <row r="90" spans="1:49" ht="14.5" hidden="1" outlineLevel="1" x14ac:dyDescent="0.35">
      <c r="A90" s="8" t="s">
        <v>12</v>
      </c>
      <c r="B90" s="8" t="s">
        <v>10</v>
      </c>
      <c r="C90" s="8" t="s">
        <v>9</v>
      </c>
      <c r="D90" s="8" t="s">
        <v>78</v>
      </c>
      <c r="E90" s="8" t="s">
        <v>87</v>
      </c>
      <c r="F90" s="9">
        <v>0</v>
      </c>
      <c r="G90" s="9">
        <v>0</v>
      </c>
      <c r="H90" s="9">
        <v>26.8</v>
      </c>
      <c r="I90" s="9">
        <v>-26.8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</row>
    <row r="91" spans="1:49" ht="14.5" collapsed="1" x14ac:dyDescent="0.35">
      <c r="A91" s="6" t="s">
        <v>12</v>
      </c>
      <c r="B91" s="6" t="s">
        <v>10</v>
      </c>
      <c r="C91" s="6" t="s">
        <v>36</v>
      </c>
      <c r="D91" s="6" t="s">
        <v>76</v>
      </c>
      <c r="E91" s="6" t="s">
        <v>77</v>
      </c>
      <c r="F91" s="7">
        <f t="shared" ref="F91:AW91" si="8">SUM(F92,F93,F94,F95,F96,F97,F98,F99,F100,F101,F102,F103,F104,F105,F106,F107)</f>
        <v>311.5</v>
      </c>
      <c r="G91" s="7">
        <f t="shared" si="8"/>
        <v>866.7</v>
      </c>
      <c r="H91" s="7">
        <f t="shared" si="8"/>
        <v>974.4</v>
      </c>
      <c r="I91" s="7">
        <f t="shared" si="8"/>
        <v>-107.7</v>
      </c>
      <c r="J91" s="7">
        <f t="shared" si="8"/>
        <v>31</v>
      </c>
      <c r="K91" s="7">
        <f t="shared" si="8"/>
        <v>18</v>
      </c>
      <c r="L91" s="7">
        <f t="shared" si="8"/>
        <v>8</v>
      </c>
      <c r="M91" s="7">
        <f t="shared" si="8"/>
        <v>0</v>
      </c>
      <c r="N91" s="7">
        <f t="shared" si="8"/>
        <v>0</v>
      </c>
      <c r="O91" s="7">
        <f t="shared" si="8"/>
        <v>0.4</v>
      </c>
      <c r="P91" s="7">
        <f t="shared" si="8"/>
        <v>0</v>
      </c>
      <c r="Q91" s="10">
        <f t="shared" si="8"/>
        <v>42.5</v>
      </c>
      <c r="R91" s="7">
        <f t="shared" si="8"/>
        <v>31.5</v>
      </c>
      <c r="S91" s="7">
        <f t="shared" si="8"/>
        <v>18</v>
      </c>
      <c r="T91" s="7">
        <f t="shared" si="8"/>
        <v>28</v>
      </c>
      <c r="U91" s="7">
        <f t="shared" si="8"/>
        <v>25</v>
      </c>
      <c r="V91" s="7">
        <f t="shared" si="8"/>
        <v>0</v>
      </c>
      <c r="W91" s="7">
        <f t="shared" si="8"/>
        <v>5</v>
      </c>
      <c r="X91" s="7">
        <f t="shared" si="8"/>
        <v>12</v>
      </c>
      <c r="Y91" s="7">
        <f t="shared" si="8"/>
        <v>12</v>
      </c>
      <c r="Z91" s="7">
        <f t="shared" si="8"/>
        <v>0</v>
      </c>
      <c r="AA91" s="7">
        <f t="shared" si="8"/>
        <v>0</v>
      </c>
      <c r="AB91" s="7">
        <f t="shared" si="8"/>
        <v>7.5</v>
      </c>
      <c r="AC91" s="7">
        <f t="shared" si="8"/>
        <v>33</v>
      </c>
      <c r="AD91" s="7">
        <f t="shared" si="8"/>
        <v>45</v>
      </c>
      <c r="AE91" s="7">
        <f t="shared" si="8"/>
        <v>44</v>
      </c>
      <c r="AF91" s="7">
        <f t="shared" si="8"/>
        <v>49.5</v>
      </c>
      <c r="AG91" s="7">
        <f t="shared" si="8"/>
        <v>45.5</v>
      </c>
      <c r="AH91" s="7">
        <f t="shared" si="8"/>
        <v>42.5</v>
      </c>
      <c r="AI91" s="7">
        <f t="shared" si="8"/>
        <v>28</v>
      </c>
      <c r="AJ91" s="7">
        <f t="shared" si="8"/>
        <v>0</v>
      </c>
      <c r="AK91" s="7">
        <f t="shared" si="8"/>
        <v>0</v>
      </c>
      <c r="AL91" s="7">
        <f t="shared" si="8"/>
        <v>0</v>
      </c>
      <c r="AM91" s="7">
        <f t="shared" si="8"/>
        <v>0</v>
      </c>
      <c r="AN91" s="7">
        <f t="shared" si="8"/>
        <v>0</v>
      </c>
      <c r="AO91" s="7">
        <f t="shared" si="8"/>
        <v>0</v>
      </c>
      <c r="AP91" s="7">
        <f t="shared" si="8"/>
        <v>0</v>
      </c>
      <c r="AQ91" s="7">
        <f t="shared" si="8"/>
        <v>0</v>
      </c>
      <c r="AR91" s="7">
        <f t="shared" si="8"/>
        <v>0</v>
      </c>
      <c r="AS91" s="7">
        <f t="shared" si="8"/>
        <v>0</v>
      </c>
      <c r="AT91" s="7">
        <f t="shared" si="8"/>
        <v>0</v>
      </c>
      <c r="AU91" s="7">
        <f t="shared" si="8"/>
        <v>0</v>
      </c>
      <c r="AV91" s="7">
        <f t="shared" si="8"/>
        <v>0</v>
      </c>
      <c r="AW91" s="7">
        <f t="shared" si="8"/>
        <v>0</v>
      </c>
    </row>
    <row r="92" spans="1:49" ht="14.5" hidden="1" outlineLevel="1" x14ac:dyDescent="0.35">
      <c r="A92" s="8" t="s">
        <v>12</v>
      </c>
      <c r="B92" s="8" t="s">
        <v>10</v>
      </c>
      <c r="C92" s="8" t="s">
        <v>36</v>
      </c>
      <c r="D92" s="8" t="s">
        <v>78</v>
      </c>
      <c r="E92" s="8" t="s">
        <v>108</v>
      </c>
      <c r="F92" s="9">
        <v>39.9</v>
      </c>
      <c r="G92" s="9">
        <v>135.9</v>
      </c>
      <c r="H92" s="9">
        <v>73.400000000000006</v>
      </c>
      <c r="I92" s="9">
        <v>62.5</v>
      </c>
      <c r="J92" s="9">
        <v>4</v>
      </c>
      <c r="K92" s="9">
        <v>0</v>
      </c>
      <c r="L92" s="9">
        <v>0</v>
      </c>
      <c r="M92" s="9">
        <v>0</v>
      </c>
      <c r="N92" s="9">
        <v>0</v>
      </c>
      <c r="O92" s="9">
        <v>0.4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1</v>
      </c>
      <c r="Y92" s="9">
        <v>1</v>
      </c>
      <c r="Z92" s="9">
        <v>0</v>
      </c>
      <c r="AA92" s="9">
        <v>0</v>
      </c>
      <c r="AB92" s="9">
        <v>0.5</v>
      </c>
      <c r="AC92" s="9">
        <v>11</v>
      </c>
      <c r="AD92" s="9">
        <v>0.5</v>
      </c>
      <c r="AE92" s="9">
        <v>5.5</v>
      </c>
      <c r="AF92" s="9">
        <v>21.5</v>
      </c>
      <c r="AG92" s="9">
        <v>14.5</v>
      </c>
      <c r="AH92" s="9">
        <v>11.5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</row>
    <row r="93" spans="1:49" ht="14.5" hidden="1" outlineLevel="1" x14ac:dyDescent="0.35">
      <c r="A93" s="8" t="s">
        <v>12</v>
      </c>
      <c r="B93" s="8" t="s">
        <v>10</v>
      </c>
      <c r="C93" s="8" t="s">
        <v>36</v>
      </c>
      <c r="D93" s="8" t="s">
        <v>78</v>
      </c>
      <c r="E93" s="8" t="s">
        <v>81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</row>
    <row r="94" spans="1:49" ht="14.5" hidden="1" outlineLevel="1" x14ac:dyDescent="0.35">
      <c r="A94" s="8" t="s">
        <v>12</v>
      </c>
      <c r="B94" s="8" t="s">
        <v>10</v>
      </c>
      <c r="C94" s="8" t="s">
        <v>36</v>
      </c>
      <c r="D94" s="8" t="s">
        <v>78</v>
      </c>
      <c r="E94" s="8" t="s">
        <v>109</v>
      </c>
      <c r="F94" s="9">
        <v>59</v>
      </c>
      <c r="G94" s="9">
        <v>133</v>
      </c>
      <c r="H94" s="9">
        <v>133</v>
      </c>
      <c r="I94" s="9">
        <v>0</v>
      </c>
      <c r="J94" s="9">
        <v>13</v>
      </c>
      <c r="K94" s="9">
        <v>10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10</v>
      </c>
      <c r="U94" s="9">
        <v>10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9</v>
      </c>
      <c r="AE94" s="9">
        <v>7</v>
      </c>
      <c r="AF94" s="9">
        <v>6</v>
      </c>
      <c r="AG94" s="9">
        <v>6</v>
      </c>
      <c r="AH94" s="9">
        <v>6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</row>
    <row r="95" spans="1:49" ht="14.5" hidden="1" outlineLevel="1" x14ac:dyDescent="0.35">
      <c r="A95" s="8" t="s">
        <v>12</v>
      </c>
      <c r="B95" s="8" t="s">
        <v>10</v>
      </c>
      <c r="C95" s="8" t="s">
        <v>36</v>
      </c>
      <c r="D95" s="8" t="s">
        <v>78</v>
      </c>
      <c r="E95" s="8" t="s">
        <v>110</v>
      </c>
      <c r="F95" s="9">
        <v>52.6</v>
      </c>
      <c r="G95" s="9">
        <v>204.8</v>
      </c>
      <c r="H95" s="9">
        <v>180.5</v>
      </c>
      <c r="I95" s="9">
        <v>24.3</v>
      </c>
      <c r="J95" s="9">
        <v>4</v>
      </c>
      <c r="K95" s="9">
        <v>8</v>
      </c>
      <c r="L95" s="9">
        <v>8</v>
      </c>
      <c r="M95" s="9">
        <v>0</v>
      </c>
      <c r="N95" s="9">
        <v>0</v>
      </c>
      <c r="O95" s="9">
        <v>0</v>
      </c>
      <c r="P95" s="9">
        <v>0</v>
      </c>
      <c r="Q95" s="9">
        <v>10.5</v>
      </c>
      <c r="R95" s="9">
        <v>10.5</v>
      </c>
      <c r="S95" s="9">
        <v>8</v>
      </c>
      <c r="T95" s="9">
        <v>8</v>
      </c>
      <c r="U95" s="9">
        <v>0</v>
      </c>
      <c r="V95" s="9">
        <v>0</v>
      </c>
      <c r="W95" s="9">
        <v>0</v>
      </c>
      <c r="X95" s="9">
        <v>6</v>
      </c>
      <c r="Y95" s="9">
        <v>6</v>
      </c>
      <c r="Z95" s="9">
        <v>0</v>
      </c>
      <c r="AA95" s="9">
        <v>0</v>
      </c>
      <c r="AB95" s="9">
        <v>0</v>
      </c>
      <c r="AC95" s="9">
        <v>11</v>
      </c>
      <c r="AD95" s="9">
        <v>22.5</v>
      </c>
      <c r="AE95" s="9">
        <v>18.5</v>
      </c>
      <c r="AF95" s="9">
        <v>9</v>
      </c>
      <c r="AG95" s="9">
        <v>10</v>
      </c>
      <c r="AH95" s="9">
        <v>10</v>
      </c>
      <c r="AI95" s="9">
        <v>13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</row>
    <row r="96" spans="1:49" ht="14.5" hidden="1" outlineLevel="1" x14ac:dyDescent="0.35">
      <c r="A96" s="8" t="s">
        <v>12</v>
      </c>
      <c r="B96" s="8" t="s">
        <v>10</v>
      </c>
      <c r="C96" s="8" t="s">
        <v>36</v>
      </c>
      <c r="D96" s="8" t="s">
        <v>78</v>
      </c>
      <c r="E96" s="8" t="s">
        <v>82</v>
      </c>
      <c r="F96" s="9">
        <v>1</v>
      </c>
      <c r="G96" s="9">
        <v>1</v>
      </c>
      <c r="H96" s="9">
        <v>19</v>
      </c>
      <c r="I96" s="9">
        <v>-18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</row>
    <row r="97" spans="1:49" ht="14.5" hidden="1" outlineLevel="1" x14ac:dyDescent="0.35">
      <c r="A97" s="8" t="s">
        <v>12</v>
      </c>
      <c r="B97" s="8" t="s">
        <v>10</v>
      </c>
      <c r="C97" s="8" t="s">
        <v>36</v>
      </c>
      <c r="D97" s="8" t="s">
        <v>78</v>
      </c>
      <c r="E97" s="8" t="s">
        <v>83</v>
      </c>
      <c r="F97" s="9">
        <v>15</v>
      </c>
      <c r="G97" s="9">
        <v>15</v>
      </c>
      <c r="H97" s="9">
        <v>35</v>
      </c>
      <c r="I97" s="9">
        <v>-20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</row>
    <row r="98" spans="1:49" ht="14.5" hidden="1" outlineLevel="1" x14ac:dyDescent="0.35">
      <c r="A98" s="8" t="s">
        <v>12</v>
      </c>
      <c r="B98" s="8" t="s">
        <v>10</v>
      </c>
      <c r="C98" s="8" t="s">
        <v>36</v>
      </c>
      <c r="D98" s="8" t="s">
        <v>78</v>
      </c>
      <c r="E98" s="8" t="s">
        <v>84</v>
      </c>
      <c r="F98" s="9">
        <v>0</v>
      </c>
      <c r="G98" s="9">
        <v>15</v>
      </c>
      <c r="H98" s="9">
        <v>15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10</v>
      </c>
      <c r="R98" s="9">
        <v>5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</row>
    <row r="99" spans="1:49" ht="14.5" hidden="1" outlineLevel="1" x14ac:dyDescent="0.35">
      <c r="A99" s="8" t="s">
        <v>12</v>
      </c>
      <c r="B99" s="8" t="s">
        <v>10</v>
      </c>
      <c r="C99" s="8" t="s">
        <v>36</v>
      </c>
      <c r="D99" s="8" t="s">
        <v>78</v>
      </c>
      <c r="E99" s="8" t="s">
        <v>40</v>
      </c>
      <c r="F99" s="9">
        <v>0</v>
      </c>
      <c r="G99" s="9">
        <v>28</v>
      </c>
      <c r="H99" s="9">
        <v>0</v>
      </c>
      <c r="I99" s="9">
        <v>28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</row>
    <row r="100" spans="1:49" ht="14.5" hidden="1" outlineLevel="1" x14ac:dyDescent="0.35">
      <c r="A100" s="8" t="s">
        <v>12</v>
      </c>
      <c r="B100" s="8" t="s">
        <v>10</v>
      </c>
      <c r="C100" s="8" t="s">
        <v>36</v>
      </c>
      <c r="D100" s="8" t="s">
        <v>78</v>
      </c>
      <c r="E100" s="8" t="s">
        <v>97</v>
      </c>
      <c r="F100" s="9">
        <v>85</v>
      </c>
      <c r="G100" s="9">
        <v>195</v>
      </c>
      <c r="H100" s="9">
        <v>277.5</v>
      </c>
      <c r="I100" s="9">
        <v>-82.5</v>
      </c>
      <c r="J100" s="9">
        <v>8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10</v>
      </c>
      <c r="R100" s="9">
        <v>10</v>
      </c>
      <c r="S100" s="9">
        <v>10</v>
      </c>
      <c r="T100" s="9">
        <v>10</v>
      </c>
      <c r="U100" s="9">
        <v>15</v>
      </c>
      <c r="V100" s="9">
        <v>0</v>
      </c>
      <c r="W100" s="9">
        <v>5</v>
      </c>
      <c r="X100" s="9">
        <v>5</v>
      </c>
      <c r="Y100" s="9">
        <v>5</v>
      </c>
      <c r="Z100" s="9">
        <v>0</v>
      </c>
      <c r="AA100" s="9">
        <v>0</v>
      </c>
      <c r="AB100" s="9">
        <v>5</v>
      </c>
      <c r="AC100" s="9">
        <v>5</v>
      </c>
      <c r="AD100" s="9">
        <v>5</v>
      </c>
      <c r="AE100" s="9">
        <v>5</v>
      </c>
      <c r="AF100" s="9">
        <v>5</v>
      </c>
      <c r="AG100" s="9">
        <v>5</v>
      </c>
      <c r="AH100" s="9">
        <v>5</v>
      </c>
      <c r="AI100" s="9">
        <v>5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</row>
    <row r="101" spans="1:49" ht="14.5" hidden="1" outlineLevel="1" x14ac:dyDescent="0.35">
      <c r="A101" s="8" t="s">
        <v>12</v>
      </c>
      <c r="B101" s="8" t="s">
        <v>10</v>
      </c>
      <c r="C101" s="8" t="s">
        <v>36</v>
      </c>
      <c r="D101" s="8" t="s">
        <v>78</v>
      </c>
      <c r="E101" s="8" t="s">
        <v>85</v>
      </c>
      <c r="F101" s="9">
        <v>40.5</v>
      </c>
      <c r="G101" s="9">
        <v>40.5</v>
      </c>
      <c r="H101" s="9">
        <v>69</v>
      </c>
      <c r="I101" s="9">
        <v>-28.5</v>
      </c>
      <c r="J101" s="9">
        <v>2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</row>
    <row r="102" spans="1:49" ht="14.5" hidden="1" outlineLevel="1" x14ac:dyDescent="0.35">
      <c r="A102" s="8" t="s">
        <v>12</v>
      </c>
      <c r="B102" s="8" t="s">
        <v>10</v>
      </c>
      <c r="C102" s="8" t="s">
        <v>36</v>
      </c>
      <c r="D102" s="8" t="s">
        <v>78</v>
      </c>
      <c r="E102" s="8" t="s">
        <v>86</v>
      </c>
      <c r="F102" s="9">
        <v>0</v>
      </c>
      <c r="G102" s="9">
        <v>0</v>
      </c>
      <c r="H102" s="9">
        <v>34</v>
      </c>
      <c r="I102" s="9">
        <v>-34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</row>
    <row r="103" spans="1:49" ht="14.5" hidden="1" outlineLevel="1" x14ac:dyDescent="0.35">
      <c r="A103" s="8" t="s">
        <v>12</v>
      </c>
      <c r="B103" s="8" t="s">
        <v>10</v>
      </c>
      <c r="C103" s="8" t="s">
        <v>36</v>
      </c>
      <c r="D103" s="8" t="s">
        <v>78</v>
      </c>
      <c r="E103" s="8" t="s">
        <v>111</v>
      </c>
      <c r="F103" s="9">
        <v>0</v>
      </c>
      <c r="G103" s="9">
        <v>0</v>
      </c>
      <c r="H103" s="9">
        <v>6.5</v>
      </c>
      <c r="I103" s="9">
        <v>-6.5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</row>
    <row r="104" spans="1:49" ht="14.5" hidden="1" outlineLevel="1" x14ac:dyDescent="0.35">
      <c r="A104" s="8" t="s">
        <v>12</v>
      </c>
      <c r="B104" s="8" t="s">
        <v>10</v>
      </c>
      <c r="C104" s="8" t="s">
        <v>36</v>
      </c>
      <c r="D104" s="8" t="s">
        <v>78</v>
      </c>
      <c r="E104" s="8" t="s">
        <v>112</v>
      </c>
      <c r="F104" s="9">
        <v>0</v>
      </c>
      <c r="G104" s="9">
        <v>62</v>
      </c>
      <c r="H104" s="9">
        <v>62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2</v>
      </c>
      <c r="AC104" s="9">
        <v>6</v>
      </c>
      <c r="AD104" s="9">
        <v>8</v>
      </c>
      <c r="AE104" s="9">
        <v>8</v>
      </c>
      <c r="AF104" s="9">
        <v>8</v>
      </c>
      <c r="AG104" s="9">
        <v>10</v>
      </c>
      <c r="AH104" s="9">
        <v>10</v>
      </c>
      <c r="AI104" s="9">
        <v>10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</row>
    <row r="105" spans="1:49" ht="14.5" hidden="1" outlineLevel="1" x14ac:dyDescent="0.35">
      <c r="A105" s="8" t="s">
        <v>12</v>
      </c>
      <c r="B105" s="8" t="s">
        <v>10</v>
      </c>
      <c r="C105" s="8" t="s">
        <v>36</v>
      </c>
      <c r="D105" s="8" t="s">
        <v>78</v>
      </c>
      <c r="E105" s="8" t="s">
        <v>87</v>
      </c>
      <c r="F105" s="9">
        <v>18</v>
      </c>
      <c r="G105" s="9">
        <v>18</v>
      </c>
      <c r="H105" s="9">
        <v>45</v>
      </c>
      <c r="I105" s="9">
        <v>-27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</row>
    <row r="106" spans="1:49" ht="14.5" hidden="1" outlineLevel="1" x14ac:dyDescent="0.35">
      <c r="A106" s="8" t="s">
        <v>12</v>
      </c>
      <c r="B106" s="8" t="s">
        <v>10</v>
      </c>
      <c r="C106" s="8" t="s">
        <v>36</v>
      </c>
      <c r="D106" s="8" t="s">
        <v>78</v>
      </c>
      <c r="E106" s="8" t="s">
        <v>88</v>
      </c>
      <c r="F106" s="9">
        <v>0</v>
      </c>
      <c r="G106" s="9">
        <v>18</v>
      </c>
      <c r="H106" s="9">
        <v>18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12</v>
      </c>
      <c r="R106" s="9">
        <v>6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</row>
    <row r="107" spans="1:49" ht="14.5" hidden="1" outlineLevel="1" x14ac:dyDescent="0.35">
      <c r="A107" s="8" t="s">
        <v>12</v>
      </c>
      <c r="B107" s="8" t="s">
        <v>10</v>
      </c>
      <c r="C107" s="8" t="s">
        <v>36</v>
      </c>
      <c r="D107" s="8" t="s">
        <v>78</v>
      </c>
      <c r="E107" s="8" t="s">
        <v>105</v>
      </c>
      <c r="F107" s="9">
        <v>0.5</v>
      </c>
      <c r="G107" s="9">
        <v>0.5</v>
      </c>
      <c r="H107" s="9">
        <v>6.5</v>
      </c>
      <c r="I107" s="9">
        <v>-6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</row>
    <row r="108" spans="1:49" ht="14.5" collapsed="1" x14ac:dyDescent="0.35">
      <c r="A108" s="6" t="s">
        <v>12</v>
      </c>
      <c r="B108" s="6" t="s">
        <v>10</v>
      </c>
      <c r="C108" s="6" t="s">
        <v>22</v>
      </c>
      <c r="D108" s="6" t="s">
        <v>76</v>
      </c>
      <c r="E108" s="6" t="s">
        <v>77</v>
      </c>
      <c r="F108" s="7">
        <f t="shared" ref="F108:AW108" si="9">SUM(F109,F110,F111,F112,F113,F114,F115,F116)</f>
        <v>297.5</v>
      </c>
      <c r="G108" s="7">
        <f t="shared" si="9"/>
        <v>915.5</v>
      </c>
      <c r="H108" s="7">
        <f t="shared" si="9"/>
        <v>923.5</v>
      </c>
      <c r="I108" s="7">
        <f t="shared" si="9"/>
        <v>-8</v>
      </c>
      <c r="J108" s="7">
        <f t="shared" si="9"/>
        <v>18.5</v>
      </c>
      <c r="K108" s="7">
        <f t="shared" si="9"/>
        <v>5</v>
      </c>
      <c r="L108" s="7">
        <f t="shared" si="9"/>
        <v>8</v>
      </c>
      <c r="M108" s="7">
        <f t="shared" si="9"/>
        <v>3</v>
      </c>
      <c r="N108" s="7">
        <f t="shared" si="9"/>
        <v>3</v>
      </c>
      <c r="O108" s="7">
        <f t="shared" si="9"/>
        <v>3</v>
      </c>
      <c r="P108" s="7">
        <f t="shared" si="9"/>
        <v>13</v>
      </c>
      <c r="Q108" s="7">
        <f t="shared" si="9"/>
        <v>13</v>
      </c>
      <c r="R108" s="7">
        <f t="shared" si="9"/>
        <v>0</v>
      </c>
      <c r="S108" s="7">
        <f t="shared" si="9"/>
        <v>5</v>
      </c>
      <c r="T108" s="7">
        <f t="shared" si="9"/>
        <v>5</v>
      </c>
      <c r="U108" s="7">
        <f t="shared" si="9"/>
        <v>10</v>
      </c>
      <c r="V108" s="7">
        <f t="shared" si="9"/>
        <v>10</v>
      </c>
      <c r="W108" s="7">
        <f t="shared" si="9"/>
        <v>0</v>
      </c>
      <c r="X108" s="7">
        <f t="shared" si="9"/>
        <v>0</v>
      </c>
      <c r="Y108" s="7">
        <f t="shared" si="9"/>
        <v>8</v>
      </c>
      <c r="Z108" s="7">
        <f t="shared" si="9"/>
        <v>0</v>
      </c>
      <c r="AA108" s="7">
        <f t="shared" si="9"/>
        <v>0</v>
      </c>
      <c r="AB108" s="7">
        <f t="shared" si="9"/>
        <v>23</v>
      </c>
      <c r="AC108" s="7">
        <f t="shared" si="9"/>
        <v>45</v>
      </c>
      <c r="AD108" s="10">
        <f t="shared" si="9"/>
        <v>60</v>
      </c>
      <c r="AE108" s="11">
        <f t="shared" si="9"/>
        <v>70</v>
      </c>
      <c r="AF108" s="11">
        <f t="shared" si="9"/>
        <v>70</v>
      </c>
      <c r="AG108" s="10">
        <f t="shared" si="9"/>
        <v>61</v>
      </c>
      <c r="AH108" s="10">
        <f t="shared" si="9"/>
        <v>57</v>
      </c>
      <c r="AI108" s="7">
        <f t="shared" si="9"/>
        <v>46</v>
      </c>
      <c r="AJ108" s="7">
        <f t="shared" si="9"/>
        <v>12</v>
      </c>
      <c r="AK108" s="7">
        <f t="shared" si="9"/>
        <v>16</v>
      </c>
      <c r="AL108" s="7">
        <f t="shared" si="9"/>
        <v>16</v>
      </c>
      <c r="AM108" s="7">
        <f t="shared" si="9"/>
        <v>8</v>
      </c>
      <c r="AN108" s="7">
        <f t="shared" si="9"/>
        <v>0</v>
      </c>
      <c r="AO108" s="7">
        <f t="shared" si="9"/>
        <v>0</v>
      </c>
      <c r="AP108" s="7">
        <f t="shared" si="9"/>
        <v>0</v>
      </c>
      <c r="AQ108" s="7">
        <f t="shared" si="9"/>
        <v>0</v>
      </c>
      <c r="AR108" s="7">
        <f t="shared" si="9"/>
        <v>0</v>
      </c>
      <c r="AS108" s="7">
        <f t="shared" si="9"/>
        <v>0</v>
      </c>
      <c r="AT108" s="7">
        <f t="shared" si="9"/>
        <v>0</v>
      </c>
      <c r="AU108" s="7">
        <f t="shared" si="9"/>
        <v>0</v>
      </c>
      <c r="AV108" s="7">
        <f t="shared" si="9"/>
        <v>0</v>
      </c>
      <c r="AW108" s="7">
        <f t="shared" si="9"/>
        <v>0</v>
      </c>
    </row>
    <row r="109" spans="1:49" ht="14.5" hidden="1" outlineLevel="1" x14ac:dyDescent="0.35">
      <c r="A109" s="8" t="s">
        <v>12</v>
      </c>
      <c r="B109" s="8" t="s">
        <v>10</v>
      </c>
      <c r="C109" s="8" t="s">
        <v>22</v>
      </c>
      <c r="D109" s="8" t="s">
        <v>78</v>
      </c>
      <c r="E109" s="8" t="s">
        <v>113</v>
      </c>
      <c r="F109" s="9">
        <v>0</v>
      </c>
      <c r="G109" s="9">
        <v>70</v>
      </c>
      <c r="H109" s="9">
        <v>70</v>
      </c>
      <c r="I109" s="9">
        <v>0</v>
      </c>
      <c r="J109" s="9">
        <v>0</v>
      </c>
      <c r="K109" s="9">
        <v>0</v>
      </c>
      <c r="L109" s="9">
        <v>3</v>
      </c>
      <c r="M109" s="9">
        <v>3</v>
      </c>
      <c r="N109" s="9">
        <v>3</v>
      </c>
      <c r="O109" s="9">
        <v>3</v>
      </c>
      <c r="P109" s="9">
        <v>3</v>
      </c>
      <c r="Q109" s="9">
        <v>3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12</v>
      </c>
      <c r="AK109" s="9">
        <v>16</v>
      </c>
      <c r="AL109" s="9">
        <v>16</v>
      </c>
      <c r="AM109" s="9">
        <v>8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</row>
    <row r="110" spans="1:49" ht="14.5" hidden="1" outlineLevel="1" x14ac:dyDescent="0.35">
      <c r="A110" s="8" t="s">
        <v>12</v>
      </c>
      <c r="B110" s="8" t="s">
        <v>10</v>
      </c>
      <c r="C110" s="8" t="s">
        <v>22</v>
      </c>
      <c r="D110" s="8" t="s">
        <v>78</v>
      </c>
      <c r="E110" s="8" t="s">
        <v>102</v>
      </c>
      <c r="F110" s="9">
        <v>0</v>
      </c>
      <c r="G110" s="9">
        <v>122</v>
      </c>
      <c r="H110" s="9">
        <v>122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8</v>
      </c>
      <c r="AC110" s="9">
        <v>15</v>
      </c>
      <c r="AD110" s="9">
        <v>15</v>
      </c>
      <c r="AE110" s="9">
        <v>20</v>
      </c>
      <c r="AF110" s="9">
        <v>20</v>
      </c>
      <c r="AG110" s="9">
        <v>21</v>
      </c>
      <c r="AH110" s="9">
        <v>17</v>
      </c>
      <c r="AI110" s="9">
        <v>6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</row>
    <row r="111" spans="1:49" ht="14.5" hidden="1" outlineLevel="1" x14ac:dyDescent="0.35">
      <c r="A111" s="8" t="s">
        <v>12</v>
      </c>
      <c r="B111" s="8" t="s">
        <v>10</v>
      </c>
      <c r="C111" s="8" t="s">
        <v>22</v>
      </c>
      <c r="D111" s="8" t="s">
        <v>78</v>
      </c>
      <c r="E111" s="8" t="s">
        <v>83</v>
      </c>
      <c r="F111" s="9">
        <v>10</v>
      </c>
      <c r="G111" s="9">
        <v>10</v>
      </c>
      <c r="H111" s="9">
        <v>0</v>
      </c>
      <c r="I111" s="9">
        <v>10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</row>
    <row r="112" spans="1:49" ht="14.5" hidden="1" outlineLevel="1" x14ac:dyDescent="0.35">
      <c r="A112" s="8" t="s">
        <v>12</v>
      </c>
      <c r="B112" s="8" t="s">
        <v>10</v>
      </c>
      <c r="C112" s="8" t="s">
        <v>22</v>
      </c>
      <c r="D112" s="8" t="s">
        <v>78</v>
      </c>
      <c r="E112" s="8" t="s">
        <v>84</v>
      </c>
      <c r="F112" s="9">
        <v>0</v>
      </c>
      <c r="G112" s="9">
        <v>10</v>
      </c>
      <c r="H112" s="9">
        <v>0</v>
      </c>
      <c r="I112" s="9">
        <v>10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</row>
    <row r="113" spans="1:49" ht="14.5" hidden="1" outlineLevel="1" x14ac:dyDescent="0.35">
      <c r="A113" s="8" t="s">
        <v>12</v>
      </c>
      <c r="B113" s="8" t="s">
        <v>10</v>
      </c>
      <c r="C113" s="8" t="s">
        <v>22</v>
      </c>
      <c r="D113" s="8" t="s">
        <v>78</v>
      </c>
      <c r="E113" s="8" t="s">
        <v>40</v>
      </c>
      <c r="F113" s="9">
        <v>0</v>
      </c>
      <c r="G113" s="9">
        <v>28</v>
      </c>
      <c r="H113" s="9">
        <v>0</v>
      </c>
      <c r="I113" s="9">
        <v>28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</row>
    <row r="114" spans="1:49" ht="14.5" hidden="1" outlineLevel="1" x14ac:dyDescent="0.35">
      <c r="A114" s="8" t="s">
        <v>12</v>
      </c>
      <c r="B114" s="8" t="s">
        <v>10</v>
      </c>
      <c r="C114" s="8" t="s">
        <v>22</v>
      </c>
      <c r="D114" s="8" t="s">
        <v>78</v>
      </c>
      <c r="E114" s="8" t="s">
        <v>103</v>
      </c>
      <c r="F114" s="9">
        <v>180.5</v>
      </c>
      <c r="G114" s="9">
        <v>270.5</v>
      </c>
      <c r="H114" s="9">
        <v>301.5</v>
      </c>
      <c r="I114" s="9">
        <v>-31</v>
      </c>
      <c r="J114" s="9">
        <v>12.5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5</v>
      </c>
      <c r="T114" s="9">
        <v>5</v>
      </c>
      <c r="U114" s="9">
        <v>10</v>
      </c>
      <c r="V114" s="9">
        <v>10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10</v>
      </c>
      <c r="AD114" s="9">
        <v>10</v>
      </c>
      <c r="AE114" s="9">
        <v>10</v>
      </c>
      <c r="AF114" s="9">
        <v>10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</row>
    <row r="115" spans="1:49" ht="14.5" hidden="1" outlineLevel="1" x14ac:dyDescent="0.35">
      <c r="A115" s="8" t="s">
        <v>12</v>
      </c>
      <c r="B115" s="8" t="s">
        <v>10</v>
      </c>
      <c r="C115" s="8" t="s">
        <v>22</v>
      </c>
      <c r="D115" s="8" t="s">
        <v>78</v>
      </c>
      <c r="E115" s="8" t="s">
        <v>99</v>
      </c>
      <c r="F115" s="9">
        <v>107</v>
      </c>
      <c r="G115" s="9">
        <v>405</v>
      </c>
      <c r="H115" s="9">
        <v>428</v>
      </c>
      <c r="I115" s="9">
        <v>-23</v>
      </c>
      <c r="J115" s="9">
        <v>6</v>
      </c>
      <c r="K115" s="9">
        <v>5</v>
      </c>
      <c r="L115" s="9">
        <v>5</v>
      </c>
      <c r="M115" s="9">
        <v>0</v>
      </c>
      <c r="N115" s="9">
        <v>0</v>
      </c>
      <c r="O115" s="9">
        <v>0</v>
      </c>
      <c r="P115" s="9">
        <v>10</v>
      </c>
      <c r="Q115" s="9">
        <v>10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8</v>
      </c>
      <c r="Z115" s="9">
        <v>0</v>
      </c>
      <c r="AA115" s="9">
        <v>0</v>
      </c>
      <c r="AB115" s="9">
        <v>15</v>
      </c>
      <c r="AC115" s="9">
        <v>20</v>
      </c>
      <c r="AD115" s="9">
        <v>35</v>
      </c>
      <c r="AE115" s="9">
        <v>40</v>
      </c>
      <c r="AF115" s="9">
        <v>40</v>
      </c>
      <c r="AG115" s="9">
        <v>40</v>
      </c>
      <c r="AH115" s="9">
        <v>40</v>
      </c>
      <c r="AI115" s="9">
        <v>40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</row>
    <row r="116" spans="1:49" ht="14.5" hidden="1" outlineLevel="1" x14ac:dyDescent="0.35">
      <c r="A116" s="8" t="s">
        <v>12</v>
      </c>
      <c r="B116" s="8" t="s">
        <v>10</v>
      </c>
      <c r="C116" s="8" t="s">
        <v>22</v>
      </c>
      <c r="D116" s="8" t="s">
        <v>78</v>
      </c>
      <c r="E116" s="8" t="s">
        <v>87</v>
      </c>
      <c r="F116" s="9">
        <v>0</v>
      </c>
      <c r="G116" s="9">
        <v>0</v>
      </c>
      <c r="H116" s="9">
        <v>2</v>
      </c>
      <c r="I116" s="9">
        <v>-2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</row>
    <row r="117" spans="1:49" ht="14.5" collapsed="1" x14ac:dyDescent="0.35">
      <c r="A117" s="6" t="s">
        <v>12</v>
      </c>
      <c r="B117" s="6" t="s">
        <v>10</v>
      </c>
      <c r="C117" s="6" t="s">
        <v>20</v>
      </c>
      <c r="D117" s="6" t="s">
        <v>76</v>
      </c>
      <c r="E117" s="6" t="s">
        <v>77</v>
      </c>
      <c r="F117" s="7">
        <f t="shared" ref="F117:AW117" si="10">SUM(F118,F119,F120,F121,F122,F123,F124,F125,F126,F127,F128,F129)</f>
        <v>193.5</v>
      </c>
      <c r="G117" s="7">
        <f t="shared" si="10"/>
        <v>888.5</v>
      </c>
      <c r="H117" s="7">
        <f t="shared" si="10"/>
        <v>1267</v>
      </c>
      <c r="I117" s="7">
        <f t="shared" si="10"/>
        <v>-378.5</v>
      </c>
      <c r="J117" s="10">
        <f t="shared" si="10"/>
        <v>45</v>
      </c>
      <c r="K117" s="11">
        <f t="shared" si="10"/>
        <v>56.5</v>
      </c>
      <c r="L117" s="11">
        <f t="shared" si="10"/>
        <v>57.5</v>
      </c>
      <c r="M117" s="7">
        <f t="shared" si="10"/>
        <v>16.5</v>
      </c>
      <c r="N117" s="7">
        <f t="shared" si="10"/>
        <v>16.5</v>
      </c>
      <c r="O117" s="7">
        <f t="shared" si="10"/>
        <v>12.5</v>
      </c>
      <c r="P117" s="7">
        <f t="shared" si="10"/>
        <v>20.5</v>
      </c>
      <c r="Q117" s="7">
        <f t="shared" si="10"/>
        <v>38.5</v>
      </c>
      <c r="R117" s="7">
        <f t="shared" si="10"/>
        <v>30.5</v>
      </c>
      <c r="S117" s="7">
        <f t="shared" si="10"/>
        <v>14.5</v>
      </c>
      <c r="T117" s="7">
        <f t="shared" si="10"/>
        <v>17.5</v>
      </c>
      <c r="U117" s="7">
        <f t="shared" si="10"/>
        <v>25.5</v>
      </c>
      <c r="V117" s="11">
        <f t="shared" si="10"/>
        <v>52.5</v>
      </c>
      <c r="W117" s="11">
        <f t="shared" si="10"/>
        <v>54.5</v>
      </c>
      <c r="X117" s="7">
        <f t="shared" si="10"/>
        <v>25.5</v>
      </c>
      <c r="Y117" s="7">
        <f t="shared" si="10"/>
        <v>17</v>
      </c>
      <c r="Z117" s="7">
        <f t="shared" si="10"/>
        <v>10</v>
      </c>
      <c r="AA117" s="7">
        <f t="shared" si="10"/>
        <v>0</v>
      </c>
      <c r="AB117" s="7">
        <f t="shared" si="10"/>
        <v>13.5</v>
      </c>
      <c r="AC117" s="7">
        <f t="shared" si="10"/>
        <v>16.5</v>
      </c>
      <c r="AD117" s="7">
        <f t="shared" si="10"/>
        <v>28.5</v>
      </c>
      <c r="AE117" s="7">
        <f t="shared" si="10"/>
        <v>37.5</v>
      </c>
      <c r="AF117" s="10">
        <f t="shared" si="10"/>
        <v>62.5</v>
      </c>
      <c r="AG117" s="10">
        <f t="shared" si="10"/>
        <v>59.5</v>
      </c>
      <c r="AH117" s="11">
        <f t="shared" si="10"/>
        <v>72.5</v>
      </c>
      <c r="AI117" s="11">
        <f t="shared" si="10"/>
        <v>66.5</v>
      </c>
      <c r="AJ117" s="7">
        <f t="shared" si="10"/>
        <v>30</v>
      </c>
      <c r="AK117" s="7">
        <f t="shared" si="10"/>
        <v>30</v>
      </c>
      <c r="AL117" s="7">
        <f t="shared" si="10"/>
        <v>30</v>
      </c>
      <c r="AM117" s="7">
        <f t="shared" si="10"/>
        <v>0</v>
      </c>
      <c r="AN117" s="7">
        <f t="shared" si="10"/>
        <v>0</v>
      </c>
      <c r="AO117" s="7">
        <f t="shared" si="10"/>
        <v>0</v>
      </c>
      <c r="AP117" s="7">
        <f t="shared" si="10"/>
        <v>0</v>
      </c>
      <c r="AQ117" s="7">
        <f t="shared" si="10"/>
        <v>0</v>
      </c>
      <c r="AR117" s="7">
        <f t="shared" si="10"/>
        <v>0</v>
      </c>
      <c r="AS117" s="7">
        <f t="shared" si="10"/>
        <v>0</v>
      </c>
      <c r="AT117" s="7">
        <f t="shared" si="10"/>
        <v>0</v>
      </c>
      <c r="AU117" s="7">
        <f t="shared" si="10"/>
        <v>0</v>
      </c>
      <c r="AV117" s="7">
        <f t="shared" si="10"/>
        <v>0</v>
      </c>
      <c r="AW117" s="7">
        <f t="shared" si="10"/>
        <v>0</v>
      </c>
    </row>
    <row r="118" spans="1:49" ht="14.5" hidden="1" outlineLevel="1" x14ac:dyDescent="0.35">
      <c r="A118" s="8" t="s">
        <v>12</v>
      </c>
      <c r="B118" s="8" t="s">
        <v>10</v>
      </c>
      <c r="C118" s="8" t="s">
        <v>20</v>
      </c>
      <c r="D118" s="8" t="s">
        <v>78</v>
      </c>
      <c r="E118" s="8" t="s">
        <v>82</v>
      </c>
      <c r="F118" s="9">
        <v>10</v>
      </c>
      <c r="G118" s="9">
        <v>10</v>
      </c>
      <c r="H118" s="9">
        <v>19</v>
      </c>
      <c r="I118" s="9">
        <v>-9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</row>
    <row r="119" spans="1:49" ht="14.5" hidden="1" outlineLevel="1" x14ac:dyDescent="0.35">
      <c r="A119" s="8" t="s">
        <v>12</v>
      </c>
      <c r="B119" s="8" t="s">
        <v>10</v>
      </c>
      <c r="C119" s="8" t="s">
        <v>20</v>
      </c>
      <c r="D119" s="8" t="s">
        <v>78</v>
      </c>
      <c r="E119" s="8" t="s">
        <v>83</v>
      </c>
      <c r="F119" s="9">
        <v>8</v>
      </c>
      <c r="G119" s="9">
        <v>8</v>
      </c>
      <c r="H119" s="9">
        <v>21</v>
      </c>
      <c r="I119" s="9">
        <v>-13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</row>
    <row r="120" spans="1:49" ht="14.5" hidden="1" outlineLevel="1" x14ac:dyDescent="0.35">
      <c r="A120" s="8" t="s">
        <v>12</v>
      </c>
      <c r="B120" s="8" t="s">
        <v>10</v>
      </c>
      <c r="C120" s="8" t="s">
        <v>20</v>
      </c>
      <c r="D120" s="8" t="s">
        <v>78</v>
      </c>
      <c r="E120" s="8" t="s">
        <v>84</v>
      </c>
      <c r="F120" s="9">
        <v>0</v>
      </c>
      <c r="G120" s="9">
        <v>8</v>
      </c>
      <c r="H120" s="9">
        <v>8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4</v>
      </c>
      <c r="R120" s="9">
        <v>4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</row>
    <row r="121" spans="1:49" ht="14.5" hidden="1" outlineLevel="1" x14ac:dyDescent="0.35">
      <c r="A121" s="8" t="s">
        <v>12</v>
      </c>
      <c r="B121" s="8" t="s">
        <v>10</v>
      </c>
      <c r="C121" s="8" t="s">
        <v>20</v>
      </c>
      <c r="D121" s="8" t="s">
        <v>78</v>
      </c>
      <c r="E121" s="8" t="s">
        <v>40</v>
      </c>
      <c r="F121" s="9">
        <v>0</v>
      </c>
      <c r="G121" s="9">
        <v>18</v>
      </c>
      <c r="H121" s="9">
        <v>24</v>
      </c>
      <c r="I121" s="9">
        <v>-6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8</v>
      </c>
      <c r="AG121" s="9">
        <v>0</v>
      </c>
      <c r="AH121" s="9">
        <v>6</v>
      </c>
      <c r="AI121" s="9">
        <v>10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</row>
    <row r="122" spans="1:49" ht="14.5" hidden="1" outlineLevel="1" x14ac:dyDescent="0.35">
      <c r="A122" s="8" t="s">
        <v>12</v>
      </c>
      <c r="B122" s="8" t="s">
        <v>10</v>
      </c>
      <c r="C122" s="8" t="s">
        <v>20</v>
      </c>
      <c r="D122" s="8" t="s">
        <v>78</v>
      </c>
      <c r="E122" s="8" t="s">
        <v>85</v>
      </c>
      <c r="F122" s="9">
        <v>105</v>
      </c>
      <c r="G122" s="9">
        <v>353</v>
      </c>
      <c r="H122" s="9">
        <v>477</v>
      </c>
      <c r="I122" s="9">
        <v>-124</v>
      </c>
      <c r="J122" s="9">
        <v>27</v>
      </c>
      <c r="K122" s="9">
        <v>43.5</v>
      </c>
      <c r="L122" s="9">
        <v>41.5</v>
      </c>
      <c r="M122" s="9">
        <v>5.5</v>
      </c>
      <c r="N122" s="9">
        <v>3.5</v>
      </c>
      <c r="O122" s="9">
        <v>3.5</v>
      </c>
      <c r="P122" s="9">
        <v>3.5</v>
      </c>
      <c r="Q122" s="9">
        <v>3.5</v>
      </c>
      <c r="R122" s="9">
        <v>3.5</v>
      </c>
      <c r="S122" s="9">
        <v>5.5</v>
      </c>
      <c r="T122" s="9">
        <v>3.5</v>
      </c>
      <c r="U122" s="9">
        <v>11.5</v>
      </c>
      <c r="V122" s="9">
        <v>42.5</v>
      </c>
      <c r="W122" s="9">
        <v>40.5</v>
      </c>
      <c r="X122" s="9">
        <v>11.5</v>
      </c>
      <c r="Y122" s="9">
        <v>0</v>
      </c>
      <c r="Z122" s="9">
        <v>0</v>
      </c>
      <c r="AA122" s="9">
        <v>0</v>
      </c>
      <c r="AB122" s="9">
        <v>13.5</v>
      </c>
      <c r="AC122" s="9">
        <v>6.5</v>
      </c>
      <c r="AD122" s="9">
        <v>3.5</v>
      </c>
      <c r="AE122" s="9">
        <v>7.5</v>
      </c>
      <c r="AF122" s="9">
        <v>16.5</v>
      </c>
      <c r="AG122" s="9">
        <v>29.5</v>
      </c>
      <c r="AH122" s="9">
        <v>21.5</v>
      </c>
      <c r="AI122" s="9">
        <v>11.5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</row>
    <row r="123" spans="1:49" ht="14.5" hidden="1" outlineLevel="1" x14ac:dyDescent="0.35">
      <c r="A123" s="8" t="s">
        <v>12</v>
      </c>
      <c r="B123" s="8" t="s">
        <v>10</v>
      </c>
      <c r="C123" s="8" t="s">
        <v>20</v>
      </c>
      <c r="D123" s="8" t="s">
        <v>78</v>
      </c>
      <c r="E123" s="8" t="s">
        <v>86</v>
      </c>
      <c r="F123" s="9">
        <v>0</v>
      </c>
      <c r="G123" s="9">
        <v>0</v>
      </c>
      <c r="H123" s="9">
        <v>42</v>
      </c>
      <c r="I123" s="9">
        <v>-42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</row>
    <row r="124" spans="1:49" ht="14.5" hidden="1" outlineLevel="1" x14ac:dyDescent="0.35">
      <c r="A124" s="8" t="s">
        <v>12</v>
      </c>
      <c r="B124" s="8" t="s">
        <v>10</v>
      </c>
      <c r="C124" s="8" t="s">
        <v>20</v>
      </c>
      <c r="D124" s="8" t="s">
        <v>78</v>
      </c>
      <c r="E124" s="8" t="s">
        <v>43</v>
      </c>
      <c r="F124" s="9">
        <v>0</v>
      </c>
      <c r="G124" s="9">
        <v>0</v>
      </c>
      <c r="H124" s="9">
        <v>140</v>
      </c>
      <c r="I124" s="9">
        <v>-140</v>
      </c>
      <c r="J124" s="9">
        <v>11</v>
      </c>
      <c r="K124" s="9">
        <v>10</v>
      </c>
      <c r="L124" s="9">
        <v>10</v>
      </c>
      <c r="M124" s="9">
        <v>5</v>
      </c>
      <c r="N124" s="9">
        <v>5</v>
      </c>
      <c r="O124" s="9">
        <v>5</v>
      </c>
      <c r="P124" s="9">
        <v>5</v>
      </c>
      <c r="Q124" s="9">
        <v>5</v>
      </c>
      <c r="R124" s="9">
        <v>5</v>
      </c>
      <c r="S124" s="9">
        <v>5</v>
      </c>
      <c r="T124" s="9">
        <v>10</v>
      </c>
      <c r="U124" s="9">
        <v>10</v>
      </c>
      <c r="V124" s="9">
        <v>10</v>
      </c>
      <c r="W124" s="9">
        <v>10</v>
      </c>
      <c r="X124" s="9">
        <v>10</v>
      </c>
      <c r="Y124" s="9">
        <v>10</v>
      </c>
      <c r="Z124" s="9">
        <v>10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</row>
    <row r="125" spans="1:49" ht="14.5" hidden="1" outlineLevel="1" x14ac:dyDescent="0.35">
      <c r="A125" s="8" t="s">
        <v>12</v>
      </c>
      <c r="B125" s="8" t="s">
        <v>10</v>
      </c>
      <c r="C125" s="8" t="s">
        <v>20</v>
      </c>
      <c r="D125" s="8" t="s">
        <v>78</v>
      </c>
      <c r="E125" s="8" t="s">
        <v>111</v>
      </c>
      <c r="F125" s="9">
        <v>19.5</v>
      </c>
      <c r="G125" s="9">
        <v>91.5</v>
      </c>
      <c r="H125" s="9">
        <v>85.5</v>
      </c>
      <c r="I125" s="9">
        <v>6</v>
      </c>
      <c r="J125" s="9">
        <v>5</v>
      </c>
      <c r="K125" s="9">
        <v>2</v>
      </c>
      <c r="L125" s="9">
        <v>4</v>
      </c>
      <c r="M125" s="9">
        <v>4</v>
      </c>
      <c r="N125" s="9">
        <v>4</v>
      </c>
      <c r="O125" s="9">
        <v>0</v>
      </c>
      <c r="P125" s="9">
        <v>0</v>
      </c>
      <c r="Q125" s="9">
        <v>0</v>
      </c>
      <c r="R125" s="9">
        <v>0</v>
      </c>
      <c r="S125" s="9">
        <v>4</v>
      </c>
      <c r="T125" s="9">
        <v>4</v>
      </c>
      <c r="U125" s="9">
        <v>4</v>
      </c>
      <c r="V125" s="9">
        <v>0</v>
      </c>
      <c r="W125" s="9">
        <v>4</v>
      </c>
      <c r="X125" s="9">
        <v>4</v>
      </c>
      <c r="Y125" s="9">
        <v>4</v>
      </c>
      <c r="Z125" s="9">
        <v>0</v>
      </c>
      <c r="AA125" s="9">
        <v>0</v>
      </c>
      <c r="AB125" s="9">
        <v>0</v>
      </c>
      <c r="AC125" s="9">
        <v>4</v>
      </c>
      <c r="AD125" s="9">
        <v>10</v>
      </c>
      <c r="AE125" s="9">
        <v>10</v>
      </c>
      <c r="AF125" s="9">
        <v>8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</row>
    <row r="126" spans="1:49" ht="14.5" hidden="1" outlineLevel="1" x14ac:dyDescent="0.35">
      <c r="A126" s="8" t="s">
        <v>12</v>
      </c>
      <c r="B126" s="8" t="s">
        <v>10</v>
      </c>
      <c r="C126" s="8" t="s">
        <v>20</v>
      </c>
      <c r="D126" s="8" t="s">
        <v>78</v>
      </c>
      <c r="E126" s="8" t="s">
        <v>100</v>
      </c>
      <c r="F126" s="9">
        <v>39</v>
      </c>
      <c r="G126" s="9">
        <v>286</v>
      </c>
      <c r="H126" s="9">
        <v>316.5</v>
      </c>
      <c r="I126" s="9">
        <v>-30.5</v>
      </c>
      <c r="J126" s="9">
        <v>2</v>
      </c>
      <c r="K126" s="9">
        <v>1</v>
      </c>
      <c r="L126" s="9">
        <v>2</v>
      </c>
      <c r="M126" s="9">
        <v>2</v>
      </c>
      <c r="N126" s="9">
        <v>4</v>
      </c>
      <c r="O126" s="9">
        <v>4</v>
      </c>
      <c r="P126" s="9">
        <v>12</v>
      </c>
      <c r="Q126" s="9">
        <v>20</v>
      </c>
      <c r="R126" s="9">
        <v>12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3</v>
      </c>
      <c r="Z126" s="9">
        <v>0</v>
      </c>
      <c r="AA126" s="9">
        <v>0</v>
      </c>
      <c r="AB126" s="9">
        <v>0</v>
      </c>
      <c r="AC126" s="9">
        <v>6</v>
      </c>
      <c r="AD126" s="9">
        <v>15</v>
      </c>
      <c r="AE126" s="9">
        <v>20</v>
      </c>
      <c r="AF126" s="9">
        <v>30</v>
      </c>
      <c r="AG126" s="9">
        <v>30</v>
      </c>
      <c r="AH126" s="9">
        <v>45</v>
      </c>
      <c r="AI126" s="9">
        <v>45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</row>
    <row r="127" spans="1:49" ht="14.5" hidden="1" outlineLevel="1" x14ac:dyDescent="0.35">
      <c r="A127" s="8" t="s">
        <v>12</v>
      </c>
      <c r="B127" s="8" t="s">
        <v>10</v>
      </c>
      <c r="C127" s="8" t="s">
        <v>20</v>
      </c>
      <c r="D127" s="8" t="s">
        <v>78</v>
      </c>
      <c r="E127" s="8" t="s">
        <v>114</v>
      </c>
      <c r="F127" s="9">
        <v>0</v>
      </c>
      <c r="G127" s="9">
        <v>90</v>
      </c>
      <c r="H127" s="9">
        <v>90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30</v>
      </c>
      <c r="AK127" s="9">
        <v>30</v>
      </c>
      <c r="AL127" s="9">
        <v>30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</row>
    <row r="128" spans="1:49" ht="14.5" hidden="1" outlineLevel="1" x14ac:dyDescent="0.35">
      <c r="A128" s="8" t="s">
        <v>12</v>
      </c>
      <c r="B128" s="8" t="s">
        <v>10</v>
      </c>
      <c r="C128" s="8" t="s">
        <v>20</v>
      </c>
      <c r="D128" s="8" t="s">
        <v>78</v>
      </c>
      <c r="E128" s="8" t="s">
        <v>87</v>
      </c>
      <c r="F128" s="9">
        <v>12</v>
      </c>
      <c r="G128" s="9">
        <v>12</v>
      </c>
      <c r="H128" s="9">
        <v>32</v>
      </c>
      <c r="I128" s="9">
        <v>-20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</row>
    <row r="129" spans="1:49" ht="14.5" hidden="1" outlineLevel="1" x14ac:dyDescent="0.35">
      <c r="A129" s="8" t="s">
        <v>12</v>
      </c>
      <c r="B129" s="8" t="s">
        <v>10</v>
      </c>
      <c r="C129" s="8" t="s">
        <v>20</v>
      </c>
      <c r="D129" s="8" t="s">
        <v>78</v>
      </c>
      <c r="E129" s="8" t="s">
        <v>88</v>
      </c>
      <c r="F129" s="9">
        <v>0</v>
      </c>
      <c r="G129" s="9">
        <v>12</v>
      </c>
      <c r="H129" s="9">
        <v>12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6</v>
      </c>
      <c r="R129" s="9">
        <v>6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</row>
    <row r="130" spans="1:49" ht="14.5" collapsed="1" x14ac:dyDescent="0.35">
      <c r="A130" s="6" t="s">
        <v>12</v>
      </c>
      <c r="B130" s="6" t="s">
        <v>10</v>
      </c>
      <c r="C130" s="6" t="s">
        <v>23</v>
      </c>
      <c r="D130" s="6" t="s">
        <v>76</v>
      </c>
      <c r="E130" s="6" t="s">
        <v>77</v>
      </c>
      <c r="F130" s="7">
        <f t="shared" ref="F130:AW130" si="11">SUM(F131,F132,F133,F134,F135,F136,F137,F138,F139,F140,F141,F142,F143,F144)</f>
        <v>315.60000000000002</v>
      </c>
      <c r="G130" s="7">
        <f t="shared" si="11"/>
        <v>1106.5</v>
      </c>
      <c r="H130" s="7">
        <f t="shared" si="11"/>
        <v>1042.2</v>
      </c>
      <c r="I130" s="7">
        <f t="shared" si="11"/>
        <v>64.3</v>
      </c>
      <c r="J130" s="7">
        <f t="shared" si="11"/>
        <v>0.614035</v>
      </c>
      <c r="K130" s="7">
        <f t="shared" si="11"/>
        <v>14.614034999999999</v>
      </c>
      <c r="L130" s="7">
        <f t="shared" si="11"/>
        <v>18.614035000000001</v>
      </c>
      <c r="M130" s="7">
        <f t="shared" si="11"/>
        <v>18.614035000000001</v>
      </c>
      <c r="N130" s="7">
        <f t="shared" si="11"/>
        <v>19.614035000000001</v>
      </c>
      <c r="O130" s="7">
        <f t="shared" si="11"/>
        <v>15.614035000000001</v>
      </c>
      <c r="P130" s="7">
        <f t="shared" si="11"/>
        <v>32.614035000000001</v>
      </c>
      <c r="Q130" s="11">
        <f t="shared" si="11"/>
        <v>54.614035000000001</v>
      </c>
      <c r="R130" s="11">
        <f t="shared" si="11"/>
        <v>57.614035000000001</v>
      </c>
      <c r="S130" s="7">
        <f t="shared" si="11"/>
        <v>17.614035000000001</v>
      </c>
      <c r="T130" s="7">
        <f t="shared" si="11"/>
        <v>21.614035000000001</v>
      </c>
      <c r="U130" s="7">
        <f t="shared" si="11"/>
        <v>33.614035000000001</v>
      </c>
      <c r="V130" s="7">
        <f t="shared" si="11"/>
        <v>8.6140349999999994</v>
      </c>
      <c r="W130" s="7">
        <f t="shared" si="11"/>
        <v>12.614035000000001</v>
      </c>
      <c r="X130" s="7">
        <f t="shared" si="11"/>
        <v>22.614035000000001</v>
      </c>
      <c r="Y130" s="7">
        <f t="shared" si="11"/>
        <v>19.614035000000001</v>
      </c>
      <c r="Z130" s="7">
        <f t="shared" si="11"/>
        <v>0.614035</v>
      </c>
      <c r="AA130" s="7">
        <f t="shared" si="11"/>
        <v>0.8</v>
      </c>
      <c r="AB130" s="7">
        <f t="shared" si="11"/>
        <v>42.5</v>
      </c>
      <c r="AC130" s="7">
        <f t="shared" si="11"/>
        <v>47.5</v>
      </c>
      <c r="AD130" s="10">
        <f t="shared" si="11"/>
        <v>58.5</v>
      </c>
      <c r="AE130" s="10">
        <f t="shared" si="11"/>
        <v>63.5</v>
      </c>
      <c r="AF130" s="10">
        <f t="shared" si="11"/>
        <v>56</v>
      </c>
      <c r="AG130" s="11">
        <f t="shared" si="11"/>
        <v>69.5</v>
      </c>
      <c r="AH130" s="7">
        <f t="shared" si="11"/>
        <v>46.5</v>
      </c>
      <c r="AI130" s="7">
        <f t="shared" si="11"/>
        <v>17.5</v>
      </c>
      <c r="AJ130" s="7">
        <f t="shared" si="11"/>
        <v>10</v>
      </c>
      <c r="AK130" s="7">
        <f t="shared" si="11"/>
        <v>17</v>
      </c>
      <c r="AL130" s="7">
        <f t="shared" si="11"/>
        <v>15</v>
      </c>
      <c r="AM130" s="7">
        <f t="shared" si="11"/>
        <v>0</v>
      </c>
      <c r="AN130" s="7">
        <f t="shared" si="11"/>
        <v>0</v>
      </c>
      <c r="AO130" s="7">
        <f t="shared" si="11"/>
        <v>0</v>
      </c>
      <c r="AP130" s="7">
        <f t="shared" si="11"/>
        <v>0</v>
      </c>
      <c r="AQ130" s="7">
        <f t="shared" si="11"/>
        <v>0</v>
      </c>
      <c r="AR130" s="7">
        <f t="shared" si="11"/>
        <v>0</v>
      </c>
      <c r="AS130" s="7">
        <f t="shared" si="11"/>
        <v>0</v>
      </c>
      <c r="AT130" s="7">
        <f t="shared" si="11"/>
        <v>0</v>
      </c>
      <c r="AU130" s="7">
        <f t="shared" si="11"/>
        <v>0</v>
      </c>
      <c r="AV130" s="7">
        <f t="shared" si="11"/>
        <v>0</v>
      </c>
      <c r="AW130" s="7">
        <f t="shared" si="11"/>
        <v>0</v>
      </c>
    </row>
    <row r="131" spans="1:49" ht="14.5" hidden="1" outlineLevel="1" x14ac:dyDescent="0.35">
      <c r="A131" s="8" t="s">
        <v>12</v>
      </c>
      <c r="B131" s="8" t="s">
        <v>10</v>
      </c>
      <c r="C131" s="8" t="s">
        <v>23</v>
      </c>
      <c r="D131" s="8" t="s">
        <v>78</v>
      </c>
      <c r="E131" s="8" t="s">
        <v>80</v>
      </c>
      <c r="F131" s="9">
        <v>11</v>
      </c>
      <c r="G131" s="9">
        <v>86</v>
      </c>
      <c r="H131" s="9">
        <v>79</v>
      </c>
      <c r="I131" s="9">
        <v>7</v>
      </c>
      <c r="J131" s="9">
        <v>0</v>
      </c>
      <c r="K131" s="9">
        <v>1</v>
      </c>
      <c r="L131" s="9">
        <v>0</v>
      </c>
      <c r="M131" s="9">
        <v>0</v>
      </c>
      <c r="N131" s="9">
        <v>2</v>
      </c>
      <c r="O131" s="9">
        <v>0</v>
      </c>
      <c r="P131" s="9">
        <v>2</v>
      </c>
      <c r="Q131" s="9">
        <v>6</v>
      </c>
      <c r="R131" s="9">
        <v>4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2</v>
      </c>
      <c r="Y131" s="9">
        <v>2</v>
      </c>
      <c r="Z131" s="9">
        <v>0</v>
      </c>
      <c r="AA131" s="9">
        <v>0</v>
      </c>
      <c r="AB131" s="9">
        <v>3</v>
      </c>
      <c r="AC131" s="9">
        <v>5</v>
      </c>
      <c r="AD131" s="9">
        <v>4</v>
      </c>
      <c r="AE131" s="9">
        <v>2</v>
      </c>
      <c r="AF131" s="9">
        <v>0</v>
      </c>
      <c r="AG131" s="9">
        <v>0</v>
      </c>
      <c r="AH131" s="9">
        <v>0</v>
      </c>
      <c r="AI131" s="9">
        <v>0</v>
      </c>
      <c r="AJ131" s="9">
        <v>10</v>
      </c>
      <c r="AK131" s="9">
        <v>17</v>
      </c>
      <c r="AL131" s="9">
        <v>15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</row>
    <row r="132" spans="1:49" ht="14.5" hidden="1" outlineLevel="1" x14ac:dyDescent="0.35">
      <c r="A132" s="8" t="s">
        <v>12</v>
      </c>
      <c r="B132" s="8" t="s">
        <v>10</v>
      </c>
      <c r="C132" s="8" t="s">
        <v>23</v>
      </c>
      <c r="D132" s="8" t="s">
        <v>78</v>
      </c>
      <c r="E132" s="8" t="s">
        <v>81</v>
      </c>
      <c r="F132" s="9">
        <v>6.6</v>
      </c>
      <c r="G132" s="9">
        <v>29.5</v>
      </c>
      <c r="H132" s="9">
        <v>22.7</v>
      </c>
      <c r="I132" s="9">
        <v>6.8</v>
      </c>
      <c r="J132" s="9">
        <v>0.614035</v>
      </c>
      <c r="K132" s="9">
        <v>0.614035</v>
      </c>
      <c r="L132" s="9">
        <v>0.614035</v>
      </c>
      <c r="M132" s="9">
        <v>0.614035</v>
      </c>
      <c r="N132" s="9">
        <v>0.614035</v>
      </c>
      <c r="O132" s="9">
        <v>0.614035</v>
      </c>
      <c r="P132" s="9">
        <v>0.614035</v>
      </c>
      <c r="Q132" s="9">
        <v>0.614035</v>
      </c>
      <c r="R132" s="9">
        <v>0.614035</v>
      </c>
      <c r="S132" s="9">
        <v>0.614035</v>
      </c>
      <c r="T132" s="9">
        <v>0.614035</v>
      </c>
      <c r="U132" s="9">
        <v>0.614035</v>
      </c>
      <c r="V132" s="9">
        <v>0.614035</v>
      </c>
      <c r="W132" s="9">
        <v>0.614035</v>
      </c>
      <c r="X132" s="9">
        <v>0.614035</v>
      </c>
      <c r="Y132" s="9">
        <v>0.614035</v>
      </c>
      <c r="Z132" s="9">
        <v>0.614035</v>
      </c>
      <c r="AA132" s="9">
        <v>0.8</v>
      </c>
      <c r="AB132" s="9">
        <v>1.5</v>
      </c>
      <c r="AC132" s="9">
        <v>1.5</v>
      </c>
      <c r="AD132" s="9">
        <v>1.5</v>
      </c>
      <c r="AE132" s="9">
        <v>1.5</v>
      </c>
      <c r="AF132" s="9">
        <v>1</v>
      </c>
      <c r="AG132" s="9">
        <v>1.5</v>
      </c>
      <c r="AH132" s="9">
        <v>1.5</v>
      </c>
      <c r="AI132" s="9">
        <v>1.5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</row>
    <row r="133" spans="1:49" ht="14.5" hidden="1" outlineLevel="1" x14ac:dyDescent="0.35">
      <c r="A133" s="8" t="s">
        <v>12</v>
      </c>
      <c r="B133" s="8" t="s">
        <v>10</v>
      </c>
      <c r="C133" s="8" t="s">
        <v>23</v>
      </c>
      <c r="D133" s="8" t="s">
        <v>78</v>
      </c>
      <c r="E133" s="8" t="s">
        <v>102</v>
      </c>
      <c r="F133" s="9">
        <v>31</v>
      </c>
      <c r="G133" s="9">
        <v>278</v>
      </c>
      <c r="H133" s="9">
        <v>270</v>
      </c>
      <c r="I133" s="9">
        <v>8</v>
      </c>
      <c r="J133" s="9">
        <v>0</v>
      </c>
      <c r="K133" s="9">
        <v>13</v>
      </c>
      <c r="L133" s="9">
        <v>18</v>
      </c>
      <c r="M133" s="9">
        <v>18</v>
      </c>
      <c r="N133" s="9">
        <v>17</v>
      </c>
      <c r="O133" s="9">
        <v>7</v>
      </c>
      <c r="P133" s="9">
        <v>7</v>
      </c>
      <c r="Q133" s="9">
        <v>10</v>
      </c>
      <c r="R133" s="9">
        <v>10</v>
      </c>
      <c r="S133" s="9">
        <v>7</v>
      </c>
      <c r="T133" s="9">
        <v>8</v>
      </c>
      <c r="U133" s="9">
        <v>10</v>
      </c>
      <c r="V133" s="9">
        <v>8</v>
      </c>
      <c r="W133" s="9">
        <v>4</v>
      </c>
      <c r="X133" s="9">
        <v>10</v>
      </c>
      <c r="Y133" s="9">
        <v>7</v>
      </c>
      <c r="Z133" s="9">
        <v>0</v>
      </c>
      <c r="AA133" s="9">
        <v>0</v>
      </c>
      <c r="AB133" s="9">
        <v>7</v>
      </c>
      <c r="AC133" s="9">
        <v>10</v>
      </c>
      <c r="AD133" s="9">
        <v>18</v>
      </c>
      <c r="AE133" s="9">
        <v>20</v>
      </c>
      <c r="AF133" s="9">
        <v>20</v>
      </c>
      <c r="AG133" s="9">
        <v>20</v>
      </c>
      <c r="AH133" s="9">
        <v>15</v>
      </c>
      <c r="AI133" s="9">
        <v>6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</row>
    <row r="134" spans="1:49" ht="14.5" hidden="1" outlineLevel="1" x14ac:dyDescent="0.35">
      <c r="A134" s="8" t="s">
        <v>12</v>
      </c>
      <c r="B134" s="8" t="s">
        <v>10</v>
      </c>
      <c r="C134" s="8" t="s">
        <v>23</v>
      </c>
      <c r="D134" s="8" t="s">
        <v>78</v>
      </c>
      <c r="E134" s="8" t="s">
        <v>82</v>
      </c>
      <c r="F134" s="9">
        <v>15</v>
      </c>
      <c r="G134" s="9">
        <v>15</v>
      </c>
      <c r="H134" s="9">
        <v>22</v>
      </c>
      <c r="I134" s="9">
        <v>-7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</row>
    <row r="135" spans="1:49" ht="14.5" hidden="1" outlineLevel="1" x14ac:dyDescent="0.35">
      <c r="A135" s="8" t="s">
        <v>12</v>
      </c>
      <c r="B135" s="8" t="s">
        <v>10</v>
      </c>
      <c r="C135" s="8" t="s">
        <v>23</v>
      </c>
      <c r="D135" s="8" t="s">
        <v>78</v>
      </c>
      <c r="E135" s="8" t="s">
        <v>83</v>
      </c>
      <c r="F135" s="9">
        <v>10</v>
      </c>
      <c r="G135" s="9">
        <v>10</v>
      </c>
      <c r="H135" s="9">
        <v>5</v>
      </c>
      <c r="I135" s="9">
        <v>5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</row>
    <row r="136" spans="1:49" ht="14.5" hidden="1" outlineLevel="1" x14ac:dyDescent="0.35">
      <c r="A136" s="8" t="s">
        <v>12</v>
      </c>
      <c r="B136" s="8" t="s">
        <v>10</v>
      </c>
      <c r="C136" s="8" t="s">
        <v>23</v>
      </c>
      <c r="D136" s="8" t="s">
        <v>78</v>
      </c>
      <c r="E136" s="8" t="s">
        <v>84</v>
      </c>
      <c r="F136" s="9">
        <v>0</v>
      </c>
      <c r="G136" s="9">
        <v>10</v>
      </c>
      <c r="H136" s="9">
        <v>10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5</v>
      </c>
      <c r="R136" s="9">
        <v>5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</row>
    <row r="137" spans="1:49" ht="14.5" hidden="1" outlineLevel="1" x14ac:dyDescent="0.35">
      <c r="A137" s="8" t="s">
        <v>12</v>
      </c>
      <c r="B137" s="8" t="s">
        <v>10</v>
      </c>
      <c r="C137" s="8" t="s">
        <v>23</v>
      </c>
      <c r="D137" s="8" t="s">
        <v>78</v>
      </c>
      <c r="E137" s="8" t="s">
        <v>40</v>
      </c>
      <c r="F137" s="9">
        <v>0</v>
      </c>
      <c r="G137" s="9">
        <v>18</v>
      </c>
      <c r="H137" s="9">
        <v>18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3</v>
      </c>
      <c r="AH137" s="9">
        <v>5</v>
      </c>
      <c r="AI137" s="9">
        <v>10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</row>
    <row r="138" spans="1:49" ht="14.5" hidden="1" outlineLevel="1" x14ac:dyDescent="0.35">
      <c r="A138" s="8" t="s">
        <v>12</v>
      </c>
      <c r="B138" s="8" t="s">
        <v>10</v>
      </c>
      <c r="C138" s="8" t="s">
        <v>23</v>
      </c>
      <c r="D138" s="8" t="s">
        <v>78</v>
      </c>
      <c r="E138" s="8" t="s">
        <v>85</v>
      </c>
      <c r="F138" s="9">
        <v>1</v>
      </c>
      <c r="G138" s="9">
        <v>1</v>
      </c>
      <c r="H138" s="9">
        <v>1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</row>
    <row r="139" spans="1:49" ht="14.5" hidden="1" outlineLevel="1" x14ac:dyDescent="0.35">
      <c r="A139" s="8" t="s">
        <v>12</v>
      </c>
      <c r="B139" s="8" t="s">
        <v>10</v>
      </c>
      <c r="C139" s="8" t="s">
        <v>23</v>
      </c>
      <c r="D139" s="8" t="s">
        <v>78</v>
      </c>
      <c r="E139" s="8" t="s">
        <v>103</v>
      </c>
      <c r="F139" s="9">
        <v>101</v>
      </c>
      <c r="G139" s="9">
        <v>401</v>
      </c>
      <c r="H139" s="9">
        <v>375.5</v>
      </c>
      <c r="I139" s="9">
        <v>25.5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15</v>
      </c>
      <c r="Q139" s="9">
        <v>15</v>
      </c>
      <c r="R139" s="9">
        <v>20</v>
      </c>
      <c r="S139" s="9">
        <v>0</v>
      </c>
      <c r="T139" s="9">
        <v>5</v>
      </c>
      <c r="U139" s="9">
        <v>15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25</v>
      </c>
      <c r="AC139" s="9">
        <v>25</v>
      </c>
      <c r="AD139" s="9">
        <v>35</v>
      </c>
      <c r="AE139" s="9">
        <v>40</v>
      </c>
      <c r="AF139" s="9">
        <v>35</v>
      </c>
      <c r="AG139" s="9">
        <v>45</v>
      </c>
      <c r="AH139" s="9">
        <v>25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</row>
    <row r="140" spans="1:49" ht="14.5" hidden="1" outlineLevel="1" x14ac:dyDescent="0.35">
      <c r="A140" s="8" t="s">
        <v>12</v>
      </c>
      <c r="B140" s="8" t="s">
        <v>10</v>
      </c>
      <c r="C140" s="8" t="s">
        <v>23</v>
      </c>
      <c r="D140" s="8" t="s">
        <v>78</v>
      </c>
      <c r="E140" s="8" t="s">
        <v>86</v>
      </c>
      <c r="F140" s="9">
        <v>0</v>
      </c>
      <c r="G140" s="9">
        <v>0</v>
      </c>
      <c r="H140" s="9">
        <v>32</v>
      </c>
      <c r="I140" s="9">
        <v>-32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</row>
    <row r="141" spans="1:49" ht="14.5" hidden="1" outlineLevel="1" x14ac:dyDescent="0.35">
      <c r="A141" s="8" t="s">
        <v>12</v>
      </c>
      <c r="B141" s="8" t="s">
        <v>10</v>
      </c>
      <c r="C141" s="8" t="s">
        <v>23</v>
      </c>
      <c r="D141" s="8" t="s">
        <v>78</v>
      </c>
      <c r="E141" s="8" t="s">
        <v>106</v>
      </c>
      <c r="F141" s="9">
        <v>126</v>
      </c>
      <c r="G141" s="9">
        <v>230</v>
      </c>
      <c r="H141" s="9">
        <v>180</v>
      </c>
      <c r="I141" s="9">
        <v>50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8</v>
      </c>
      <c r="P141" s="9">
        <v>8</v>
      </c>
      <c r="Q141" s="9">
        <v>10</v>
      </c>
      <c r="R141" s="9">
        <v>12</v>
      </c>
      <c r="S141" s="9">
        <v>10</v>
      </c>
      <c r="T141" s="9">
        <v>8</v>
      </c>
      <c r="U141" s="9">
        <v>8</v>
      </c>
      <c r="V141" s="9">
        <v>0</v>
      </c>
      <c r="W141" s="9">
        <v>8</v>
      </c>
      <c r="X141" s="9">
        <v>10</v>
      </c>
      <c r="Y141" s="9">
        <v>10</v>
      </c>
      <c r="Z141" s="9">
        <v>0</v>
      </c>
      <c r="AA141" s="9">
        <v>0</v>
      </c>
      <c r="AB141" s="9">
        <v>6</v>
      </c>
      <c r="AC141" s="9">
        <v>6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</row>
    <row r="142" spans="1:49" ht="14.5" hidden="1" outlineLevel="1" x14ac:dyDescent="0.35">
      <c r="A142" s="8" t="s">
        <v>12</v>
      </c>
      <c r="B142" s="8" t="s">
        <v>10</v>
      </c>
      <c r="C142" s="8" t="s">
        <v>23</v>
      </c>
      <c r="D142" s="8" t="s">
        <v>78</v>
      </c>
      <c r="E142" s="8" t="s">
        <v>111</v>
      </c>
      <c r="F142" s="9">
        <v>0</v>
      </c>
      <c r="G142" s="9">
        <v>0</v>
      </c>
      <c r="H142" s="9">
        <v>1</v>
      </c>
      <c r="I142" s="9">
        <v>-1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</row>
    <row r="143" spans="1:49" ht="14.5" hidden="1" outlineLevel="1" x14ac:dyDescent="0.35">
      <c r="A143" s="8" t="s">
        <v>12</v>
      </c>
      <c r="B143" s="8" t="s">
        <v>10</v>
      </c>
      <c r="C143" s="8" t="s">
        <v>23</v>
      </c>
      <c r="D143" s="8" t="s">
        <v>78</v>
      </c>
      <c r="E143" s="8" t="s">
        <v>87</v>
      </c>
      <c r="F143" s="9">
        <v>14</v>
      </c>
      <c r="G143" s="9">
        <v>14</v>
      </c>
      <c r="H143" s="9">
        <v>12</v>
      </c>
      <c r="I143" s="9">
        <v>2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</row>
    <row r="144" spans="1:49" ht="14.5" hidden="1" outlineLevel="1" x14ac:dyDescent="0.35">
      <c r="A144" s="8" t="s">
        <v>12</v>
      </c>
      <c r="B144" s="8" t="s">
        <v>10</v>
      </c>
      <c r="C144" s="8" t="s">
        <v>23</v>
      </c>
      <c r="D144" s="8" t="s">
        <v>78</v>
      </c>
      <c r="E144" s="8" t="s">
        <v>88</v>
      </c>
      <c r="F144" s="9">
        <v>0</v>
      </c>
      <c r="G144" s="9">
        <v>14</v>
      </c>
      <c r="H144" s="9">
        <v>14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8</v>
      </c>
      <c r="R144" s="9">
        <v>6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</row>
    <row r="145" spans="1:49" ht="14.5" collapsed="1" x14ac:dyDescent="0.35">
      <c r="A145" s="6" t="s">
        <v>12</v>
      </c>
      <c r="B145" s="6" t="s">
        <v>10</v>
      </c>
      <c r="C145" s="6" t="s">
        <v>115</v>
      </c>
      <c r="D145" s="6" t="s">
        <v>76</v>
      </c>
      <c r="E145" s="6" t="s">
        <v>77</v>
      </c>
      <c r="F145" s="7">
        <f t="shared" ref="F145:AW145" si="12">SUM(F146,F147,F148)</f>
        <v>0</v>
      </c>
      <c r="G145" s="7">
        <f t="shared" si="12"/>
        <v>0</v>
      </c>
      <c r="H145" s="7">
        <f t="shared" si="12"/>
        <v>5</v>
      </c>
      <c r="I145" s="7">
        <f t="shared" si="12"/>
        <v>-5</v>
      </c>
      <c r="J145" s="7">
        <f t="shared" si="12"/>
        <v>0</v>
      </c>
      <c r="K145" s="7">
        <f t="shared" si="12"/>
        <v>0</v>
      </c>
      <c r="L145" s="7">
        <f t="shared" si="12"/>
        <v>0</v>
      </c>
      <c r="M145" s="7">
        <f t="shared" si="12"/>
        <v>0</v>
      </c>
      <c r="N145" s="7">
        <f t="shared" si="12"/>
        <v>0</v>
      </c>
      <c r="O145" s="7">
        <f t="shared" si="12"/>
        <v>0</v>
      </c>
      <c r="P145" s="7">
        <f t="shared" si="12"/>
        <v>0</v>
      </c>
      <c r="Q145" s="7">
        <f t="shared" si="12"/>
        <v>0</v>
      </c>
      <c r="R145" s="7">
        <f t="shared" si="12"/>
        <v>0</v>
      </c>
      <c r="S145" s="7">
        <f t="shared" si="12"/>
        <v>0</v>
      </c>
      <c r="T145" s="7">
        <f t="shared" si="12"/>
        <v>0</v>
      </c>
      <c r="U145" s="7">
        <f t="shared" si="12"/>
        <v>0</v>
      </c>
      <c r="V145" s="7">
        <f t="shared" si="12"/>
        <v>0</v>
      </c>
      <c r="W145" s="7">
        <f t="shared" si="12"/>
        <v>0</v>
      </c>
      <c r="X145" s="7">
        <f t="shared" si="12"/>
        <v>0</v>
      </c>
      <c r="Y145" s="7">
        <f t="shared" si="12"/>
        <v>0</v>
      </c>
      <c r="Z145" s="7">
        <f t="shared" si="12"/>
        <v>0</v>
      </c>
      <c r="AA145" s="7">
        <f t="shared" si="12"/>
        <v>0</v>
      </c>
      <c r="AB145" s="7">
        <f t="shared" si="12"/>
        <v>0</v>
      </c>
      <c r="AC145" s="7">
        <f t="shared" si="12"/>
        <v>0</v>
      </c>
      <c r="AD145" s="7">
        <f t="shared" si="12"/>
        <v>0</v>
      </c>
      <c r="AE145" s="7">
        <f t="shared" si="12"/>
        <v>0</v>
      </c>
      <c r="AF145" s="7">
        <f t="shared" si="12"/>
        <v>0</v>
      </c>
      <c r="AG145" s="7">
        <f t="shared" si="12"/>
        <v>0</v>
      </c>
      <c r="AH145" s="7">
        <f t="shared" si="12"/>
        <v>0</v>
      </c>
      <c r="AI145" s="7">
        <f t="shared" si="12"/>
        <v>0</v>
      </c>
      <c r="AJ145" s="7">
        <f t="shared" si="12"/>
        <v>0</v>
      </c>
      <c r="AK145" s="7">
        <f t="shared" si="12"/>
        <v>0</v>
      </c>
      <c r="AL145" s="7">
        <f t="shared" si="12"/>
        <v>0</v>
      </c>
      <c r="AM145" s="7">
        <f t="shared" si="12"/>
        <v>0</v>
      </c>
      <c r="AN145" s="7">
        <f t="shared" si="12"/>
        <v>0</v>
      </c>
      <c r="AO145" s="7">
        <f t="shared" si="12"/>
        <v>0</v>
      </c>
      <c r="AP145" s="7">
        <f t="shared" si="12"/>
        <v>0</v>
      </c>
      <c r="AQ145" s="7">
        <f t="shared" si="12"/>
        <v>0</v>
      </c>
      <c r="AR145" s="7">
        <f t="shared" si="12"/>
        <v>0</v>
      </c>
      <c r="AS145" s="7">
        <f t="shared" si="12"/>
        <v>0</v>
      </c>
      <c r="AT145" s="7">
        <f t="shared" si="12"/>
        <v>0</v>
      </c>
      <c r="AU145" s="7">
        <f t="shared" si="12"/>
        <v>0</v>
      </c>
      <c r="AV145" s="7">
        <f t="shared" si="12"/>
        <v>0</v>
      </c>
      <c r="AW145" s="7">
        <f t="shared" si="12"/>
        <v>0</v>
      </c>
    </row>
    <row r="146" spans="1:49" ht="14.5" hidden="1" outlineLevel="1" x14ac:dyDescent="0.35">
      <c r="A146" s="8" t="s">
        <v>12</v>
      </c>
      <c r="B146" s="8" t="s">
        <v>10</v>
      </c>
      <c r="C146" s="8" t="s">
        <v>115</v>
      </c>
      <c r="D146" s="8" t="s">
        <v>78</v>
      </c>
      <c r="E146" s="8" t="s">
        <v>103</v>
      </c>
      <c r="F146" s="9">
        <v>0</v>
      </c>
      <c r="G146" s="9">
        <v>0</v>
      </c>
      <c r="H146" s="9">
        <v>1.5</v>
      </c>
      <c r="I146" s="9">
        <v>-1.5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</row>
    <row r="147" spans="1:49" ht="14.5" hidden="1" outlineLevel="1" x14ac:dyDescent="0.35">
      <c r="A147" s="8" t="s">
        <v>12</v>
      </c>
      <c r="B147" s="8" t="s">
        <v>10</v>
      </c>
      <c r="C147" s="8" t="s">
        <v>115</v>
      </c>
      <c r="D147" s="8" t="s">
        <v>78</v>
      </c>
      <c r="E147" s="8" t="s">
        <v>86</v>
      </c>
      <c r="F147" s="9">
        <v>0</v>
      </c>
      <c r="G147" s="9">
        <v>0</v>
      </c>
      <c r="H147" s="9">
        <v>2</v>
      </c>
      <c r="I147" s="9">
        <v>-2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</row>
    <row r="148" spans="1:49" ht="14.5" hidden="1" outlineLevel="1" x14ac:dyDescent="0.35">
      <c r="A148" s="8" t="s">
        <v>12</v>
      </c>
      <c r="B148" s="8" t="s">
        <v>10</v>
      </c>
      <c r="C148" s="8" t="s">
        <v>115</v>
      </c>
      <c r="D148" s="8" t="s">
        <v>78</v>
      </c>
      <c r="E148" s="8" t="s">
        <v>111</v>
      </c>
      <c r="F148" s="9">
        <v>0</v>
      </c>
      <c r="G148" s="9">
        <v>0</v>
      </c>
      <c r="H148" s="9">
        <v>1.5</v>
      </c>
      <c r="I148" s="9">
        <v>-1.5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</row>
    <row r="149" spans="1:49" ht="14.5" collapsed="1" x14ac:dyDescent="0.35">
      <c r="A149" s="6" t="s">
        <v>12</v>
      </c>
      <c r="B149" s="6" t="s">
        <v>10</v>
      </c>
      <c r="C149" s="6" t="s">
        <v>33</v>
      </c>
      <c r="D149" s="6" t="s">
        <v>76</v>
      </c>
      <c r="E149" s="6" t="s">
        <v>77</v>
      </c>
      <c r="F149" s="7">
        <f t="shared" ref="F149:AW149" si="13">SUM(F150,F151,F152,F153,F154,F155,F156)</f>
        <v>252.5</v>
      </c>
      <c r="G149" s="7">
        <f t="shared" si="13"/>
        <v>1014.2</v>
      </c>
      <c r="H149" s="7">
        <f t="shared" si="13"/>
        <v>1039.2</v>
      </c>
      <c r="I149" s="7">
        <f t="shared" si="13"/>
        <v>-25</v>
      </c>
      <c r="J149" s="7">
        <f t="shared" si="13"/>
        <v>22</v>
      </c>
      <c r="K149" s="7">
        <f t="shared" si="13"/>
        <v>7</v>
      </c>
      <c r="L149" s="7">
        <f t="shared" si="13"/>
        <v>4</v>
      </c>
      <c r="M149" s="7">
        <f t="shared" si="13"/>
        <v>1</v>
      </c>
      <c r="N149" s="7">
        <f t="shared" si="13"/>
        <v>1</v>
      </c>
      <c r="O149" s="7">
        <f t="shared" si="13"/>
        <v>6</v>
      </c>
      <c r="P149" s="7">
        <f t="shared" si="13"/>
        <v>13.2</v>
      </c>
      <c r="Q149" s="7">
        <f t="shared" si="13"/>
        <v>30.1</v>
      </c>
      <c r="R149" s="7">
        <f t="shared" si="13"/>
        <v>30.1</v>
      </c>
      <c r="S149" s="7">
        <f t="shared" si="13"/>
        <v>13.2</v>
      </c>
      <c r="T149" s="7">
        <f t="shared" si="13"/>
        <v>15</v>
      </c>
      <c r="U149" s="7">
        <f t="shared" si="13"/>
        <v>15</v>
      </c>
      <c r="V149" s="7">
        <f t="shared" si="13"/>
        <v>22</v>
      </c>
      <c r="W149" s="7">
        <f t="shared" si="13"/>
        <v>32</v>
      </c>
      <c r="X149" s="7">
        <f t="shared" si="13"/>
        <v>22</v>
      </c>
      <c r="Y149" s="7">
        <f t="shared" si="13"/>
        <v>22</v>
      </c>
      <c r="Z149" s="7">
        <f t="shared" si="13"/>
        <v>0</v>
      </c>
      <c r="AA149" s="7">
        <f t="shared" si="13"/>
        <v>0</v>
      </c>
      <c r="AB149" s="7">
        <f t="shared" si="13"/>
        <v>37</v>
      </c>
      <c r="AC149" s="7">
        <f t="shared" si="13"/>
        <v>45.1</v>
      </c>
      <c r="AD149" s="10">
        <f t="shared" si="13"/>
        <v>65</v>
      </c>
      <c r="AE149" s="10">
        <f t="shared" si="13"/>
        <v>63</v>
      </c>
      <c r="AF149" s="10">
        <f t="shared" si="13"/>
        <v>62</v>
      </c>
      <c r="AG149" s="10">
        <f t="shared" si="13"/>
        <v>65</v>
      </c>
      <c r="AH149" s="7">
        <f t="shared" si="13"/>
        <v>25</v>
      </c>
      <c r="AI149" s="7">
        <f t="shared" si="13"/>
        <v>6</v>
      </c>
      <c r="AJ149" s="7">
        <f t="shared" si="13"/>
        <v>39</v>
      </c>
      <c r="AK149" s="7">
        <f t="shared" si="13"/>
        <v>39</v>
      </c>
      <c r="AL149" s="7">
        <f t="shared" si="13"/>
        <v>39</v>
      </c>
      <c r="AM149" s="7">
        <f t="shared" si="13"/>
        <v>9</v>
      </c>
      <c r="AN149" s="7">
        <f t="shared" si="13"/>
        <v>9</v>
      </c>
      <c r="AO149" s="7">
        <f t="shared" si="13"/>
        <v>9</v>
      </c>
      <c r="AP149" s="7">
        <f t="shared" si="13"/>
        <v>3</v>
      </c>
      <c r="AQ149" s="7">
        <f t="shared" si="13"/>
        <v>0</v>
      </c>
      <c r="AR149" s="7">
        <f t="shared" si="13"/>
        <v>0</v>
      </c>
      <c r="AS149" s="7">
        <f t="shared" si="13"/>
        <v>0</v>
      </c>
      <c r="AT149" s="7">
        <f t="shared" si="13"/>
        <v>0</v>
      </c>
      <c r="AU149" s="7">
        <f t="shared" si="13"/>
        <v>0</v>
      </c>
      <c r="AV149" s="7">
        <f t="shared" si="13"/>
        <v>0</v>
      </c>
      <c r="AW149" s="7">
        <f t="shared" si="13"/>
        <v>0</v>
      </c>
    </row>
    <row r="150" spans="1:49" ht="14.5" hidden="1" outlineLevel="1" x14ac:dyDescent="0.35">
      <c r="A150" s="8" t="s">
        <v>12</v>
      </c>
      <c r="B150" s="8" t="s">
        <v>10</v>
      </c>
      <c r="C150" s="8" t="s">
        <v>33</v>
      </c>
      <c r="D150" s="8" t="s">
        <v>78</v>
      </c>
      <c r="E150" s="8" t="s">
        <v>81</v>
      </c>
      <c r="F150" s="9">
        <v>0</v>
      </c>
      <c r="G150" s="9">
        <v>0</v>
      </c>
      <c r="H150" s="9">
        <v>3</v>
      </c>
      <c r="I150" s="9">
        <v>-3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</row>
    <row r="151" spans="1:49" ht="14.5" hidden="1" outlineLevel="1" x14ac:dyDescent="0.35">
      <c r="A151" s="8" t="s">
        <v>12</v>
      </c>
      <c r="B151" s="8" t="s">
        <v>10</v>
      </c>
      <c r="C151" s="8" t="s">
        <v>33</v>
      </c>
      <c r="D151" s="8" t="s">
        <v>78</v>
      </c>
      <c r="E151" s="8" t="s">
        <v>83</v>
      </c>
      <c r="F151" s="9">
        <v>0</v>
      </c>
      <c r="G151" s="9">
        <v>0</v>
      </c>
      <c r="H151" s="9">
        <v>5</v>
      </c>
      <c r="I151" s="9">
        <v>-5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</row>
    <row r="152" spans="1:49" ht="14.5" hidden="1" outlineLevel="1" x14ac:dyDescent="0.35">
      <c r="A152" s="8" t="s">
        <v>12</v>
      </c>
      <c r="B152" s="8" t="s">
        <v>10</v>
      </c>
      <c r="C152" s="8" t="s">
        <v>33</v>
      </c>
      <c r="D152" s="8" t="s">
        <v>78</v>
      </c>
      <c r="E152" s="8" t="s">
        <v>103</v>
      </c>
      <c r="F152" s="9">
        <v>243.5</v>
      </c>
      <c r="G152" s="9">
        <v>806.5</v>
      </c>
      <c r="H152" s="9">
        <v>807</v>
      </c>
      <c r="I152" s="9">
        <v>-0.5</v>
      </c>
      <c r="J152" s="9">
        <v>15</v>
      </c>
      <c r="K152" s="9">
        <v>0</v>
      </c>
      <c r="L152" s="9">
        <v>0</v>
      </c>
      <c r="M152" s="9">
        <v>0</v>
      </c>
      <c r="N152" s="9">
        <v>0</v>
      </c>
      <c r="O152" s="9">
        <v>5</v>
      </c>
      <c r="P152" s="9">
        <v>13</v>
      </c>
      <c r="Q152" s="9">
        <v>30</v>
      </c>
      <c r="R152" s="9">
        <v>30</v>
      </c>
      <c r="S152" s="9">
        <v>13</v>
      </c>
      <c r="T152" s="9">
        <v>15</v>
      </c>
      <c r="U152" s="9">
        <v>15</v>
      </c>
      <c r="V152" s="9">
        <v>22</v>
      </c>
      <c r="W152" s="9">
        <v>25</v>
      </c>
      <c r="X152" s="9">
        <v>15</v>
      </c>
      <c r="Y152" s="9">
        <v>15</v>
      </c>
      <c r="Z152" s="9">
        <v>0</v>
      </c>
      <c r="AA152" s="9">
        <v>0</v>
      </c>
      <c r="AB152" s="9">
        <v>30</v>
      </c>
      <c r="AC152" s="9">
        <v>45</v>
      </c>
      <c r="AD152" s="9">
        <v>65</v>
      </c>
      <c r="AE152" s="9">
        <v>63</v>
      </c>
      <c r="AF152" s="9">
        <v>62</v>
      </c>
      <c r="AG152" s="9">
        <v>65</v>
      </c>
      <c r="AH152" s="9">
        <v>25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</row>
    <row r="153" spans="1:49" ht="14.5" hidden="1" outlineLevel="1" x14ac:dyDescent="0.35">
      <c r="A153" s="8" t="s">
        <v>12</v>
      </c>
      <c r="B153" s="8" t="s">
        <v>10</v>
      </c>
      <c r="C153" s="8" t="s">
        <v>33</v>
      </c>
      <c r="D153" s="8" t="s">
        <v>78</v>
      </c>
      <c r="E153" s="8" t="s">
        <v>100</v>
      </c>
      <c r="F153" s="9">
        <v>0</v>
      </c>
      <c r="G153" s="9">
        <v>0</v>
      </c>
      <c r="H153" s="9">
        <v>21</v>
      </c>
      <c r="I153" s="9">
        <v>-21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4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</row>
    <row r="154" spans="1:49" ht="14.5" hidden="1" outlineLevel="1" x14ac:dyDescent="0.35">
      <c r="A154" s="8" t="s">
        <v>12</v>
      </c>
      <c r="B154" s="8" t="s">
        <v>10</v>
      </c>
      <c r="C154" s="8" t="s">
        <v>33</v>
      </c>
      <c r="D154" s="8" t="s">
        <v>78</v>
      </c>
      <c r="E154" s="8" t="s">
        <v>114</v>
      </c>
      <c r="F154" s="9">
        <v>0</v>
      </c>
      <c r="G154" s="9">
        <v>90</v>
      </c>
      <c r="H154" s="9">
        <v>90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30</v>
      </c>
      <c r="AK154" s="9">
        <v>30</v>
      </c>
      <c r="AL154" s="9">
        <v>30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</row>
    <row r="155" spans="1:49" ht="14.5" hidden="1" outlineLevel="1" x14ac:dyDescent="0.35">
      <c r="A155" s="8" t="s">
        <v>12</v>
      </c>
      <c r="B155" s="8" t="s">
        <v>10</v>
      </c>
      <c r="C155" s="8" t="s">
        <v>33</v>
      </c>
      <c r="D155" s="8" t="s">
        <v>78</v>
      </c>
      <c r="E155" s="8" t="s">
        <v>87</v>
      </c>
      <c r="F155" s="9">
        <v>0</v>
      </c>
      <c r="G155" s="9">
        <v>0</v>
      </c>
      <c r="H155" s="9">
        <v>4.5</v>
      </c>
      <c r="I155" s="9">
        <v>-4.5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</row>
    <row r="156" spans="1:49" ht="14.5" hidden="1" outlineLevel="1" x14ac:dyDescent="0.35">
      <c r="A156" s="8" t="s">
        <v>12</v>
      </c>
      <c r="B156" s="8" t="s">
        <v>10</v>
      </c>
      <c r="C156" s="8" t="s">
        <v>33</v>
      </c>
      <c r="D156" s="8" t="s">
        <v>78</v>
      </c>
      <c r="E156" s="8" t="s">
        <v>107</v>
      </c>
      <c r="F156" s="9">
        <v>9</v>
      </c>
      <c r="G156" s="9">
        <v>117.7</v>
      </c>
      <c r="H156" s="9">
        <v>108.7</v>
      </c>
      <c r="I156" s="9">
        <v>9</v>
      </c>
      <c r="J156" s="9">
        <v>7</v>
      </c>
      <c r="K156" s="9">
        <v>7</v>
      </c>
      <c r="L156" s="9">
        <v>4</v>
      </c>
      <c r="M156" s="9">
        <v>1</v>
      </c>
      <c r="N156" s="9">
        <v>1</v>
      </c>
      <c r="O156" s="9">
        <v>1</v>
      </c>
      <c r="P156" s="9">
        <v>0.2</v>
      </c>
      <c r="Q156" s="9">
        <v>0.1</v>
      </c>
      <c r="R156" s="9">
        <v>0.1</v>
      </c>
      <c r="S156" s="9">
        <v>0.2</v>
      </c>
      <c r="T156" s="9">
        <v>0</v>
      </c>
      <c r="U156" s="9">
        <v>0</v>
      </c>
      <c r="V156" s="9">
        <v>0</v>
      </c>
      <c r="W156" s="9">
        <v>7</v>
      </c>
      <c r="X156" s="9">
        <v>7</v>
      </c>
      <c r="Y156" s="9">
        <v>7</v>
      </c>
      <c r="Z156" s="9">
        <v>0</v>
      </c>
      <c r="AA156" s="9">
        <v>0</v>
      </c>
      <c r="AB156" s="9">
        <v>7</v>
      </c>
      <c r="AC156" s="9">
        <v>0.1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2</v>
      </c>
      <c r="AJ156" s="9">
        <v>9</v>
      </c>
      <c r="AK156" s="9">
        <v>9</v>
      </c>
      <c r="AL156" s="9">
        <v>9</v>
      </c>
      <c r="AM156" s="9">
        <v>9</v>
      </c>
      <c r="AN156" s="9">
        <v>9</v>
      </c>
      <c r="AO156" s="9">
        <v>9</v>
      </c>
      <c r="AP156" s="9">
        <v>3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</row>
    <row r="157" spans="1:49" ht="14.5" collapsed="1" x14ac:dyDescent="0.35">
      <c r="A157" s="6" t="s">
        <v>29</v>
      </c>
      <c r="B157" s="6" t="s">
        <v>10</v>
      </c>
      <c r="C157" s="6" t="s">
        <v>35</v>
      </c>
      <c r="D157" s="6" t="s">
        <v>76</v>
      </c>
      <c r="E157" s="6" t="s">
        <v>77</v>
      </c>
      <c r="F157" s="7">
        <f t="shared" ref="F157:AW157" si="14">SUM(F158,F159)</f>
        <v>275</v>
      </c>
      <c r="G157" s="7">
        <f t="shared" si="14"/>
        <v>1330</v>
      </c>
      <c r="H157" s="7">
        <f t="shared" si="14"/>
        <v>1277</v>
      </c>
      <c r="I157" s="7">
        <f t="shared" si="14"/>
        <v>53</v>
      </c>
      <c r="J157" s="7">
        <f t="shared" si="14"/>
        <v>26</v>
      </c>
      <c r="K157" s="7">
        <f t="shared" si="14"/>
        <v>20</v>
      </c>
      <c r="L157" s="7">
        <f t="shared" si="14"/>
        <v>20</v>
      </c>
      <c r="M157" s="7">
        <f t="shared" si="14"/>
        <v>20</v>
      </c>
      <c r="N157" s="7">
        <f t="shared" si="14"/>
        <v>35</v>
      </c>
      <c r="O157" s="7">
        <f t="shared" si="14"/>
        <v>30</v>
      </c>
      <c r="P157" s="7">
        <f t="shared" si="14"/>
        <v>40</v>
      </c>
      <c r="Q157" s="7">
        <f t="shared" si="14"/>
        <v>40</v>
      </c>
      <c r="R157" s="7">
        <f t="shared" si="14"/>
        <v>40</v>
      </c>
      <c r="S157" s="7">
        <f t="shared" si="14"/>
        <v>20</v>
      </c>
      <c r="T157" s="7">
        <f t="shared" si="14"/>
        <v>15</v>
      </c>
      <c r="U157" s="7">
        <f t="shared" si="14"/>
        <v>15</v>
      </c>
      <c r="V157" s="7">
        <f t="shared" si="14"/>
        <v>15</v>
      </c>
      <c r="W157" s="7">
        <f t="shared" si="14"/>
        <v>15</v>
      </c>
      <c r="X157" s="7">
        <f t="shared" si="14"/>
        <v>15</v>
      </c>
      <c r="Y157" s="7">
        <f t="shared" si="14"/>
        <v>3</v>
      </c>
      <c r="Z157" s="7">
        <f t="shared" si="14"/>
        <v>2</v>
      </c>
      <c r="AA157" s="7">
        <f t="shared" si="14"/>
        <v>0</v>
      </c>
      <c r="AB157" s="7">
        <f t="shared" si="14"/>
        <v>55</v>
      </c>
      <c r="AC157" s="7">
        <f t="shared" si="14"/>
        <v>50</v>
      </c>
      <c r="AD157" s="7">
        <f t="shared" si="14"/>
        <v>50</v>
      </c>
      <c r="AE157" s="7">
        <f t="shared" si="14"/>
        <v>50</v>
      </c>
      <c r="AF157" s="10">
        <f t="shared" si="14"/>
        <v>60</v>
      </c>
      <c r="AG157" s="10">
        <f t="shared" si="14"/>
        <v>60</v>
      </c>
      <c r="AH157" s="10">
        <f t="shared" si="14"/>
        <v>60</v>
      </c>
      <c r="AI157" s="7">
        <f t="shared" si="14"/>
        <v>40</v>
      </c>
      <c r="AJ157" s="7">
        <f t="shared" si="14"/>
        <v>25</v>
      </c>
      <c r="AK157" s="7">
        <f t="shared" si="14"/>
        <v>40</v>
      </c>
      <c r="AL157" s="7">
        <f t="shared" si="14"/>
        <v>30</v>
      </c>
      <c r="AM157" s="7">
        <f t="shared" si="14"/>
        <v>30</v>
      </c>
      <c r="AN157" s="7">
        <f t="shared" si="14"/>
        <v>25</v>
      </c>
      <c r="AO157" s="7">
        <f t="shared" si="14"/>
        <v>25</v>
      </c>
      <c r="AP157" s="7">
        <f t="shared" si="14"/>
        <v>25</v>
      </c>
      <c r="AQ157" s="7">
        <f t="shared" si="14"/>
        <v>25</v>
      </c>
      <c r="AR157" s="7">
        <f t="shared" si="14"/>
        <v>20</v>
      </c>
      <c r="AS157" s="7">
        <f t="shared" si="14"/>
        <v>15</v>
      </c>
      <c r="AT157" s="7">
        <f t="shared" si="14"/>
        <v>5</v>
      </c>
      <c r="AU157" s="7">
        <f t="shared" si="14"/>
        <v>0</v>
      </c>
      <c r="AV157" s="7">
        <f t="shared" si="14"/>
        <v>0</v>
      </c>
      <c r="AW157" s="7">
        <f t="shared" si="14"/>
        <v>0</v>
      </c>
    </row>
    <row r="158" spans="1:49" ht="14.5" hidden="1" outlineLevel="1" x14ac:dyDescent="0.35">
      <c r="A158" s="8" t="s">
        <v>29</v>
      </c>
      <c r="B158" s="8" t="s">
        <v>10</v>
      </c>
      <c r="C158" s="8" t="s">
        <v>35</v>
      </c>
      <c r="D158" s="8" t="s">
        <v>78</v>
      </c>
      <c r="E158" s="8" t="s">
        <v>91</v>
      </c>
      <c r="F158" s="9">
        <v>0</v>
      </c>
      <c r="G158" s="9">
        <v>265</v>
      </c>
      <c r="H158" s="9">
        <v>265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25</v>
      </c>
      <c r="AK158" s="9">
        <v>40</v>
      </c>
      <c r="AL158" s="9">
        <v>30</v>
      </c>
      <c r="AM158" s="9">
        <v>30</v>
      </c>
      <c r="AN158" s="9">
        <v>25</v>
      </c>
      <c r="AO158" s="9">
        <v>25</v>
      </c>
      <c r="AP158" s="9">
        <v>25</v>
      </c>
      <c r="AQ158" s="9">
        <v>25</v>
      </c>
      <c r="AR158" s="9">
        <v>20</v>
      </c>
      <c r="AS158" s="9">
        <v>15</v>
      </c>
      <c r="AT158" s="9">
        <v>5</v>
      </c>
      <c r="AU158" s="9">
        <v>0</v>
      </c>
      <c r="AV158" s="9">
        <v>0</v>
      </c>
      <c r="AW158" s="9">
        <v>0</v>
      </c>
    </row>
    <row r="159" spans="1:49" ht="14.5" hidden="1" outlineLevel="1" x14ac:dyDescent="0.35">
      <c r="A159" s="8" t="s">
        <v>29</v>
      </c>
      <c r="B159" s="8" t="s">
        <v>10</v>
      </c>
      <c r="C159" s="8" t="s">
        <v>35</v>
      </c>
      <c r="D159" s="8" t="s">
        <v>78</v>
      </c>
      <c r="E159" s="8" t="s">
        <v>92</v>
      </c>
      <c r="F159" s="9">
        <v>275</v>
      </c>
      <c r="G159" s="9">
        <v>1065</v>
      </c>
      <c r="H159" s="9">
        <v>1012</v>
      </c>
      <c r="I159" s="9">
        <v>53</v>
      </c>
      <c r="J159" s="9">
        <v>26</v>
      </c>
      <c r="K159" s="9">
        <v>20</v>
      </c>
      <c r="L159" s="9">
        <v>20</v>
      </c>
      <c r="M159" s="9">
        <v>20</v>
      </c>
      <c r="N159" s="9">
        <v>35</v>
      </c>
      <c r="O159" s="9">
        <v>30</v>
      </c>
      <c r="P159" s="9">
        <v>40</v>
      </c>
      <c r="Q159" s="9">
        <v>40</v>
      </c>
      <c r="R159" s="9">
        <v>40</v>
      </c>
      <c r="S159" s="9">
        <v>20</v>
      </c>
      <c r="T159" s="9">
        <v>15</v>
      </c>
      <c r="U159" s="9">
        <v>15</v>
      </c>
      <c r="V159" s="9">
        <v>15</v>
      </c>
      <c r="W159" s="9">
        <v>15</v>
      </c>
      <c r="X159" s="9">
        <v>15</v>
      </c>
      <c r="Y159" s="9">
        <v>3</v>
      </c>
      <c r="Z159" s="9">
        <v>2</v>
      </c>
      <c r="AA159" s="9">
        <v>0</v>
      </c>
      <c r="AB159" s="9">
        <v>55</v>
      </c>
      <c r="AC159" s="9">
        <v>50</v>
      </c>
      <c r="AD159" s="9">
        <v>50</v>
      </c>
      <c r="AE159" s="9">
        <v>50</v>
      </c>
      <c r="AF159" s="9">
        <v>60</v>
      </c>
      <c r="AG159" s="9">
        <v>60</v>
      </c>
      <c r="AH159" s="9">
        <v>60</v>
      </c>
      <c r="AI159" s="9">
        <v>40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</row>
    <row r="160" spans="1:49" ht="14.5" collapsed="1" x14ac:dyDescent="0.35">
      <c r="A160" s="6" t="s">
        <v>12</v>
      </c>
      <c r="B160" s="6" t="s">
        <v>10</v>
      </c>
      <c r="C160" s="6" t="s">
        <v>116</v>
      </c>
      <c r="D160" s="6" t="s">
        <v>76</v>
      </c>
      <c r="E160" s="6" t="s">
        <v>77</v>
      </c>
      <c r="F160" s="7">
        <f t="shared" ref="F160:AW160" si="15">SUM(F161,F162,F163,F164,F165,F166,F167,F168,F169,F170,F171)</f>
        <v>112</v>
      </c>
      <c r="G160" s="7">
        <f t="shared" si="15"/>
        <v>373</v>
      </c>
      <c r="H160" s="7">
        <f t="shared" si="15"/>
        <v>634</v>
      </c>
      <c r="I160" s="7">
        <f t="shared" si="15"/>
        <v>-261</v>
      </c>
      <c r="J160" s="7">
        <f t="shared" si="15"/>
        <v>20</v>
      </c>
      <c r="K160" s="7">
        <f t="shared" si="15"/>
        <v>21</v>
      </c>
      <c r="L160" s="7">
        <f t="shared" si="15"/>
        <v>20</v>
      </c>
      <c r="M160" s="7">
        <f t="shared" si="15"/>
        <v>16</v>
      </c>
      <c r="N160" s="7">
        <f t="shared" si="15"/>
        <v>11</v>
      </c>
      <c r="O160" s="7">
        <f t="shared" si="15"/>
        <v>5</v>
      </c>
      <c r="P160" s="7">
        <f t="shared" si="15"/>
        <v>5</v>
      </c>
      <c r="Q160" s="7">
        <f t="shared" si="15"/>
        <v>11</v>
      </c>
      <c r="R160" s="7">
        <f t="shared" si="15"/>
        <v>26</v>
      </c>
      <c r="S160" s="7">
        <f t="shared" si="15"/>
        <v>27.5</v>
      </c>
      <c r="T160" s="7">
        <f t="shared" si="15"/>
        <v>29</v>
      </c>
      <c r="U160" s="7">
        <f t="shared" si="15"/>
        <v>32.5</v>
      </c>
      <c r="V160" s="7">
        <f t="shared" si="15"/>
        <v>13</v>
      </c>
      <c r="W160" s="7">
        <f t="shared" si="15"/>
        <v>19</v>
      </c>
      <c r="X160" s="7">
        <f t="shared" si="15"/>
        <v>18</v>
      </c>
      <c r="Y160" s="7">
        <f t="shared" si="15"/>
        <v>18</v>
      </c>
      <c r="Z160" s="7">
        <f t="shared" si="15"/>
        <v>0</v>
      </c>
      <c r="AA160" s="7">
        <f t="shared" si="15"/>
        <v>0</v>
      </c>
      <c r="AB160" s="7">
        <f t="shared" si="15"/>
        <v>32</v>
      </c>
      <c r="AC160" s="7">
        <f t="shared" si="15"/>
        <v>32</v>
      </c>
      <c r="AD160" s="7">
        <f t="shared" si="15"/>
        <v>27</v>
      </c>
      <c r="AE160" s="7">
        <f t="shared" si="15"/>
        <v>27</v>
      </c>
      <c r="AF160" s="7">
        <f t="shared" si="15"/>
        <v>29.5</v>
      </c>
      <c r="AG160" s="7">
        <f t="shared" si="15"/>
        <v>18.5</v>
      </c>
      <c r="AH160" s="7">
        <f t="shared" si="15"/>
        <v>27.5</v>
      </c>
      <c r="AI160" s="7">
        <f t="shared" si="15"/>
        <v>6</v>
      </c>
      <c r="AJ160" s="7">
        <f t="shared" si="15"/>
        <v>0</v>
      </c>
      <c r="AK160" s="7">
        <f t="shared" si="15"/>
        <v>0</v>
      </c>
      <c r="AL160" s="7">
        <f t="shared" si="15"/>
        <v>0</v>
      </c>
      <c r="AM160" s="7">
        <f t="shared" si="15"/>
        <v>0</v>
      </c>
      <c r="AN160" s="7">
        <f t="shared" si="15"/>
        <v>0</v>
      </c>
      <c r="AO160" s="7">
        <f t="shared" si="15"/>
        <v>0</v>
      </c>
      <c r="AP160" s="7">
        <f t="shared" si="15"/>
        <v>0</v>
      </c>
      <c r="AQ160" s="7">
        <f t="shared" si="15"/>
        <v>0</v>
      </c>
      <c r="AR160" s="7">
        <f t="shared" si="15"/>
        <v>0</v>
      </c>
      <c r="AS160" s="7">
        <f t="shared" si="15"/>
        <v>0</v>
      </c>
      <c r="AT160" s="7">
        <f t="shared" si="15"/>
        <v>0</v>
      </c>
      <c r="AU160" s="7">
        <f t="shared" si="15"/>
        <v>0</v>
      </c>
      <c r="AV160" s="7">
        <f t="shared" si="15"/>
        <v>0</v>
      </c>
      <c r="AW160" s="7">
        <f t="shared" si="15"/>
        <v>0</v>
      </c>
    </row>
    <row r="161" spans="1:49" ht="14.5" hidden="1" outlineLevel="1" x14ac:dyDescent="0.35">
      <c r="A161" s="8" t="s">
        <v>12</v>
      </c>
      <c r="B161" s="8" t="s">
        <v>10</v>
      </c>
      <c r="C161" s="8" t="s">
        <v>116</v>
      </c>
      <c r="D161" s="8" t="s">
        <v>78</v>
      </c>
      <c r="E161" s="8" t="s">
        <v>81</v>
      </c>
      <c r="F161" s="9">
        <v>0</v>
      </c>
      <c r="G161" s="9">
        <v>0</v>
      </c>
      <c r="H161" s="9">
        <v>8</v>
      </c>
      <c r="I161" s="9">
        <v>-8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</row>
    <row r="162" spans="1:49" ht="14.5" hidden="1" outlineLevel="1" x14ac:dyDescent="0.35">
      <c r="A162" s="8" t="s">
        <v>12</v>
      </c>
      <c r="B162" s="8" t="s">
        <v>10</v>
      </c>
      <c r="C162" s="8" t="s">
        <v>116</v>
      </c>
      <c r="D162" s="8" t="s">
        <v>78</v>
      </c>
      <c r="E162" s="8" t="s">
        <v>95</v>
      </c>
      <c r="F162" s="9">
        <v>0.5</v>
      </c>
      <c r="G162" s="9">
        <v>0.5</v>
      </c>
      <c r="H162" s="9">
        <v>0.5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</row>
    <row r="163" spans="1:49" ht="14.5" hidden="1" outlineLevel="1" x14ac:dyDescent="0.35">
      <c r="A163" s="8" t="s">
        <v>12</v>
      </c>
      <c r="B163" s="8" t="s">
        <v>10</v>
      </c>
      <c r="C163" s="8" t="s">
        <v>116</v>
      </c>
      <c r="D163" s="8" t="s">
        <v>78</v>
      </c>
      <c r="E163" s="8" t="s">
        <v>82</v>
      </c>
      <c r="F163" s="9">
        <v>11.5</v>
      </c>
      <c r="G163" s="9">
        <v>11.5</v>
      </c>
      <c r="H163" s="9">
        <v>11.5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</row>
    <row r="164" spans="1:49" ht="14.5" hidden="1" outlineLevel="1" x14ac:dyDescent="0.35">
      <c r="A164" s="8" t="s">
        <v>12</v>
      </c>
      <c r="B164" s="8" t="s">
        <v>10</v>
      </c>
      <c r="C164" s="8" t="s">
        <v>116</v>
      </c>
      <c r="D164" s="8" t="s">
        <v>78</v>
      </c>
      <c r="E164" s="8" t="s">
        <v>83</v>
      </c>
      <c r="F164" s="9">
        <v>0</v>
      </c>
      <c r="G164" s="9">
        <v>0</v>
      </c>
      <c r="H164" s="9">
        <v>16</v>
      </c>
      <c r="I164" s="9">
        <v>-16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</row>
    <row r="165" spans="1:49" ht="14.5" hidden="1" outlineLevel="1" x14ac:dyDescent="0.35">
      <c r="A165" s="8" t="s">
        <v>12</v>
      </c>
      <c r="B165" s="8" t="s">
        <v>10</v>
      </c>
      <c r="C165" s="8" t="s">
        <v>116</v>
      </c>
      <c r="D165" s="8" t="s">
        <v>78</v>
      </c>
      <c r="E165" s="8" t="s">
        <v>40</v>
      </c>
      <c r="F165" s="9">
        <v>0</v>
      </c>
      <c r="G165" s="9">
        <v>0</v>
      </c>
      <c r="H165" s="9">
        <v>28.5</v>
      </c>
      <c r="I165" s="9">
        <v>-28.5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3</v>
      </c>
      <c r="AG165" s="9">
        <v>7.5</v>
      </c>
      <c r="AH165" s="9">
        <v>14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</row>
    <row r="166" spans="1:49" ht="14.5" hidden="1" outlineLevel="1" x14ac:dyDescent="0.35">
      <c r="A166" s="8" t="s">
        <v>12</v>
      </c>
      <c r="B166" s="8" t="s">
        <v>10</v>
      </c>
      <c r="C166" s="8" t="s">
        <v>116</v>
      </c>
      <c r="D166" s="8" t="s">
        <v>78</v>
      </c>
      <c r="E166" s="8" t="s">
        <v>96</v>
      </c>
      <c r="F166" s="9">
        <v>23</v>
      </c>
      <c r="G166" s="9">
        <v>23</v>
      </c>
      <c r="H166" s="9">
        <v>220.5</v>
      </c>
      <c r="I166" s="9">
        <v>-197.5</v>
      </c>
      <c r="J166" s="9">
        <v>6</v>
      </c>
      <c r="K166" s="9">
        <v>0</v>
      </c>
      <c r="L166" s="9">
        <v>0</v>
      </c>
      <c r="M166" s="9">
        <v>6</v>
      </c>
      <c r="N166" s="9">
        <v>6</v>
      </c>
      <c r="O166" s="9">
        <v>0</v>
      </c>
      <c r="P166" s="9">
        <v>0</v>
      </c>
      <c r="Q166" s="9">
        <v>6</v>
      </c>
      <c r="R166" s="9">
        <v>6</v>
      </c>
      <c r="S166" s="9">
        <v>6</v>
      </c>
      <c r="T166" s="9">
        <v>6</v>
      </c>
      <c r="U166" s="9">
        <v>8</v>
      </c>
      <c r="V166" s="9">
        <v>0</v>
      </c>
      <c r="W166" s="9">
        <v>8</v>
      </c>
      <c r="X166" s="9">
        <v>8</v>
      </c>
      <c r="Y166" s="9">
        <v>8</v>
      </c>
      <c r="Z166" s="9">
        <v>0</v>
      </c>
      <c r="AA166" s="9">
        <v>0</v>
      </c>
      <c r="AB166" s="9">
        <v>12</v>
      </c>
      <c r="AC166" s="9">
        <v>12</v>
      </c>
      <c r="AD166" s="9">
        <v>12</v>
      </c>
      <c r="AE166" s="9">
        <v>12</v>
      </c>
      <c r="AF166" s="9">
        <v>10</v>
      </c>
      <c r="AG166" s="9">
        <v>8</v>
      </c>
      <c r="AH166" s="9">
        <v>8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</row>
    <row r="167" spans="1:49" ht="14.5" hidden="1" outlineLevel="1" x14ac:dyDescent="0.35">
      <c r="A167" s="8" t="s">
        <v>12</v>
      </c>
      <c r="B167" s="8" t="s">
        <v>10</v>
      </c>
      <c r="C167" s="8" t="s">
        <v>116</v>
      </c>
      <c r="D167" s="8" t="s">
        <v>78</v>
      </c>
      <c r="E167" s="8" t="s">
        <v>85</v>
      </c>
      <c r="F167" s="9">
        <v>64</v>
      </c>
      <c r="G167" s="9">
        <v>312</v>
      </c>
      <c r="H167" s="9">
        <v>288</v>
      </c>
      <c r="I167" s="9">
        <v>24</v>
      </c>
      <c r="J167" s="9">
        <v>10</v>
      </c>
      <c r="K167" s="9">
        <v>20</v>
      </c>
      <c r="L167" s="9">
        <v>20</v>
      </c>
      <c r="M167" s="9">
        <v>10</v>
      </c>
      <c r="N167" s="9">
        <v>5</v>
      </c>
      <c r="O167" s="9">
        <v>5</v>
      </c>
      <c r="P167" s="9">
        <v>5</v>
      </c>
      <c r="Q167" s="9">
        <v>5</v>
      </c>
      <c r="R167" s="9">
        <v>20</v>
      </c>
      <c r="S167" s="9">
        <v>20</v>
      </c>
      <c r="T167" s="9">
        <v>20</v>
      </c>
      <c r="U167" s="9">
        <v>20</v>
      </c>
      <c r="V167" s="9">
        <v>10</v>
      </c>
      <c r="W167" s="9">
        <v>10</v>
      </c>
      <c r="X167" s="9">
        <v>10</v>
      </c>
      <c r="Y167" s="9">
        <v>10</v>
      </c>
      <c r="Z167" s="9">
        <v>0</v>
      </c>
      <c r="AA167" s="9">
        <v>0</v>
      </c>
      <c r="AB167" s="9">
        <v>20</v>
      </c>
      <c r="AC167" s="9">
        <v>20</v>
      </c>
      <c r="AD167" s="9">
        <v>15</v>
      </c>
      <c r="AE167" s="9">
        <v>15</v>
      </c>
      <c r="AF167" s="9">
        <v>15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</row>
    <row r="168" spans="1:49" ht="14.5" hidden="1" outlineLevel="1" x14ac:dyDescent="0.35">
      <c r="A168" s="8" t="s">
        <v>12</v>
      </c>
      <c r="B168" s="8" t="s">
        <v>10</v>
      </c>
      <c r="C168" s="8" t="s">
        <v>116</v>
      </c>
      <c r="D168" s="8" t="s">
        <v>78</v>
      </c>
      <c r="E168" s="8" t="s">
        <v>99</v>
      </c>
      <c r="F168" s="9">
        <v>13</v>
      </c>
      <c r="G168" s="9">
        <v>26</v>
      </c>
      <c r="H168" s="9">
        <v>13</v>
      </c>
      <c r="I168" s="9">
        <v>13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1.5</v>
      </c>
      <c r="T168" s="9">
        <v>1.5</v>
      </c>
      <c r="U168" s="9">
        <v>3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1.5</v>
      </c>
      <c r="AG168" s="9">
        <v>1.5</v>
      </c>
      <c r="AH168" s="9">
        <v>4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</row>
    <row r="169" spans="1:49" ht="14.5" hidden="1" outlineLevel="1" x14ac:dyDescent="0.35">
      <c r="A169" s="8" t="s">
        <v>12</v>
      </c>
      <c r="B169" s="8" t="s">
        <v>10</v>
      </c>
      <c r="C169" s="8" t="s">
        <v>116</v>
      </c>
      <c r="D169" s="8" t="s">
        <v>78</v>
      </c>
      <c r="E169" s="8" t="s">
        <v>43</v>
      </c>
      <c r="F169" s="9">
        <v>0</v>
      </c>
      <c r="G169" s="9">
        <v>0</v>
      </c>
      <c r="H169" s="9">
        <v>23</v>
      </c>
      <c r="I169" s="9">
        <v>-23</v>
      </c>
      <c r="J169" s="9">
        <v>4</v>
      </c>
      <c r="K169" s="9">
        <v>1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1.5</v>
      </c>
      <c r="U169" s="9">
        <v>1.5</v>
      </c>
      <c r="V169" s="9">
        <v>3</v>
      </c>
      <c r="W169" s="9">
        <v>1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1.5</v>
      </c>
      <c r="AH169" s="9">
        <v>1.5</v>
      </c>
      <c r="AI169" s="9">
        <v>6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</row>
    <row r="170" spans="1:49" ht="14.5" hidden="1" outlineLevel="1" x14ac:dyDescent="0.35">
      <c r="A170" s="8" t="s">
        <v>12</v>
      </c>
      <c r="B170" s="8" t="s">
        <v>10</v>
      </c>
      <c r="C170" s="8" t="s">
        <v>116</v>
      </c>
      <c r="D170" s="8" t="s">
        <v>78</v>
      </c>
      <c r="E170" s="8" t="s">
        <v>100</v>
      </c>
      <c r="F170" s="9">
        <v>0</v>
      </c>
      <c r="G170" s="9">
        <v>0</v>
      </c>
      <c r="H170" s="9">
        <v>2</v>
      </c>
      <c r="I170" s="9">
        <v>-2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</row>
    <row r="171" spans="1:49" ht="14.5" hidden="1" outlineLevel="1" x14ac:dyDescent="0.35">
      <c r="A171" s="8" t="s">
        <v>12</v>
      </c>
      <c r="B171" s="8" t="s">
        <v>10</v>
      </c>
      <c r="C171" s="8" t="s">
        <v>116</v>
      </c>
      <c r="D171" s="8" t="s">
        <v>78</v>
      </c>
      <c r="E171" s="8" t="s">
        <v>87</v>
      </c>
      <c r="F171" s="9">
        <v>0</v>
      </c>
      <c r="G171" s="9">
        <v>0</v>
      </c>
      <c r="H171" s="9">
        <v>23</v>
      </c>
      <c r="I171" s="9">
        <v>-23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</row>
    <row r="172" spans="1:49" ht="14.5" collapsed="1" x14ac:dyDescent="0.35">
      <c r="A172" s="6" t="s">
        <v>12</v>
      </c>
      <c r="B172" s="6" t="s">
        <v>10</v>
      </c>
      <c r="C172" s="6" t="s">
        <v>117</v>
      </c>
      <c r="D172" s="6" t="s">
        <v>76</v>
      </c>
      <c r="E172" s="6" t="s">
        <v>77</v>
      </c>
      <c r="F172" s="7">
        <f t="shared" ref="F172:AW172" si="16">SUM(F173,F174)</f>
        <v>0</v>
      </c>
      <c r="G172" s="7">
        <f t="shared" si="16"/>
        <v>0</v>
      </c>
      <c r="H172" s="7">
        <f t="shared" si="16"/>
        <v>36</v>
      </c>
      <c r="I172" s="7">
        <f t="shared" si="16"/>
        <v>-36</v>
      </c>
      <c r="J172" s="7">
        <f t="shared" si="16"/>
        <v>0</v>
      </c>
      <c r="K172" s="7">
        <f t="shared" si="16"/>
        <v>0</v>
      </c>
      <c r="L172" s="7">
        <f t="shared" si="16"/>
        <v>0</v>
      </c>
      <c r="M172" s="7">
        <f t="shared" si="16"/>
        <v>0</v>
      </c>
      <c r="N172" s="7">
        <f t="shared" si="16"/>
        <v>0</v>
      </c>
      <c r="O172" s="7">
        <f t="shared" si="16"/>
        <v>0</v>
      </c>
      <c r="P172" s="7">
        <f t="shared" si="16"/>
        <v>0</v>
      </c>
      <c r="Q172" s="7">
        <f t="shared" si="16"/>
        <v>0</v>
      </c>
      <c r="R172" s="7">
        <f t="shared" si="16"/>
        <v>0</v>
      </c>
      <c r="S172" s="7">
        <f t="shared" si="16"/>
        <v>0</v>
      </c>
      <c r="T172" s="7">
        <f t="shared" si="16"/>
        <v>0</v>
      </c>
      <c r="U172" s="7">
        <f t="shared" si="16"/>
        <v>0</v>
      </c>
      <c r="V172" s="7">
        <f t="shared" si="16"/>
        <v>0</v>
      </c>
      <c r="W172" s="7">
        <f t="shared" si="16"/>
        <v>0</v>
      </c>
      <c r="X172" s="7">
        <f t="shared" si="16"/>
        <v>0</v>
      </c>
      <c r="Y172" s="7">
        <f t="shared" si="16"/>
        <v>0</v>
      </c>
      <c r="Z172" s="7">
        <f t="shared" si="16"/>
        <v>0</v>
      </c>
      <c r="AA172" s="7">
        <f t="shared" si="16"/>
        <v>0</v>
      </c>
      <c r="AB172" s="7">
        <f t="shared" si="16"/>
        <v>0</v>
      </c>
      <c r="AC172" s="7">
        <f t="shared" si="16"/>
        <v>0</v>
      </c>
      <c r="AD172" s="7">
        <f t="shared" si="16"/>
        <v>0</v>
      </c>
      <c r="AE172" s="7">
        <f t="shared" si="16"/>
        <v>0</v>
      </c>
      <c r="AF172" s="7">
        <f t="shared" si="16"/>
        <v>0</v>
      </c>
      <c r="AG172" s="7">
        <f t="shared" si="16"/>
        <v>0</v>
      </c>
      <c r="AH172" s="7">
        <f t="shared" si="16"/>
        <v>0</v>
      </c>
      <c r="AI172" s="7">
        <f t="shared" si="16"/>
        <v>0</v>
      </c>
      <c r="AJ172" s="7">
        <f t="shared" si="16"/>
        <v>0</v>
      </c>
      <c r="AK172" s="7">
        <f t="shared" si="16"/>
        <v>0</v>
      </c>
      <c r="AL172" s="7">
        <f t="shared" si="16"/>
        <v>0</v>
      </c>
      <c r="AM172" s="7">
        <f t="shared" si="16"/>
        <v>0</v>
      </c>
      <c r="AN172" s="7">
        <f t="shared" si="16"/>
        <v>0</v>
      </c>
      <c r="AO172" s="7">
        <f t="shared" si="16"/>
        <v>0</v>
      </c>
      <c r="AP172" s="7">
        <f t="shared" si="16"/>
        <v>0</v>
      </c>
      <c r="AQ172" s="7">
        <f t="shared" si="16"/>
        <v>0</v>
      </c>
      <c r="AR172" s="7">
        <f t="shared" si="16"/>
        <v>0</v>
      </c>
      <c r="AS172" s="7">
        <f t="shared" si="16"/>
        <v>0</v>
      </c>
      <c r="AT172" s="7">
        <f t="shared" si="16"/>
        <v>0</v>
      </c>
      <c r="AU172" s="7">
        <f t="shared" si="16"/>
        <v>0</v>
      </c>
      <c r="AV172" s="7">
        <f t="shared" si="16"/>
        <v>0</v>
      </c>
      <c r="AW172" s="7">
        <f t="shared" si="16"/>
        <v>0</v>
      </c>
    </row>
    <row r="173" spans="1:49" ht="14.5" hidden="1" outlineLevel="1" x14ac:dyDescent="0.35">
      <c r="A173" s="8" t="s">
        <v>12</v>
      </c>
      <c r="B173" s="8" t="s">
        <v>10</v>
      </c>
      <c r="C173" s="8" t="s">
        <v>117</v>
      </c>
      <c r="D173" s="8" t="s">
        <v>78</v>
      </c>
      <c r="E173" s="8" t="s">
        <v>82</v>
      </c>
      <c r="F173" s="9">
        <v>0</v>
      </c>
      <c r="G173" s="9">
        <v>0</v>
      </c>
      <c r="H173" s="9">
        <v>18</v>
      </c>
      <c r="I173" s="9">
        <v>-18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</row>
    <row r="174" spans="1:49" ht="14.5" hidden="1" outlineLevel="1" x14ac:dyDescent="0.35">
      <c r="A174" s="8" t="s">
        <v>12</v>
      </c>
      <c r="B174" s="8" t="s">
        <v>10</v>
      </c>
      <c r="C174" s="8" t="s">
        <v>117</v>
      </c>
      <c r="D174" s="8" t="s">
        <v>78</v>
      </c>
      <c r="E174" s="8" t="s">
        <v>86</v>
      </c>
      <c r="F174" s="9">
        <v>0</v>
      </c>
      <c r="G174" s="9">
        <v>0</v>
      </c>
      <c r="H174" s="9">
        <v>18</v>
      </c>
      <c r="I174" s="9">
        <v>-18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</row>
    <row r="175" spans="1:49" ht="14.5" collapsed="1" x14ac:dyDescent="0.35">
      <c r="A175" s="6" t="s">
        <v>29</v>
      </c>
      <c r="B175" s="6" t="s">
        <v>10</v>
      </c>
      <c r="C175" s="6" t="s">
        <v>28</v>
      </c>
      <c r="D175" s="6" t="s">
        <v>76</v>
      </c>
      <c r="E175" s="6" t="s">
        <v>77</v>
      </c>
      <c r="F175" s="7">
        <f t="shared" ref="F175:AW175" si="17">SUM(F176,F177)</f>
        <v>335</v>
      </c>
      <c r="G175" s="7">
        <f t="shared" si="17"/>
        <v>1431</v>
      </c>
      <c r="H175" s="7">
        <f t="shared" si="17"/>
        <v>1371.5</v>
      </c>
      <c r="I175" s="7">
        <f t="shared" si="17"/>
        <v>59.5</v>
      </c>
      <c r="J175" s="7">
        <f t="shared" si="17"/>
        <v>31.5</v>
      </c>
      <c r="K175" s="7">
        <f t="shared" si="17"/>
        <v>25</v>
      </c>
      <c r="L175" s="7">
        <f t="shared" si="17"/>
        <v>25</v>
      </c>
      <c r="M175" s="7">
        <f t="shared" si="17"/>
        <v>25</v>
      </c>
      <c r="N175" s="10">
        <f t="shared" si="17"/>
        <v>45</v>
      </c>
      <c r="O175" s="7">
        <f t="shared" si="17"/>
        <v>40</v>
      </c>
      <c r="P175" s="7">
        <f t="shared" si="17"/>
        <v>40</v>
      </c>
      <c r="Q175" s="11">
        <f t="shared" si="17"/>
        <v>50</v>
      </c>
      <c r="R175" s="11">
        <f t="shared" si="17"/>
        <v>50</v>
      </c>
      <c r="S175" s="11">
        <f t="shared" si="17"/>
        <v>50</v>
      </c>
      <c r="T175" s="7">
        <f t="shared" si="17"/>
        <v>15</v>
      </c>
      <c r="U175" s="7">
        <f t="shared" si="17"/>
        <v>15</v>
      </c>
      <c r="V175" s="7">
        <f t="shared" si="17"/>
        <v>15</v>
      </c>
      <c r="W175" s="7">
        <f t="shared" si="17"/>
        <v>3</v>
      </c>
      <c r="X175" s="7">
        <f t="shared" si="17"/>
        <v>3</v>
      </c>
      <c r="Y175" s="7">
        <f t="shared" si="17"/>
        <v>3</v>
      </c>
      <c r="Z175" s="7">
        <f t="shared" si="17"/>
        <v>2</v>
      </c>
      <c r="AA175" s="7">
        <f t="shared" si="17"/>
        <v>0</v>
      </c>
      <c r="AB175" s="7">
        <f t="shared" si="17"/>
        <v>10</v>
      </c>
      <c r="AC175" s="7">
        <f t="shared" si="17"/>
        <v>50</v>
      </c>
      <c r="AD175" s="7">
        <f t="shared" si="17"/>
        <v>50</v>
      </c>
      <c r="AE175" s="7">
        <f t="shared" si="17"/>
        <v>50</v>
      </c>
      <c r="AF175" s="10">
        <f t="shared" si="17"/>
        <v>60</v>
      </c>
      <c r="AG175" s="10">
        <f t="shared" si="17"/>
        <v>60</v>
      </c>
      <c r="AH175" s="10">
        <f t="shared" si="17"/>
        <v>60</v>
      </c>
      <c r="AI175" s="7">
        <f t="shared" si="17"/>
        <v>40</v>
      </c>
      <c r="AJ175" s="7">
        <f t="shared" si="17"/>
        <v>25</v>
      </c>
      <c r="AK175" s="7">
        <f t="shared" si="17"/>
        <v>40</v>
      </c>
      <c r="AL175" s="7">
        <f t="shared" si="17"/>
        <v>30</v>
      </c>
      <c r="AM175" s="7">
        <f t="shared" si="17"/>
        <v>30</v>
      </c>
      <c r="AN175" s="7">
        <f t="shared" si="17"/>
        <v>30</v>
      </c>
      <c r="AO175" s="7">
        <f t="shared" si="17"/>
        <v>30</v>
      </c>
      <c r="AP175" s="7">
        <f t="shared" si="17"/>
        <v>30</v>
      </c>
      <c r="AQ175" s="7">
        <f t="shared" si="17"/>
        <v>30</v>
      </c>
      <c r="AR175" s="7">
        <f t="shared" si="17"/>
        <v>20</v>
      </c>
      <c r="AS175" s="7">
        <f t="shared" si="17"/>
        <v>15</v>
      </c>
      <c r="AT175" s="7">
        <f t="shared" si="17"/>
        <v>5</v>
      </c>
      <c r="AU175" s="7">
        <f t="shared" si="17"/>
        <v>0</v>
      </c>
      <c r="AV175" s="7">
        <f t="shared" si="17"/>
        <v>0</v>
      </c>
      <c r="AW175" s="7">
        <f t="shared" si="17"/>
        <v>0</v>
      </c>
    </row>
    <row r="176" spans="1:49" ht="14.5" hidden="1" outlineLevel="1" x14ac:dyDescent="0.35">
      <c r="A176" s="8" t="s">
        <v>29</v>
      </c>
      <c r="B176" s="8" t="s">
        <v>10</v>
      </c>
      <c r="C176" s="8" t="s">
        <v>28</v>
      </c>
      <c r="D176" s="8" t="s">
        <v>78</v>
      </c>
      <c r="E176" s="8" t="s">
        <v>91</v>
      </c>
      <c r="F176" s="9">
        <v>125</v>
      </c>
      <c r="G176" s="9">
        <v>565</v>
      </c>
      <c r="H176" s="9">
        <v>440.5</v>
      </c>
      <c r="I176" s="9">
        <v>124.5</v>
      </c>
      <c r="J176" s="9">
        <v>11</v>
      </c>
      <c r="K176" s="9">
        <v>5</v>
      </c>
      <c r="L176" s="9">
        <v>5</v>
      </c>
      <c r="M176" s="9">
        <v>5</v>
      </c>
      <c r="N176" s="9">
        <v>15</v>
      </c>
      <c r="O176" s="9">
        <v>10</v>
      </c>
      <c r="P176" s="9">
        <v>20</v>
      </c>
      <c r="Q176" s="9">
        <v>30</v>
      </c>
      <c r="R176" s="9">
        <v>30</v>
      </c>
      <c r="S176" s="9">
        <v>30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25</v>
      </c>
      <c r="AK176" s="9">
        <v>40</v>
      </c>
      <c r="AL176" s="9">
        <v>30</v>
      </c>
      <c r="AM176" s="9">
        <v>30</v>
      </c>
      <c r="AN176" s="9">
        <v>30</v>
      </c>
      <c r="AO176" s="9">
        <v>30</v>
      </c>
      <c r="AP176" s="9">
        <v>30</v>
      </c>
      <c r="AQ176" s="9">
        <v>30</v>
      </c>
      <c r="AR176" s="9">
        <v>20</v>
      </c>
      <c r="AS176" s="9">
        <v>15</v>
      </c>
      <c r="AT176" s="9">
        <v>5</v>
      </c>
      <c r="AU176" s="9">
        <v>0</v>
      </c>
      <c r="AV176" s="9">
        <v>0</v>
      </c>
      <c r="AW176" s="9">
        <v>0</v>
      </c>
    </row>
    <row r="177" spans="1:49" ht="14.5" hidden="1" outlineLevel="1" x14ac:dyDescent="0.35">
      <c r="A177" s="8" t="s">
        <v>29</v>
      </c>
      <c r="B177" s="8" t="s">
        <v>10</v>
      </c>
      <c r="C177" s="8" t="s">
        <v>28</v>
      </c>
      <c r="D177" s="8" t="s">
        <v>78</v>
      </c>
      <c r="E177" s="8" t="s">
        <v>92</v>
      </c>
      <c r="F177" s="9">
        <v>210</v>
      </c>
      <c r="G177" s="9">
        <v>866</v>
      </c>
      <c r="H177" s="9">
        <v>931</v>
      </c>
      <c r="I177" s="9">
        <v>-65</v>
      </c>
      <c r="J177" s="9">
        <v>20.5</v>
      </c>
      <c r="K177" s="9">
        <v>20</v>
      </c>
      <c r="L177" s="9">
        <v>20</v>
      </c>
      <c r="M177" s="9">
        <v>20</v>
      </c>
      <c r="N177" s="9">
        <v>30</v>
      </c>
      <c r="O177" s="9">
        <v>30</v>
      </c>
      <c r="P177" s="9">
        <v>20</v>
      </c>
      <c r="Q177" s="9">
        <v>20</v>
      </c>
      <c r="R177" s="9">
        <v>20</v>
      </c>
      <c r="S177" s="9">
        <v>20</v>
      </c>
      <c r="T177" s="9">
        <v>15</v>
      </c>
      <c r="U177" s="9">
        <v>15</v>
      </c>
      <c r="V177" s="9">
        <v>15</v>
      </c>
      <c r="W177" s="9">
        <v>3</v>
      </c>
      <c r="X177" s="9">
        <v>3</v>
      </c>
      <c r="Y177" s="9">
        <v>3</v>
      </c>
      <c r="Z177" s="9">
        <v>2</v>
      </c>
      <c r="AA177" s="9">
        <v>0</v>
      </c>
      <c r="AB177" s="9">
        <v>10</v>
      </c>
      <c r="AC177" s="9">
        <v>50</v>
      </c>
      <c r="AD177" s="9">
        <v>50</v>
      </c>
      <c r="AE177" s="9">
        <v>50</v>
      </c>
      <c r="AF177" s="9">
        <v>60</v>
      </c>
      <c r="AG177" s="9">
        <v>60</v>
      </c>
      <c r="AH177" s="9">
        <v>60</v>
      </c>
      <c r="AI177" s="9">
        <v>40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</row>
    <row r="178" spans="1:49" ht="14.5" collapsed="1" x14ac:dyDescent="0.35">
      <c r="A178" s="6" t="s">
        <v>12</v>
      </c>
      <c r="B178" s="6" t="s">
        <v>10</v>
      </c>
      <c r="C178" s="6" t="s">
        <v>118</v>
      </c>
      <c r="D178" s="6" t="s">
        <v>76</v>
      </c>
      <c r="E178" s="6" t="s">
        <v>77</v>
      </c>
      <c r="F178" s="7">
        <f t="shared" ref="F178:AW178" si="18">SUM(F179)</f>
        <v>0</v>
      </c>
      <c r="G178" s="7">
        <f t="shared" si="18"/>
        <v>18</v>
      </c>
      <c r="H178" s="7">
        <f t="shared" si="18"/>
        <v>18</v>
      </c>
      <c r="I178" s="7">
        <f t="shared" si="18"/>
        <v>0</v>
      </c>
      <c r="J178" s="7">
        <f t="shared" si="18"/>
        <v>0</v>
      </c>
      <c r="K178" s="7">
        <f t="shared" si="18"/>
        <v>0</v>
      </c>
      <c r="L178" s="7">
        <f t="shared" si="18"/>
        <v>0</v>
      </c>
      <c r="M178" s="7">
        <f t="shared" si="18"/>
        <v>0</v>
      </c>
      <c r="N178" s="7">
        <f t="shared" si="18"/>
        <v>0</v>
      </c>
      <c r="O178" s="7">
        <f t="shared" si="18"/>
        <v>0</v>
      </c>
      <c r="P178" s="7">
        <f t="shared" si="18"/>
        <v>0</v>
      </c>
      <c r="Q178" s="7">
        <f t="shared" si="18"/>
        <v>10</v>
      </c>
      <c r="R178" s="7">
        <f t="shared" si="18"/>
        <v>8</v>
      </c>
      <c r="S178" s="7">
        <f t="shared" si="18"/>
        <v>0</v>
      </c>
      <c r="T178" s="7">
        <f t="shared" si="18"/>
        <v>0</v>
      </c>
      <c r="U178" s="7">
        <f t="shared" si="18"/>
        <v>0</v>
      </c>
      <c r="V178" s="7">
        <f t="shared" si="18"/>
        <v>0</v>
      </c>
      <c r="W178" s="7">
        <f t="shared" si="18"/>
        <v>0</v>
      </c>
      <c r="X178" s="7">
        <f t="shared" si="18"/>
        <v>0</v>
      </c>
      <c r="Y178" s="7">
        <f t="shared" si="18"/>
        <v>0</v>
      </c>
      <c r="Z178" s="7">
        <f t="shared" si="18"/>
        <v>0</v>
      </c>
      <c r="AA178" s="7">
        <f t="shared" si="18"/>
        <v>0</v>
      </c>
      <c r="AB178" s="7">
        <f t="shared" si="18"/>
        <v>0</v>
      </c>
      <c r="AC178" s="7">
        <f t="shared" si="18"/>
        <v>0</v>
      </c>
      <c r="AD178" s="7">
        <f t="shared" si="18"/>
        <v>0</v>
      </c>
      <c r="AE178" s="7">
        <f t="shared" si="18"/>
        <v>0</v>
      </c>
      <c r="AF178" s="7">
        <f t="shared" si="18"/>
        <v>0</v>
      </c>
      <c r="AG178" s="7">
        <f t="shared" si="18"/>
        <v>0</v>
      </c>
      <c r="AH178" s="7">
        <f t="shared" si="18"/>
        <v>0</v>
      </c>
      <c r="AI178" s="7">
        <f t="shared" si="18"/>
        <v>0</v>
      </c>
      <c r="AJ178" s="7">
        <f t="shared" si="18"/>
        <v>0</v>
      </c>
      <c r="AK178" s="7">
        <f t="shared" si="18"/>
        <v>0</v>
      </c>
      <c r="AL178" s="7">
        <f t="shared" si="18"/>
        <v>0</v>
      </c>
      <c r="AM178" s="7">
        <f t="shared" si="18"/>
        <v>0</v>
      </c>
      <c r="AN178" s="7">
        <f t="shared" si="18"/>
        <v>0</v>
      </c>
      <c r="AO178" s="7">
        <f t="shared" si="18"/>
        <v>0</v>
      </c>
      <c r="AP178" s="7">
        <f t="shared" si="18"/>
        <v>0</v>
      </c>
      <c r="AQ178" s="7">
        <f t="shared" si="18"/>
        <v>0</v>
      </c>
      <c r="AR178" s="7">
        <f t="shared" si="18"/>
        <v>0</v>
      </c>
      <c r="AS178" s="7">
        <f t="shared" si="18"/>
        <v>0</v>
      </c>
      <c r="AT178" s="7">
        <f t="shared" si="18"/>
        <v>0</v>
      </c>
      <c r="AU178" s="7">
        <f t="shared" si="18"/>
        <v>0</v>
      </c>
      <c r="AV178" s="7">
        <f t="shared" si="18"/>
        <v>0</v>
      </c>
      <c r="AW178" s="7">
        <f t="shared" si="18"/>
        <v>0</v>
      </c>
    </row>
    <row r="179" spans="1:49" ht="14.5" hidden="1" outlineLevel="1" x14ac:dyDescent="0.35">
      <c r="A179" s="8" t="s">
        <v>12</v>
      </c>
      <c r="B179" s="8" t="s">
        <v>10</v>
      </c>
      <c r="C179" s="8" t="s">
        <v>118</v>
      </c>
      <c r="D179" s="8" t="s">
        <v>78</v>
      </c>
      <c r="E179" s="8" t="s">
        <v>88</v>
      </c>
      <c r="F179" s="9">
        <v>0</v>
      </c>
      <c r="G179" s="9">
        <v>18</v>
      </c>
      <c r="H179" s="9">
        <v>18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10</v>
      </c>
      <c r="R179" s="9">
        <v>8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</row>
    <row r="180" spans="1:49" ht="14.5" collapsed="1" x14ac:dyDescent="0.35">
      <c r="A180" s="6" t="s">
        <v>12</v>
      </c>
      <c r="B180" s="6" t="s">
        <v>10</v>
      </c>
      <c r="C180" s="6" t="s">
        <v>119</v>
      </c>
      <c r="D180" s="6" t="s">
        <v>76</v>
      </c>
      <c r="E180" s="6" t="s">
        <v>77</v>
      </c>
      <c r="F180" s="7">
        <f t="shared" ref="F180:AW180" si="19">SUM(F181)</f>
        <v>0</v>
      </c>
      <c r="G180" s="7">
        <f t="shared" si="19"/>
        <v>20</v>
      </c>
      <c r="H180" s="7">
        <f t="shared" si="19"/>
        <v>20</v>
      </c>
      <c r="I180" s="7">
        <f t="shared" si="19"/>
        <v>0</v>
      </c>
      <c r="J180" s="7">
        <f t="shared" si="19"/>
        <v>0</v>
      </c>
      <c r="K180" s="7">
        <f t="shared" si="19"/>
        <v>0</v>
      </c>
      <c r="L180" s="7">
        <f t="shared" si="19"/>
        <v>0</v>
      </c>
      <c r="M180" s="7">
        <f t="shared" si="19"/>
        <v>0</v>
      </c>
      <c r="N180" s="7">
        <f t="shared" si="19"/>
        <v>0</v>
      </c>
      <c r="O180" s="7">
        <f t="shared" si="19"/>
        <v>0</v>
      </c>
      <c r="P180" s="7">
        <f t="shared" si="19"/>
        <v>0</v>
      </c>
      <c r="Q180" s="7">
        <f t="shared" si="19"/>
        <v>10</v>
      </c>
      <c r="R180" s="7">
        <f t="shared" si="19"/>
        <v>10</v>
      </c>
      <c r="S180" s="7">
        <f t="shared" si="19"/>
        <v>0</v>
      </c>
      <c r="T180" s="7">
        <f t="shared" si="19"/>
        <v>0</v>
      </c>
      <c r="U180" s="7">
        <f t="shared" si="19"/>
        <v>0</v>
      </c>
      <c r="V180" s="7">
        <f t="shared" si="19"/>
        <v>0</v>
      </c>
      <c r="W180" s="7">
        <f t="shared" si="19"/>
        <v>0</v>
      </c>
      <c r="X180" s="7">
        <f t="shared" si="19"/>
        <v>0</v>
      </c>
      <c r="Y180" s="7">
        <f t="shared" si="19"/>
        <v>0</v>
      </c>
      <c r="Z180" s="7">
        <f t="shared" si="19"/>
        <v>0</v>
      </c>
      <c r="AA180" s="7">
        <f t="shared" si="19"/>
        <v>0</v>
      </c>
      <c r="AB180" s="7">
        <f t="shared" si="19"/>
        <v>0</v>
      </c>
      <c r="AC180" s="7">
        <f t="shared" si="19"/>
        <v>0</v>
      </c>
      <c r="AD180" s="7">
        <f t="shared" si="19"/>
        <v>0</v>
      </c>
      <c r="AE180" s="7">
        <f t="shared" si="19"/>
        <v>0</v>
      </c>
      <c r="AF180" s="7">
        <f t="shared" si="19"/>
        <v>0</v>
      </c>
      <c r="AG180" s="7">
        <f t="shared" si="19"/>
        <v>0</v>
      </c>
      <c r="AH180" s="7">
        <f t="shared" si="19"/>
        <v>0</v>
      </c>
      <c r="AI180" s="7">
        <f t="shared" si="19"/>
        <v>0</v>
      </c>
      <c r="AJ180" s="7">
        <f t="shared" si="19"/>
        <v>0</v>
      </c>
      <c r="AK180" s="7">
        <f t="shared" si="19"/>
        <v>0</v>
      </c>
      <c r="AL180" s="7">
        <f t="shared" si="19"/>
        <v>0</v>
      </c>
      <c r="AM180" s="7">
        <f t="shared" si="19"/>
        <v>0</v>
      </c>
      <c r="AN180" s="7">
        <f t="shared" si="19"/>
        <v>0</v>
      </c>
      <c r="AO180" s="7">
        <f t="shared" si="19"/>
        <v>0</v>
      </c>
      <c r="AP180" s="7">
        <f t="shared" si="19"/>
        <v>0</v>
      </c>
      <c r="AQ180" s="7">
        <f t="shared" si="19"/>
        <v>0</v>
      </c>
      <c r="AR180" s="7">
        <f t="shared" si="19"/>
        <v>0</v>
      </c>
      <c r="AS180" s="7">
        <f t="shared" si="19"/>
        <v>0</v>
      </c>
      <c r="AT180" s="7">
        <f t="shared" si="19"/>
        <v>0</v>
      </c>
      <c r="AU180" s="7">
        <f t="shared" si="19"/>
        <v>0</v>
      </c>
      <c r="AV180" s="7">
        <f t="shared" si="19"/>
        <v>0</v>
      </c>
      <c r="AW180" s="7">
        <f t="shared" si="19"/>
        <v>0</v>
      </c>
    </row>
    <row r="181" spans="1:49" ht="14.5" hidden="1" outlineLevel="1" x14ac:dyDescent="0.35">
      <c r="A181" s="8" t="s">
        <v>12</v>
      </c>
      <c r="B181" s="8" t="s">
        <v>10</v>
      </c>
      <c r="C181" s="8" t="s">
        <v>119</v>
      </c>
      <c r="D181" s="8" t="s">
        <v>78</v>
      </c>
      <c r="E181" s="8" t="s">
        <v>88</v>
      </c>
      <c r="F181" s="9">
        <v>0</v>
      </c>
      <c r="G181" s="9">
        <v>20</v>
      </c>
      <c r="H181" s="9">
        <v>20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10</v>
      </c>
      <c r="R181" s="9">
        <v>10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</row>
    <row r="182" spans="1:49" ht="14.5" collapsed="1" x14ac:dyDescent="0.35">
      <c r="A182" s="6" t="s">
        <v>12</v>
      </c>
      <c r="B182" s="6" t="s">
        <v>10</v>
      </c>
      <c r="C182" s="6" t="s">
        <v>104</v>
      </c>
      <c r="D182" s="6" t="s">
        <v>76</v>
      </c>
      <c r="E182" s="6" t="s">
        <v>77</v>
      </c>
      <c r="F182" s="7">
        <f t="shared" ref="F182:AW182" si="20">SUM(F183)</f>
        <v>16</v>
      </c>
      <c r="G182" s="7">
        <f t="shared" si="20"/>
        <v>80</v>
      </c>
      <c r="H182" s="7">
        <f t="shared" si="20"/>
        <v>64</v>
      </c>
      <c r="I182" s="7">
        <f t="shared" si="20"/>
        <v>16</v>
      </c>
      <c r="J182" s="7">
        <f t="shared" si="20"/>
        <v>0</v>
      </c>
      <c r="K182" s="7">
        <f t="shared" si="20"/>
        <v>0</v>
      </c>
      <c r="L182" s="7">
        <f t="shared" si="20"/>
        <v>0</v>
      </c>
      <c r="M182" s="7">
        <f t="shared" si="20"/>
        <v>0</v>
      </c>
      <c r="N182" s="7">
        <f t="shared" si="20"/>
        <v>0</v>
      </c>
      <c r="O182" s="7">
        <f t="shared" si="20"/>
        <v>0</v>
      </c>
      <c r="P182" s="7">
        <f t="shared" si="20"/>
        <v>0</v>
      </c>
      <c r="Q182" s="7">
        <f t="shared" si="20"/>
        <v>0</v>
      </c>
      <c r="R182" s="7">
        <f t="shared" si="20"/>
        <v>0</v>
      </c>
      <c r="S182" s="7">
        <f t="shared" si="20"/>
        <v>0</v>
      </c>
      <c r="T182" s="7">
        <f t="shared" si="20"/>
        <v>0</v>
      </c>
      <c r="U182" s="7">
        <f t="shared" si="20"/>
        <v>0</v>
      </c>
      <c r="V182" s="7">
        <f t="shared" si="20"/>
        <v>0</v>
      </c>
      <c r="W182" s="7">
        <f t="shared" si="20"/>
        <v>0</v>
      </c>
      <c r="X182" s="7">
        <f t="shared" si="20"/>
        <v>0</v>
      </c>
      <c r="Y182" s="7">
        <f t="shared" si="20"/>
        <v>0</v>
      </c>
      <c r="Z182" s="7">
        <f t="shared" si="20"/>
        <v>0</v>
      </c>
      <c r="AA182" s="7">
        <f t="shared" si="20"/>
        <v>0</v>
      </c>
      <c r="AB182" s="7">
        <f t="shared" si="20"/>
        <v>0</v>
      </c>
      <c r="AC182" s="7">
        <f t="shared" si="20"/>
        <v>0</v>
      </c>
      <c r="AD182" s="7">
        <f t="shared" si="20"/>
        <v>0</v>
      </c>
      <c r="AE182" s="7">
        <f t="shared" si="20"/>
        <v>16</v>
      </c>
      <c r="AF182" s="7">
        <f t="shared" si="20"/>
        <v>16</v>
      </c>
      <c r="AG182" s="7">
        <f t="shared" si="20"/>
        <v>16</v>
      </c>
      <c r="AH182" s="7">
        <f t="shared" si="20"/>
        <v>16</v>
      </c>
      <c r="AI182" s="7">
        <f t="shared" si="20"/>
        <v>0</v>
      </c>
      <c r="AJ182" s="7">
        <f t="shared" si="20"/>
        <v>0</v>
      </c>
      <c r="AK182" s="7">
        <f t="shared" si="20"/>
        <v>0</v>
      </c>
      <c r="AL182" s="7">
        <f t="shared" si="20"/>
        <v>0</v>
      </c>
      <c r="AM182" s="7">
        <f t="shared" si="20"/>
        <v>0</v>
      </c>
      <c r="AN182" s="7">
        <f t="shared" si="20"/>
        <v>0</v>
      </c>
      <c r="AO182" s="7">
        <f t="shared" si="20"/>
        <v>0</v>
      </c>
      <c r="AP182" s="7">
        <f t="shared" si="20"/>
        <v>0</v>
      </c>
      <c r="AQ182" s="7">
        <f t="shared" si="20"/>
        <v>0</v>
      </c>
      <c r="AR182" s="7">
        <f t="shared" si="20"/>
        <v>0</v>
      </c>
      <c r="AS182" s="7">
        <f t="shared" si="20"/>
        <v>0</v>
      </c>
      <c r="AT182" s="7">
        <f t="shared" si="20"/>
        <v>0</v>
      </c>
      <c r="AU182" s="7">
        <f t="shared" si="20"/>
        <v>0</v>
      </c>
      <c r="AV182" s="7">
        <f t="shared" si="20"/>
        <v>0</v>
      </c>
      <c r="AW182" s="7">
        <f t="shared" si="20"/>
        <v>0</v>
      </c>
    </row>
    <row r="183" spans="1:49" ht="14.5" hidden="1" outlineLevel="1" x14ac:dyDescent="0.35">
      <c r="A183" s="8" t="s">
        <v>12</v>
      </c>
      <c r="B183" s="8" t="s">
        <v>10</v>
      </c>
      <c r="C183" s="8" t="s">
        <v>104</v>
      </c>
      <c r="D183" s="8" t="s">
        <v>78</v>
      </c>
      <c r="E183" s="8" t="s">
        <v>105</v>
      </c>
      <c r="F183" s="9">
        <v>16</v>
      </c>
      <c r="G183" s="9">
        <v>80</v>
      </c>
      <c r="H183" s="9">
        <v>64</v>
      </c>
      <c r="I183" s="9">
        <v>16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16</v>
      </c>
      <c r="AF183" s="9">
        <v>16</v>
      </c>
      <c r="AG183" s="9">
        <v>16</v>
      </c>
      <c r="AH183" s="9">
        <v>16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</row>
    <row r="184" spans="1:49" ht="14.5" collapsed="1" x14ac:dyDescent="0.35">
      <c r="A184" s="6" t="s">
        <v>12</v>
      </c>
      <c r="B184" s="6" t="s">
        <v>14</v>
      </c>
      <c r="C184" s="6" t="s">
        <v>13</v>
      </c>
      <c r="D184" s="6" t="s">
        <v>76</v>
      </c>
      <c r="E184" s="6" t="s">
        <v>77</v>
      </c>
      <c r="F184" s="7">
        <f t="shared" ref="F184:AW184" si="21">SUM(F185,F186,F187,F188,F189,F190,F191,F192,F193,F194,F195,F196,F197)</f>
        <v>390</v>
      </c>
      <c r="G184" s="7">
        <f t="shared" si="21"/>
        <v>1340</v>
      </c>
      <c r="H184" s="7">
        <f t="shared" si="21"/>
        <v>1420.5</v>
      </c>
      <c r="I184" s="7">
        <f t="shared" si="21"/>
        <v>-80.5</v>
      </c>
      <c r="J184" s="11">
        <f t="shared" si="21"/>
        <v>76</v>
      </c>
      <c r="K184" s="7">
        <f t="shared" si="21"/>
        <v>17</v>
      </c>
      <c r="L184" s="7">
        <f t="shared" si="21"/>
        <v>38</v>
      </c>
      <c r="M184" s="7">
        <f t="shared" si="21"/>
        <v>33</v>
      </c>
      <c r="N184" s="7">
        <f t="shared" si="21"/>
        <v>30</v>
      </c>
      <c r="O184" s="7">
        <f t="shared" si="21"/>
        <v>30</v>
      </c>
      <c r="P184" s="7">
        <f t="shared" si="21"/>
        <v>25</v>
      </c>
      <c r="Q184" s="7">
        <f t="shared" si="21"/>
        <v>11.5</v>
      </c>
      <c r="R184" s="7">
        <f t="shared" si="21"/>
        <v>29</v>
      </c>
      <c r="S184" s="11">
        <f t="shared" si="21"/>
        <v>69</v>
      </c>
      <c r="T184" s="11">
        <f t="shared" si="21"/>
        <v>86</v>
      </c>
      <c r="U184" s="11">
        <f t="shared" si="21"/>
        <v>82</v>
      </c>
      <c r="V184" s="7">
        <f t="shared" si="21"/>
        <v>15</v>
      </c>
      <c r="W184" s="7">
        <f t="shared" si="21"/>
        <v>30</v>
      </c>
      <c r="X184" s="7">
        <f t="shared" si="21"/>
        <v>35</v>
      </c>
      <c r="Y184" s="7">
        <f t="shared" si="21"/>
        <v>35</v>
      </c>
      <c r="Z184" s="7">
        <f t="shared" si="21"/>
        <v>0</v>
      </c>
      <c r="AA184" s="7">
        <f t="shared" si="21"/>
        <v>0</v>
      </c>
      <c r="AB184" s="7">
        <f t="shared" si="21"/>
        <v>16</v>
      </c>
      <c r="AC184" s="7">
        <f t="shared" si="21"/>
        <v>24</v>
      </c>
      <c r="AD184" s="7">
        <f t="shared" si="21"/>
        <v>24</v>
      </c>
      <c r="AE184" s="7">
        <f t="shared" si="21"/>
        <v>48</v>
      </c>
      <c r="AF184" s="11">
        <f t="shared" si="21"/>
        <v>132</v>
      </c>
      <c r="AG184" s="11">
        <f t="shared" si="21"/>
        <v>125.5</v>
      </c>
      <c r="AH184" s="11">
        <f t="shared" si="21"/>
        <v>103.5</v>
      </c>
      <c r="AI184" s="7">
        <f t="shared" si="21"/>
        <v>14</v>
      </c>
      <c r="AJ184" s="7">
        <f t="shared" si="21"/>
        <v>0</v>
      </c>
      <c r="AK184" s="7">
        <f t="shared" si="21"/>
        <v>0</v>
      </c>
      <c r="AL184" s="7">
        <f t="shared" si="21"/>
        <v>0</v>
      </c>
      <c r="AM184" s="7">
        <f t="shared" si="21"/>
        <v>0</v>
      </c>
      <c r="AN184" s="7">
        <f t="shared" si="21"/>
        <v>0</v>
      </c>
      <c r="AO184" s="7">
        <f t="shared" si="21"/>
        <v>0</v>
      </c>
      <c r="AP184" s="7">
        <f t="shared" si="21"/>
        <v>0</v>
      </c>
      <c r="AQ184" s="7">
        <f t="shared" si="21"/>
        <v>0</v>
      </c>
      <c r="AR184" s="7">
        <f t="shared" si="21"/>
        <v>0</v>
      </c>
      <c r="AS184" s="7">
        <f t="shared" si="21"/>
        <v>0</v>
      </c>
      <c r="AT184" s="7">
        <f t="shared" si="21"/>
        <v>0</v>
      </c>
      <c r="AU184" s="7">
        <f t="shared" si="21"/>
        <v>0</v>
      </c>
      <c r="AV184" s="7">
        <f t="shared" si="21"/>
        <v>0</v>
      </c>
      <c r="AW184" s="7">
        <f t="shared" si="21"/>
        <v>0</v>
      </c>
    </row>
    <row r="185" spans="1:49" ht="14.5" hidden="1" outlineLevel="1" x14ac:dyDescent="0.35">
      <c r="A185" s="8" t="s">
        <v>12</v>
      </c>
      <c r="B185" s="8" t="s">
        <v>14</v>
      </c>
      <c r="C185" s="8" t="s">
        <v>13</v>
      </c>
      <c r="D185" s="8" t="s">
        <v>78</v>
      </c>
      <c r="E185" s="8" t="s">
        <v>81</v>
      </c>
      <c r="F185" s="9">
        <v>34</v>
      </c>
      <c r="G185" s="9">
        <v>222</v>
      </c>
      <c r="H185" s="9">
        <v>212</v>
      </c>
      <c r="I185" s="9">
        <v>10</v>
      </c>
      <c r="J185" s="9">
        <v>16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14</v>
      </c>
      <c r="T185" s="9">
        <v>16</v>
      </c>
      <c r="U185" s="9">
        <v>16</v>
      </c>
      <c r="V185" s="9">
        <v>4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18</v>
      </c>
      <c r="AF185" s="9">
        <v>36</v>
      </c>
      <c r="AG185" s="9">
        <v>36</v>
      </c>
      <c r="AH185" s="9">
        <v>32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</row>
    <row r="186" spans="1:49" ht="14.5" hidden="1" outlineLevel="1" x14ac:dyDescent="0.35">
      <c r="A186" s="8" t="s">
        <v>12</v>
      </c>
      <c r="B186" s="8" t="s">
        <v>14</v>
      </c>
      <c r="C186" s="8" t="s">
        <v>13</v>
      </c>
      <c r="D186" s="8" t="s">
        <v>78</v>
      </c>
      <c r="E186" s="8" t="s">
        <v>94</v>
      </c>
      <c r="F186" s="9">
        <v>10</v>
      </c>
      <c r="G186" s="9">
        <v>10</v>
      </c>
      <c r="H186" s="9">
        <v>5</v>
      </c>
      <c r="I186" s="9">
        <v>5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</row>
    <row r="187" spans="1:49" ht="14.5" hidden="1" outlineLevel="1" x14ac:dyDescent="0.35">
      <c r="A187" s="8" t="s">
        <v>12</v>
      </c>
      <c r="B187" s="8" t="s">
        <v>14</v>
      </c>
      <c r="C187" s="8" t="s">
        <v>13</v>
      </c>
      <c r="D187" s="8" t="s">
        <v>78</v>
      </c>
      <c r="E187" s="8" t="s">
        <v>82</v>
      </c>
      <c r="F187" s="9">
        <v>0</v>
      </c>
      <c r="G187" s="9">
        <v>0</v>
      </c>
      <c r="H187" s="9">
        <v>16</v>
      </c>
      <c r="I187" s="9">
        <v>-16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</row>
    <row r="188" spans="1:49" ht="14.5" hidden="1" outlineLevel="1" x14ac:dyDescent="0.35">
      <c r="A188" s="8" t="s">
        <v>12</v>
      </c>
      <c r="B188" s="8" t="s">
        <v>14</v>
      </c>
      <c r="C188" s="8" t="s">
        <v>13</v>
      </c>
      <c r="D188" s="8" t="s">
        <v>78</v>
      </c>
      <c r="E188" s="8" t="s">
        <v>83</v>
      </c>
      <c r="F188" s="9">
        <v>0</v>
      </c>
      <c r="G188" s="9">
        <v>0</v>
      </c>
      <c r="H188" s="9">
        <v>19</v>
      </c>
      <c r="I188" s="9">
        <v>-19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</row>
    <row r="189" spans="1:49" ht="14.5" hidden="1" outlineLevel="1" x14ac:dyDescent="0.35">
      <c r="A189" s="8" t="s">
        <v>12</v>
      </c>
      <c r="B189" s="8" t="s">
        <v>14</v>
      </c>
      <c r="C189" s="8" t="s">
        <v>13</v>
      </c>
      <c r="D189" s="8" t="s">
        <v>78</v>
      </c>
      <c r="E189" s="8" t="s">
        <v>40</v>
      </c>
      <c r="F189" s="9">
        <v>32</v>
      </c>
      <c r="G189" s="9">
        <v>162</v>
      </c>
      <c r="H189" s="9">
        <v>140</v>
      </c>
      <c r="I189" s="9">
        <v>22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10</v>
      </c>
      <c r="T189" s="9">
        <v>15</v>
      </c>
      <c r="U189" s="9">
        <v>10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50</v>
      </c>
      <c r="AG189" s="9">
        <v>30</v>
      </c>
      <c r="AH189" s="9">
        <v>15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</row>
    <row r="190" spans="1:49" ht="14.5" hidden="1" outlineLevel="1" x14ac:dyDescent="0.35">
      <c r="A190" s="8" t="s">
        <v>12</v>
      </c>
      <c r="B190" s="8" t="s">
        <v>14</v>
      </c>
      <c r="C190" s="8" t="s">
        <v>13</v>
      </c>
      <c r="D190" s="8" t="s">
        <v>78</v>
      </c>
      <c r="E190" s="8" t="s">
        <v>96</v>
      </c>
      <c r="F190" s="9">
        <v>230</v>
      </c>
      <c r="G190" s="9">
        <v>674</v>
      </c>
      <c r="H190" s="9">
        <v>671.5</v>
      </c>
      <c r="I190" s="9">
        <v>2.5</v>
      </c>
      <c r="J190" s="9">
        <v>28</v>
      </c>
      <c r="K190" s="9">
        <v>0</v>
      </c>
      <c r="L190" s="9">
        <v>30</v>
      </c>
      <c r="M190" s="9">
        <v>25</v>
      </c>
      <c r="N190" s="9">
        <v>30</v>
      </c>
      <c r="O190" s="9">
        <v>30</v>
      </c>
      <c r="P190" s="9">
        <v>20</v>
      </c>
      <c r="Q190" s="9">
        <v>6.5</v>
      </c>
      <c r="R190" s="9">
        <v>24</v>
      </c>
      <c r="S190" s="9">
        <v>24</v>
      </c>
      <c r="T190" s="9">
        <v>24</v>
      </c>
      <c r="U190" s="9">
        <v>28</v>
      </c>
      <c r="V190" s="9">
        <v>0</v>
      </c>
      <c r="W190" s="9">
        <v>24</v>
      </c>
      <c r="X190" s="9">
        <v>30</v>
      </c>
      <c r="Y190" s="9">
        <v>30</v>
      </c>
      <c r="Z190" s="9">
        <v>0</v>
      </c>
      <c r="AA190" s="9">
        <v>0</v>
      </c>
      <c r="AB190" s="9">
        <v>16</v>
      </c>
      <c r="AC190" s="9">
        <v>24</v>
      </c>
      <c r="AD190" s="9">
        <v>24</v>
      </c>
      <c r="AE190" s="9">
        <v>30</v>
      </c>
      <c r="AF190" s="9">
        <v>30</v>
      </c>
      <c r="AG190" s="9">
        <v>30</v>
      </c>
      <c r="AH190" s="9">
        <v>30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>
        <v>0</v>
      </c>
    </row>
    <row r="191" spans="1:49" ht="14.5" hidden="1" outlineLevel="1" x14ac:dyDescent="0.35">
      <c r="A191" s="8" t="s">
        <v>12</v>
      </c>
      <c r="B191" s="8" t="s">
        <v>14</v>
      </c>
      <c r="C191" s="8" t="s">
        <v>13</v>
      </c>
      <c r="D191" s="8" t="s">
        <v>78</v>
      </c>
      <c r="E191" s="8" t="s">
        <v>97</v>
      </c>
      <c r="F191" s="9">
        <v>0</v>
      </c>
      <c r="G191" s="9">
        <v>0</v>
      </c>
      <c r="H191" s="9">
        <v>9</v>
      </c>
      <c r="I191" s="9">
        <v>-9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</row>
    <row r="192" spans="1:49" ht="14.5" hidden="1" outlineLevel="1" x14ac:dyDescent="0.35">
      <c r="A192" s="8" t="s">
        <v>12</v>
      </c>
      <c r="B192" s="8" t="s">
        <v>14</v>
      </c>
      <c r="C192" s="8" t="s">
        <v>13</v>
      </c>
      <c r="D192" s="8" t="s">
        <v>78</v>
      </c>
      <c r="E192" s="8" t="s">
        <v>86</v>
      </c>
      <c r="F192" s="9">
        <v>0</v>
      </c>
      <c r="G192" s="9">
        <v>0</v>
      </c>
      <c r="H192" s="9">
        <v>16</v>
      </c>
      <c r="I192" s="9">
        <v>-16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</row>
    <row r="193" spans="1:49" ht="14.5" hidden="1" outlineLevel="1" x14ac:dyDescent="0.35">
      <c r="A193" s="8" t="s">
        <v>12</v>
      </c>
      <c r="B193" s="8" t="s">
        <v>14</v>
      </c>
      <c r="C193" s="8" t="s">
        <v>13</v>
      </c>
      <c r="D193" s="8" t="s">
        <v>78</v>
      </c>
      <c r="E193" s="8" t="s">
        <v>98</v>
      </c>
      <c r="F193" s="9">
        <v>0</v>
      </c>
      <c r="G193" s="9">
        <v>0</v>
      </c>
      <c r="H193" s="9">
        <v>77</v>
      </c>
      <c r="I193" s="9">
        <v>-77</v>
      </c>
      <c r="J193" s="9">
        <v>8</v>
      </c>
      <c r="K193" s="9">
        <v>8</v>
      </c>
      <c r="L193" s="9">
        <v>8</v>
      </c>
      <c r="M193" s="9">
        <v>8</v>
      </c>
      <c r="N193" s="9">
        <v>0</v>
      </c>
      <c r="O193" s="9">
        <v>0</v>
      </c>
      <c r="P193" s="9">
        <v>5</v>
      </c>
      <c r="Q193" s="9">
        <v>5</v>
      </c>
      <c r="R193" s="9">
        <v>5</v>
      </c>
      <c r="S193" s="9">
        <v>5</v>
      </c>
      <c r="T193" s="9">
        <v>5</v>
      </c>
      <c r="U193" s="9">
        <v>5</v>
      </c>
      <c r="V193" s="9">
        <v>0</v>
      </c>
      <c r="W193" s="9">
        <v>5</v>
      </c>
      <c r="X193" s="9">
        <v>5</v>
      </c>
      <c r="Y193" s="9">
        <v>5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</row>
    <row r="194" spans="1:49" ht="14.5" hidden="1" outlineLevel="1" x14ac:dyDescent="0.35">
      <c r="A194" s="8" t="s">
        <v>12</v>
      </c>
      <c r="B194" s="8" t="s">
        <v>14</v>
      </c>
      <c r="C194" s="8" t="s">
        <v>13</v>
      </c>
      <c r="D194" s="8" t="s">
        <v>78</v>
      </c>
      <c r="E194" s="8" t="s">
        <v>99</v>
      </c>
      <c r="F194" s="9">
        <v>56</v>
      </c>
      <c r="G194" s="9">
        <v>113</v>
      </c>
      <c r="H194" s="9">
        <v>63</v>
      </c>
      <c r="I194" s="9">
        <v>50</v>
      </c>
      <c r="J194" s="9">
        <v>6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9</v>
      </c>
      <c r="T194" s="9">
        <v>11</v>
      </c>
      <c r="U194" s="9">
        <v>7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9</v>
      </c>
      <c r="AG194" s="9">
        <v>10.5</v>
      </c>
      <c r="AH194" s="9">
        <v>7.5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</row>
    <row r="195" spans="1:49" ht="14.5" hidden="1" outlineLevel="1" x14ac:dyDescent="0.35">
      <c r="A195" s="8" t="s">
        <v>12</v>
      </c>
      <c r="B195" s="8" t="s">
        <v>14</v>
      </c>
      <c r="C195" s="8" t="s">
        <v>13</v>
      </c>
      <c r="D195" s="8" t="s">
        <v>78</v>
      </c>
      <c r="E195" s="8" t="s">
        <v>43</v>
      </c>
      <c r="F195" s="9">
        <v>14</v>
      </c>
      <c r="G195" s="9">
        <v>111</v>
      </c>
      <c r="H195" s="9">
        <v>107</v>
      </c>
      <c r="I195" s="9">
        <v>4</v>
      </c>
      <c r="J195" s="9">
        <v>16</v>
      </c>
      <c r="K195" s="9">
        <v>9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9</v>
      </c>
      <c r="U195" s="9">
        <v>13</v>
      </c>
      <c r="V195" s="9">
        <v>11</v>
      </c>
      <c r="W195" s="9">
        <v>1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11</v>
      </c>
      <c r="AH195" s="9">
        <v>18</v>
      </c>
      <c r="AI195" s="9">
        <v>14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</row>
    <row r="196" spans="1:49" ht="14.5" hidden="1" outlineLevel="1" x14ac:dyDescent="0.35">
      <c r="A196" s="8" t="s">
        <v>12</v>
      </c>
      <c r="B196" s="8" t="s">
        <v>14</v>
      </c>
      <c r="C196" s="8" t="s">
        <v>13</v>
      </c>
      <c r="D196" s="8" t="s">
        <v>78</v>
      </c>
      <c r="E196" s="8" t="s">
        <v>100</v>
      </c>
      <c r="F196" s="9">
        <v>14</v>
      </c>
      <c r="G196" s="9">
        <v>48</v>
      </c>
      <c r="H196" s="9">
        <v>65</v>
      </c>
      <c r="I196" s="9">
        <v>-17</v>
      </c>
      <c r="J196" s="9">
        <v>2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7</v>
      </c>
      <c r="T196" s="9">
        <v>6</v>
      </c>
      <c r="U196" s="9">
        <v>3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7</v>
      </c>
      <c r="AG196" s="9">
        <v>8</v>
      </c>
      <c r="AH196" s="9">
        <v>1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</row>
    <row r="197" spans="1:49" ht="14.5" hidden="1" outlineLevel="1" x14ac:dyDescent="0.35">
      <c r="A197" s="8" t="s">
        <v>12</v>
      </c>
      <c r="B197" s="8" t="s">
        <v>14</v>
      </c>
      <c r="C197" s="8" t="s">
        <v>13</v>
      </c>
      <c r="D197" s="8" t="s">
        <v>78</v>
      </c>
      <c r="E197" s="8" t="s">
        <v>87</v>
      </c>
      <c r="F197" s="9">
        <v>0</v>
      </c>
      <c r="G197" s="9">
        <v>0</v>
      </c>
      <c r="H197" s="9">
        <v>20</v>
      </c>
      <c r="I197" s="9">
        <v>-20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</row>
    <row r="198" spans="1:49" ht="14.5" collapsed="1" x14ac:dyDescent="0.35">
      <c r="A198" s="6" t="s">
        <v>12</v>
      </c>
      <c r="B198" s="6" t="s">
        <v>14</v>
      </c>
      <c r="C198" s="6" t="s">
        <v>26</v>
      </c>
      <c r="D198" s="6" t="s">
        <v>76</v>
      </c>
      <c r="E198" s="6" t="s">
        <v>77</v>
      </c>
      <c r="F198" s="7">
        <f t="shared" ref="F198:AW198" si="22">SUM(F199,F200,F201,F202,F203,F204,F205,F206,F207,F208,F209,F210)</f>
        <v>468.9</v>
      </c>
      <c r="G198" s="7">
        <f t="shared" si="22"/>
        <v>1999.9</v>
      </c>
      <c r="H198" s="7">
        <f t="shared" si="22"/>
        <v>1457</v>
      </c>
      <c r="I198" s="7">
        <f t="shared" si="22"/>
        <v>542.9</v>
      </c>
      <c r="J198" s="11">
        <f t="shared" si="22"/>
        <v>65.5</v>
      </c>
      <c r="K198" s="7">
        <f t="shared" si="22"/>
        <v>16</v>
      </c>
      <c r="L198" s="7">
        <f t="shared" si="22"/>
        <v>39</v>
      </c>
      <c r="M198" s="7">
        <f t="shared" si="22"/>
        <v>35</v>
      </c>
      <c r="N198" s="7">
        <f t="shared" si="22"/>
        <v>35.1</v>
      </c>
      <c r="O198" s="7">
        <f t="shared" si="22"/>
        <v>20</v>
      </c>
      <c r="P198" s="7">
        <f t="shared" si="22"/>
        <v>19.3</v>
      </c>
      <c r="Q198" s="7">
        <f t="shared" si="22"/>
        <v>28.1</v>
      </c>
      <c r="R198" s="7">
        <f t="shared" si="22"/>
        <v>19.2</v>
      </c>
      <c r="S198" s="7">
        <f t="shared" si="22"/>
        <v>34.4</v>
      </c>
      <c r="T198" s="7">
        <f t="shared" si="22"/>
        <v>38</v>
      </c>
      <c r="U198" s="7">
        <f t="shared" si="22"/>
        <v>40</v>
      </c>
      <c r="V198" s="7">
        <f t="shared" si="22"/>
        <v>0</v>
      </c>
      <c r="W198" s="10">
        <f t="shared" si="22"/>
        <v>43</v>
      </c>
      <c r="X198" s="11">
        <f t="shared" si="22"/>
        <v>50</v>
      </c>
      <c r="Y198" s="11">
        <f t="shared" si="22"/>
        <v>53</v>
      </c>
      <c r="Z198" s="7">
        <f t="shared" si="22"/>
        <v>0</v>
      </c>
      <c r="AA198" s="7">
        <f t="shared" si="22"/>
        <v>0</v>
      </c>
      <c r="AB198" s="7">
        <f t="shared" si="22"/>
        <v>49.7</v>
      </c>
      <c r="AC198" s="7">
        <f t="shared" si="22"/>
        <v>53.2</v>
      </c>
      <c r="AD198" s="10">
        <f t="shared" si="22"/>
        <v>58</v>
      </c>
      <c r="AE198" s="7">
        <f t="shared" si="22"/>
        <v>55</v>
      </c>
      <c r="AF198" s="7">
        <f t="shared" si="22"/>
        <v>43</v>
      </c>
      <c r="AG198" s="7">
        <f t="shared" si="22"/>
        <v>39</v>
      </c>
      <c r="AH198" s="7">
        <f t="shared" si="22"/>
        <v>45</v>
      </c>
      <c r="AI198" s="7">
        <f t="shared" si="22"/>
        <v>21.9</v>
      </c>
      <c r="AJ198" s="7">
        <f t="shared" si="22"/>
        <v>6.3</v>
      </c>
      <c r="AK198" s="7">
        <f t="shared" si="22"/>
        <v>8.6999999999999993</v>
      </c>
      <c r="AL198" s="7">
        <f t="shared" si="22"/>
        <v>16</v>
      </c>
      <c r="AM198" s="7">
        <f t="shared" si="22"/>
        <v>16</v>
      </c>
      <c r="AN198" s="7">
        <f t="shared" si="22"/>
        <v>16</v>
      </c>
      <c r="AO198" s="7">
        <f t="shared" si="22"/>
        <v>16</v>
      </c>
      <c r="AP198" s="7">
        <f t="shared" si="22"/>
        <v>5.0999999999999996</v>
      </c>
      <c r="AQ198" s="7">
        <f t="shared" si="22"/>
        <v>0</v>
      </c>
      <c r="AR198" s="7">
        <f t="shared" si="22"/>
        <v>0</v>
      </c>
      <c r="AS198" s="7">
        <f t="shared" si="22"/>
        <v>0</v>
      </c>
      <c r="AT198" s="7">
        <f t="shared" si="22"/>
        <v>0</v>
      </c>
      <c r="AU198" s="7">
        <f t="shared" si="22"/>
        <v>0</v>
      </c>
      <c r="AV198" s="7">
        <f t="shared" si="22"/>
        <v>0</v>
      </c>
      <c r="AW198" s="7">
        <f t="shared" si="22"/>
        <v>0</v>
      </c>
    </row>
    <row r="199" spans="1:49" ht="14.5" hidden="1" outlineLevel="1" x14ac:dyDescent="0.35">
      <c r="A199" s="8" t="s">
        <v>12</v>
      </c>
      <c r="B199" s="8" t="s">
        <v>14</v>
      </c>
      <c r="C199" s="8" t="s">
        <v>26</v>
      </c>
      <c r="D199" s="8" t="s">
        <v>78</v>
      </c>
      <c r="E199" s="8" t="s">
        <v>80</v>
      </c>
      <c r="F199" s="9">
        <v>20</v>
      </c>
      <c r="G199" s="9">
        <v>62</v>
      </c>
      <c r="H199" s="9">
        <v>42</v>
      </c>
      <c r="I199" s="9">
        <v>20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5</v>
      </c>
      <c r="Q199" s="9">
        <v>8</v>
      </c>
      <c r="R199" s="9">
        <v>2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5</v>
      </c>
      <c r="Y199" s="9">
        <v>6</v>
      </c>
      <c r="Z199" s="9">
        <v>0</v>
      </c>
      <c r="AA199" s="9">
        <v>0</v>
      </c>
      <c r="AB199" s="9">
        <v>3</v>
      </c>
      <c r="AC199" s="9">
        <v>6</v>
      </c>
      <c r="AD199" s="9">
        <v>5</v>
      </c>
      <c r="AE199" s="9">
        <v>2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</row>
    <row r="200" spans="1:49" ht="14.5" hidden="1" outlineLevel="1" x14ac:dyDescent="0.35">
      <c r="A200" s="8" t="s">
        <v>12</v>
      </c>
      <c r="B200" s="8" t="s">
        <v>14</v>
      </c>
      <c r="C200" s="8" t="s">
        <v>26</v>
      </c>
      <c r="D200" s="8" t="s">
        <v>78</v>
      </c>
      <c r="E200" s="8" t="s">
        <v>102</v>
      </c>
      <c r="F200" s="9">
        <v>15</v>
      </c>
      <c r="G200" s="9">
        <v>520</v>
      </c>
      <c r="H200" s="9">
        <v>0</v>
      </c>
      <c r="I200" s="9">
        <v>520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</row>
    <row r="201" spans="1:49" ht="14.5" hidden="1" outlineLevel="1" x14ac:dyDescent="0.35">
      <c r="A201" s="8" t="s">
        <v>12</v>
      </c>
      <c r="B201" s="8" t="s">
        <v>14</v>
      </c>
      <c r="C201" s="8" t="s">
        <v>26</v>
      </c>
      <c r="D201" s="8" t="s">
        <v>78</v>
      </c>
      <c r="E201" s="8" t="s">
        <v>83</v>
      </c>
      <c r="F201" s="9">
        <v>0</v>
      </c>
      <c r="G201" s="9">
        <v>0</v>
      </c>
      <c r="H201" s="9">
        <v>32</v>
      </c>
      <c r="I201" s="9">
        <v>-32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</row>
    <row r="202" spans="1:49" ht="14.5" hidden="1" outlineLevel="1" x14ac:dyDescent="0.35">
      <c r="A202" s="8" t="s">
        <v>12</v>
      </c>
      <c r="B202" s="8" t="s">
        <v>14</v>
      </c>
      <c r="C202" s="8" t="s">
        <v>26</v>
      </c>
      <c r="D202" s="8" t="s">
        <v>78</v>
      </c>
      <c r="E202" s="8" t="s">
        <v>40</v>
      </c>
      <c r="F202" s="9">
        <v>0</v>
      </c>
      <c r="G202" s="9">
        <v>28</v>
      </c>
      <c r="H202" s="9">
        <v>28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8</v>
      </c>
      <c r="AH202" s="9">
        <v>10</v>
      </c>
      <c r="AI202" s="9">
        <v>10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</row>
    <row r="203" spans="1:49" ht="14.5" hidden="1" outlineLevel="1" x14ac:dyDescent="0.35">
      <c r="A203" s="8" t="s">
        <v>12</v>
      </c>
      <c r="B203" s="8" t="s">
        <v>14</v>
      </c>
      <c r="C203" s="8" t="s">
        <v>26</v>
      </c>
      <c r="D203" s="8" t="s">
        <v>78</v>
      </c>
      <c r="E203" s="8" t="s">
        <v>97</v>
      </c>
      <c r="F203" s="9">
        <v>135</v>
      </c>
      <c r="G203" s="9">
        <v>380</v>
      </c>
      <c r="H203" s="9">
        <v>471</v>
      </c>
      <c r="I203" s="9">
        <v>-91</v>
      </c>
      <c r="J203" s="9">
        <v>10.5</v>
      </c>
      <c r="K203" s="9">
        <v>0</v>
      </c>
      <c r="L203" s="9">
        <v>20</v>
      </c>
      <c r="M203" s="9">
        <v>20</v>
      </c>
      <c r="N203" s="9">
        <v>20</v>
      </c>
      <c r="O203" s="9">
        <v>0</v>
      </c>
      <c r="P203" s="9">
        <v>0</v>
      </c>
      <c r="Q203" s="9">
        <v>5</v>
      </c>
      <c r="R203" s="9">
        <v>5</v>
      </c>
      <c r="S203" s="9">
        <v>20</v>
      </c>
      <c r="T203" s="9">
        <v>20</v>
      </c>
      <c r="U203" s="9">
        <v>20</v>
      </c>
      <c r="V203" s="9">
        <v>0</v>
      </c>
      <c r="W203" s="9">
        <v>15</v>
      </c>
      <c r="X203" s="9">
        <v>15</v>
      </c>
      <c r="Y203" s="9">
        <v>15</v>
      </c>
      <c r="Z203" s="9">
        <v>0</v>
      </c>
      <c r="AA203" s="9">
        <v>0</v>
      </c>
      <c r="AB203" s="9">
        <v>10</v>
      </c>
      <c r="AC203" s="9">
        <v>10</v>
      </c>
      <c r="AD203" s="9">
        <v>10</v>
      </c>
      <c r="AE203" s="9">
        <v>10</v>
      </c>
      <c r="AF203" s="9">
        <v>10</v>
      </c>
      <c r="AG203" s="9">
        <v>5</v>
      </c>
      <c r="AH203" s="9">
        <v>5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</row>
    <row r="204" spans="1:49" ht="14.5" hidden="1" outlineLevel="1" x14ac:dyDescent="0.35">
      <c r="A204" s="8" t="s">
        <v>12</v>
      </c>
      <c r="B204" s="8" t="s">
        <v>14</v>
      </c>
      <c r="C204" s="8" t="s">
        <v>26</v>
      </c>
      <c r="D204" s="8" t="s">
        <v>78</v>
      </c>
      <c r="E204" s="8" t="s">
        <v>86</v>
      </c>
      <c r="F204" s="9">
        <v>0</v>
      </c>
      <c r="G204" s="9">
        <v>0</v>
      </c>
      <c r="H204" s="9">
        <v>3</v>
      </c>
      <c r="I204" s="9">
        <v>-3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</row>
    <row r="205" spans="1:49" ht="14.5" hidden="1" outlineLevel="1" x14ac:dyDescent="0.35">
      <c r="A205" s="8" t="s">
        <v>12</v>
      </c>
      <c r="B205" s="8" t="s">
        <v>14</v>
      </c>
      <c r="C205" s="8" t="s">
        <v>26</v>
      </c>
      <c r="D205" s="8" t="s">
        <v>78</v>
      </c>
      <c r="E205" s="8" t="s">
        <v>98</v>
      </c>
      <c r="F205" s="9">
        <v>86</v>
      </c>
      <c r="G205" s="9">
        <v>274</v>
      </c>
      <c r="H205" s="9">
        <v>126.5</v>
      </c>
      <c r="I205" s="9">
        <v>147.5</v>
      </c>
      <c r="J205" s="9">
        <v>1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15</v>
      </c>
      <c r="AC205" s="9">
        <v>15</v>
      </c>
      <c r="AD205" s="9">
        <v>15</v>
      </c>
      <c r="AE205" s="9">
        <v>15</v>
      </c>
      <c r="AF205" s="9">
        <v>15</v>
      </c>
      <c r="AG205" s="9">
        <v>16</v>
      </c>
      <c r="AH205" s="9">
        <v>20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</row>
    <row r="206" spans="1:49" ht="14.5" hidden="1" outlineLevel="1" x14ac:dyDescent="0.35">
      <c r="A206" s="8" t="s">
        <v>12</v>
      </c>
      <c r="B206" s="8" t="s">
        <v>14</v>
      </c>
      <c r="C206" s="8" t="s">
        <v>26</v>
      </c>
      <c r="D206" s="8" t="s">
        <v>78</v>
      </c>
      <c r="E206" s="8" t="s">
        <v>106</v>
      </c>
      <c r="F206" s="9">
        <v>132.5</v>
      </c>
      <c r="G206" s="9">
        <v>263.5</v>
      </c>
      <c r="H206" s="9">
        <v>274.5</v>
      </c>
      <c r="I206" s="9">
        <v>-11</v>
      </c>
      <c r="J206" s="9">
        <v>32</v>
      </c>
      <c r="K206" s="9">
        <v>0</v>
      </c>
      <c r="L206" s="9">
        <v>0</v>
      </c>
      <c r="M206" s="9">
        <v>0</v>
      </c>
      <c r="N206" s="9">
        <v>0</v>
      </c>
      <c r="O206" s="9">
        <v>12</v>
      </c>
      <c r="P206" s="9">
        <v>12</v>
      </c>
      <c r="Q206" s="9">
        <v>15</v>
      </c>
      <c r="R206" s="9">
        <v>12</v>
      </c>
      <c r="S206" s="9">
        <v>6</v>
      </c>
      <c r="T206" s="9">
        <v>10</v>
      </c>
      <c r="U206" s="9">
        <v>12</v>
      </c>
      <c r="V206" s="9">
        <v>0</v>
      </c>
      <c r="W206" s="9">
        <v>10</v>
      </c>
      <c r="X206" s="9">
        <v>12</v>
      </c>
      <c r="Y206" s="9">
        <v>14</v>
      </c>
      <c r="Z206" s="9">
        <v>0</v>
      </c>
      <c r="AA206" s="9">
        <v>0</v>
      </c>
      <c r="AB206" s="9">
        <v>8</v>
      </c>
      <c r="AC206" s="9">
        <v>8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</row>
    <row r="207" spans="1:49" ht="14.5" hidden="1" outlineLevel="1" x14ac:dyDescent="0.35">
      <c r="A207" s="8" t="s">
        <v>12</v>
      </c>
      <c r="B207" s="8" t="s">
        <v>14</v>
      </c>
      <c r="C207" s="8" t="s">
        <v>26</v>
      </c>
      <c r="D207" s="8" t="s">
        <v>78</v>
      </c>
      <c r="E207" s="8" t="s">
        <v>111</v>
      </c>
      <c r="F207" s="9">
        <v>58</v>
      </c>
      <c r="G207" s="9">
        <v>200</v>
      </c>
      <c r="H207" s="9">
        <v>182</v>
      </c>
      <c r="I207" s="9">
        <v>18</v>
      </c>
      <c r="J207" s="9">
        <v>10</v>
      </c>
      <c r="K207" s="9">
        <v>4</v>
      </c>
      <c r="L207" s="9">
        <v>8</v>
      </c>
      <c r="M207" s="9">
        <v>8</v>
      </c>
      <c r="N207" s="9">
        <v>8</v>
      </c>
      <c r="O207" s="9">
        <v>0</v>
      </c>
      <c r="P207" s="9">
        <v>0</v>
      </c>
      <c r="Q207" s="9">
        <v>0</v>
      </c>
      <c r="R207" s="9">
        <v>0</v>
      </c>
      <c r="S207" s="9">
        <v>8</v>
      </c>
      <c r="T207" s="9">
        <v>8</v>
      </c>
      <c r="U207" s="9">
        <v>8</v>
      </c>
      <c r="V207" s="9">
        <v>0</v>
      </c>
      <c r="W207" s="9">
        <v>8</v>
      </c>
      <c r="X207" s="9">
        <v>8</v>
      </c>
      <c r="Y207" s="9">
        <v>8</v>
      </c>
      <c r="Z207" s="9">
        <v>0</v>
      </c>
      <c r="AA207" s="9">
        <v>0</v>
      </c>
      <c r="AB207" s="9">
        <v>0</v>
      </c>
      <c r="AC207" s="9">
        <v>8</v>
      </c>
      <c r="AD207" s="9">
        <v>20</v>
      </c>
      <c r="AE207" s="9">
        <v>20</v>
      </c>
      <c r="AF207" s="9">
        <v>10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</row>
    <row r="208" spans="1:49" ht="14.5" hidden="1" outlineLevel="1" x14ac:dyDescent="0.35">
      <c r="A208" s="8" t="s">
        <v>12</v>
      </c>
      <c r="B208" s="8" t="s">
        <v>14</v>
      </c>
      <c r="C208" s="8" t="s">
        <v>26</v>
      </c>
      <c r="D208" s="8" t="s">
        <v>78</v>
      </c>
      <c r="E208" s="8" t="s">
        <v>112</v>
      </c>
      <c r="F208" s="9">
        <v>12</v>
      </c>
      <c r="G208" s="9">
        <v>108</v>
      </c>
      <c r="H208" s="9">
        <v>96</v>
      </c>
      <c r="I208" s="9">
        <v>12</v>
      </c>
      <c r="J208" s="9">
        <v>4</v>
      </c>
      <c r="K208" s="9">
        <v>4</v>
      </c>
      <c r="L208" s="9">
        <v>6</v>
      </c>
      <c r="M208" s="9">
        <v>6</v>
      </c>
      <c r="N208" s="9">
        <v>6</v>
      </c>
      <c r="O208" s="9">
        <v>6</v>
      </c>
      <c r="P208" s="9">
        <v>2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2</v>
      </c>
      <c r="AC208" s="9">
        <v>6</v>
      </c>
      <c r="AD208" s="9">
        <v>8</v>
      </c>
      <c r="AE208" s="9">
        <v>8</v>
      </c>
      <c r="AF208" s="9">
        <v>8</v>
      </c>
      <c r="AG208" s="9">
        <v>10</v>
      </c>
      <c r="AH208" s="9">
        <v>10</v>
      </c>
      <c r="AI208" s="9">
        <v>10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</row>
    <row r="209" spans="1:49" ht="14.5" hidden="1" outlineLevel="1" x14ac:dyDescent="0.35">
      <c r="A209" s="8" t="s">
        <v>12</v>
      </c>
      <c r="B209" s="8" t="s">
        <v>14</v>
      </c>
      <c r="C209" s="8" t="s">
        <v>26</v>
      </c>
      <c r="D209" s="8" t="s">
        <v>78</v>
      </c>
      <c r="E209" s="8" t="s">
        <v>87</v>
      </c>
      <c r="F209" s="9">
        <v>0</v>
      </c>
      <c r="G209" s="9">
        <v>0</v>
      </c>
      <c r="H209" s="9">
        <v>48</v>
      </c>
      <c r="I209" s="9">
        <v>-48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</row>
    <row r="210" spans="1:49" ht="14.5" hidden="1" outlineLevel="1" x14ac:dyDescent="0.35">
      <c r="A210" s="8" t="s">
        <v>12</v>
      </c>
      <c r="B210" s="8" t="s">
        <v>14</v>
      </c>
      <c r="C210" s="8" t="s">
        <v>26</v>
      </c>
      <c r="D210" s="8" t="s">
        <v>78</v>
      </c>
      <c r="E210" s="8" t="s">
        <v>107</v>
      </c>
      <c r="F210" s="9">
        <v>10.4</v>
      </c>
      <c r="G210" s="9">
        <v>164.4</v>
      </c>
      <c r="H210" s="9">
        <v>154</v>
      </c>
      <c r="I210" s="9">
        <v>10.4</v>
      </c>
      <c r="J210" s="9">
        <v>8</v>
      </c>
      <c r="K210" s="9">
        <v>8</v>
      </c>
      <c r="L210" s="9">
        <v>5</v>
      </c>
      <c r="M210" s="9">
        <v>1</v>
      </c>
      <c r="N210" s="9">
        <v>1.1000000000000001</v>
      </c>
      <c r="O210" s="9">
        <v>2</v>
      </c>
      <c r="P210" s="9">
        <v>0.3</v>
      </c>
      <c r="Q210" s="9">
        <v>0.1</v>
      </c>
      <c r="R210" s="9">
        <v>0.2</v>
      </c>
      <c r="S210" s="9">
        <v>0.4</v>
      </c>
      <c r="T210" s="9">
        <v>0</v>
      </c>
      <c r="U210" s="9">
        <v>0</v>
      </c>
      <c r="V210" s="9">
        <v>0</v>
      </c>
      <c r="W210" s="9">
        <v>10</v>
      </c>
      <c r="X210" s="9">
        <v>10</v>
      </c>
      <c r="Y210" s="9">
        <v>10</v>
      </c>
      <c r="Z210" s="9">
        <v>0</v>
      </c>
      <c r="AA210" s="9">
        <v>0</v>
      </c>
      <c r="AB210" s="9">
        <v>11.7</v>
      </c>
      <c r="AC210" s="9">
        <v>0.2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1.9</v>
      </c>
      <c r="AJ210" s="9">
        <v>6.3</v>
      </c>
      <c r="AK210" s="9">
        <v>8.6999999999999993</v>
      </c>
      <c r="AL210" s="9">
        <v>16</v>
      </c>
      <c r="AM210" s="9">
        <v>16</v>
      </c>
      <c r="AN210" s="9">
        <v>16</v>
      </c>
      <c r="AO210" s="9">
        <v>16</v>
      </c>
      <c r="AP210" s="9">
        <v>5.0999999999999996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</row>
    <row r="211" spans="1:49" ht="14.5" collapsed="1" x14ac:dyDescent="0.35">
      <c r="A211" s="6" t="s">
        <v>29</v>
      </c>
      <c r="B211" s="6" t="s">
        <v>14</v>
      </c>
      <c r="C211" s="6" t="s">
        <v>31</v>
      </c>
      <c r="D211" s="6" t="s">
        <v>76</v>
      </c>
      <c r="E211" s="6" t="s">
        <v>77</v>
      </c>
      <c r="F211" s="7">
        <f t="shared" ref="F211:AW211" si="23">SUM(F212,F213)</f>
        <v>369</v>
      </c>
      <c r="G211" s="7">
        <f t="shared" si="23"/>
        <v>1314</v>
      </c>
      <c r="H211" s="7">
        <f t="shared" si="23"/>
        <v>1165.5</v>
      </c>
      <c r="I211" s="7">
        <f t="shared" si="23"/>
        <v>148.5</v>
      </c>
      <c r="J211" s="7">
        <f t="shared" si="23"/>
        <v>24</v>
      </c>
      <c r="K211" s="7">
        <f t="shared" si="23"/>
        <v>18</v>
      </c>
      <c r="L211" s="7">
        <f t="shared" si="23"/>
        <v>18</v>
      </c>
      <c r="M211" s="7">
        <f t="shared" si="23"/>
        <v>15</v>
      </c>
      <c r="N211" s="7">
        <f t="shared" si="23"/>
        <v>25</v>
      </c>
      <c r="O211" s="7">
        <f t="shared" si="23"/>
        <v>35</v>
      </c>
      <c r="P211" s="11">
        <f t="shared" si="23"/>
        <v>50</v>
      </c>
      <c r="Q211" s="7">
        <f t="shared" si="23"/>
        <v>40</v>
      </c>
      <c r="R211" s="7">
        <f t="shared" si="23"/>
        <v>40</v>
      </c>
      <c r="S211" s="7">
        <f t="shared" si="23"/>
        <v>15</v>
      </c>
      <c r="T211" s="7">
        <f t="shared" si="23"/>
        <v>15</v>
      </c>
      <c r="U211" s="7">
        <f t="shared" si="23"/>
        <v>15</v>
      </c>
      <c r="V211" s="7">
        <f t="shared" si="23"/>
        <v>25</v>
      </c>
      <c r="W211" s="7">
        <f t="shared" si="23"/>
        <v>15</v>
      </c>
      <c r="X211" s="7">
        <f t="shared" si="23"/>
        <v>15</v>
      </c>
      <c r="Y211" s="7">
        <f t="shared" si="23"/>
        <v>15</v>
      </c>
      <c r="Z211" s="7">
        <f t="shared" si="23"/>
        <v>0</v>
      </c>
      <c r="AA211" s="7">
        <f t="shared" si="23"/>
        <v>0</v>
      </c>
      <c r="AB211" s="7">
        <f t="shared" si="23"/>
        <v>20</v>
      </c>
      <c r="AC211" s="7">
        <f t="shared" si="23"/>
        <v>40</v>
      </c>
      <c r="AD211" s="7">
        <f t="shared" si="23"/>
        <v>55</v>
      </c>
      <c r="AE211" s="7">
        <f t="shared" si="23"/>
        <v>50</v>
      </c>
      <c r="AF211" s="7">
        <f t="shared" si="23"/>
        <v>50</v>
      </c>
      <c r="AG211" s="7">
        <f t="shared" si="23"/>
        <v>55</v>
      </c>
      <c r="AH211" s="7">
        <f t="shared" si="23"/>
        <v>50</v>
      </c>
      <c r="AI211" s="7">
        <f t="shared" si="23"/>
        <v>25</v>
      </c>
      <c r="AJ211" s="7">
        <f t="shared" si="23"/>
        <v>25</v>
      </c>
      <c r="AK211" s="7">
        <f t="shared" si="23"/>
        <v>25</v>
      </c>
      <c r="AL211" s="7">
        <f t="shared" si="23"/>
        <v>25</v>
      </c>
      <c r="AM211" s="7">
        <f t="shared" si="23"/>
        <v>25</v>
      </c>
      <c r="AN211" s="7">
        <f t="shared" si="23"/>
        <v>25</v>
      </c>
      <c r="AO211" s="7">
        <f t="shared" si="23"/>
        <v>25</v>
      </c>
      <c r="AP211" s="7">
        <f t="shared" si="23"/>
        <v>25</v>
      </c>
      <c r="AQ211" s="7">
        <f t="shared" si="23"/>
        <v>10</v>
      </c>
      <c r="AR211" s="7">
        <f t="shared" si="23"/>
        <v>10</v>
      </c>
      <c r="AS211" s="7">
        <f t="shared" si="23"/>
        <v>5</v>
      </c>
      <c r="AT211" s="7">
        <f t="shared" si="23"/>
        <v>0</v>
      </c>
      <c r="AU211" s="7">
        <f t="shared" si="23"/>
        <v>0</v>
      </c>
      <c r="AV211" s="7">
        <f t="shared" si="23"/>
        <v>0</v>
      </c>
      <c r="AW211" s="7">
        <f t="shared" si="23"/>
        <v>0</v>
      </c>
    </row>
    <row r="212" spans="1:49" ht="14.5" hidden="1" outlineLevel="1" x14ac:dyDescent="0.35">
      <c r="A212" s="8" t="s">
        <v>29</v>
      </c>
      <c r="B212" s="8" t="s">
        <v>14</v>
      </c>
      <c r="C212" s="8" t="s">
        <v>31</v>
      </c>
      <c r="D212" s="8" t="s">
        <v>78</v>
      </c>
      <c r="E212" s="8" t="s">
        <v>91</v>
      </c>
      <c r="F212" s="9">
        <v>51</v>
      </c>
      <c r="G212" s="9">
        <v>456</v>
      </c>
      <c r="H212" s="9">
        <v>405</v>
      </c>
      <c r="I212" s="9">
        <v>51</v>
      </c>
      <c r="J212" s="9">
        <v>10</v>
      </c>
      <c r="K212" s="9">
        <v>10</v>
      </c>
      <c r="L212" s="9">
        <v>10</v>
      </c>
      <c r="M212" s="9">
        <v>10</v>
      </c>
      <c r="N212" s="9">
        <v>20</v>
      </c>
      <c r="O212" s="9">
        <v>30</v>
      </c>
      <c r="P212" s="9">
        <v>30</v>
      </c>
      <c r="Q212" s="9">
        <v>20</v>
      </c>
      <c r="R212" s="9">
        <v>20</v>
      </c>
      <c r="S212" s="9">
        <v>10</v>
      </c>
      <c r="T212" s="9">
        <v>10</v>
      </c>
      <c r="U212" s="9">
        <v>10</v>
      </c>
      <c r="V212" s="9">
        <v>10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5</v>
      </c>
      <c r="AJ212" s="9">
        <v>25</v>
      </c>
      <c r="AK212" s="9">
        <v>25</v>
      </c>
      <c r="AL212" s="9">
        <v>25</v>
      </c>
      <c r="AM212" s="9">
        <v>25</v>
      </c>
      <c r="AN212" s="9">
        <v>25</v>
      </c>
      <c r="AO212" s="9">
        <v>25</v>
      </c>
      <c r="AP212" s="9">
        <v>25</v>
      </c>
      <c r="AQ212" s="9">
        <v>10</v>
      </c>
      <c r="AR212" s="9">
        <v>10</v>
      </c>
      <c r="AS212" s="9">
        <v>5</v>
      </c>
      <c r="AT212" s="9">
        <v>0</v>
      </c>
      <c r="AU212" s="9">
        <v>0</v>
      </c>
      <c r="AV212" s="9">
        <v>0</v>
      </c>
      <c r="AW212" s="9">
        <v>0</v>
      </c>
    </row>
    <row r="213" spans="1:49" ht="14.5" hidden="1" outlineLevel="1" x14ac:dyDescent="0.35">
      <c r="A213" s="8" t="s">
        <v>29</v>
      </c>
      <c r="B213" s="8" t="s">
        <v>14</v>
      </c>
      <c r="C213" s="8" t="s">
        <v>31</v>
      </c>
      <c r="D213" s="8" t="s">
        <v>78</v>
      </c>
      <c r="E213" s="8" t="s">
        <v>92</v>
      </c>
      <c r="F213" s="9">
        <v>318</v>
      </c>
      <c r="G213" s="9">
        <v>858</v>
      </c>
      <c r="H213" s="9">
        <v>760.5</v>
      </c>
      <c r="I213" s="9">
        <v>97.5</v>
      </c>
      <c r="J213" s="9">
        <v>14</v>
      </c>
      <c r="K213" s="9">
        <v>8</v>
      </c>
      <c r="L213" s="9">
        <v>8</v>
      </c>
      <c r="M213" s="9">
        <v>5</v>
      </c>
      <c r="N213" s="9">
        <v>5</v>
      </c>
      <c r="O213" s="9">
        <v>5</v>
      </c>
      <c r="P213" s="9">
        <v>20</v>
      </c>
      <c r="Q213" s="9">
        <v>20</v>
      </c>
      <c r="R213" s="9">
        <v>20</v>
      </c>
      <c r="S213" s="9">
        <v>5</v>
      </c>
      <c r="T213" s="9">
        <v>5</v>
      </c>
      <c r="U213" s="9">
        <v>5</v>
      </c>
      <c r="V213" s="9">
        <v>15</v>
      </c>
      <c r="W213" s="9">
        <v>15</v>
      </c>
      <c r="X213" s="9">
        <v>15</v>
      </c>
      <c r="Y213" s="9">
        <v>15</v>
      </c>
      <c r="Z213" s="9">
        <v>0</v>
      </c>
      <c r="AA213" s="9">
        <v>0</v>
      </c>
      <c r="AB213" s="9">
        <v>20</v>
      </c>
      <c r="AC213" s="9">
        <v>40</v>
      </c>
      <c r="AD213" s="9">
        <v>55</v>
      </c>
      <c r="AE213" s="9">
        <v>50</v>
      </c>
      <c r="AF213" s="9">
        <v>50</v>
      </c>
      <c r="AG213" s="9">
        <v>55</v>
      </c>
      <c r="AH213" s="9">
        <v>50</v>
      </c>
      <c r="AI213" s="9">
        <v>20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0</v>
      </c>
      <c r="AV213" s="9">
        <v>0</v>
      </c>
      <c r="AW213" s="9">
        <v>0</v>
      </c>
    </row>
    <row r="214" spans="1:49" ht="14.5" collapsed="1" x14ac:dyDescent="0.35">
      <c r="A214" s="6" t="s">
        <v>29</v>
      </c>
      <c r="B214" s="6" t="s">
        <v>14</v>
      </c>
      <c r="C214" s="6" t="s">
        <v>120</v>
      </c>
      <c r="D214" s="6" t="s">
        <v>76</v>
      </c>
      <c r="E214" s="6" t="s">
        <v>77</v>
      </c>
      <c r="F214" s="7">
        <f t="shared" ref="F214:AW214" si="24">SUM(F215,F216)</f>
        <v>308</v>
      </c>
      <c r="G214" s="7">
        <f t="shared" si="24"/>
        <v>1088</v>
      </c>
      <c r="H214" s="7">
        <f t="shared" si="24"/>
        <v>935.5</v>
      </c>
      <c r="I214" s="7">
        <f t="shared" si="24"/>
        <v>152.5</v>
      </c>
      <c r="J214" s="7">
        <f t="shared" si="24"/>
        <v>7</v>
      </c>
      <c r="K214" s="7">
        <f t="shared" si="24"/>
        <v>0</v>
      </c>
      <c r="L214" s="7">
        <f t="shared" si="24"/>
        <v>0</v>
      </c>
      <c r="M214" s="7">
        <f t="shared" si="24"/>
        <v>5</v>
      </c>
      <c r="N214" s="7">
        <f t="shared" si="24"/>
        <v>5</v>
      </c>
      <c r="O214" s="7">
        <f t="shared" si="24"/>
        <v>5</v>
      </c>
      <c r="P214" s="7">
        <f t="shared" si="24"/>
        <v>20</v>
      </c>
      <c r="Q214" s="7">
        <f t="shared" si="24"/>
        <v>20</v>
      </c>
      <c r="R214" s="7">
        <f t="shared" si="24"/>
        <v>20</v>
      </c>
      <c r="S214" s="7">
        <f t="shared" si="24"/>
        <v>5</v>
      </c>
      <c r="T214" s="7">
        <f t="shared" si="24"/>
        <v>5</v>
      </c>
      <c r="U214" s="7">
        <f t="shared" si="24"/>
        <v>5</v>
      </c>
      <c r="V214" s="7">
        <f t="shared" si="24"/>
        <v>15</v>
      </c>
      <c r="W214" s="7">
        <f t="shared" si="24"/>
        <v>15</v>
      </c>
      <c r="X214" s="7">
        <f t="shared" si="24"/>
        <v>15</v>
      </c>
      <c r="Y214" s="7">
        <f t="shared" si="24"/>
        <v>15</v>
      </c>
      <c r="Z214" s="7">
        <f t="shared" si="24"/>
        <v>0</v>
      </c>
      <c r="AA214" s="7">
        <f t="shared" si="24"/>
        <v>0</v>
      </c>
      <c r="AB214" s="7">
        <f t="shared" si="24"/>
        <v>20</v>
      </c>
      <c r="AC214" s="7">
        <f t="shared" si="24"/>
        <v>40</v>
      </c>
      <c r="AD214" s="7">
        <f t="shared" si="24"/>
        <v>55</v>
      </c>
      <c r="AE214" s="7">
        <f t="shared" si="24"/>
        <v>55</v>
      </c>
      <c r="AF214" s="7">
        <f t="shared" si="24"/>
        <v>55</v>
      </c>
      <c r="AG214" s="7">
        <f t="shared" si="24"/>
        <v>55</v>
      </c>
      <c r="AH214" s="7">
        <f t="shared" si="24"/>
        <v>50</v>
      </c>
      <c r="AI214" s="7">
        <f t="shared" si="24"/>
        <v>25</v>
      </c>
      <c r="AJ214" s="7">
        <f t="shared" si="24"/>
        <v>25</v>
      </c>
      <c r="AK214" s="7">
        <f t="shared" si="24"/>
        <v>25</v>
      </c>
      <c r="AL214" s="7">
        <f t="shared" si="24"/>
        <v>25</v>
      </c>
      <c r="AM214" s="7">
        <f t="shared" si="24"/>
        <v>25</v>
      </c>
      <c r="AN214" s="7">
        <f t="shared" si="24"/>
        <v>25</v>
      </c>
      <c r="AO214" s="7">
        <f t="shared" si="24"/>
        <v>25</v>
      </c>
      <c r="AP214" s="7">
        <f t="shared" si="24"/>
        <v>25</v>
      </c>
      <c r="AQ214" s="7">
        <f t="shared" si="24"/>
        <v>10</v>
      </c>
      <c r="AR214" s="7">
        <f t="shared" si="24"/>
        <v>10</v>
      </c>
      <c r="AS214" s="7">
        <f t="shared" si="24"/>
        <v>0</v>
      </c>
      <c r="AT214" s="7">
        <f t="shared" si="24"/>
        <v>0</v>
      </c>
      <c r="AU214" s="7">
        <f t="shared" si="24"/>
        <v>0</v>
      </c>
      <c r="AV214" s="7">
        <f t="shared" si="24"/>
        <v>0</v>
      </c>
      <c r="AW214" s="7">
        <f t="shared" si="24"/>
        <v>0</v>
      </c>
    </row>
    <row r="215" spans="1:49" ht="14.5" hidden="1" outlineLevel="1" x14ac:dyDescent="0.35">
      <c r="A215" s="8" t="s">
        <v>29</v>
      </c>
      <c r="B215" s="8" t="s">
        <v>14</v>
      </c>
      <c r="C215" s="8" t="s">
        <v>120</v>
      </c>
      <c r="D215" s="8" t="s">
        <v>78</v>
      </c>
      <c r="E215" s="8" t="s">
        <v>91</v>
      </c>
      <c r="F215" s="9">
        <v>0</v>
      </c>
      <c r="G215" s="9">
        <v>200</v>
      </c>
      <c r="H215" s="9">
        <v>200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5</v>
      </c>
      <c r="AJ215" s="9">
        <v>25</v>
      </c>
      <c r="AK215" s="9">
        <v>25</v>
      </c>
      <c r="AL215" s="9">
        <v>25</v>
      </c>
      <c r="AM215" s="9">
        <v>25</v>
      </c>
      <c r="AN215" s="9">
        <v>25</v>
      </c>
      <c r="AO215" s="9">
        <v>25</v>
      </c>
      <c r="AP215" s="9">
        <v>25</v>
      </c>
      <c r="AQ215" s="9">
        <v>10</v>
      </c>
      <c r="AR215" s="9">
        <v>10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</row>
    <row r="216" spans="1:49" ht="14.5" hidden="1" outlineLevel="1" x14ac:dyDescent="0.35">
      <c r="A216" s="8" t="s">
        <v>29</v>
      </c>
      <c r="B216" s="8" t="s">
        <v>14</v>
      </c>
      <c r="C216" s="8" t="s">
        <v>120</v>
      </c>
      <c r="D216" s="8" t="s">
        <v>78</v>
      </c>
      <c r="E216" s="8" t="s">
        <v>92</v>
      </c>
      <c r="F216" s="9">
        <v>308</v>
      </c>
      <c r="G216" s="9">
        <v>888</v>
      </c>
      <c r="H216" s="9">
        <v>735.5</v>
      </c>
      <c r="I216" s="9">
        <v>152.5</v>
      </c>
      <c r="J216" s="9">
        <v>7</v>
      </c>
      <c r="K216" s="9">
        <v>0</v>
      </c>
      <c r="L216" s="9">
        <v>0</v>
      </c>
      <c r="M216" s="9">
        <v>5</v>
      </c>
      <c r="N216" s="9">
        <v>5</v>
      </c>
      <c r="O216" s="9">
        <v>5</v>
      </c>
      <c r="P216" s="9">
        <v>20</v>
      </c>
      <c r="Q216" s="9">
        <v>20</v>
      </c>
      <c r="R216" s="9">
        <v>20</v>
      </c>
      <c r="S216" s="9">
        <v>5</v>
      </c>
      <c r="T216" s="9">
        <v>5</v>
      </c>
      <c r="U216" s="9">
        <v>5</v>
      </c>
      <c r="V216" s="9">
        <v>15</v>
      </c>
      <c r="W216" s="9">
        <v>15</v>
      </c>
      <c r="X216" s="9">
        <v>15</v>
      </c>
      <c r="Y216" s="9">
        <v>15</v>
      </c>
      <c r="Z216" s="9">
        <v>0</v>
      </c>
      <c r="AA216" s="9">
        <v>0</v>
      </c>
      <c r="AB216" s="9">
        <v>20</v>
      </c>
      <c r="AC216" s="9">
        <v>40</v>
      </c>
      <c r="AD216" s="9">
        <v>55</v>
      </c>
      <c r="AE216" s="9">
        <v>55</v>
      </c>
      <c r="AF216" s="9">
        <v>55</v>
      </c>
      <c r="AG216" s="9">
        <v>55</v>
      </c>
      <c r="AH216" s="9">
        <v>50</v>
      </c>
      <c r="AI216" s="9">
        <v>20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</row>
    <row r="217" spans="1:49" ht="14.5" collapsed="1" x14ac:dyDescent="0.35">
      <c r="A217" s="6" t="s">
        <v>12</v>
      </c>
      <c r="B217" s="6" t="s">
        <v>14</v>
      </c>
      <c r="C217" s="6" t="s">
        <v>17</v>
      </c>
      <c r="D217" s="6" t="s">
        <v>76</v>
      </c>
      <c r="E217" s="6" t="s">
        <v>77</v>
      </c>
      <c r="F217" s="7">
        <f t="shared" ref="F217:AW217" si="25">SUM(F218,F219,F220,F221,F222,F223,F224,F225,F226,F227)</f>
        <v>354</v>
      </c>
      <c r="G217" s="7">
        <f t="shared" si="25"/>
        <v>998</v>
      </c>
      <c r="H217" s="7">
        <f t="shared" si="25"/>
        <v>1275</v>
      </c>
      <c r="I217" s="7">
        <f t="shared" si="25"/>
        <v>-277</v>
      </c>
      <c r="J217" s="7">
        <f t="shared" si="25"/>
        <v>25</v>
      </c>
      <c r="K217" s="7">
        <f t="shared" si="25"/>
        <v>3</v>
      </c>
      <c r="L217" s="7">
        <f t="shared" si="25"/>
        <v>5</v>
      </c>
      <c r="M217" s="7">
        <f t="shared" si="25"/>
        <v>3</v>
      </c>
      <c r="N217" s="7">
        <f t="shared" si="25"/>
        <v>3</v>
      </c>
      <c r="O217" s="7">
        <f t="shared" si="25"/>
        <v>13</v>
      </c>
      <c r="P217" s="7">
        <f t="shared" si="25"/>
        <v>13</v>
      </c>
      <c r="Q217" s="10">
        <f t="shared" si="25"/>
        <v>45</v>
      </c>
      <c r="R217" s="11">
        <f t="shared" si="25"/>
        <v>46</v>
      </c>
      <c r="S217" s="7">
        <f t="shared" si="25"/>
        <v>15</v>
      </c>
      <c r="T217" s="7">
        <f t="shared" si="25"/>
        <v>15</v>
      </c>
      <c r="U217" s="7">
        <f t="shared" si="25"/>
        <v>10</v>
      </c>
      <c r="V217" s="7">
        <f t="shared" si="25"/>
        <v>8</v>
      </c>
      <c r="W217" s="7">
        <f t="shared" si="25"/>
        <v>6</v>
      </c>
      <c r="X217" s="7">
        <f t="shared" si="25"/>
        <v>22</v>
      </c>
      <c r="Y217" s="7">
        <f t="shared" si="25"/>
        <v>18</v>
      </c>
      <c r="Z217" s="7">
        <f t="shared" si="25"/>
        <v>0</v>
      </c>
      <c r="AA217" s="7">
        <f t="shared" si="25"/>
        <v>0</v>
      </c>
      <c r="AB217" s="7">
        <f t="shared" si="25"/>
        <v>6</v>
      </c>
      <c r="AC217" s="7">
        <f t="shared" si="25"/>
        <v>34.5</v>
      </c>
      <c r="AD217" s="7">
        <f t="shared" si="25"/>
        <v>35</v>
      </c>
      <c r="AE217" s="11">
        <f t="shared" si="25"/>
        <v>68</v>
      </c>
      <c r="AF217" s="11">
        <f t="shared" si="25"/>
        <v>90</v>
      </c>
      <c r="AG217" s="11">
        <f t="shared" si="25"/>
        <v>75.5</v>
      </c>
      <c r="AH217" s="11">
        <f t="shared" si="25"/>
        <v>67</v>
      </c>
      <c r="AI217" s="7">
        <f t="shared" si="25"/>
        <v>28</v>
      </c>
      <c r="AJ217" s="7">
        <f t="shared" si="25"/>
        <v>3</v>
      </c>
      <c r="AK217" s="7">
        <f t="shared" si="25"/>
        <v>3</v>
      </c>
      <c r="AL217" s="7">
        <f t="shared" si="25"/>
        <v>3</v>
      </c>
      <c r="AM217" s="7">
        <f t="shared" si="25"/>
        <v>0</v>
      </c>
      <c r="AN217" s="7">
        <f t="shared" si="25"/>
        <v>0</v>
      </c>
      <c r="AO217" s="7">
        <f t="shared" si="25"/>
        <v>0</v>
      </c>
      <c r="AP217" s="7">
        <f t="shared" si="25"/>
        <v>0</v>
      </c>
      <c r="AQ217" s="7">
        <f t="shared" si="25"/>
        <v>0</v>
      </c>
      <c r="AR217" s="7">
        <f t="shared" si="25"/>
        <v>0</v>
      </c>
      <c r="AS217" s="7">
        <f t="shared" si="25"/>
        <v>0</v>
      </c>
      <c r="AT217" s="7">
        <f t="shared" si="25"/>
        <v>0</v>
      </c>
      <c r="AU217" s="7">
        <f t="shared" si="25"/>
        <v>0</v>
      </c>
      <c r="AV217" s="7">
        <f t="shared" si="25"/>
        <v>0</v>
      </c>
      <c r="AW217" s="7">
        <f t="shared" si="25"/>
        <v>0</v>
      </c>
    </row>
    <row r="218" spans="1:49" ht="14.5" hidden="1" outlineLevel="1" x14ac:dyDescent="0.35">
      <c r="A218" s="8" t="s">
        <v>12</v>
      </c>
      <c r="B218" s="8" t="s">
        <v>14</v>
      </c>
      <c r="C218" s="8" t="s">
        <v>17</v>
      </c>
      <c r="D218" s="8" t="s">
        <v>78</v>
      </c>
      <c r="E218" s="8" t="s">
        <v>121</v>
      </c>
      <c r="F218" s="9">
        <v>11</v>
      </c>
      <c r="G218" s="9">
        <v>46</v>
      </c>
      <c r="H218" s="9">
        <v>120</v>
      </c>
      <c r="I218" s="9">
        <v>-74</v>
      </c>
      <c r="J218" s="9">
        <v>8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2</v>
      </c>
      <c r="R218" s="9">
        <v>3</v>
      </c>
      <c r="S218" s="9">
        <v>3</v>
      </c>
      <c r="T218" s="9">
        <v>3</v>
      </c>
      <c r="U218" s="9">
        <v>3</v>
      </c>
      <c r="V218" s="9">
        <v>0</v>
      </c>
      <c r="W218" s="9">
        <v>3</v>
      </c>
      <c r="X218" s="9">
        <v>3</v>
      </c>
      <c r="Y218" s="9">
        <v>3</v>
      </c>
      <c r="Z218" s="9">
        <v>0</v>
      </c>
      <c r="AA218" s="9">
        <v>0</v>
      </c>
      <c r="AB218" s="9">
        <v>3</v>
      </c>
      <c r="AC218" s="9">
        <v>3</v>
      </c>
      <c r="AD218" s="9">
        <v>3</v>
      </c>
      <c r="AE218" s="9">
        <v>3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</row>
    <row r="219" spans="1:49" ht="14.5" hidden="1" outlineLevel="1" x14ac:dyDescent="0.35">
      <c r="A219" s="8" t="s">
        <v>12</v>
      </c>
      <c r="B219" s="8" t="s">
        <v>14</v>
      </c>
      <c r="C219" s="8" t="s">
        <v>17</v>
      </c>
      <c r="D219" s="8" t="s">
        <v>78</v>
      </c>
      <c r="E219" s="8" t="s">
        <v>82</v>
      </c>
      <c r="F219" s="9">
        <v>40</v>
      </c>
      <c r="G219" s="9">
        <v>40</v>
      </c>
      <c r="H219" s="9">
        <v>60</v>
      </c>
      <c r="I219" s="9">
        <v>-20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</row>
    <row r="220" spans="1:49" ht="14.5" hidden="1" outlineLevel="1" x14ac:dyDescent="0.35">
      <c r="A220" s="8" t="s">
        <v>12</v>
      </c>
      <c r="B220" s="8" t="s">
        <v>14</v>
      </c>
      <c r="C220" s="8" t="s">
        <v>17</v>
      </c>
      <c r="D220" s="8" t="s">
        <v>78</v>
      </c>
      <c r="E220" s="8" t="s">
        <v>83</v>
      </c>
      <c r="F220" s="9">
        <v>20</v>
      </c>
      <c r="G220" s="9">
        <v>20</v>
      </c>
      <c r="H220" s="9">
        <v>32</v>
      </c>
      <c r="I220" s="9">
        <v>-12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</row>
    <row r="221" spans="1:49" ht="14.5" hidden="1" outlineLevel="1" x14ac:dyDescent="0.35">
      <c r="A221" s="8" t="s">
        <v>12</v>
      </c>
      <c r="B221" s="8" t="s">
        <v>14</v>
      </c>
      <c r="C221" s="8" t="s">
        <v>17</v>
      </c>
      <c r="D221" s="8" t="s">
        <v>78</v>
      </c>
      <c r="E221" s="8" t="s">
        <v>84</v>
      </c>
      <c r="F221" s="9">
        <v>0</v>
      </c>
      <c r="G221" s="9">
        <v>20</v>
      </c>
      <c r="H221" s="9">
        <v>20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10</v>
      </c>
      <c r="R221" s="9">
        <v>10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</row>
    <row r="222" spans="1:49" ht="14.5" hidden="1" outlineLevel="1" x14ac:dyDescent="0.35">
      <c r="A222" s="8" t="s">
        <v>12</v>
      </c>
      <c r="B222" s="8" t="s">
        <v>14</v>
      </c>
      <c r="C222" s="8" t="s">
        <v>17</v>
      </c>
      <c r="D222" s="8" t="s">
        <v>78</v>
      </c>
      <c r="E222" s="8" t="s">
        <v>40</v>
      </c>
      <c r="F222" s="9">
        <v>0</v>
      </c>
      <c r="G222" s="9">
        <v>28</v>
      </c>
      <c r="H222" s="9">
        <v>28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8</v>
      </c>
      <c r="AH222" s="9">
        <v>10</v>
      </c>
      <c r="AI222" s="9">
        <v>10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</row>
    <row r="223" spans="1:49" ht="14.5" hidden="1" outlineLevel="1" x14ac:dyDescent="0.35">
      <c r="A223" s="8" t="s">
        <v>12</v>
      </c>
      <c r="B223" s="8" t="s">
        <v>14</v>
      </c>
      <c r="C223" s="8" t="s">
        <v>17</v>
      </c>
      <c r="D223" s="8" t="s">
        <v>78</v>
      </c>
      <c r="E223" s="8" t="s">
        <v>46</v>
      </c>
      <c r="F223" s="9">
        <v>223</v>
      </c>
      <c r="G223" s="9">
        <v>590</v>
      </c>
      <c r="H223" s="9">
        <v>637</v>
      </c>
      <c r="I223" s="9">
        <v>-47</v>
      </c>
      <c r="J223" s="9">
        <v>17</v>
      </c>
      <c r="K223" s="9">
        <v>3</v>
      </c>
      <c r="L223" s="9">
        <v>5</v>
      </c>
      <c r="M223" s="9">
        <v>3</v>
      </c>
      <c r="N223" s="9">
        <v>3</v>
      </c>
      <c r="O223" s="9">
        <v>3</v>
      </c>
      <c r="P223" s="9">
        <v>3</v>
      </c>
      <c r="Q223" s="9">
        <v>3</v>
      </c>
      <c r="R223" s="9">
        <v>3</v>
      </c>
      <c r="S223" s="9">
        <v>12</v>
      </c>
      <c r="T223" s="9">
        <v>12</v>
      </c>
      <c r="U223" s="9">
        <v>7</v>
      </c>
      <c r="V223" s="9">
        <v>8</v>
      </c>
      <c r="W223" s="9">
        <v>3</v>
      </c>
      <c r="X223" s="9">
        <v>15</v>
      </c>
      <c r="Y223" s="9">
        <v>15</v>
      </c>
      <c r="Z223" s="9">
        <v>0</v>
      </c>
      <c r="AA223" s="9">
        <v>0</v>
      </c>
      <c r="AB223" s="9">
        <v>3</v>
      </c>
      <c r="AC223" s="9">
        <v>31.5</v>
      </c>
      <c r="AD223" s="9">
        <v>22</v>
      </c>
      <c r="AE223" s="9">
        <v>45</v>
      </c>
      <c r="AF223" s="9">
        <v>40</v>
      </c>
      <c r="AG223" s="9">
        <v>37.5</v>
      </c>
      <c r="AH223" s="9">
        <v>57</v>
      </c>
      <c r="AI223" s="9">
        <v>18</v>
      </c>
      <c r="AJ223" s="9">
        <v>3</v>
      </c>
      <c r="AK223" s="9">
        <v>3</v>
      </c>
      <c r="AL223" s="9">
        <v>3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</row>
    <row r="224" spans="1:49" ht="14.5" hidden="1" outlineLevel="1" x14ac:dyDescent="0.35">
      <c r="A224" s="8" t="s">
        <v>12</v>
      </c>
      <c r="B224" s="8" t="s">
        <v>14</v>
      </c>
      <c r="C224" s="8" t="s">
        <v>17</v>
      </c>
      <c r="D224" s="8" t="s">
        <v>78</v>
      </c>
      <c r="E224" s="8" t="s">
        <v>86</v>
      </c>
      <c r="F224" s="9">
        <v>0</v>
      </c>
      <c r="G224" s="9">
        <v>0</v>
      </c>
      <c r="H224" s="9">
        <v>98</v>
      </c>
      <c r="I224" s="9">
        <v>-98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</row>
    <row r="225" spans="1:49" ht="14.5" hidden="1" outlineLevel="1" x14ac:dyDescent="0.35">
      <c r="A225" s="8" t="s">
        <v>12</v>
      </c>
      <c r="B225" s="8" t="s">
        <v>14</v>
      </c>
      <c r="C225" s="8" t="s">
        <v>17</v>
      </c>
      <c r="D225" s="8" t="s">
        <v>78</v>
      </c>
      <c r="E225" s="8" t="s">
        <v>87</v>
      </c>
      <c r="F225" s="9">
        <v>60</v>
      </c>
      <c r="G225" s="9">
        <v>60</v>
      </c>
      <c r="H225" s="9">
        <v>86</v>
      </c>
      <c r="I225" s="9">
        <v>-26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</row>
    <row r="226" spans="1:49" ht="14.5" hidden="1" outlineLevel="1" x14ac:dyDescent="0.35">
      <c r="A226" s="8" t="s">
        <v>12</v>
      </c>
      <c r="B226" s="8" t="s">
        <v>14</v>
      </c>
      <c r="C226" s="8" t="s">
        <v>17</v>
      </c>
      <c r="D226" s="8" t="s">
        <v>78</v>
      </c>
      <c r="E226" s="8" t="s">
        <v>88</v>
      </c>
      <c r="F226" s="9">
        <v>0</v>
      </c>
      <c r="G226" s="9">
        <v>80</v>
      </c>
      <c r="H226" s="9">
        <v>80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10</v>
      </c>
      <c r="P226" s="9">
        <v>10</v>
      </c>
      <c r="Q226" s="9">
        <v>30</v>
      </c>
      <c r="R226" s="9">
        <v>30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</row>
    <row r="227" spans="1:49" ht="14.5" hidden="1" outlineLevel="1" x14ac:dyDescent="0.35">
      <c r="A227" s="8" t="s">
        <v>12</v>
      </c>
      <c r="B227" s="8" t="s">
        <v>14</v>
      </c>
      <c r="C227" s="8" t="s">
        <v>17</v>
      </c>
      <c r="D227" s="8" t="s">
        <v>78</v>
      </c>
      <c r="E227" s="8" t="s">
        <v>122</v>
      </c>
      <c r="F227" s="9">
        <v>0</v>
      </c>
      <c r="G227" s="9">
        <v>114</v>
      </c>
      <c r="H227" s="9">
        <v>114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4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10</v>
      </c>
      <c r="AE227" s="9">
        <v>20</v>
      </c>
      <c r="AF227" s="9">
        <v>50</v>
      </c>
      <c r="AG227" s="9">
        <v>30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</row>
    <row r="228" spans="1:49" ht="14.5" collapsed="1" x14ac:dyDescent="0.35">
      <c r="A228" s="6" t="s">
        <v>12</v>
      </c>
      <c r="B228" s="6" t="s">
        <v>14</v>
      </c>
      <c r="C228" s="6" t="s">
        <v>123</v>
      </c>
      <c r="D228" s="6" t="s">
        <v>76</v>
      </c>
      <c r="E228" s="6" t="s">
        <v>77</v>
      </c>
      <c r="F228" s="7">
        <f t="shared" ref="F228:AW228" si="26">SUM(F229,F230,F231,F232,F233,F234)</f>
        <v>80.900000000000006</v>
      </c>
      <c r="G228" s="7">
        <f t="shared" si="26"/>
        <v>223.6</v>
      </c>
      <c r="H228" s="7">
        <f t="shared" si="26"/>
        <v>304.8</v>
      </c>
      <c r="I228" s="7">
        <f t="shared" si="26"/>
        <v>-81.2</v>
      </c>
      <c r="J228" s="7">
        <f t="shared" si="26"/>
        <v>1.3846150000000002</v>
      </c>
      <c r="K228" s="7">
        <f t="shared" si="26"/>
        <v>1.3846150000000002</v>
      </c>
      <c r="L228" s="7">
        <f t="shared" si="26"/>
        <v>1.3846150000000002</v>
      </c>
      <c r="M228" s="7">
        <f t="shared" si="26"/>
        <v>1.3846150000000002</v>
      </c>
      <c r="N228" s="7">
        <f t="shared" si="26"/>
        <v>1.3846150000000002</v>
      </c>
      <c r="O228" s="7">
        <f t="shared" si="26"/>
        <v>1.3846150000000002</v>
      </c>
      <c r="P228" s="7">
        <f t="shared" si="26"/>
        <v>1.3846150000000002</v>
      </c>
      <c r="Q228" s="7">
        <f t="shared" si="26"/>
        <v>1.3846150000000002</v>
      </c>
      <c r="R228" s="7">
        <f t="shared" si="26"/>
        <v>1.3846150000000002</v>
      </c>
      <c r="S228" s="7">
        <f t="shared" si="26"/>
        <v>1.3846150000000002</v>
      </c>
      <c r="T228" s="7">
        <f t="shared" si="26"/>
        <v>1.3846150000000002</v>
      </c>
      <c r="U228" s="7">
        <f t="shared" si="26"/>
        <v>1.3846150000000002</v>
      </c>
      <c r="V228" s="7">
        <f t="shared" si="26"/>
        <v>1.3846150000000002</v>
      </c>
      <c r="W228" s="7">
        <f t="shared" si="26"/>
        <v>1.3846150000000002</v>
      </c>
      <c r="X228" s="7">
        <f t="shared" si="26"/>
        <v>1.3846150000000002</v>
      </c>
      <c r="Y228" s="7">
        <f t="shared" si="26"/>
        <v>1.3846150000000002</v>
      </c>
      <c r="Z228" s="7">
        <f t="shared" si="26"/>
        <v>0.88461500000000004</v>
      </c>
      <c r="AA228" s="7">
        <f t="shared" si="26"/>
        <v>0.88461500000000004</v>
      </c>
      <c r="AB228" s="7">
        <f t="shared" si="26"/>
        <v>3.5</v>
      </c>
      <c r="AC228" s="7">
        <f t="shared" si="26"/>
        <v>12.5</v>
      </c>
      <c r="AD228" s="7">
        <f t="shared" si="26"/>
        <v>29</v>
      </c>
      <c r="AE228" s="7">
        <f t="shared" si="26"/>
        <v>22.5</v>
      </c>
      <c r="AF228" s="7">
        <f t="shared" si="26"/>
        <v>29.4</v>
      </c>
      <c r="AG228" s="7">
        <f t="shared" si="26"/>
        <v>18</v>
      </c>
      <c r="AH228" s="7">
        <f t="shared" si="26"/>
        <v>2</v>
      </c>
      <c r="AI228" s="7">
        <f t="shared" si="26"/>
        <v>2</v>
      </c>
      <c r="AJ228" s="7">
        <f t="shared" si="26"/>
        <v>0</v>
      </c>
      <c r="AK228" s="7">
        <f t="shared" si="26"/>
        <v>0</v>
      </c>
      <c r="AL228" s="7">
        <f t="shared" si="26"/>
        <v>0</v>
      </c>
      <c r="AM228" s="7">
        <f t="shared" si="26"/>
        <v>0</v>
      </c>
      <c r="AN228" s="7">
        <f t="shared" si="26"/>
        <v>0</v>
      </c>
      <c r="AO228" s="7">
        <f t="shared" si="26"/>
        <v>0</v>
      </c>
      <c r="AP228" s="7">
        <f t="shared" si="26"/>
        <v>0</v>
      </c>
      <c r="AQ228" s="7">
        <f t="shared" si="26"/>
        <v>0</v>
      </c>
      <c r="AR228" s="7">
        <f t="shared" si="26"/>
        <v>0</v>
      </c>
      <c r="AS228" s="7">
        <f t="shared" si="26"/>
        <v>0</v>
      </c>
      <c r="AT228" s="7">
        <f t="shared" si="26"/>
        <v>0</v>
      </c>
      <c r="AU228" s="7">
        <f t="shared" si="26"/>
        <v>0</v>
      </c>
      <c r="AV228" s="7">
        <f t="shared" si="26"/>
        <v>0</v>
      </c>
      <c r="AW228" s="7">
        <f t="shared" si="26"/>
        <v>0</v>
      </c>
    </row>
    <row r="229" spans="1:49" ht="14.5" hidden="1" outlineLevel="1" x14ac:dyDescent="0.35">
      <c r="A229" s="8" t="s">
        <v>12</v>
      </c>
      <c r="B229" s="8" t="s">
        <v>14</v>
      </c>
      <c r="C229" s="8" t="s">
        <v>123</v>
      </c>
      <c r="D229" s="8" t="s">
        <v>78</v>
      </c>
      <c r="E229" s="8" t="s">
        <v>81</v>
      </c>
      <c r="F229" s="9">
        <v>9.9</v>
      </c>
      <c r="G229" s="9">
        <v>42.6</v>
      </c>
      <c r="H229" s="9">
        <v>32.799999999999997</v>
      </c>
      <c r="I229" s="9">
        <v>9.8000000000000007</v>
      </c>
      <c r="J229" s="9">
        <v>0.88461500000000004</v>
      </c>
      <c r="K229" s="9">
        <v>0.88461500000000004</v>
      </c>
      <c r="L229" s="9">
        <v>0.88461500000000004</v>
      </c>
      <c r="M229" s="9">
        <v>0.88461500000000004</v>
      </c>
      <c r="N229" s="9">
        <v>0.88461500000000004</v>
      </c>
      <c r="O229" s="9">
        <v>0.88461500000000004</v>
      </c>
      <c r="P229" s="9">
        <v>0.88461500000000004</v>
      </c>
      <c r="Q229" s="9">
        <v>0.88461500000000004</v>
      </c>
      <c r="R229" s="9">
        <v>0.88461500000000004</v>
      </c>
      <c r="S229" s="9">
        <v>0.88461500000000004</v>
      </c>
      <c r="T229" s="9">
        <v>0.88461500000000004</v>
      </c>
      <c r="U229" s="9">
        <v>0.88461500000000004</v>
      </c>
      <c r="V229" s="9">
        <v>0.88461500000000004</v>
      </c>
      <c r="W229" s="9">
        <v>0.88461500000000004</v>
      </c>
      <c r="X229" s="9">
        <v>0.88461500000000004</v>
      </c>
      <c r="Y229" s="9">
        <v>0.88461500000000004</v>
      </c>
      <c r="Z229" s="9">
        <v>0.88461500000000004</v>
      </c>
      <c r="AA229" s="9">
        <v>0.88461500000000004</v>
      </c>
      <c r="AB229" s="9">
        <v>2</v>
      </c>
      <c r="AC229" s="9">
        <v>2</v>
      </c>
      <c r="AD229" s="9">
        <v>2</v>
      </c>
      <c r="AE229" s="9">
        <v>2.5</v>
      </c>
      <c r="AF229" s="9">
        <v>2.4</v>
      </c>
      <c r="AG229" s="9">
        <v>2</v>
      </c>
      <c r="AH229" s="9">
        <v>2</v>
      </c>
      <c r="AI229" s="9">
        <v>2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</row>
    <row r="230" spans="1:49" ht="14.5" hidden="1" outlineLevel="1" x14ac:dyDescent="0.35">
      <c r="A230" s="8" t="s">
        <v>12</v>
      </c>
      <c r="B230" s="8" t="s">
        <v>14</v>
      </c>
      <c r="C230" s="8" t="s">
        <v>123</v>
      </c>
      <c r="D230" s="8" t="s">
        <v>78</v>
      </c>
      <c r="E230" s="8" t="s">
        <v>82</v>
      </c>
      <c r="F230" s="9">
        <v>3</v>
      </c>
      <c r="G230" s="9">
        <v>3</v>
      </c>
      <c r="H230" s="9">
        <v>8</v>
      </c>
      <c r="I230" s="9">
        <v>-5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</row>
    <row r="231" spans="1:49" ht="14.5" hidden="1" outlineLevel="1" x14ac:dyDescent="0.35">
      <c r="A231" s="8" t="s">
        <v>12</v>
      </c>
      <c r="B231" s="8" t="s">
        <v>14</v>
      </c>
      <c r="C231" s="8" t="s">
        <v>123</v>
      </c>
      <c r="D231" s="8" t="s">
        <v>78</v>
      </c>
      <c r="E231" s="8" t="s">
        <v>83</v>
      </c>
      <c r="F231" s="9">
        <v>0</v>
      </c>
      <c r="G231" s="9">
        <v>0</v>
      </c>
      <c r="H231" s="9">
        <v>12</v>
      </c>
      <c r="I231" s="9">
        <v>-12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</row>
    <row r="232" spans="1:49" ht="14.5" hidden="1" outlineLevel="1" x14ac:dyDescent="0.35">
      <c r="A232" s="8" t="s">
        <v>12</v>
      </c>
      <c r="B232" s="8" t="s">
        <v>14</v>
      </c>
      <c r="C232" s="8" t="s">
        <v>123</v>
      </c>
      <c r="D232" s="8" t="s">
        <v>78</v>
      </c>
      <c r="E232" s="8" t="s">
        <v>46</v>
      </c>
      <c r="F232" s="9">
        <v>60</v>
      </c>
      <c r="G232" s="9">
        <v>170</v>
      </c>
      <c r="H232" s="9">
        <v>170.5</v>
      </c>
      <c r="I232" s="9">
        <v>-0.5</v>
      </c>
      <c r="J232" s="9">
        <v>0.5</v>
      </c>
      <c r="K232" s="9">
        <v>0.5</v>
      </c>
      <c r="L232" s="9">
        <v>0.5</v>
      </c>
      <c r="M232" s="9">
        <v>0.5</v>
      </c>
      <c r="N232" s="9">
        <v>0.5</v>
      </c>
      <c r="O232" s="9">
        <v>0.5</v>
      </c>
      <c r="P232" s="9">
        <v>0.5</v>
      </c>
      <c r="Q232" s="9">
        <v>0.5</v>
      </c>
      <c r="R232" s="9">
        <v>0.5</v>
      </c>
      <c r="S232" s="9">
        <v>0.5</v>
      </c>
      <c r="T232" s="9">
        <v>0.5</v>
      </c>
      <c r="U232" s="9">
        <v>0.5</v>
      </c>
      <c r="V232" s="9">
        <v>0.5</v>
      </c>
      <c r="W232" s="9">
        <v>0.5</v>
      </c>
      <c r="X232" s="9">
        <v>0.5</v>
      </c>
      <c r="Y232" s="9">
        <v>0.5</v>
      </c>
      <c r="Z232" s="9">
        <v>0</v>
      </c>
      <c r="AA232" s="9">
        <v>0</v>
      </c>
      <c r="AB232" s="9">
        <v>1.5</v>
      </c>
      <c r="AC232" s="9">
        <v>10.5</v>
      </c>
      <c r="AD232" s="9">
        <v>27</v>
      </c>
      <c r="AE232" s="9">
        <v>20</v>
      </c>
      <c r="AF232" s="9">
        <v>27</v>
      </c>
      <c r="AG232" s="9">
        <v>16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0</v>
      </c>
    </row>
    <row r="233" spans="1:49" ht="14.5" hidden="1" outlineLevel="1" x14ac:dyDescent="0.35">
      <c r="A233" s="8" t="s">
        <v>12</v>
      </c>
      <c r="B233" s="8" t="s">
        <v>14</v>
      </c>
      <c r="C233" s="8" t="s">
        <v>123</v>
      </c>
      <c r="D233" s="8" t="s">
        <v>78</v>
      </c>
      <c r="E233" s="8" t="s">
        <v>86</v>
      </c>
      <c r="F233" s="9">
        <v>8</v>
      </c>
      <c r="G233" s="9">
        <v>8</v>
      </c>
      <c r="H233" s="9">
        <v>60</v>
      </c>
      <c r="I233" s="9">
        <v>-52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</row>
    <row r="234" spans="1:49" ht="14.5" hidden="1" outlineLevel="1" x14ac:dyDescent="0.35">
      <c r="A234" s="8" t="s">
        <v>12</v>
      </c>
      <c r="B234" s="8" t="s">
        <v>14</v>
      </c>
      <c r="C234" s="8" t="s">
        <v>123</v>
      </c>
      <c r="D234" s="8" t="s">
        <v>78</v>
      </c>
      <c r="E234" s="8" t="s">
        <v>87</v>
      </c>
      <c r="F234" s="9">
        <v>0</v>
      </c>
      <c r="G234" s="9">
        <v>0</v>
      </c>
      <c r="H234" s="9">
        <v>21.5</v>
      </c>
      <c r="I234" s="9">
        <v>-21.5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</row>
    <row r="235" spans="1:49" ht="14.5" collapsed="1" x14ac:dyDescent="0.35">
      <c r="A235" s="6" t="s">
        <v>12</v>
      </c>
      <c r="B235" s="6" t="s">
        <v>14</v>
      </c>
      <c r="C235" s="6" t="s">
        <v>24</v>
      </c>
      <c r="D235" s="6" t="s">
        <v>76</v>
      </c>
      <c r="E235" s="6" t="s">
        <v>77</v>
      </c>
      <c r="F235" s="7">
        <f t="shared" ref="F235:AW235" si="27">SUM(F236,F237,F238,F239,F240,F241,F242,F243,F244,F245)</f>
        <v>456.8</v>
      </c>
      <c r="G235" s="7">
        <f t="shared" si="27"/>
        <v>1185.0999999999999</v>
      </c>
      <c r="H235" s="7">
        <f t="shared" si="27"/>
        <v>1444.8</v>
      </c>
      <c r="I235" s="7">
        <f t="shared" si="27"/>
        <v>-259.7</v>
      </c>
      <c r="J235" s="7">
        <f t="shared" si="27"/>
        <v>38.846153999999999</v>
      </c>
      <c r="K235" s="7">
        <f t="shared" si="27"/>
        <v>33.346153999999999</v>
      </c>
      <c r="L235" s="7">
        <f t="shared" si="27"/>
        <v>12.346154</v>
      </c>
      <c r="M235" s="7">
        <f t="shared" si="27"/>
        <v>10.346154</v>
      </c>
      <c r="N235" s="7">
        <f t="shared" si="27"/>
        <v>16.346153999999999</v>
      </c>
      <c r="O235" s="7">
        <f t="shared" si="27"/>
        <v>16.346153999999999</v>
      </c>
      <c r="P235" s="7">
        <f t="shared" si="27"/>
        <v>31.346153999999999</v>
      </c>
      <c r="Q235" s="11">
        <f t="shared" si="27"/>
        <v>46.346153999999999</v>
      </c>
      <c r="R235" s="7">
        <f t="shared" si="27"/>
        <v>21.346153999999999</v>
      </c>
      <c r="S235" s="7">
        <f t="shared" si="27"/>
        <v>31.346153999999999</v>
      </c>
      <c r="T235" s="7">
        <f t="shared" si="27"/>
        <v>31.346153999999999</v>
      </c>
      <c r="U235" s="7">
        <f t="shared" si="27"/>
        <v>31.346153999999999</v>
      </c>
      <c r="V235" s="7">
        <f t="shared" si="27"/>
        <v>26.346153999999999</v>
      </c>
      <c r="W235" s="7">
        <f t="shared" si="27"/>
        <v>21.346153999999999</v>
      </c>
      <c r="X235" s="7">
        <f t="shared" si="27"/>
        <v>11.346154</v>
      </c>
      <c r="Y235" s="7">
        <f t="shared" si="27"/>
        <v>6.3461540000000003</v>
      </c>
      <c r="Z235" s="7">
        <f t="shared" si="27"/>
        <v>1.3461540000000001</v>
      </c>
      <c r="AA235" s="7">
        <f t="shared" si="27"/>
        <v>1.3461540000000001</v>
      </c>
      <c r="AB235" s="7">
        <f t="shared" si="27"/>
        <v>37.5</v>
      </c>
      <c r="AC235" s="7">
        <f t="shared" si="27"/>
        <v>52.5</v>
      </c>
      <c r="AD235" s="10">
        <f t="shared" si="27"/>
        <v>63.1</v>
      </c>
      <c r="AE235" s="11">
        <f t="shared" si="27"/>
        <v>68.5</v>
      </c>
      <c r="AF235" s="10">
        <f t="shared" si="27"/>
        <v>63.5</v>
      </c>
      <c r="AG235" s="11">
        <f t="shared" si="27"/>
        <v>69.5</v>
      </c>
      <c r="AH235" s="7">
        <f t="shared" si="27"/>
        <v>53.5</v>
      </c>
      <c r="AI235" s="7">
        <f t="shared" si="27"/>
        <v>33.5</v>
      </c>
      <c r="AJ235" s="10">
        <f t="shared" si="27"/>
        <v>45</v>
      </c>
      <c r="AK235" s="11">
        <f t="shared" si="27"/>
        <v>61</v>
      </c>
      <c r="AL235" s="11">
        <f t="shared" si="27"/>
        <v>46</v>
      </c>
      <c r="AM235" s="7">
        <f t="shared" si="27"/>
        <v>12</v>
      </c>
      <c r="AN235" s="7">
        <f t="shared" si="27"/>
        <v>0</v>
      </c>
      <c r="AO235" s="7">
        <f t="shared" si="27"/>
        <v>0</v>
      </c>
      <c r="AP235" s="7">
        <f t="shared" si="27"/>
        <v>0</v>
      </c>
      <c r="AQ235" s="7">
        <f t="shared" si="27"/>
        <v>0</v>
      </c>
      <c r="AR235" s="7">
        <f t="shared" si="27"/>
        <v>0</v>
      </c>
      <c r="AS235" s="7">
        <f t="shared" si="27"/>
        <v>0</v>
      </c>
      <c r="AT235" s="7">
        <f t="shared" si="27"/>
        <v>0</v>
      </c>
      <c r="AU235" s="7">
        <f t="shared" si="27"/>
        <v>0</v>
      </c>
      <c r="AV235" s="7">
        <f t="shared" si="27"/>
        <v>0</v>
      </c>
      <c r="AW235" s="7">
        <f t="shared" si="27"/>
        <v>0</v>
      </c>
    </row>
    <row r="236" spans="1:49" ht="14.5" hidden="1" outlineLevel="1" x14ac:dyDescent="0.35">
      <c r="A236" s="8" t="s">
        <v>12</v>
      </c>
      <c r="B236" s="8" t="s">
        <v>14</v>
      </c>
      <c r="C236" s="8" t="s">
        <v>24</v>
      </c>
      <c r="D236" s="8" t="s">
        <v>78</v>
      </c>
      <c r="E236" s="8" t="s">
        <v>80</v>
      </c>
      <c r="F236" s="9">
        <v>0</v>
      </c>
      <c r="G236" s="9">
        <v>88</v>
      </c>
      <c r="H236" s="9">
        <v>100</v>
      </c>
      <c r="I236" s="9">
        <v>-12</v>
      </c>
      <c r="J236" s="9">
        <v>0</v>
      </c>
      <c r="K236" s="9">
        <v>2</v>
      </c>
      <c r="L236" s="9">
        <v>0</v>
      </c>
      <c r="M236" s="9">
        <v>4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10</v>
      </c>
      <c r="AJ236" s="9">
        <v>25</v>
      </c>
      <c r="AK236" s="9">
        <v>37</v>
      </c>
      <c r="AL236" s="9">
        <v>22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</row>
    <row r="237" spans="1:49" ht="14.5" hidden="1" outlineLevel="1" x14ac:dyDescent="0.35">
      <c r="A237" s="8" t="s">
        <v>12</v>
      </c>
      <c r="B237" s="8" t="s">
        <v>14</v>
      </c>
      <c r="C237" s="8" t="s">
        <v>24</v>
      </c>
      <c r="D237" s="8" t="s">
        <v>78</v>
      </c>
      <c r="E237" s="8" t="s">
        <v>113</v>
      </c>
      <c r="F237" s="9">
        <v>0</v>
      </c>
      <c r="G237" s="9">
        <v>110</v>
      </c>
      <c r="H237" s="9">
        <v>110.5</v>
      </c>
      <c r="I237" s="9">
        <v>-0.5</v>
      </c>
      <c r="J237" s="9">
        <v>0</v>
      </c>
      <c r="K237" s="9">
        <v>0</v>
      </c>
      <c r="L237" s="9">
        <v>5</v>
      </c>
      <c r="M237" s="9">
        <v>5</v>
      </c>
      <c r="N237" s="9">
        <v>5</v>
      </c>
      <c r="O237" s="9">
        <v>5</v>
      </c>
      <c r="P237" s="9">
        <v>5</v>
      </c>
      <c r="Q237" s="9">
        <v>5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20</v>
      </c>
      <c r="AK237" s="9">
        <v>24</v>
      </c>
      <c r="AL237" s="9">
        <v>24</v>
      </c>
      <c r="AM237" s="9">
        <v>12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</row>
    <row r="238" spans="1:49" ht="14.5" hidden="1" outlineLevel="1" x14ac:dyDescent="0.35">
      <c r="A238" s="8" t="s">
        <v>12</v>
      </c>
      <c r="B238" s="8" t="s">
        <v>14</v>
      </c>
      <c r="C238" s="8" t="s">
        <v>24</v>
      </c>
      <c r="D238" s="8" t="s">
        <v>78</v>
      </c>
      <c r="E238" s="8" t="s">
        <v>81</v>
      </c>
      <c r="F238" s="9">
        <v>14.3</v>
      </c>
      <c r="G238" s="9">
        <v>64.599999999999994</v>
      </c>
      <c r="H238" s="9">
        <v>49.8</v>
      </c>
      <c r="I238" s="9">
        <v>14.8</v>
      </c>
      <c r="J238" s="9">
        <v>1.3461540000000001</v>
      </c>
      <c r="K238" s="9">
        <v>1.3461540000000001</v>
      </c>
      <c r="L238" s="9">
        <v>1.3461540000000001</v>
      </c>
      <c r="M238" s="9">
        <v>1.3461540000000001</v>
      </c>
      <c r="N238" s="9">
        <v>1.3461540000000001</v>
      </c>
      <c r="O238" s="9">
        <v>1.3461540000000001</v>
      </c>
      <c r="P238" s="9">
        <v>1.3461540000000001</v>
      </c>
      <c r="Q238" s="9">
        <v>1.3461540000000001</v>
      </c>
      <c r="R238" s="9">
        <v>1.3461540000000001</v>
      </c>
      <c r="S238" s="9">
        <v>1.3461540000000001</v>
      </c>
      <c r="T238" s="9">
        <v>1.3461540000000001</v>
      </c>
      <c r="U238" s="9">
        <v>1.3461540000000001</v>
      </c>
      <c r="V238" s="9">
        <v>1.3461540000000001</v>
      </c>
      <c r="W238" s="9">
        <v>1.3461540000000001</v>
      </c>
      <c r="X238" s="9">
        <v>1.3461540000000001</v>
      </c>
      <c r="Y238" s="9">
        <v>1.3461540000000001</v>
      </c>
      <c r="Z238" s="9">
        <v>1.3461540000000001</v>
      </c>
      <c r="AA238" s="9">
        <v>1.3461540000000001</v>
      </c>
      <c r="AB238" s="9">
        <v>2.5</v>
      </c>
      <c r="AC238" s="9">
        <v>2.5</v>
      </c>
      <c r="AD238" s="9">
        <v>3.1</v>
      </c>
      <c r="AE238" s="9">
        <v>3.5</v>
      </c>
      <c r="AF238" s="9">
        <v>3.5</v>
      </c>
      <c r="AG238" s="9">
        <v>3.5</v>
      </c>
      <c r="AH238" s="9">
        <v>3.5</v>
      </c>
      <c r="AI238" s="9">
        <v>3.5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</row>
    <row r="239" spans="1:49" ht="14.5" hidden="1" outlineLevel="1" x14ac:dyDescent="0.35">
      <c r="A239" s="8" t="s">
        <v>12</v>
      </c>
      <c r="B239" s="8" t="s">
        <v>14</v>
      </c>
      <c r="C239" s="8" t="s">
        <v>24</v>
      </c>
      <c r="D239" s="8" t="s">
        <v>78</v>
      </c>
      <c r="E239" s="8" t="s">
        <v>82</v>
      </c>
      <c r="F239" s="9">
        <v>7</v>
      </c>
      <c r="G239" s="9">
        <v>7</v>
      </c>
      <c r="H239" s="9">
        <v>7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</row>
    <row r="240" spans="1:49" ht="14.5" hidden="1" outlineLevel="1" x14ac:dyDescent="0.35">
      <c r="A240" s="8" t="s">
        <v>12</v>
      </c>
      <c r="B240" s="8" t="s">
        <v>14</v>
      </c>
      <c r="C240" s="8" t="s">
        <v>24</v>
      </c>
      <c r="D240" s="8" t="s">
        <v>78</v>
      </c>
      <c r="E240" s="8" t="s">
        <v>83</v>
      </c>
      <c r="F240" s="9">
        <v>0</v>
      </c>
      <c r="G240" s="9">
        <v>0</v>
      </c>
      <c r="H240" s="9">
        <v>34</v>
      </c>
      <c r="I240" s="9">
        <v>-34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</row>
    <row r="241" spans="1:49" ht="14.5" hidden="1" outlineLevel="1" x14ac:dyDescent="0.35">
      <c r="A241" s="8" t="s">
        <v>12</v>
      </c>
      <c r="B241" s="8" t="s">
        <v>14</v>
      </c>
      <c r="C241" s="8" t="s">
        <v>24</v>
      </c>
      <c r="D241" s="8" t="s">
        <v>78</v>
      </c>
      <c r="E241" s="8" t="s">
        <v>84</v>
      </c>
      <c r="F241" s="9">
        <v>0</v>
      </c>
      <c r="G241" s="9">
        <v>0</v>
      </c>
      <c r="H241" s="9">
        <v>10</v>
      </c>
      <c r="I241" s="9">
        <v>-10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5</v>
      </c>
      <c r="R241" s="9">
        <v>5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</row>
    <row r="242" spans="1:49" ht="14.5" hidden="1" outlineLevel="1" x14ac:dyDescent="0.35">
      <c r="A242" s="8" t="s">
        <v>12</v>
      </c>
      <c r="B242" s="8" t="s">
        <v>14</v>
      </c>
      <c r="C242" s="8" t="s">
        <v>24</v>
      </c>
      <c r="D242" s="8" t="s">
        <v>78</v>
      </c>
      <c r="E242" s="8" t="s">
        <v>40</v>
      </c>
      <c r="F242" s="9">
        <v>0</v>
      </c>
      <c r="G242" s="9">
        <v>0</v>
      </c>
      <c r="H242" s="9">
        <v>56</v>
      </c>
      <c r="I242" s="9">
        <v>-56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16</v>
      </c>
      <c r="AH242" s="9">
        <v>20</v>
      </c>
      <c r="AI242" s="9">
        <v>20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</row>
    <row r="243" spans="1:49" ht="14.5" hidden="1" outlineLevel="1" x14ac:dyDescent="0.35">
      <c r="A243" s="8" t="s">
        <v>12</v>
      </c>
      <c r="B243" s="8" t="s">
        <v>14</v>
      </c>
      <c r="C243" s="8" t="s">
        <v>24</v>
      </c>
      <c r="D243" s="8" t="s">
        <v>78</v>
      </c>
      <c r="E243" s="8" t="s">
        <v>103</v>
      </c>
      <c r="F243" s="9">
        <v>421</v>
      </c>
      <c r="G243" s="9">
        <v>901</v>
      </c>
      <c r="H243" s="9">
        <v>1028</v>
      </c>
      <c r="I243" s="9">
        <v>-127</v>
      </c>
      <c r="J243" s="9">
        <v>37.5</v>
      </c>
      <c r="K243" s="9">
        <v>30</v>
      </c>
      <c r="L243" s="9">
        <v>6</v>
      </c>
      <c r="M243" s="9">
        <v>0</v>
      </c>
      <c r="N243" s="9">
        <v>10</v>
      </c>
      <c r="O243" s="9">
        <v>10</v>
      </c>
      <c r="P243" s="9">
        <v>25</v>
      </c>
      <c r="Q243" s="9">
        <v>35</v>
      </c>
      <c r="R243" s="9">
        <v>15</v>
      </c>
      <c r="S243" s="9">
        <v>30</v>
      </c>
      <c r="T243" s="9">
        <v>30</v>
      </c>
      <c r="U243" s="9">
        <v>30</v>
      </c>
      <c r="V243" s="9">
        <v>25</v>
      </c>
      <c r="W243" s="9">
        <v>20</v>
      </c>
      <c r="X243" s="9">
        <v>10</v>
      </c>
      <c r="Y243" s="9">
        <v>5</v>
      </c>
      <c r="Z243" s="9">
        <v>0</v>
      </c>
      <c r="AA243" s="9">
        <v>0</v>
      </c>
      <c r="AB243" s="9">
        <v>35</v>
      </c>
      <c r="AC243" s="9">
        <v>50</v>
      </c>
      <c r="AD243" s="9">
        <v>60</v>
      </c>
      <c r="AE243" s="9">
        <v>65</v>
      </c>
      <c r="AF243" s="9">
        <v>60</v>
      </c>
      <c r="AG243" s="9">
        <v>50</v>
      </c>
      <c r="AH243" s="9">
        <v>30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</row>
    <row r="244" spans="1:49" ht="14.5" hidden="1" outlineLevel="1" x14ac:dyDescent="0.35">
      <c r="A244" s="8" t="s">
        <v>12</v>
      </c>
      <c r="B244" s="8" t="s">
        <v>14</v>
      </c>
      <c r="C244" s="8" t="s">
        <v>24</v>
      </c>
      <c r="D244" s="8" t="s">
        <v>78</v>
      </c>
      <c r="E244" s="8" t="s">
        <v>111</v>
      </c>
      <c r="F244" s="9">
        <v>14.5</v>
      </c>
      <c r="G244" s="9">
        <v>14.5</v>
      </c>
      <c r="H244" s="9">
        <v>14.5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</row>
    <row r="245" spans="1:49" ht="14.5" hidden="1" outlineLevel="1" x14ac:dyDescent="0.35">
      <c r="A245" s="8" t="s">
        <v>12</v>
      </c>
      <c r="B245" s="8" t="s">
        <v>14</v>
      </c>
      <c r="C245" s="8" t="s">
        <v>24</v>
      </c>
      <c r="D245" s="8" t="s">
        <v>78</v>
      </c>
      <c r="E245" s="8" t="s">
        <v>87</v>
      </c>
      <c r="F245" s="9">
        <v>0</v>
      </c>
      <c r="G245" s="9">
        <v>0</v>
      </c>
      <c r="H245" s="9">
        <v>35</v>
      </c>
      <c r="I245" s="9">
        <v>-35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</row>
    <row r="246" spans="1:49" ht="14.5" collapsed="1" x14ac:dyDescent="0.35">
      <c r="A246" s="6" t="s">
        <v>12</v>
      </c>
      <c r="B246" s="6" t="s">
        <v>14</v>
      </c>
      <c r="C246" s="6" t="s">
        <v>124</v>
      </c>
      <c r="D246" s="6" t="s">
        <v>76</v>
      </c>
      <c r="E246" s="6" t="s">
        <v>77</v>
      </c>
      <c r="F246" s="7">
        <f t="shared" ref="F246:AW246" si="28">SUM(F247)</f>
        <v>0</v>
      </c>
      <c r="G246" s="7">
        <f t="shared" si="28"/>
        <v>0</v>
      </c>
      <c r="H246" s="7">
        <f t="shared" si="28"/>
        <v>8.3000000000000007</v>
      </c>
      <c r="I246" s="7">
        <f t="shared" si="28"/>
        <v>-8.3000000000000007</v>
      </c>
      <c r="J246" s="7">
        <f t="shared" si="28"/>
        <v>0</v>
      </c>
      <c r="K246" s="7">
        <f t="shared" si="28"/>
        <v>0</v>
      </c>
      <c r="L246" s="7">
        <f t="shared" si="28"/>
        <v>0</v>
      </c>
      <c r="M246" s="7">
        <f t="shared" si="28"/>
        <v>0</v>
      </c>
      <c r="N246" s="7">
        <f t="shared" si="28"/>
        <v>0</v>
      </c>
      <c r="O246" s="7">
        <f t="shared" si="28"/>
        <v>0</v>
      </c>
      <c r="P246" s="7">
        <f t="shared" si="28"/>
        <v>0</v>
      </c>
      <c r="Q246" s="7">
        <f t="shared" si="28"/>
        <v>0</v>
      </c>
      <c r="R246" s="7">
        <f t="shared" si="28"/>
        <v>0</v>
      </c>
      <c r="S246" s="7">
        <f t="shared" si="28"/>
        <v>0</v>
      </c>
      <c r="T246" s="7">
        <f t="shared" si="28"/>
        <v>0</v>
      </c>
      <c r="U246" s="7">
        <f t="shared" si="28"/>
        <v>0</v>
      </c>
      <c r="V246" s="7">
        <f t="shared" si="28"/>
        <v>0</v>
      </c>
      <c r="W246" s="7">
        <f t="shared" si="28"/>
        <v>0</v>
      </c>
      <c r="X246" s="7">
        <f t="shared" si="28"/>
        <v>0</v>
      </c>
      <c r="Y246" s="7">
        <f t="shared" si="28"/>
        <v>0</v>
      </c>
      <c r="Z246" s="7">
        <f t="shared" si="28"/>
        <v>0</v>
      </c>
      <c r="AA246" s="7">
        <f t="shared" si="28"/>
        <v>0</v>
      </c>
      <c r="AB246" s="7">
        <f t="shared" si="28"/>
        <v>0</v>
      </c>
      <c r="AC246" s="7">
        <f t="shared" si="28"/>
        <v>0</v>
      </c>
      <c r="AD246" s="7">
        <f t="shared" si="28"/>
        <v>0</v>
      </c>
      <c r="AE246" s="7">
        <f t="shared" si="28"/>
        <v>0</v>
      </c>
      <c r="AF246" s="7">
        <f t="shared" si="28"/>
        <v>0</v>
      </c>
      <c r="AG246" s="7">
        <f t="shared" si="28"/>
        <v>0</v>
      </c>
      <c r="AH246" s="7">
        <f t="shared" si="28"/>
        <v>0</v>
      </c>
      <c r="AI246" s="7">
        <f t="shared" si="28"/>
        <v>0</v>
      </c>
      <c r="AJ246" s="7">
        <f t="shared" si="28"/>
        <v>0</v>
      </c>
      <c r="AK246" s="7">
        <f t="shared" si="28"/>
        <v>0</v>
      </c>
      <c r="AL246" s="7">
        <f t="shared" si="28"/>
        <v>0</v>
      </c>
      <c r="AM246" s="7">
        <f t="shared" si="28"/>
        <v>0</v>
      </c>
      <c r="AN246" s="7">
        <f t="shared" si="28"/>
        <v>0</v>
      </c>
      <c r="AO246" s="7">
        <f t="shared" si="28"/>
        <v>0</v>
      </c>
      <c r="AP246" s="7">
        <f t="shared" si="28"/>
        <v>0</v>
      </c>
      <c r="AQ246" s="7">
        <f t="shared" si="28"/>
        <v>0</v>
      </c>
      <c r="AR246" s="7">
        <f t="shared" si="28"/>
        <v>0</v>
      </c>
      <c r="AS246" s="7">
        <f t="shared" si="28"/>
        <v>0</v>
      </c>
      <c r="AT246" s="7">
        <f t="shared" si="28"/>
        <v>0</v>
      </c>
      <c r="AU246" s="7">
        <f t="shared" si="28"/>
        <v>0</v>
      </c>
      <c r="AV246" s="7">
        <f t="shared" si="28"/>
        <v>0</v>
      </c>
      <c r="AW246" s="7">
        <f t="shared" si="28"/>
        <v>0</v>
      </c>
    </row>
    <row r="247" spans="1:49" ht="14.5" hidden="1" outlineLevel="1" x14ac:dyDescent="0.35">
      <c r="A247" s="8" t="s">
        <v>12</v>
      </c>
      <c r="B247" s="8" t="s">
        <v>14</v>
      </c>
      <c r="C247" s="8" t="s">
        <v>124</v>
      </c>
      <c r="D247" s="8" t="s">
        <v>78</v>
      </c>
      <c r="E247" s="8" t="s">
        <v>79</v>
      </c>
      <c r="F247" s="9">
        <v>0</v>
      </c>
      <c r="G247" s="9">
        <v>0</v>
      </c>
      <c r="H247" s="9">
        <v>8.3000000000000007</v>
      </c>
      <c r="I247" s="9">
        <v>-8.3000000000000007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</row>
    <row r="248" spans="1:49" ht="14.5" collapsed="1" x14ac:dyDescent="0.35">
      <c r="A248" s="6" t="s">
        <v>12</v>
      </c>
      <c r="B248" s="6" t="s">
        <v>14</v>
      </c>
      <c r="C248" s="6" t="s">
        <v>125</v>
      </c>
      <c r="D248" s="6" t="s">
        <v>76</v>
      </c>
      <c r="E248" s="6" t="s">
        <v>77</v>
      </c>
      <c r="F248" s="7">
        <f t="shared" ref="F248:AW248" si="29">SUM(F249)</f>
        <v>10</v>
      </c>
      <c r="G248" s="7">
        <f t="shared" si="29"/>
        <v>10</v>
      </c>
      <c r="H248" s="7">
        <f t="shared" si="29"/>
        <v>0</v>
      </c>
      <c r="I248" s="7">
        <f t="shared" si="29"/>
        <v>10</v>
      </c>
      <c r="J248" s="7">
        <f t="shared" si="29"/>
        <v>0</v>
      </c>
      <c r="K248" s="7">
        <f t="shared" si="29"/>
        <v>0</v>
      </c>
      <c r="L248" s="7">
        <f t="shared" si="29"/>
        <v>0</v>
      </c>
      <c r="M248" s="7">
        <f t="shared" si="29"/>
        <v>0</v>
      </c>
      <c r="N248" s="7">
        <f t="shared" si="29"/>
        <v>0</v>
      </c>
      <c r="O248" s="7">
        <f t="shared" si="29"/>
        <v>0</v>
      </c>
      <c r="P248" s="7">
        <f t="shared" si="29"/>
        <v>0</v>
      </c>
      <c r="Q248" s="7">
        <f t="shared" si="29"/>
        <v>0</v>
      </c>
      <c r="R248" s="7">
        <f t="shared" si="29"/>
        <v>0</v>
      </c>
      <c r="S248" s="7">
        <f t="shared" si="29"/>
        <v>0</v>
      </c>
      <c r="T248" s="7">
        <f t="shared" si="29"/>
        <v>0</v>
      </c>
      <c r="U248" s="7">
        <f t="shared" si="29"/>
        <v>0</v>
      </c>
      <c r="V248" s="7">
        <f t="shared" si="29"/>
        <v>0</v>
      </c>
      <c r="W248" s="7">
        <f t="shared" si="29"/>
        <v>0</v>
      </c>
      <c r="X248" s="7">
        <f t="shared" si="29"/>
        <v>0</v>
      </c>
      <c r="Y248" s="7">
        <f t="shared" si="29"/>
        <v>0</v>
      </c>
      <c r="Z248" s="7">
        <f t="shared" si="29"/>
        <v>0</v>
      </c>
      <c r="AA248" s="7">
        <f t="shared" si="29"/>
        <v>0</v>
      </c>
      <c r="AB248" s="7">
        <f t="shared" si="29"/>
        <v>0</v>
      </c>
      <c r="AC248" s="7">
        <f t="shared" si="29"/>
        <v>0</v>
      </c>
      <c r="AD248" s="7">
        <f t="shared" si="29"/>
        <v>0</v>
      </c>
      <c r="AE248" s="7">
        <f t="shared" si="29"/>
        <v>0</v>
      </c>
      <c r="AF248" s="7">
        <f t="shared" si="29"/>
        <v>0</v>
      </c>
      <c r="AG248" s="7">
        <f t="shared" si="29"/>
        <v>0</v>
      </c>
      <c r="AH248" s="7">
        <f t="shared" si="29"/>
        <v>0</v>
      </c>
      <c r="AI248" s="7">
        <f t="shared" si="29"/>
        <v>0</v>
      </c>
      <c r="AJ248" s="7">
        <f t="shared" si="29"/>
        <v>0</v>
      </c>
      <c r="AK248" s="7">
        <f t="shared" si="29"/>
        <v>0</v>
      </c>
      <c r="AL248" s="7">
        <f t="shared" si="29"/>
        <v>0</v>
      </c>
      <c r="AM248" s="7">
        <f t="shared" si="29"/>
        <v>0</v>
      </c>
      <c r="AN248" s="7">
        <f t="shared" si="29"/>
        <v>0</v>
      </c>
      <c r="AO248" s="7">
        <f t="shared" si="29"/>
        <v>0</v>
      </c>
      <c r="AP248" s="7">
        <f t="shared" si="29"/>
        <v>0</v>
      </c>
      <c r="AQ248" s="7">
        <f t="shared" si="29"/>
        <v>0</v>
      </c>
      <c r="AR248" s="7">
        <f t="shared" si="29"/>
        <v>0</v>
      </c>
      <c r="AS248" s="7">
        <f t="shared" si="29"/>
        <v>0</v>
      </c>
      <c r="AT248" s="7">
        <f t="shared" si="29"/>
        <v>0</v>
      </c>
      <c r="AU248" s="7">
        <f t="shared" si="29"/>
        <v>0</v>
      </c>
      <c r="AV248" s="7">
        <f t="shared" si="29"/>
        <v>0</v>
      </c>
      <c r="AW248" s="7">
        <f t="shared" si="29"/>
        <v>0</v>
      </c>
    </row>
    <row r="249" spans="1:49" ht="14.5" hidden="1" outlineLevel="1" x14ac:dyDescent="0.35">
      <c r="A249" s="8" t="s">
        <v>12</v>
      </c>
      <c r="B249" s="8" t="s">
        <v>14</v>
      </c>
      <c r="C249" s="8" t="s">
        <v>125</v>
      </c>
      <c r="D249" s="8" t="s">
        <v>78</v>
      </c>
      <c r="E249" s="8" t="s">
        <v>87</v>
      </c>
      <c r="F249" s="9">
        <v>10</v>
      </c>
      <c r="G249" s="9">
        <v>10</v>
      </c>
      <c r="H249" s="9">
        <v>0</v>
      </c>
      <c r="I249" s="9">
        <v>10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</row>
    <row r="250" spans="1:49" ht="14.5" collapsed="1" x14ac:dyDescent="0.35">
      <c r="A250" s="6" t="s">
        <v>12</v>
      </c>
      <c r="B250" s="6" t="s">
        <v>14</v>
      </c>
      <c r="C250" s="6" t="s">
        <v>27</v>
      </c>
      <c r="D250" s="6" t="s">
        <v>76</v>
      </c>
      <c r="E250" s="6" t="s">
        <v>77</v>
      </c>
      <c r="F250" s="7">
        <f t="shared" ref="F250:AW250" si="30">SUM(F251,F252,F253,F254,F255,F256,F257,F258,F259,F260,F261)</f>
        <v>409.8</v>
      </c>
      <c r="G250" s="7">
        <f t="shared" si="30"/>
        <v>1057.9000000000001</v>
      </c>
      <c r="H250" s="7">
        <f t="shared" si="30"/>
        <v>1115.0999999999999</v>
      </c>
      <c r="I250" s="7">
        <f t="shared" si="30"/>
        <v>-57.2</v>
      </c>
      <c r="J250" s="7">
        <f t="shared" si="30"/>
        <v>26.821429000000002</v>
      </c>
      <c r="K250" s="7">
        <f t="shared" si="30"/>
        <v>5.8214290000000002</v>
      </c>
      <c r="L250" s="7">
        <f t="shared" si="30"/>
        <v>4.8214290000000002</v>
      </c>
      <c r="M250" s="7">
        <f t="shared" si="30"/>
        <v>11</v>
      </c>
      <c r="N250" s="7">
        <f t="shared" si="30"/>
        <v>13</v>
      </c>
      <c r="O250" s="7">
        <f t="shared" si="30"/>
        <v>20</v>
      </c>
      <c r="P250" s="7">
        <f t="shared" si="30"/>
        <v>11</v>
      </c>
      <c r="Q250" s="7">
        <f t="shared" si="30"/>
        <v>16</v>
      </c>
      <c r="R250" s="7">
        <f t="shared" si="30"/>
        <v>11</v>
      </c>
      <c r="S250" s="7">
        <f t="shared" si="30"/>
        <v>10</v>
      </c>
      <c r="T250" s="7">
        <f t="shared" si="30"/>
        <v>35</v>
      </c>
      <c r="U250" s="11">
        <f t="shared" si="30"/>
        <v>46</v>
      </c>
      <c r="V250" s="11">
        <f t="shared" si="30"/>
        <v>46</v>
      </c>
      <c r="W250" s="10">
        <f t="shared" si="30"/>
        <v>45</v>
      </c>
      <c r="X250" s="7">
        <f t="shared" si="30"/>
        <v>31</v>
      </c>
      <c r="Y250" s="7">
        <f t="shared" si="30"/>
        <v>11</v>
      </c>
      <c r="Z250" s="7">
        <f t="shared" si="30"/>
        <v>9.8214290000000002</v>
      </c>
      <c r="AA250" s="7">
        <f t="shared" si="30"/>
        <v>4.8214290000000002</v>
      </c>
      <c r="AB250" s="7">
        <f t="shared" si="30"/>
        <v>30</v>
      </c>
      <c r="AC250" s="7">
        <f t="shared" si="30"/>
        <v>38</v>
      </c>
      <c r="AD250" s="7">
        <f t="shared" si="30"/>
        <v>51</v>
      </c>
      <c r="AE250" s="10">
        <f t="shared" si="30"/>
        <v>60</v>
      </c>
      <c r="AF250" s="10">
        <f t="shared" si="30"/>
        <v>60</v>
      </c>
      <c r="AG250" s="7">
        <f t="shared" si="30"/>
        <v>48</v>
      </c>
      <c r="AH250" s="7">
        <f t="shared" si="30"/>
        <v>27</v>
      </c>
      <c r="AI250" s="7">
        <f t="shared" si="30"/>
        <v>8</v>
      </c>
      <c r="AJ250" s="7">
        <f t="shared" si="30"/>
        <v>0</v>
      </c>
      <c r="AK250" s="7">
        <f t="shared" si="30"/>
        <v>0</v>
      </c>
      <c r="AL250" s="7">
        <f t="shared" si="30"/>
        <v>0</v>
      </c>
      <c r="AM250" s="7">
        <f t="shared" si="30"/>
        <v>0</v>
      </c>
      <c r="AN250" s="7">
        <f t="shared" si="30"/>
        <v>0</v>
      </c>
      <c r="AO250" s="7">
        <f t="shared" si="30"/>
        <v>0</v>
      </c>
      <c r="AP250" s="7">
        <f t="shared" si="30"/>
        <v>0</v>
      </c>
      <c r="AQ250" s="7">
        <f t="shared" si="30"/>
        <v>0</v>
      </c>
      <c r="AR250" s="7">
        <f t="shared" si="30"/>
        <v>0</v>
      </c>
      <c r="AS250" s="7">
        <f t="shared" si="30"/>
        <v>0</v>
      </c>
      <c r="AT250" s="7">
        <f t="shared" si="30"/>
        <v>0</v>
      </c>
      <c r="AU250" s="7">
        <f t="shared" si="30"/>
        <v>0</v>
      </c>
      <c r="AV250" s="7">
        <f t="shared" si="30"/>
        <v>0</v>
      </c>
      <c r="AW250" s="7">
        <f t="shared" si="30"/>
        <v>0</v>
      </c>
    </row>
    <row r="251" spans="1:49" ht="14.5" hidden="1" outlineLevel="1" x14ac:dyDescent="0.35">
      <c r="A251" s="8" t="s">
        <v>12</v>
      </c>
      <c r="B251" s="8" t="s">
        <v>14</v>
      </c>
      <c r="C251" s="8" t="s">
        <v>27</v>
      </c>
      <c r="D251" s="8" t="s">
        <v>78</v>
      </c>
      <c r="E251" s="8" t="s">
        <v>81</v>
      </c>
      <c r="F251" s="9">
        <v>18.5</v>
      </c>
      <c r="G251" s="9">
        <v>19.5</v>
      </c>
      <c r="H251" s="9">
        <v>8</v>
      </c>
      <c r="I251" s="9">
        <v>11.5</v>
      </c>
      <c r="J251" s="9">
        <v>0</v>
      </c>
      <c r="K251" s="9">
        <v>1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</row>
    <row r="252" spans="1:49" ht="14.5" hidden="1" outlineLevel="1" x14ac:dyDescent="0.35">
      <c r="A252" s="8" t="s">
        <v>12</v>
      </c>
      <c r="B252" s="8" t="s">
        <v>14</v>
      </c>
      <c r="C252" s="8" t="s">
        <v>27</v>
      </c>
      <c r="D252" s="8" t="s">
        <v>78</v>
      </c>
      <c r="E252" s="8" t="s">
        <v>94</v>
      </c>
      <c r="F252" s="9">
        <v>85.3</v>
      </c>
      <c r="G252" s="9">
        <v>251.4</v>
      </c>
      <c r="H252" s="9">
        <v>229.1</v>
      </c>
      <c r="I252" s="9">
        <v>22.3</v>
      </c>
      <c r="J252" s="9">
        <v>4.8214290000000002</v>
      </c>
      <c r="K252" s="9">
        <v>4.8214290000000002</v>
      </c>
      <c r="L252" s="9">
        <v>4.8214290000000002</v>
      </c>
      <c r="M252" s="9">
        <v>6</v>
      </c>
      <c r="N252" s="9">
        <v>6</v>
      </c>
      <c r="O252" s="9">
        <v>6</v>
      </c>
      <c r="P252" s="9">
        <v>6</v>
      </c>
      <c r="Q252" s="9">
        <v>6</v>
      </c>
      <c r="R252" s="9">
        <v>6</v>
      </c>
      <c r="S252" s="9">
        <v>6</v>
      </c>
      <c r="T252" s="9">
        <v>6</v>
      </c>
      <c r="U252" s="9">
        <v>6</v>
      </c>
      <c r="V252" s="9">
        <v>6</v>
      </c>
      <c r="W252" s="9">
        <v>6</v>
      </c>
      <c r="X252" s="9">
        <v>6</v>
      </c>
      <c r="Y252" s="9">
        <v>6</v>
      </c>
      <c r="Z252" s="9">
        <v>4.8214290000000002</v>
      </c>
      <c r="AA252" s="9">
        <v>4.8214290000000002</v>
      </c>
      <c r="AB252" s="9">
        <v>8</v>
      </c>
      <c r="AC252" s="9">
        <v>8</v>
      </c>
      <c r="AD252" s="9">
        <v>8</v>
      </c>
      <c r="AE252" s="9">
        <v>8</v>
      </c>
      <c r="AF252" s="9">
        <v>8</v>
      </c>
      <c r="AG252" s="9">
        <v>8</v>
      </c>
      <c r="AH252" s="9">
        <v>8</v>
      </c>
      <c r="AI252" s="9">
        <v>8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</row>
    <row r="253" spans="1:49" ht="14.5" hidden="1" outlineLevel="1" x14ac:dyDescent="0.35">
      <c r="A253" s="8" t="s">
        <v>12</v>
      </c>
      <c r="B253" s="8" t="s">
        <v>14</v>
      </c>
      <c r="C253" s="8" t="s">
        <v>27</v>
      </c>
      <c r="D253" s="8" t="s">
        <v>78</v>
      </c>
      <c r="E253" s="8" t="s">
        <v>95</v>
      </c>
      <c r="F253" s="9">
        <v>230</v>
      </c>
      <c r="G253" s="9">
        <v>671</v>
      </c>
      <c r="H253" s="9">
        <v>705</v>
      </c>
      <c r="I253" s="9">
        <v>-34</v>
      </c>
      <c r="J253" s="9">
        <v>0</v>
      </c>
      <c r="K253" s="9">
        <v>0</v>
      </c>
      <c r="L253" s="9">
        <v>0</v>
      </c>
      <c r="M253" s="9">
        <v>5</v>
      </c>
      <c r="N253" s="9">
        <v>7</v>
      </c>
      <c r="O253" s="9">
        <v>14</v>
      </c>
      <c r="P253" s="9">
        <v>5</v>
      </c>
      <c r="Q253" s="9">
        <v>0</v>
      </c>
      <c r="R253" s="9">
        <v>0</v>
      </c>
      <c r="S253" s="9">
        <v>4</v>
      </c>
      <c r="T253" s="9">
        <v>29</v>
      </c>
      <c r="U253" s="9">
        <v>40</v>
      </c>
      <c r="V253" s="9">
        <v>40</v>
      </c>
      <c r="W253" s="9">
        <v>24</v>
      </c>
      <c r="X253" s="9">
        <v>25</v>
      </c>
      <c r="Y253" s="9">
        <v>5</v>
      </c>
      <c r="Z253" s="9">
        <v>5</v>
      </c>
      <c r="AA253" s="9">
        <v>0</v>
      </c>
      <c r="AB253" s="9">
        <v>22</v>
      </c>
      <c r="AC253" s="9">
        <v>30</v>
      </c>
      <c r="AD253" s="9">
        <v>43</v>
      </c>
      <c r="AE253" s="9">
        <v>52</v>
      </c>
      <c r="AF253" s="9">
        <v>45</v>
      </c>
      <c r="AG253" s="9">
        <v>27</v>
      </c>
      <c r="AH253" s="9">
        <v>19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</row>
    <row r="254" spans="1:49" ht="14.5" hidden="1" outlineLevel="1" x14ac:dyDescent="0.35">
      <c r="A254" s="8" t="s">
        <v>12</v>
      </c>
      <c r="B254" s="8" t="s">
        <v>14</v>
      </c>
      <c r="C254" s="8" t="s">
        <v>27</v>
      </c>
      <c r="D254" s="8" t="s">
        <v>78</v>
      </c>
      <c r="E254" s="8" t="s">
        <v>82</v>
      </c>
      <c r="F254" s="9">
        <v>0</v>
      </c>
      <c r="G254" s="9">
        <v>0</v>
      </c>
      <c r="H254" s="9">
        <v>8</v>
      </c>
      <c r="I254" s="9">
        <v>-8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</row>
    <row r="255" spans="1:49" ht="14.5" hidden="1" outlineLevel="1" x14ac:dyDescent="0.35">
      <c r="A255" s="8" t="s">
        <v>12</v>
      </c>
      <c r="B255" s="8" t="s">
        <v>14</v>
      </c>
      <c r="C255" s="8" t="s">
        <v>27</v>
      </c>
      <c r="D255" s="8" t="s">
        <v>78</v>
      </c>
      <c r="E255" s="8" t="s">
        <v>83</v>
      </c>
      <c r="F255" s="9">
        <v>5</v>
      </c>
      <c r="G255" s="9">
        <v>5</v>
      </c>
      <c r="H255" s="9">
        <v>22</v>
      </c>
      <c r="I255" s="9">
        <v>-17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</row>
    <row r="256" spans="1:49" ht="14.5" hidden="1" outlineLevel="1" x14ac:dyDescent="0.35">
      <c r="A256" s="8" t="s">
        <v>12</v>
      </c>
      <c r="B256" s="8" t="s">
        <v>14</v>
      </c>
      <c r="C256" s="8" t="s">
        <v>27</v>
      </c>
      <c r="D256" s="8" t="s">
        <v>78</v>
      </c>
      <c r="E256" s="8" t="s">
        <v>84</v>
      </c>
      <c r="F256" s="9">
        <v>0</v>
      </c>
      <c r="G256" s="9">
        <v>5</v>
      </c>
      <c r="H256" s="9">
        <v>15</v>
      </c>
      <c r="I256" s="9">
        <v>-10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10</v>
      </c>
      <c r="R256" s="9">
        <v>5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</row>
    <row r="257" spans="1:49" ht="14.5" hidden="1" outlineLevel="1" x14ac:dyDescent="0.35">
      <c r="A257" s="8" t="s">
        <v>12</v>
      </c>
      <c r="B257" s="8" t="s">
        <v>14</v>
      </c>
      <c r="C257" s="8" t="s">
        <v>27</v>
      </c>
      <c r="D257" s="8" t="s">
        <v>78</v>
      </c>
      <c r="E257" s="8" t="s">
        <v>40</v>
      </c>
      <c r="F257" s="9">
        <v>0</v>
      </c>
      <c r="G257" s="9">
        <v>35</v>
      </c>
      <c r="H257" s="9">
        <v>35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15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7</v>
      </c>
      <c r="AG257" s="9">
        <v>13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</row>
    <row r="258" spans="1:49" ht="14.5" hidden="1" outlineLevel="1" x14ac:dyDescent="0.35">
      <c r="A258" s="8" t="s">
        <v>12</v>
      </c>
      <c r="B258" s="8" t="s">
        <v>14</v>
      </c>
      <c r="C258" s="8" t="s">
        <v>27</v>
      </c>
      <c r="D258" s="8" t="s">
        <v>78</v>
      </c>
      <c r="E258" s="8" t="s">
        <v>86</v>
      </c>
      <c r="F258" s="9">
        <v>0</v>
      </c>
      <c r="G258" s="9">
        <v>0</v>
      </c>
      <c r="H258" s="9">
        <v>25</v>
      </c>
      <c r="I258" s="9">
        <v>-25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>
        <v>0</v>
      </c>
    </row>
    <row r="259" spans="1:49" ht="14.5" hidden="1" outlineLevel="1" x14ac:dyDescent="0.35">
      <c r="A259" s="8" t="s">
        <v>12</v>
      </c>
      <c r="B259" s="8" t="s">
        <v>14</v>
      </c>
      <c r="C259" s="8" t="s">
        <v>27</v>
      </c>
      <c r="D259" s="8" t="s">
        <v>78</v>
      </c>
      <c r="E259" s="8" t="s">
        <v>99</v>
      </c>
      <c r="F259" s="9">
        <v>41</v>
      </c>
      <c r="G259" s="9">
        <v>41</v>
      </c>
      <c r="H259" s="9">
        <v>33</v>
      </c>
      <c r="I259" s="9">
        <v>8</v>
      </c>
      <c r="J259" s="9">
        <v>22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>
        <v>0</v>
      </c>
    </row>
    <row r="260" spans="1:49" ht="14.5" hidden="1" outlineLevel="1" x14ac:dyDescent="0.35">
      <c r="A260" s="8" t="s">
        <v>12</v>
      </c>
      <c r="B260" s="8" t="s">
        <v>14</v>
      </c>
      <c r="C260" s="8" t="s">
        <v>27</v>
      </c>
      <c r="D260" s="8" t="s">
        <v>78</v>
      </c>
      <c r="E260" s="8" t="s">
        <v>100</v>
      </c>
      <c r="F260" s="9">
        <v>0</v>
      </c>
      <c r="G260" s="9">
        <v>0</v>
      </c>
      <c r="H260" s="9">
        <v>2</v>
      </c>
      <c r="I260" s="9">
        <v>-2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</row>
    <row r="261" spans="1:49" ht="14.5" hidden="1" outlineLevel="1" x14ac:dyDescent="0.35">
      <c r="A261" s="8" t="s">
        <v>12</v>
      </c>
      <c r="B261" s="8" t="s">
        <v>14</v>
      </c>
      <c r="C261" s="8" t="s">
        <v>27</v>
      </c>
      <c r="D261" s="8" t="s">
        <v>78</v>
      </c>
      <c r="E261" s="8" t="s">
        <v>87</v>
      </c>
      <c r="F261" s="9">
        <v>30</v>
      </c>
      <c r="G261" s="9">
        <v>30</v>
      </c>
      <c r="H261" s="9">
        <v>33</v>
      </c>
      <c r="I261" s="9">
        <v>-3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</row>
    <row r="262" spans="1:49" ht="14.5" collapsed="1" x14ac:dyDescent="0.35">
      <c r="A262" s="6" t="s">
        <v>12</v>
      </c>
      <c r="B262" s="6" t="s">
        <v>14</v>
      </c>
      <c r="C262" s="6" t="s">
        <v>21</v>
      </c>
      <c r="D262" s="6" t="s">
        <v>76</v>
      </c>
      <c r="E262" s="6" t="s">
        <v>77</v>
      </c>
      <c r="F262" s="7">
        <f t="shared" ref="F262:AW262" si="31">SUM(F263,F264,F265,F266,F267,F268,F269,F270,F271,F272,F273,F274)</f>
        <v>265.5</v>
      </c>
      <c r="G262" s="7">
        <f t="shared" si="31"/>
        <v>1041.5</v>
      </c>
      <c r="H262" s="7">
        <f t="shared" si="31"/>
        <v>1310.5</v>
      </c>
      <c r="I262" s="7">
        <f t="shared" si="31"/>
        <v>-269</v>
      </c>
      <c r="J262" s="11">
        <f t="shared" si="31"/>
        <v>71</v>
      </c>
      <c r="K262" s="11">
        <f t="shared" si="31"/>
        <v>64</v>
      </c>
      <c r="L262" s="11">
        <f t="shared" si="31"/>
        <v>65</v>
      </c>
      <c r="M262" s="7">
        <f t="shared" si="31"/>
        <v>18</v>
      </c>
      <c r="N262" s="7">
        <f t="shared" si="31"/>
        <v>12</v>
      </c>
      <c r="O262" s="7">
        <f t="shared" si="31"/>
        <v>16</v>
      </c>
      <c r="P262" s="7">
        <f t="shared" si="31"/>
        <v>37</v>
      </c>
      <c r="Q262" s="7">
        <f t="shared" si="31"/>
        <v>36</v>
      </c>
      <c r="R262" s="11">
        <f t="shared" si="31"/>
        <v>46</v>
      </c>
      <c r="S262" s="7">
        <f t="shared" si="31"/>
        <v>22</v>
      </c>
      <c r="T262" s="7">
        <f t="shared" si="31"/>
        <v>22</v>
      </c>
      <c r="U262" s="11">
        <f t="shared" si="31"/>
        <v>67</v>
      </c>
      <c r="V262" s="11">
        <f t="shared" si="31"/>
        <v>64</v>
      </c>
      <c r="W262" s="11">
        <f t="shared" si="31"/>
        <v>67</v>
      </c>
      <c r="X262" s="7">
        <f t="shared" si="31"/>
        <v>22</v>
      </c>
      <c r="Y262" s="7">
        <f t="shared" si="31"/>
        <v>37</v>
      </c>
      <c r="Z262" s="7">
        <f t="shared" si="31"/>
        <v>17</v>
      </c>
      <c r="AA262" s="7">
        <f t="shared" si="31"/>
        <v>15</v>
      </c>
      <c r="AB262" s="7">
        <f t="shared" si="31"/>
        <v>25.5</v>
      </c>
      <c r="AC262" s="7">
        <f t="shared" si="31"/>
        <v>32.5</v>
      </c>
      <c r="AD262" s="7">
        <f t="shared" si="31"/>
        <v>22.5</v>
      </c>
      <c r="AE262" s="7">
        <f t="shared" si="31"/>
        <v>35.5</v>
      </c>
      <c r="AF262" s="7">
        <f t="shared" si="31"/>
        <v>29.5</v>
      </c>
      <c r="AG262" s="7">
        <f t="shared" si="31"/>
        <v>31.5</v>
      </c>
      <c r="AH262" s="7">
        <f t="shared" si="31"/>
        <v>40.5</v>
      </c>
      <c r="AI262" s="7">
        <f t="shared" si="31"/>
        <v>2.5</v>
      </c>
      <c r="AJ262" s="7">
        <f t="shared" si="31"/>
        <v>0</v>
      </c>
      <c r="AK262" s="7">
        <f t="shared" si="31"/>
        <v>0</v>
      </c>
      <c r="AL262" s="7">
        <f t="shared" si="31"/>
        <v>0</v>
      </c>
      <c r="AM262" s="7">
        <f t="shared" si="31"/>
        <v>0</v>
      </c>
      <c r="AN262" s="7">
        <f t="shared" si="31"/>
        <v>0</v>
      </c>
      <c r="AO262" s="7">
        <f t="shared" si="31"/>
        <v>0</v>
      </c>
      <c r="AP262" s="7">
        <f t="shared" si="31"/>
        <v>0</v>
      </c>
      <c r="AQ262" s="7">
        <f t="shared" si="31"/>
        <v>0</v>
      </c>
      <c r="AR262" s="7">
        <f t="shared" si="31"/>
        <v>0</v>
      </c>
      <c r="AS262" s="7">
        <f t="shared" si="31"/>
        <v>0</v>
      </c>
      <c r="AT262" s="7">
        <f t="shared" si="31"/>
        <v>0</v>
      </c>
      <c r="AU262" s="7">
        <f t="shared" si="31"/>
        <v>0</v>
      </c>
      <c r="AV262" s="7">
        <f t="shared" si="31"/>
        <v>0</v>
      </c>
      <c r="AW262" s="7">
        <f t="shared" si="31"/>
        <v>0</v>
      </c>
    </row>
    <row r="263" spans="1:49" ht="14.5" hidden="1" outlineLevel="1" x14ac:dyDescent="0.35">
      <c r="A263" s="8" t="s">
        <v>12</v>
      </c>
      <c r="B263" s="8" t="s">
        <v>14</v>
      </c>
      <c r="C263" s="8" t="s">
        <v>21</v>
      </c>
      <c r="D263" s="8" t="s">
        <v>78</v>
      </c>
      <c r="E263" s="8" t="s">
        <v>110</v>
      </c>
      <c r="F263" s="9">
        <v>0</v>
      </c>
      <c r="G263" s="9">
        <v>0</v>
      </c>
      <c r="H263" s="9">
        <v>5</v>
      </c>
      <c r="I263" s="9">
        <v>-5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</row>
    <row r="264" spans="1:49" ht="14.5" hidden="1" outlineLevel="1" x14ac:dyDescent="0.35">
      <c r="A264" s="8" t="s">
        <v>12</v>
      </c>
      <c r="B264" s="8" t="s">
        <v>14</v>
      </c>
      <c r="C264" s="8" t="s">
        <v>21</v>
      </c>
      <c r="D264" s="8" t="s">
        <v>78</v>
      </c>
      <c r="E264" s="8" t="s">
        <v>82</v>
      </c>
      <c r="F264" s="9">
        <v>16</v>
      </c>
      <c r="G264" s="9">
        <v>16</v>
      </c>
      <c r="H264" s="9">
        <v>19</v>
      </c>
      <c r="I264" s="9">
        <v>-3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</row>
    <row r="265" spans="1:49" ht="14.5" hidden="1" outlineLevel="1" x14ac:dyDescent="0.35">
      <c r="A265" s="8" t="s">
        <v>12</v>
      </c>
      <c r="B265" s="8" t="s">
        <v>14</v>
      </c>
      <c r="C265" s="8" t="s">
        <v>21</v>
      </c>
      <c r="D265" s="8" t="s">
        <v>78</v>
      </c>
      <c r="E265" s="8" t="s">
        <v>83</v>
      </c>
      <c r="F265" s="9">
        <v>10</v>
      </c>
      <c r="G265" s="9">
        <v>10</v>
      </c>
      <c r="H265" s="9">
        <v>26.5</v>
      </c>
      <c r="I265" s="9">
        <v>-16.5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</row>
    <row r="266" spans="1:49" ht="14.5" hidden="1" outlineLevel="1" x14ac:dyDescent="0.35">
      <c r="A266" s="8" t="s">
        <v>12</v>
      </c>
      <c r="B266" s="8" t="s">
        <v>14</v>
      </c>
      <c r="C266" s="8" t="s">
        <v>21</v>
      </c>
      <c r="D266" s="8" t="s">
        <v>78</v>
      </c>
      <c r="E266" s="8" t="s">
        <v>84</v>
      </c>
      <c r="F266" s="9">
        <v>0</v>
      </c>
      <c r="G266" s="9">
        <v>10</v>
      </c>
      <c r="H266" s="9">
        <v>10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5</v>
      </c>
      <c r="R266" s="9">
        <v>5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</row>
    <row r="267" spans="1:49" ht="14.5" hidden="1" outlineLevel="1" x14ac:dyDescent="0.35">
      <c r="A267" s="8" t="s">
        <v>12</v>
      </c>
      <c r="B267" s="8" t="s">
        <v>14</v>
      </c>
      <c r="C267" s="8" t="s">
        <v>21</v>
      </c>
      <c r="D267" s="8" t="s">
        <v>78</v>
      </c>
      <c r="E267" s="8" t="s">
        <v>40</v>
      </c>
      <c r="F267" s="9">
        <v>0</v>
      </c>
      <c r="G267" s="9">
        <v>28</v>
      </c>
      <c r="H267" s="9">
        <v>50</v>
      </c>
      <c r="I267" s="9">
        <v>-22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10</v>
      </c>
      <c r="AG267" s="9">
        <v>15</v>
      </c>
      <c r="AH267" s="9">
        <v>25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</row>
    <row r="268" spans="1:49" ht="14.5" hidden="1" outlineLevel="1" x14ac:dyDescent="0.35">
      <c r="A268" s="8" t="s">
        <v>12</v>
      </c>
      <c r="B268" s="8" t="s">
        <v>14</v>
      </c>
      <c r="C268" s="8" t="s">
        <v>21</v>
      </c>
      <c r="D268" s="8" t="s">
        <v>78</v>
      </c>
      <c r="E268" s="8" t="s">
        <v>85</v>
      </c>
      <c r="F268" s="9">
        <v>166.5</v>
      </c>
      <c r="G268" s="9">
        <v>534.5</v>
      </c>
      <c r="H268" s="9">
        <v>768.5</v>
      </c>
      <c r="I268" s="9">
        <v>-234</v>
      </c>
      <c r="J268" s="9">
        <v>50</v>
      </c>
      <c r="K268" s="9">
        <v>49</v>
      </c>
      <c r="L268" s="9">
        <v>50</v>
      </c>
      <c r="M268" s="9">
        <v>8</v>
      </c>
      <c r="N268" s="9">
        <v>2</v>
      </c>
      <c r="O268" s="9">
        <v>6</v>
      </c>
      <c r="P268" s="9">
        <v>32</v>
      </c>
      <c r="Q268" s="9">
        <v>14</v>
      </c>
      <c r="R268" s="9">
        <v>32</v>
      </c>
      <c r="S268" s="9">
        <v>12</v>
      </c>
      <c r="T268" s="9">
        <v>2</v>
      </c>
      <c r="U268" s="9">
        <v>47</v>
      </c>
      <c r="V268" s="9">
        <v>44</v>
      </c>
      <c r="W268" s="9">
        <v>47</v>
      </c>
      <c r="X268" s="9">
        <v>2</v>
      </c>
      <c r="Y268" s="9">
        <v>17</v>
      </c>
      <c r="Z268" s="9">
        <v>2</v>
      </c>
      <c r="AA268" s="9">
        <v>0</v>
      </c>
      <c r="AB268" s="9">
        <v>25.5</v>
      </c>
      <c r="AC268" s="9">
        <v>32.5</v>
      </c>
      <c r="AD268" s="9">
        <v>22.5</v>
      </c>
      <c r="AE268" s="9">
        <v>35.5</v>
      </c>
      <c r="AF268" s="9">
        <v>19.5</v>
      </c>
      <c r="AG268" s="9">
        <v>16.5</v>
      </c>
      <c r="AH268" s="9">
        <v>15.5</v>
      </c>
      <c r="AI268" s="9">
        <v>2.5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</row>
    <row r="269" spans="1:49" ht="14.5" hidden="1" outlineLevel="1" x14ac:dyDescent="0.35">
      <c r="A269" s="8" t="s">
        <v>12</v>
      </c>
      <c r="B269" s="8" t="s">
        <v>14</v>
      </c>
      <c r="C269" s="8" t="s">
        <v>21</v>
      </c>
      <c r="D269" s="8" t="s">
        <v>78</v>
      </c>
      <c r="E269" s="8" t="s">
        <v>86</v>
      </c>
      <c r="F269" s="9">
        <v>0</v>
      </c>
      <c r="G269" s="9">
        <v>0</v>
      </c>
      <c r="H269" s="9">
        <v>38.5</v>
      </c>
      <c r="I269" s="9">
        <v>-38.5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</row>
    <row r="270" spans="1:49" ht="14.5" hidden="1" outlineLevel="1" x14ac:dyDescent="0.35">
      <c r="A270" s="8" t="s">
        <v>12</v>
      </c>
      <c r="B270" s="8" t="s">
        <v>14</v>
      </c>
      <c r="C270" s="8" t="s">
        <v>21</v>
      </c>
      <c r="D270" s="8" t="s">
        <v>78</v>
      </c>
      <c r="E270" s="8" t="s">
        <v>43</v>
      </c>
      <c r="F270" s="9">
        <v>40</v>
      </c>
      <c r="G270" s="9">
        <v>394</v>
      </c>
      <c r="H270" s="9">
        <v>304.5</v>
      </c>
      <c r="I270" s="9">
        <v>89.5</v>
      </c>
      <c r="J270" s="9">
        <v>21</v>
      </c>
      <c r="K270" s="9">
        <v>15</v>
      </c>
      <c r="L270" s="9">
        <v>15</v>
      </c>
      <c r="M270" s="9">
        <v>10</v>
      </c>
      <c r="N270" s="9">
        <v>10</v>
      </c>
      <c r="O270" s="9">
        <v>10</v>
      </c>
      <c r="P270" s="9">
        <v>5</v>
      </c>
      <c r="Q270" s="9">
        <v>5</v>
      </c>
      <c r="R270" s="9">
        <v>5</v>
      </c>
      <c r="S270" s="9">
        <v>10</v>
      </c>
      <c r="T270" s="9">
        <v>20</v>
      </c>
      <c r="U270" s="9">
        <v>20</v>
      </c>
      <c r="V270" s="9">
        <v>20</v>
      </c>
      <c r="W270" s="9">
        <v>20</v>
      </c>
      <c r="X270" s="9">
        <v>20</v>
      </c>
      <c r="Y270" s="9">
        <v>20</v>
      </c>
      <c r="Z270" s="9">
        <v>15</v>
      </c>
      <c r="AA270" s="9">
        <v>15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</row>
    <row r="271" spans="1:49" ht="14.5" hidden="1" outlineLevel="1" x14ac:dyDescent="0.35">
      <c r="A271" s="8" t="s">
        <v>12</v>
      </c>
      <c r="B271" s="8" t="s">
        <v>14</v>
      </c>
      <c r="C271" s="8" t="s">
        <v>21</v>
      </c>
      <c r="D271" s="8" t="s">
        <v>78</v>
      </c>
      <c r="E271" s="8" t="s">
        <v>93</v>
      </c>
      <c r="F271" s="9">
        <v>16</v>
      </c>
      <c r="G271" s="9">
        <v>16</v>
      </c>
      <c r="H271" s="9">
        <v>16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</row>
    <row r="272" spans="1:49" ht="14.5" hidden="1" outlineLevel="1" x14ac:dyDescent="0.35">
      <c r="A272" s="8" t="s">
        <v>12</v>
      </c>
      <c r="B272" s="8" t="s">
        <v>14</v>
      </c>
      <c r="C272" s="8" t="s">
        <v>21</v>
      </c>
      <c r="D272" s="8" t="s">
        <v>78</v>
      </c>
      <c r="E272" s="8" t="s">
        <v>87</v>
      </c>
      <c r="F272" s="9">
        <v>16</v>
      </c>
      <c r="G272" s="9">
        <v>16</v>
      </c>
      <c r="H272" s="9">
        <v>29.5</v>
      </c>
      <c r="I272" s="9">
        <v>-13.5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</row>
    <row r="273" spans="1:49" ht="14.5" hidden="1" outlineLevel="1" x14ac:dyDescent="0.35">
      <c r="A273" s="8" t="s">
        <v>12</v>
      </c>
      <c r="B273" s="8" t="s">
        <v>14</v>
      </c>
      <c r="C273" s="8" t="s">
        <v>21</v>
      </c>
      <c r="D273" s="8" t="s">
        <v>78</v>
      </c>
      <c r="E273" s="8" t="s">
        <v>88</v>
      </c>
      <c r="F273" s="9">
        <v>0</v>
      </c>
      <c r="G273" s="9">
        <v>16</v>
      </c>
      <c r="H273" s="9">
        <v>16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12</v>
      </c>
      <c r="R273" s="9">
        <v>4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</row>
    <row r="274" spans="1:49" ht="14.5" hidden="1" outlineLevel="1" x14ac:dyDescent="0.35">
      <c r="A274" s="8" t="s">
        <v>12</v>
      </c>
      <c r="B274" s="8" t="s">
        <v>14</v>
      </c>
      <c r="C274" s="8" t="s">
        <v>21</v>
      </c>
      <c r="D274" s="8" t="s">
        <v>78</v>
      </c>
      <c r="E274" s="8" t="s">
        <v>105</v>
      </c>
      <c r="F274" s="9">
        <v>1</v>
      </c>
      <c r="G274" s="9">
        <v>1</v>
      </c>
      <c r="H274" s="9">
        <v>27</v>
      </c>
      <c r="I274" s="9">
        <v>-26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</row>
    <row r="275" spans="1:49" ht="14.5" collapsed="1" x14ac:dyDescent="0.35">
      <c r="A275" s="6" t="s">
        <v>29</v>
      </c>
      <c r="B275" s="6" t="s">
        <v>14</v>
      </c>
      <c r="C275" s="6" t="s">
        <v>32</v>
      </c>
      <c r="D275" s="6" t="s">
        <v>76</v>
      </c>
      <c r="E275" s="6" t="s">
        <v>77</v>
      </c>
      <c r="F275" s="7">
        <f t="shared" ref="F275:AW275" si="32">SUM(F276,F277)</f>
        <v>310</v>
      </c>
      <c r="G275" s="7">
        <f t="shared" si="32"/>
        <v>1255</v>
      </c>
      <c r="H275" s="7">
        <f t="shared" si="32"/>
        <v>1178</v>
      </c>
      <c r="I275" s="7">
        <f t="shared" si="32"/>
        <v>77</v>
      </c>
      <c r="J275" s="7">
        <f t="shared" si="32"/>
        <v>20</v>
      </c>
      <c r="K275" s="7">
        <f t="shared" si="32"/>
        <v>18</v>
      </c>
      <c r="L275" s="7">
        <f t="shared" si="32"/>
        <v>18</v>
      </c>
      <c r="M275" s="7">
        <f t="shared" si="32"/>
        <v>18</v>
      </c>
      <c r="N275" s="7">
        <f t="shared" si="32"/>
        <v>25</v>
      </c>
      <c r="O275" s="7">
        <f t="shared" si="32"/>
        <v>35</v>
      </c>
      <c r="P275" s="11">
        <f t="shared" si="32"/>
        <v>50</v>
      </c>
      <c r="Q275" s="7">
        <f t="shared" si="32"/>
        <v>40</v>
      </c>
      <c r="R275" s="7">
        <f t="shared" si="32"/>
        <v>40</v>
      </c>
      <c r="S275" s="7">
        <f t="shared" si="32"/>
        <v>15</v>
      </c>
      <c r="T275" s="7">
        <f t="shared" si="32"/>
        <v>15</v>
      </c>
      <c r="U275" s="7">
        <f t="shared" si="32"/>
        <v>15</v>
      </c>
      <c r="V275" s="7">
        <f t="shared" si="32"/>
        <v>15</v>
      </c>
      <c r="W275" s="7">
        <f t="shared" si="32"/>
        <v>5</v>
      </c>
      <c r="X275" s="7">
        <f t="shared" si="32"/>
        <v>5</v>
      </c>
      <c r="Y275" s="7">
        <f t="shared" si="32"/>
        <v>5</v>
      </c>
      <c r="Z275" s="7">
        <f t="shared" si="32"/>
        <v>0</v>
      </c>
      <c r="AA275" s="7">
        <f t="shared" si="32"/>
        <v>0</v>
      </c>
      <c r="AB275" s="7">
        <f t="shared" si="32"/>
        <v>30</v>
      </c>
      <c r="AC275" s="7">
        <f t="shared" si="32"/>
        <v>40</v>
      </c>
      <c r="AD275" s="7">
        <f t="shared" si="32"/>
        <v>55</v>
      </c>
      <c r="AE275" s="7">
        <f t="shared" si="32"/>
        <v>55</v>
      </c>
      <c r="AF275" s="7">
        <f t="shared" si="32"/>
        <v>55</v>
      </c>
      <c r="AG275" s="7">
        <f t="shared" si="32"/>
        <v>55</v>
      </c>
      <c r="AH275" s="7">
        <f t="shared" si="32"/>
        <v>50</v>
      </c>
      <c r="AI275" s="7">
        <f t="shared" si="32"/>
        <v>25</v>
      </c>
      <c r="AJ275" s="7">
        <f t="shared" si="32"/>
        <v>25</v>
      </c>
      <c r="AK275" s="7">
        <f t="shared" si="32"/>
        <v>25</v>
      </c>
      <c r="AL275" s="7">
        <f t="shared" si="32"/>
        <v>25</v>
      </c>
      <c r="AM275" s="7">
        <f t="shared" si="32"/>
        <v>25</v>
      </c>
      <c r="AN275" s="7">
        <f t="shared" si="32"/>
        <v>25</v>
      </c>
      <c r="AO275" s="7">
        <f t="shared" si="32"/>
        <v>25</v>
      </c>
      <c r="AP275" s="7">
        <f t="shared" si="32"/>
        <v>25</v>
      </c>
      <c r="AQ275" s="7">
        <f t="shared" si="32"/>
        <v>10</v>
      </c>
      <c r="AR275" s="7">
        <f t="shared" si="32"/>
        <v>10</v>
      </c>
      <c r="AS275" s="7">
        <f t="shared" si="32"/>
        <v>5</v>
      </c>
      <c r="AT275" s="7">
        <f t="shared" si="32"/>
        <v>0</v>
      </c>
      <c r="AU275" s="7">
        <f t="shared" si="32"/>
        <v>0</v>
      </c>
      <c r="AV275" s="7">
        <f t="shared" si="32"/>
        <v>0</v>
      </c>
      <c r="AW275" s="7">
        <f t="shared" si="32"/>
        <v>0</v>
      </c>
    </row>
    <row r="276" spans="1:49" ht="14.5" hidden="1" outlineLevel="1" x14ac:dyDescent="0.35">
      <c r="A276" s="8" t="s">
        <v>29</v>
      </c>
      <c r="B276" s="8" t="s">
        <v>14</v>
      </c>
      <c r="C276" s="8" t="s">
        <v>32</v>
      </c>
      <c r="D276" s="8" t="s">
        <v>78</v>
      </c>
      <c r="E276" s="8" t="s">
        <v>91</v>
      </c>
      <c r="F276" s="9">
        <v>50</v>
      </c>
      <c r="G276" s="9">
        <v>455</v>
      </c>
      <c r="H276" s="9">
        <v>548</v>
      </c>
      <c r="I276" s="9">
        <v>-93</v>
      </c>
      <c r="J276" s="9">
        <v>10</v>
      </c>
      <c r="K276" s="9">
        <v>10</v>
      </c>
      <c r="L276" s="9">
        <v>10</v>
      </c>
      <c r="M276" s="9">
        <v>10</v>
      </c>
      <c r="N276" s="9">
        <v>20</v>
      </c>
      <c r="O276" s="9">
        <v>30</v>
      </c>
      <c r="P276" s="9">
        <v>30</v>
      </c>
      <c r="Q276" s="9">
        <v>20</v>
      </c>
      <c r="R276" s="9">
        <v>20</v>
      </c>
      <c r="S276" s="9">
        <v>10</v>
      </c>
      <c r="T276" s="9">
        <v>10</v>
      </c>
      <c r="U276" s="9">
        <v>10</v>
      </c>
      <c r="V276" s="9">
        <v>10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5</v>
      </c>
      <c r="AJ276" s="9">
        <v>25</v>
      </c>
      <c r="AK276" s="9">
        <v>25</v>
      </c>
      <c r="AL276" s="9">
        <v>25</v>
      </c>
      <c r="AM276" s="9">
        <v>25</v>
      </c>
      <c r="AN276" s="9">
        <v>25</v>
      </c>
      <c r="AO276" s="9">
        <v>25</v>
      </c>
      <c r="AP276" s="9">
        <v>25</v>
      </c>
      <c r="AQ276" s="9">
        <v>10</v>
      </c>
      <c r="AR276" s="9">
        <v>10</v>
      </c>
      <c r="AS276" s="9">
        <v>5</v>
      </c>
      <c r="AT276" s="9">
        <v>0</v>
      </c>
      <c r="AU276" s="9">
        <v>0</v>
      </c>
      <c r="AV276" s="9">
        <v>0</v>
      </c>
      <c r="AW276" s="9">
        <v>0</v>
      </c>
    </row>
    <row r="277" spans="1:49" ht="14.5" hidden="1" outlineLevel="1" x14ac:dyDescent="0.35">
      <c r="A277" s="8" t="s">
        <v>29</v>
      </c>
      <c r="B277" s="8" t="s">
        <v>14</v>
      </c>
      <c r="C277" s="8" t="s">
        <v>32</v>
      </c>
      <c r="D277" s="8" t="s">
        <v>78</v>
      </c>
      <c r="E277" s="8" t="s">
        <v>92</v>
      </c>
      <c r="F277" s="9">
        <v>260</v>
      </c>
      <c r="G277" s="9">
        <v>800</v>
      </c>
      <c r="H277" s="9">
        <v>630</v>
      </c>
      <c r="I277" s="9">
        <v>170</v>
      </c>
      <c r="J277" s="9">
        <v>10</v>
      </c>
      <c r="K277" s="9">
        <v>8</v>
      </c>
      <c r="L277" s="9">
        <v>8</v>
      </c>
      <c r="M277" s="9">
        <v>8</v>
      </c>
      <c r="N277" s="9">
        <v>5</v>
      </c>
      <c r="O277" s="9">
        <v>5</v>
      </c>
      <c r="P277" s="9">
        <v>20</v>
      </c>
      <c r="Q277" s="9">
        <v>20</v>
      </c>
      <c r="R277" s="9">
        <v>20</v>
      </c>
      <c r="S277" s="9">
        <v>5</v>
      </c>
      <c r="T277" s="9">
        <v>5</v>
      </c>
      <c r="U277" s="9">
        <v>5</v>
      </c>
      <c r="V277" s="9">
        <v>5</v>
      </c>
      <c r="W277" s="9">
        <v>5</v>
      </c>
      <c r="X277" s="9">
        <v>5</v>
      </c>
      <c r="Y277" s="9">
        <v>5</v>
      </c>
      <c r="Z277" s="9">
        <v>0</v>
      </c>
      <c r="AA277" s="9">
        <v>0</v>
      </c>
      <c r="AB277" s="9">
        <v>30</v>
      </c>
      <c r="AC277" s="9">
        <v>40</v>
      </c>
      <c r="AD277" s="9">
        <v>55</v>
      </c>
      <c r="AE277" s="9">
        <v>55</v>
      </c>
      <c r="AF277" s="9">
        <v>55</v>
      </c>
      <c r="AG277" s="9">
        <v>55</v>
      </c>
      <c r="AH277" s="9">
        <v>50</v>
      </c>
      <c r="AI277" s="9">
        <v>20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</row>
    <row r="278" spans="1:49" ht="14.5" collapsed="1" x14ac:dyDescent="0.35">
      <c r="A278" s="6" t="s">
        <v>12</v>
      </c>
      <c r="B278" s="6" t="s">
        <v>14</v>
      </c>
      <c r="C278" s="6" t="s">
        <v>30</v>
      </c>
      <c r="D278" s="6" t="s">
        <v>76</v>
      </c>
      <c r="E278" s="6" t="s">
        <v>77</v>
      </c>
      <c r="F278" s="7">
        <f t="shared" ref="F278:AW278" si="33">SUM(F279,F280,F281,F282,F283,F284,F285,F286)</f>
        <v>332.5</v>
      </c>
      <c r="G278" s="7">
        <f t="shared" si="33"/>
        <v>828.5</v>
      </c>
      <c r="H278" s="7">
        <f t="shared" si="33"/>
        <v>1016</v>
      </c>
      <c r="I278" s="7">
        <f t="shared" si="33"/>
        <v>-187.5</v>
      </c>
      <c r="J278" s="7">
        <f t="shared" si="33"/>
        <v>23</v>
      </c>
      <c r="K278" s="7">
        <f t="shared" si="33"/>
        <v>19</v>
      </c>
      <c r="L278" s="7">
        <f t="shared" si="33"/>
        <v>34</v>
      </c>
      <c r="M278" s="7">
        <f t="shared" si="33"/>
        <v>19</v>
      </c>
      <c r="N278" s="7">
        <f t="shared" si="33"/>
        <v>17</v>
      </c>
      <c r="O278" s="7">
        <f t="shared" si="33"/>
        <v>24</v>
      </c>
      <c r="P278" s="11">
        <f t="shared" si="33"/>
        <v>55</v>
      </c>
      <c r="Q278" s="7">
        <f t="shared" si="33"/>
        <v>29</v>
      </c>
      <c r="R278" s="7">
        <f t="shared" si="33"/>
        <v>17</v>
      </c>
      <c r="S278" s="7">
        <f t="shared" si="33"/>
        <v>5</v>
      </c>
      <c r="T278" s="7">
        <f t="shared" si="33"/>
        <v>3</v>
      </c>
      <c r="U278" s="7">
        <f t="shared" si="33"/>
        <v>2</v>
      </c>
      <c r="V278" s="7">
        <f t="shared" si="33"/>
        <v>2</v>
      </c>
      <c r="W278" s="7">
        <f t="shared" si="33"/>
        <v>2</v>
      </c>
      <c r="X278" s="7">
        <f t="shared" si="33"/>
        <v>2</v>
      </c>
      <c r="Y278" s="7">
        <f t="shared" si="33"/>
        <v>17</v>
      </c>
      <c r="Z278" s="7">
        <f t="shared" si="33"/>
        <v>2</v>
      </c>
      <c r="AA278" s="7">
        <f t="shared" si="33"/>
        <v>0</v>
      </c>
      <c r="AB278" s="7">
        <f t="shared" si="33"/>
        <v>9</v>
      </c>
      <c r="AC278" s="7">
        <f t="shared" si="33"/>
        <v>40</v>
      </c>
      <c r="AD278" s="7">
        <f t="shared" si="33"/>
        <v>12</v>
      </c>
      <c r="AE278" s="7">
        <f t="shared" si="33"/>
        <v>14</v>
      </c>
      <c r="AF278" s="7">
        <f t="shared" si="33"/>
        <v>50</v>
      </c>
      <c r="AG278" s="7">
        <f t="shared" si="33"/>
        <v>44</v>
      </c>
      <c r="AH278" s="7">
        <f t="shared" si="33"/>
        <v>40</v>
      </c>
      <c r="AI278" s="7">
        <f t="shared" si="33"/>
        <v>32</v>
      </c>
      <c r="AJ278" s="7">
        <f t="shared" si="33"/>
        <v>30</v>
      </c>
      <c r="AK278" s="7">
        <f t="shared" si="33"/>
        <v>30</v>
      </c>
      <c r="AL278" s="7">
        <f t="shared" si="33"/>
        <v>30</v>
      </c>
      <c r="AM278" s="7">
        <f t="shared" si="33"/>
        <v>0</v>
      </c>
      <c r="AN278" s="7">
        <f t="shared" si="33"/>
        <v>0</v>
      </c>
      <c r="AO278" s="7">
        <f t="shared" si="33"/>
        <v>0</v>
      </c>
      <c r="AP278" s="7">
        <f t="shared" si="33"/>
        <v>0</v>
      </c>
      <c r="AQ278" s="7">
        <f t="shared" si="33"/>
        <v>0</v>
      </c>
      <c r="AR278" s="7">
        <f t="shared" si="33"/>
        <v>0</v>
      </c>
      <c r="AS278" s="7">
        <f t="shared" si="33"/>
        <v>0</v>
      </c>
      <c r="AT278" s="7">
        <f t="shared" si="33"/>
        <v>0</v>
      </c>
      <c r="AU278" s="7">
        <f t="shared" si="33"/>
        <v>0</v>
      </c>
      <c r="AV278" s="7">
        <f t="shared" si="33"/>
        <v>0</v>
      </c>
      <c r="AW278" s="7">
        <f t="shared" si="33"/>
        <v>0</v>
      </c>
    </row>
    <row r="279" spans="1:49" ht="14.5" hidden="1" outlineLevel="1" x14ac:dyDescent="0.35">
      <c r="A279" s="8" t="s">
        <v>12</v>
      </c>
      <c r="B279" s="8" t="s">
        <v>14</v>
      </c>
      <c r="C279" s="8" t="s">
        <v>30</v>
      </c>
      <c r="D279" s="8" t="s">
        <v>78</v>
      </c>
      <c r="E279" s="8" t="s">
        <v>94</v>
      </c>
      <c r="F279" s="9">
        <v>14</v>
      </c>
      <c r="G279" s="9">
        <v>14</v>
      </c>
      <c r="H279" s="9">
        <v>14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</row>
    <row r="280" spans="1:49" ht="14.5" hidden="1" outlineLevel="1" x14ac:dyDescent="0.35">
      <c r="A280" s="8" t="s">
        <v>12</v>
      </c>
      <c r="B280" s="8" t="s">
        <v>14</v>
      </c>
      <c r="C280" s="8" t="s">
        <v>30</v>
      </c>
      <c r="D280" s="8" t="s">
        <v>78</v>
      </c>
      <c r="E280" s="8" t="s">
        <v>110</v>
      </c>
      <c r="F280" s="9">
        <v>6</v>
      </c>
      <c r="G280" s="9">
        <v>6</v>
      </c>
      <c r="H280" s="9">
        <v>6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</row>
    <row r="281" spans="1:49" ht="14.5" hidden="1" outlineLevel="1" x14ac:dyDescent="0.35">
      <c r="A281" s="8" t="s">
        <v>12</v>
      </c>
      <c r="B281" s="8" t="s">
        <v>14</v>
      </c>
      <c r="C281" s="8" t="s">
        <v>30</v>
      </c>
      <c r="D281" s="8" t="s">
        <v>78</v>
      </c>
      <c r="E281" s="8" t="s">
        <v>83</v>
      </c>
      <c r="F281" s="9">
        <v>0</v>
      </c>
      <c r="G281" s="9">
        <v>0</v>
      </c>
      <c r="H281" s="9">
        <v>2</v>
      </c>
      <c r="I281" s="9">
        <v>-2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</row>
    <row r="282" spans="1:49" ht="14.5" hidden="1" outlineLevel="1" x14ac:dyDescent="0.35">
      <c r="A282" s="8" t="s">
        <v>12</v>
      </c>
      <c r="B282" s="8" t="s">
        <v>14</v>
      </c>
      <c r="C282" s="8" t="s">
        <v>30</v>
      </c>
      <c r="D282" s="8" t="s">
        <v>78</v>
      </c>
      <c r="E282" s="8" t="s">
        <v>85</v>
      </c>
      <c r="F282" s="9">
        <v>150.5</v>
      </c>
      <c r="G282" s="9">
        <v>518.5</v>
      </c>
      <c r="H282" s="9">
        <v>396.5</v>
      </c>
      <c r="I282" s="9">
        <v>122</v>
      </c>
      <c r="J282" s="9">
        <v>10</v>
      </c>
      <c r="K282" s="9">
        <v>2</v>
      </c>
      <c r="L282" s="9">
        <v>14</v>
      </c>
      <c r="M282" s="9">
        <v>2</v>
      </c>
      <c r="N282" s="9">
        <v>2</v>
      </c>
      <c r="O282" s="9">
        <v>9</v>
      </c>
      <c r="P282" s="9">
        <v>40</v>
      </c>
      <c r="Q282" s="9">
        <v>14</v>
      </c>
      <c r="R282" s="9">
        <v>2</v>
      </c>
      <c r="S282" s="9">
        <v>2</v>
      </c>
      <c r="T282" s="9">
        <v>2</v>
      </c>
      <c r="U282" s="9">
        <v>2</v>
      </c>
      <c r="V282" s="9">
        <v>2</v>
      </c>
      <c r="W282" s="9">
        <v>2</v>
      </c>
      <c r="X282" s="9">
        <v>2</v>
      </c>
      <c r="Y282" s="9">
        <v>14</v>
      </c>
      <c r="Z282" s="9">
        <v>2</v>
      </c>
      <c r="AA282" s="9">
        <v>0</v>
      </c>
      <c r="AB282" s="9">
        <v>9</v>
      </c>
      <c r="AC282" s="9">
        <v>40</v>
      </c>
      <c r="AD282" s="9">
        <v>12</v>
      </c>
      <c r="AE282" s="9">
        <v>4</v>
      </c>
      <c r="AF282" s="9">
        <v>25</v>
      </c>
      <c r="AG282" s="9">
        <v>14</v>
      </c>
      <c r="AH282" s="9">
        <v>10</v>
      </c>
      <c r="AI282" s="9">
        <v>2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>
        <v>0</v>
      </c>
    </row>
    <row r="283" spans="1:49" ht="14.5" hidden="1" outlineLevel="1" x14ac:dyDescent="0.35">
      <c r="A283" s="8" t="s">
        <v>12</v>
      </c>
      <c r="B283" s="8" t="s">
        <v>14</v>
      </c>
      <c r="C283" s="8" t="s">
        <v>30</v>
      </c>
      <c r="D283" s="8" t="s">
        <v>78</v>
      </c>
      <c r="E283" s="8" t="s">
        <v>99</v>
      </c>
      <c r="F283" s="9">
        <v>162</v>
      </c>
      <c r="G283" s="9">
        <v>200</v>
      </c>
      <c r="H283" s="9">
        <v>132.5</v>
      </c>
      <c r="I283" s="9">
        <v>67.5</v>
      </c>
      <c r="J283" s="9">
        <v>13</v>
      </c>
      <c r="K283" s="9">
        <v>12</v>
      </c>
      <c r="L283" s="9">
        <v>10</v>
      </c>
      <c r="M283" s="9">
        <v>7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</row>
    <row r="284" spans="1:49" ht="14.5" hidden="1" outlineLevel="1" x14ac:dyDescent="0.35">
      <c r="A284" s="8" t="s">
        <v>12</v>
      </c>
      <c r="B284" s="8" t="s">
        <v>14</v>
      </c>
      <c r="C284" s="8" t="s">
        <v>30</v>
      </c>
      <c r="D284" s="8" t="s">
        <v>78</v>
      </c>
      <c r="E284" s="8" t="s">
        <v>100</v>
      </c>
      <c r="F284" s="9">
        <v>0</v>
      </c>
      <c r="G284" s="9">
        <v>0</v>
      </c>
      <c r="H284" s="9">
        <v>342</v>
      </c>
      <c r="I284" s="9">
        <v>-342</v>
      </c>
      <c r="J284" s="9">
        <v>0</v>
      </c>
      <c r="K284" s="9">
        <v>5</v>
      </c>
      <c r="L284" s="9">
        <v>10</v>
      </c>
      <c r="M284" s="9">
        <v>10</v>
      </c>
      <c r="N284" s="9">
        <v>15</v>
      </c>
      <c r="O284" s="9">
        <v>15</v>
      </c>
      <c r="P284" s="9">
        <v>15</v>
      </c>
      <c r="Q284" s="9">
        <v>15</v>
      </c>
      <c r="R284" s="9">
        <v>15</v>
      </c>
      <c r="S284" s="9">
        <v>3</v>
      </c>
      <c r="T284" s="9">
        <v>1</v>
      </c>
      <c r="U284" s="9">
        <v>0</v>
      </c>
      <c r="V284" s="9">
        <v>0</v>
      </c>
      <c r="W284" s="9">
        <v>0</v>
      </c>
      <c r="X284" s="9">
        <v>0</v>
      </c>
      <c r="Y284" s="9">
        <v>3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10</v>
      </c>
      <c r="AF284" s="9">
        <v>25</v>
      </c>
      <c r="AG284" s="9">
        <v>30</v>
      </c>
      <c r="AH284" s="9">
        <v>30</v>
      </c>
      <c r="AI284" s="9">
        <v>30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>
        <v>0</v>
      </c>
    </row>
    <row r="285" spans="1:49" ht="14.5" hidden="1" outlineLevel="1" x14ac:dyDescent="0.35">
      <c r="A285" s="8" t="s">
        <v>12</v>
      </c>
      <c r="B285" s="8" t="s">
        <v>14</v>
      </c>
      <c r="C285" s="8" t="s">
        <v>30</v>
      </c>
      <c r="D285" s="8" t="s">
        <v>78</v>
      </c>
      <c r="E285" s="8" t="s">
        <v>114</v>
      </c>
      <c r="F285" s="9">
        <v>0</v>
      </c>
      <c r="G285" s="9">
        <v>90</v>
      </c>
      <c r="H285" s="9">
        <v>90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30</v>
      </c>
      <c r="AK285" s="9">
        <v>30</v>
      </c>
      <c r="AL285" s="9">
        <v>30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</row>
    <row r="286" spans="1:49" ht="14.5" hidden="1" outlineLevel="1" x14ac:dyDescent="0.35">
      <c r="A286" s="8" t="s">
        <v>12</v>
      </c>
      <c r="B286" s="8" t="s">
        <v>14</v>
      </c>
      <c r="C286" s="8" t="s">
        <v>30</v>
      </c>
      <c r="D286" s="8" t="s">
        <v>78</v>
      </c>
      <c r="E286" s="8" t="s">
        <v>87</v>
      </c>
      <c r="F286" s="9">
        <v>0</v>
      </c>
      <c r="G286" s="9">
        <v>0</v>
      </c>
      <c r="H286" s="9">
        <v>33</v>
      </c>
      <c r="I286" s="9">
        <v>-33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</row>
    <row r="287" spans="1:49" ht="14.5" collapsed="1" x14ac:dyDescent="0.35">
      <c r="A287" s="6" t="s">
        <v>12</v>
      </c>
      <c r="B287" s="6" t="s">
        <v>14</v>
      </c>
      <c r="C287" s="6" t="s">
        <v>126</v>
      </c>
      <c r="D287" s="6" t="s">
        <v>76</v>
      </c>
      <c r="E287" s="6" t="s">
        <v>77</v>
      </c>
      <c r="F287" s="7">
        <f t="shared" ref="F287:AW287" si="34">SUM(F288)</f>
        <v>0</v>
      </c>
      <c r="G287" s="7">
        <f t="shared" si="34"/>
        <v>10</v>
      </c>
      <c r="H287" s="7">
        <f t="shared" si="34"/>
        <v>10</v>
      </c>
      <c r="I287" s="7">
        <f t="shared" si="34"/>
        <v>0</v>
      </c>
      <c r="J287" s="7">
        <f t="shared" si="34"/>
        <v>0</v>
      </c>
      <c r="K287" s="7">
        <f t="shared" si="34"/>
        <v>0</v>
      </c>
      <c r="L287" s="7">
        <f t="shared" si="34"/>
        <v>0</v>
      </c>
      <c r="M287" s="7">
        <f t="shared" si="34"/>
        <v>0</v>
      </c>
      <c r="N287" s="7">
        <f t="shared" si="34"/>
        <v>0</v>
      </c>
      <c r="O287" s="7">
        <f t="shared" si="34"/>
        <v>0</v>
      </c>
      <c r="P287" s="7">
        <f t="shared" si="34"/>
        <v>0</v>
      </c>
      <c r="Q287" s="7">
        <f t="shared" si="34"/>
        <v>5</v>
      </c>
      <c r="R287" s="7">
        <f t="shared" si="34"/>
        <v>5</v>
      </c>
      <c r="S287" s="7">
        <f t="shared" si="34"/>
        <v>0</v>
      </c>
      <c r="T287" s="7">
        <f t="shared" si="34"/>
        <v>0</v>
      </c>
      <c r="U287" s="7">
        <f t="shared" si="34"/>
        <v>0</v>
      </c>
      <c r="V287" s="7">
        <f t="shared" si="34"/>
        <v>0</v>
      </c>
      <c r="W287" s="7">
        <f t="shared" si="34"/>
        <v>0</v>
      </c>
      <c r="X287" s="7">
        <f t="shared" si="34"/>
        <v>0</v>
      </c>
      <c r="Y287" s="7">
        <f t="shared" si="34"/>
        <v>0</v>
      </c>
      <c r="Z287" s="7">
        <f t="shared" si="34"/>
        <v>0</v>
      </c>
      <c r="AA287" s="7">
        <f t="shared" si="34"/>
        <v>0</v>
      </c>
      <c r="AB287" s="7">
        <f t="shared" si="34"/>
        <v>0</v>
      </c>
      <c r="AC287" s="7">
        <f t="shared" si="34"/>
        <v>0</v>
      </c>
      <c r="AD287" s="7">
        <f t="shared" si="34"/>
        <v>0</v>
      </c>
      <c r="AE287" s="7">
        <f t="shared" si="34"/>
        <v>0</v>
      </c>
      <c r="AF287" s="7">
        <f t="shared" si="34"/>
        <v>0</v>
      </c>
      <c r="AG287" s="7">
        <f t="shared" si="34"/>
        <v>0</v>
      </c>
      <c r="AH287" s="7">
        <f t="shared" si="34"/>
        <v>0</v>
      </c>
      <c r="AI287" s="7">
        <f t="shared" si="34"/>
        <v>0</v>
      </c>
      <c r="AJ287" s="7">
        <f t="shared" si="34"/>
        <v>0</v>
      </c>
      <c r="AK287" s="7">
        <f t="shared" si="34"/>
        <v>0</v>
      </c>
      <c r="AL287" s="7">
        <f t="shared" si="34"/>
        <v>0</v>
      </c>
      <c r="AM287" s="7">
        <f t="shared" si="34"/>
        <v>0</v>
      </c>
      <c r="AN287" s="7">
        <f t="shared" si="34"/>
        <v>0</v>
      </c>
      <c r="AO287" s="7">
        <f t="shared" si="34"/>
        <v>0</v>
      </c>
      <c r="AP287" s="7">
        <f t="shared" si="34"/>
        <v>0</v>
      </c>
      <c r="AQ287" s="7">
        <f t="shared" si="34"/>
        <v>0</v>
      </c>
      <c r="AR287" s="7">
        <f t="shared" si="34"/>
        <v>0</v>
      </c>
      <c r="AS287" s="7">
        <f t="shared" si="34"/>
        <v>0</v>
      </c>
      <c r="AT287" s="7">
        <f t="shared" si="34"/>
        <v>0</v>
      </c>
      <c r="AU287" s="7">
        <f t="shared" si="34"/>
        <v>0</v>
      </c>
      <c r="AV287" s="7">
        <f t="shared" si="34"/>
        <v>0</v>
      </c>
      <c r="AW287" s="7">
        <f t="shared" si="34"/>
        <v>0</v>
      </c>
    </row>
    <row r="288" spans="1:49" ht="14.5" hidden="1" outlineLevel="1" x14ac:dyDescent="0.35">
      <c r="A288" s="8" t="s">
        <v>12</v>
      </c>
      <c r="B288" s="8" t="s">
        <v>14</v>
      </c>
      <c r="C288" s="8" t="s">
        <v>126</v>
      </c>
      <c r="D288" s="8" t="s">
        <v>78</v>
      </c>
      <c r="E288" s="8" t="s">
        <v>84</v>
      </c>
      <c r="F288" s="9">
        <v>0</v>
      </c>
      <c r="G288" s="9">
        <v>10</v>
      </c>
      <c r="H288" s="9">
        <v>10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5</v>
      </c>
      <c r="R288" s="9">
        <v>5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</row>
    <row r="289" spans="1:49" ht="14.5" collapsed="1" x14ac:dyDescent="0.35">
      <c r="A289" s="6" t="s">
        <v>12</v>
      </c>
      <c r="B289" s="6" t="s">
        <v>14</v>
      </c>
      <c r="C289" s="6" t="s">
        <v>127</v>
      </c>
      <c r="D289" s="6" t="s">
        <v>76</v>
      </c>
      <c r="E289" s="6" t="s">
        <v>77</v>
      </c>
      <c r="F289" s="7">
        <f t="shared" ref="F289:AW289" si="35">SUM(F290)</f>
        <v>0</v>
      </c>
      <c r="G289" s="7">
        <f t="shared" si="35"/>
        <v>28</v>
      </c>
      <c r="H289" s="7">
        <f t="shared" si="35"/>
        <v>28</v>
      </c>
      <c r="I289" s="7">
        <f t="shared" si="35"/>
        <v>0</v>
      </c>
      <c r="J289" s="7">
        <f t="shared" si="35"/>
        <v>0</v>
      </c>
      <c r="K289" s="7">
        <f t="shared" si="35"/>
        <v>0</v>
      </c>
      <c r="L289" s="7">
        <f t="shared" si="35"/>
        <v>0</v>
      </c>
      <c r="M289" s="7">
        <f t="shared" si="35"/>
        <v>0</v>
      </c>
      <c r="N289" s="7">
        <f t="shared" si="35"/>
        <v>0</v>
      </c>
      <c r="O289" s="7">
        <f t="shared" si="35"/>
        <v>0</v>
      </c>
      <c r="P289" s="7">
        <f t="shared" si="35"/>
        <v>0</v>
      </c>
      <c r="Q289" s="7">
        <f t="shared" si="35"/>
        <v>0</v>
      </c>
      <c r="R289" s="7">
        <f t="shared" si="35"/>
        <v>0</v>
      </c>
      <c r="S289" s="7">
        <f t="shared" si="35"/>
        <v>0</v>
      </c>
      <c r="T289" s="7">
        <f t="shared" si="35"/>
        <v>0</v>
      </c>
      <c r="U289" s="7">
        <f t="shared" si="35"/>
        <v>0</v>
      </c>
      <c r="V289" s="7">
        <f t="shared" si="35"/>
        <v>0</v>
      </c>
      <c r="W289" s="7">
        <f t="shared" si="35"/>
        <v>0</v>
      </c>
      <c r="X289" s="7">
        <f t="shared" si="35"/>
        <v>0</v>
      </c>
      <c r="Y289" s="7">
        <f t="shared" si="35"/>
        <v>0</v>
      </c>
      <c r="Z289" s="7">
        <f t="shared" si="35"/>
        <v>0</v>
      </c>
      <c r="AA289" s="7">
        <f t="shared" si="35"/>
        <v>0</v>
      </c>
      <c r="AB289" s="7">
        <f t="shared" si="35"/>
        <v>0</v>
      </c>
      <c r="AC289" s="7">
        <f t="shared" si="35"/>
        <v>0</v>
      </c>
      <c r="AD289" s="7">
        <f t="shared" si="35"/>
        <v>0</v>
      </c>
      <c r="AE289" s="7">
        <f t="shared" si="35"/>
        <v>0</v>
      </c>
      <c r="AF289" s="7">
        <f t="shared" si="35"/>
        <v>0</v>
      </c>
      <c r="AG289" s="7">
        <f t="shared" si="35"/>
        <v>10</v>
      </c>
      <c r="AH289" s="7">
        <f t="shared" si="35"/>
        <v>8</v>
      </c>
      <c r="AI289" s="7">
        <f t="shared" si="35"/>
        <v>10</v>
      </c>
      <c r="AJ289" s="7">
        <f t="shared" si="35"/>
        <v>0</v>
      </c>
      <c r="AK289" s="7">
        <f t="shared" si="35"/>
        <v>0</v>
      </c>
      <c r="AL289" s="7">
        <f t="shared" si="35"/>
        <v>0</v>
      </c>
      <c r="AM289" s="7">
        <f t="shared" si="35"/>
        <v>0</v>
      </c>
      <c r="AN289" s="7">
        <f t="shared" si="35"/>
        <v>0</v>
      </c>
      <c r="AO289" s="7">
        <f t="shared" si="35"/>
        <v>0</v>
      </c>
      <c r="AP289" s="7">
        <f t="shared" si="35"/>
        <v>0</v>
      </c>
      <c r="AQ289" s="7">
        <f t="shared" si="35"/>
        <v>0</v>
      </c>
      <c r="AR289" s="7">
        <f t="shared" si="35"/>
        <v>0</v>
      </c>
      <c r="AS289" s="7">
        <f t="shared" si="35"/>
        <v>0</v>
      </c>
      <c r="AT289" s="7">
        <f t="shared" si="35"/>
        <v>0</v>
      </c>
      <c r="AU289" s="7">
        <f t="shared" si="35"/>
        <v>0</v>
      </c>
      <c r="AV289" s="7">
        <f t="shared" si="35"/>
        <v>0</v>
      </c>
      <c r="AW289" s="7">
        <f t="shared" si="35"/>
        <v>0</v>
      </c>
    </row>
    <row r="290" spans="1:49" ht="14.5" hidden="1" outlineLevel="1" x14ac:dyDescent="0.35">
      <c r="A290" s="8" t="s">
        <v>12</v>
      </c>
      <c r="B290" s="8" t="s">
        <v>14</v>
      </c>
      <c r="C290" s="8" t="s">
        <v>127</v>
      </c>
      <c r="D290" s="8" t="s">
        <v>78</v>
      </c>
      <c r="E290" s="8" t="s">
        <v>40</v>
      </c>
      <c r="F290" s="9">
        <v>0</v>
      </c>
      <c r="G290" s="9">
        <v>28</v>
      </c>
      <c r="H290" s="9">
        <v>28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10</v>
      </c>
      <c r="AH290" s="9">
        <v>8</v>
      </c>
      <c r="AI290" s="9">
        <v>10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</row>
    <row r="291" spans="1:49" ht="14.5" collapsed="1" x14ac:dyDescent="0.35">
      <c r="A291" s="6" t="s">
        <v>12</v>
      </c>
      <c r="B291" s="6" t="s">
        <v>14</v>
      </c>
      <c r="C291" s="6" t="s">
        <v>128</v>
      </c>
      <c r="D291" s="6" t="s">
        <v>76</v>
      </c>
      <c r="E291" s="6" t="s">
        <v>77</v>
      </c>
      <c r="F291" s="7">
        <f t="shared" ref="F291:AW291" si="36">SUM(F292)</f>
        <v>0</v>
      </c>
      <c r="G291" s="7">
        <f t="shared" si="36"/>
        <v>0</v>
      </c>
      <c r="H291" s="7">
        <f t="shared" si="36"/>
        <v>146.9</v>
      </c>
      <c r="I291" s="7">
        <f t="shared" si="36"/>
        <v>-146.9</v>
      </c>
      <c r="J291" s="7">
        <f t="shared" si="36"/>
        <v>2</v>
      </c>
      <c r="K291" s="7">
        <f t="shared" si="36"/>
        <v>5</v>
      </c>
      <c r="L291" s="7">
        <f t="shared" si="36"/>
        <v>5</v>
      </c>
      <c r="M291" s="7">
        <f t="shared" si="36"/>
        <v>4</v>
      </c>
      <c r="N291" s="7">
        <f t="shared" si="36"/>
        <v>3</v>
      </c>
      <c r="O291" s="7">
        <f t="shared" si="36"/>
        <v>0.9</v>
      </c>
      <c r="P291" s="7">
        <f t="shared" si="36"/>
        <v>0</v>
      </c>
      <c r="Q291" s="7">
        <f t="shared" si="36"/>
        <v>0</v>
      </c>
      <c r="R291" s="7">
        <f t="shared" si="36"/>
        <v>0</v>
      </c>
      <c r="S291" s="7">
        <f t="shared" si="36"/>
        <v>0</v>
      </c>
      <c r="T291" s="7">
        <f t="shared" si="36"/>
        <v>0</v>
      </c>
      <c r="U291" s="7">
        <f t="shared" si="36"/>
        <v>0</v>
      </c>
      <c r="V291" s="7">
        <f t="shared" si="36"/>
        <v>0</v>
      </c>
      <c r="W291" s="7">
        <f t="shared" si="36"/>
        <v>0</v>
      </c>
      <c r="X291" s="7">
        <f t="shared" si="36"/>
        <v>1</v>
      </c>
      <c r="Y291" s="7">
        <f t="shared" si="36"/>
        <v>1</v>
      </c>
      <c r="Z291" s="7">
        <f t="shared" si="36"/>
        <v>0</v>
      </c>
      <c r="AA291" s="7">
        <f t="shared" si="36"/>
        <v>0</v>
      </c>
      <c r="AB291" s="7">
        <f t="shared" si="36"/>
        <v>21</v>
      </c>
      <c r="AC291" s="7">
        <f t="shared" si="36"/>
        <v>31</v>
      </c>
      <c r="AD291" s="7">
        <f t="shared" si="36"/>
        <v>20.5</v>
      </c>
      <c r="AE291" s="7">
        <f t="shared" si="36"/>
        <v>22.5</v>
      </c>
      <c r="AF291" s="7">
        <f t="shared" si="36"/>
        <v>26.5</v>
      </c>
      <c r="AG291" s="7">
        <f t="shared" si="36"/>
        <v>3.5</v>
      </c>
      <c r="AH291" s="7">
        <f t="shared" si="36"/>
        <v>0</v>
      </c>
      <c r="AI291" s="7">
        <f t="shared" si="36"/>
        <v>0</v>
      </c>
      <c r="AJ291" s="7">
        <f t="shared" si="36"/>
        <v>0</v>
      </c>
      <c r="AK291" s="7">
        <f t="shared" si="36"/>
        <v>0</v>
      </c>
      <c r="AL291" s="7">
        <f t="shared" si="36"/>
        <v>0</v>
      </c>
      <c r="AM291" s="7">
        <f t="shared" si="36"/>
        <v>0</v>
      </c>
      <c r="AN291" s="7">
        <f t="shared" si="36"/>
        <v>0</v>
      </c>
      <c r="AO291" s="7">
        <f t="shared" si="36"/>
        <v>0</v>
      </c>
      <c r="AP291" s="7">
        <f t="shared" si="36"/>
        <v>0</v>
      </c>
      <c r="AQ291" s="7">
        <f t="shared" si="36"/>
        <v>0</v>
      </c>
      <c r="AR291" s="7">
        <f t="shared" si="36"/>
        <v>0</v>
      </c>
      <c r="AS291" s="7">
        <f t="shared" si="36"/>
        <v>0</v>
      </c>
      <c r="AT291" s="7">
        <f t="shared" si="36"/>
        <v>0</v>
      </c>
      <c r="AU291" s="7">
        <f t="shared" si="36"/>
        <v>0</v>
      </c>
      <c r="AV291" s="7">
        <f t="shared" si="36"/>
        <v>0</v>
      </c>
      <c r="AW291" s="7">
        <f t="shared" si="36"/>
        <v>0</v>
      </c>
    </row>
    <row r="292" spans="1:49" ht="14.5" hidden="1" outlineLevel="1" x14ac:dyDescent="0.35">
      <c r="A292" s="8" t="s">
        <v>12</v>
      </c>
      <c r="B292" s="8" t="s">
        <v>14</v>
      </c>
      <c r="C292" s="8" t="s">
        <v>128</v>
      </c>
      <c r="D292" s="8" t="s">
        <v>78</v>
      </c>
      <c r="E292" s="8" t="s">
        <v>108</v>
      </c>
      <c r="F292" s="9">
        <v>0</v>
      </c>
      <c r="G292" s="9">
        <v>0</v>
      </c>
      <c r="H292" s="9">
        <v>146.9</v>
      </c>
      <c r="I292" s="9">
        <v>-146.9</v>
      </c>
      <c r="J292" s="9">
        <v>2</v>
      </c>
      <c r="K292" s="9">
        <v>5</v>
      </c>
      <c r="L292" s="9">
        <v>5</v>
      </c>
      <c r="M292" s="9">
        <v>4</v>
      </c>
      <c r="N292" s="9">
        <v>3</v>
      </c>
      <c r="O292" s="9">
        <v>0.9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1</v>
      </c>
      <c r="Y292" s="9">
        <v>1</v>
      </c>
      <c r="Z292" s="9">
        <v>0</v>
      </c>
      <c r="AA292" s="9">
        <v>0</v>
      </c>
      <c r="AB292" s="9">
        <v>21</v>
      </c>
      <c r="AC292" s="9">
        <v>31</v>
      </c>
      <c r="AD292" s="9">
        <v>20.5</v>
      </c>
      <c r="AE292" s="9">
        <v>22.5</v>
      </c>
      <c r="AF292" s="9">
        <v>26.5</v>
      </c>
      <c r="AG292" s="9">
        <v>3.5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</row>
    <row r="293" spans="1:49" ht="14.5" collapsed="1" x14ac:dyDescent="0.35">
      <c r="A293" s="6" t="s">
        <v>12</v>
      </c>
      <c r="B293" s="6" t="s">
        <v>14</v>
      </c>
      <c r="C293" s="6" t="s">
        <v>129</v>
      </c>
      <c r="D293" s="6" t="s">
        <v>76</v>
      </c>
      <c r="E293" s="6" t="s">
        <v>77</v>
      </c>
      <c r="F293" s="7">
        <f t="shared" ref="F293:AW293" si="37">SUM(F294)</f>
        <v>0</v>
      </c>
      <c r="G293" s="7">
        <f t="shared" si="37"/>
        <v>0</v>
      </c>
      <c r="H293" s="7">
        <f t="shared" si="37"/>
        <v>520</v>
      </c>
      <c r="I293" s="7">
        <f t="shared" si="37"/>
        <v>-520</v>
      </c>
      <c r="J293" s="7">
        <f t="shared" si="37"/>
        <v>0</v>
      </c>
      <c r="K293" s="7">
        <f t="shared" si="37"/>
        <v>20</v>
      </c>
      <c r="L293" s="7">
        <f t="shared" si="37"/>
        <v>20</v>
      </c>
      <c r="M293" s="7">
        <f t="shared" si="37"/>
        <v>28</v>
      </c>
      <c r="N293" s="7">
        <f t="shared" si="37"/>
        <v>16</v>
      </c>
      <c r="O293" s="7">
        <f t="shared" si="37"/>
        <v>20</v>
      </c>
      <c r="P293" s="7">
        <f t="shared" si="37"/>
        <v>20</v>
      </c>
      <c r="Q293" s="7">
        <f t="shared" si="37"/>
        <v>15</v>
      </c>
      <c r="R293" s="7">
        <f t="shared" si="37"/>
        <v>15</v>
      </c>
      <c r="S293" s="7">
        <f t="shared" si="37"/>
        <v>14</v>
      </c>
      <c r="T293" s="7">
        <f t="shared" si="37"/>
        <v>15</v>
      </c>
      <c r="U293" s="7">
        <f t="shared" si="37"/>
        <v>15</v>
      </c>
      <c r="V293" s="7">
        <f t="shared" si="37"/>
        <v>15</v>
      </c>
      <c r="W293" s="7">
        <f t="shared" si="37"/>
        <v>10</v>
      </c>
      <c r="X293" s="7">
        <f t="shared" si="37"/>
        <v>15</v>
      </c>
      <c r="Y293" s="7">
        <f t="shared" si="37"/>
        <v>10</v>
      </c>
      <c r="Z293" s="7">
        <f t="shared" si="37"/>
        <v>0</v>
      </c>
      <c r="AA293" s="7">
        <f t="shared" si="37"/>
        <v>0</v>
      </c>
      <c r="AB293" s="7">
        <f t="shared" si="37"/>
        <v>36</v>
      </c>
      <c r="AC293" s="7">
        <f t="shared" si="37"/>
        <v>41</v>
      </c>
      <c r="AD293" s="7">
        <f t="shared" si="37"/>
        <v>48</v>
      </c>
      <c r="AE293" s="7">
        <f t="shared" si="37"/>
        <v>45</v>
      </c>
      <c r="AF293" s="7">
        <f t="shared" si="37"/>
        <v>47</v>
      </c>
      <c r="AG293" s="7">
        <f t="shared" si="37"/>
        <v>38</v>
      </c>
      <c r="AH293" s="7">
        <f t="shared" si="37"/>
        <v>17</v>
      </c>
      <c r="AI293" s="7">
        <f t="shared" si="37"/>
        <v>0</v>
      </c>
      <c r="AJ293" s="7">
        <f t="shared" si="37"/>
        <v>0</v>
      </c>
      <c r="AK293" s="7">
        <f t="shared" si="37"/>
        <v>0</v>
      </c>
      <c r="AL293" s="7">
        <f t="shared" si="37"/>
        <v>0</v>
      </c>
      <c r="AM293" s="7">
        <f t="shared" si="37"/>
        <v>0</v>
      </c>
      <c r="AN293" s="7">
        <f t="shared" si="37"/>
        <v>0</v>
      </c>
      <c r="AO293" s="7">
        <f t="shared" si="37"/>
        <v>0</v>
      </c>
      <c r="AP293" s="7">
        <f t="shared" si="37"/>
        <v>0</v>
      </c>
      <c r="AQ293" s="7">
        <f t="shared" si="37"/>
        <v>0</v>
      </c>
      <c r="AR293" s="7">
        <f t="shared" si="37"/>
        <v>0</v>
      </c>
      <c r="AS293" s="7">
        <f t="shared" si="37"/>
        <v>0</v>
      </c>
      <c r="AT293" s="7">
        <f t="shared" si="37"/>
        <v>0</v>
      </c>
      <c r="AU293" s="7">
        <f t="shared" si="37"/>
        <v>0</v>
      </c>
      <c r="AV293" s="7">
        <f t="shared" si="37"/>
        <v>0</v>
      </c>
      <c r="AW293" s="7">
        <f t="shared" si="37"/>
        <v>0</v>
      </c>
    </row>
    <row r="294" spans="1:49" ht="14.5" hidden="1" outlineLevel="1" x14ac:dyDescent="0.35">
      <c r="A294" s="8" t="s">
        <v>12</v>
      </c>
      <c r="B294" s="8" t="s">
        <v>14</v>
      </c>
      <c r="C294" s="8" t="s">
        <v>129</v>
      </c>
      <c r="D294" s="8" t="s">
        <v>78</v>
      </c>
      <c r="E294" s="8" t="s">
        <v>102</v>
      </c>
      <c r="F294" s="9">
        <v>0</v>
      </c>
      <c r="G294" s="9">
        <v>0</v>
      </c>
      <c r="H294" s="9">
        <v>520</v>
      </c>
      <c r="I294" s="9">
        <v>-520</v>
      </c>
      <c r="J294" s="9">
        <v>0</v>
      </c>
      <c r="K294" s="9">
        <v>20</v>
      </c>
      <c r="L294" s="9">
        <v>20</v>
      </c>
      <c r="M294" s="9">
        <v>28</v>
      </c>
      <c r="N294" s="9">
        <v>16</v>
      </c>
      <c r="O294" s="9">
        <v>20</v>
      </c>
      <c r="P294" s="9">
        <v>20</v>
      </c>
      <c r="Q294" s="9">
        <v>15</v>
      </c>
      <c r="R294" s="9">
        <v>15</v>
      </c>
      <c r="S294" s="9">
        <v>14</v>
      </c>
      <c r="T294" s="9">
        <v>15</v>
      </c>
      <c r="U294" s="9">
        <v>15</v>
      </c>
      <c r="V294" s="9">
        <v>15</v>
      </c>
      <c r="W294" s="9">
        <v>10</v>
      </c>
      <c r="X294" s="9">
        <v>15</v>
      </c>
      <c r="Y294" s="9">
        <v>10</v>
      </c>
      <c r="Z294" s="9">
        <v>0</v>
      </c>
      <c r="AA294" s="9">
        <v>0</v>
      </c>
      <c r="AB294" s="9">
        <v>36</v>
      </c>
      <c r="AC294" s="9">
        <v>41</v>
      </c>
      <c r="AD294" s="9">
        <v>48</v>
      </c>
      <c r="AE294" s="9">
        <v>45</v>
      </c>
      <c r="AF294" s="9">
        <v>47</v>
      </c>
      <c r="AG294" s="9">
        <v>38</v>
      </c>
      <c r="AH294" s="9">
        <v>17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>
        <v>0</v>
      </c>
    </row>
    <row r="295" spans="1:49" ht="14.5" collapsed="1" x14ac:dyDescent="0.35">
      <c r="A295" s="6" t="s">
        <v>12</v>
      </c>
      <c r="B295" s="6" t="s">
        <v>14</v>
      </c>
      <c r="C295" s="6" t="s">
        <v>130</v>
      </c>
      <c r="D295" s="6" t="s">
        <v>76</v>
      </c>
      <c r="E295" s="6" t="s">
        <v>77</v>
      </c>
      <c r="F295" s="7">
        <f t="shared" ref="F295:AW295" si="38">SUM(F296)</f>
        <v>0</v>
      </c>
      <c r="G295" s="7">
        <f t="shared" si="38"/>
        <v>0</v>
      </c>
      <c r="H295" s="7">
        <f t="shared" si="38"/>
        <v>309</v>
      </c>
      <c r="I295" s="7">
        <f t="shared" si="38"/>
        <v>-309</v>
      </c>
      <c r="J295" s="7">
        <f t="shared" si="38"/>
        <v>0</v>
      </c>
      <c r="K295" s="7">
        <f t="shared" si="38"/>
        <v>24</v>
      </c>
      <c r="L295" s="7">
        <f t="shared" si="38"/>
        <v>24</v>
      </c>
      <c r="M295" s="7">
        <f t="shared" si="38"/>
        <v>2</v>
      </c>
      <c r="N295" s="7">
        <f t="shared" si="38"/>
        <v>22</v>
      </c>
      <c r="O295" s="7">
        <f t="shared" si="38"/>
        <v>26</v>
      </c>
      <c r="P295" s="7">
        <f t="shared" si="38"/>
        <v>22</v>
      </c>
      <c r="Q295" s="7">
        <f t="shared" si="38"/>
        <v>2</v>
      </c>
      <c r="R295" s="7">
        <f t="shared" si="38"/>
        <v>2</v>
      </c>
      <c r="S295" s="7">
        <f t="shared" si="38"/>
        <v>2</v>
      </c>
      <c r="T295" s="7">
        <f t="shared" si="38"/>
        <v>2</v>
      </c>
      <c r="U295" s="7">
        <f t="shared" si="38"/>
        <v>2</v>
      </c>
      <c r="V295" s="7">
        <f t="shared" si="38"/>
        <v>22</v>
      </c>
      <c r="W295" s="7">
        <f t="shared" si="38"/>
        <v>22</v>
      </c>
      <c r="X295" s="7">
        <f t="shared" si="38"/>
        <v>25.5</v>
      </c>
      <c r="Y295" s="7">
        <f t="shared" si="38"/>
        <v>5.5</v>
      </c>
      <c r="Z295" s="7">
        <f t="shared" si="38"/>
        <v>2</v>
      </c>
      <c r="AA295" s="7">
        <f t="shared" si="38"/>
        <v>0</v>
      </c>
      <c r="AB295" s="7">
        <f t="shared" si="38"/>
        <v>6</v>
      </c>
      <c r="AC295" s="7">
        <f t="shared" si="38"/>
        <v>2</v>
      </c>
      <c r="AD295" s="7">
        <f t="shared" si="38"/>
        <v>29</v>
      </c>
      <c r="AE295" s="7">
        <f t="shared" si="38"/>
        <v>29</v>
      </c>
      <c r="AF295" s="7">
        <f t="shared" si="38"/>
        <v>26</v>
      </c>
      <c r="AG295" s="7">
        <f t="shared" si="38"/>
        <v>2</v>
      </c>
      <c r="AH295" s="7">
        <f t="shared" si="38"/>
        <v>6</v>
      </c>
      <c r="AI295" s="7">
        <f t="shared" si="38"/>
        <v>2</v>
      </c>
      <c r="AJ295" s="7">
        <f t="shared" si="38"/>
        <v>0</v>
      </c>
      <c r="AK295" s="7">
        <f t="shared" si="38"/>
        <v>0</v>
      </c>
      <c r="AL295" s="7">
        <f t="shared" si="38"/>
        <v>0</v>
      </c>
      <c r="AM295" s="7">
        <f t="shared" si="38"/>
        <v>0</v>
      </c>
      <c r="AN295" s="7">
        <f t="shared" si="38"/>
        <v>0</v>
      </c>
      <c r="AO295" s="7">
        <f t="shared" si="38"/>
        <v>0</v>
      </c>
      <c r="AP295" s="7">
        <f t="shared" si="38"/>
        <v>0</v>
      </c>
      <c r="AQ295" s="7">
        <f t="shared" si="38"/>
        <v>0</v>
      </c>
      <c r="AR295" s="7">
        <f t="shared" si="38"/>
        <v>0</v>
      </c>
      <c r="AS295" s="7">
        <f t="shared" si="38"/>
        <v>0</v>
      </c>
      <c r="AT295" s="7">
        <f t="shared" si="38"/>
        <v>0</v>
      </c>
      <c r="AU295" s="7">
        <f t="shared" si="38"/>
        <v>0</v>
      </c>
      <c r="AV295" s="7">
        <f t="shared" si="38"/>
        <v>0</v>
      </c>
      <c r="AW295" s="7">
        <f t="shared" si="38"/>
        <v>0</v>
      </c>
    </row>
    <row r="296" spans="1:49" ht="14.5" hidden="1" outlineLevel="1" x14ac:dyDescent="0.35">
      <c r="A296" s="8" t="s">
        <v>12</v>
      </c>
      <c r="B296" s="8" t="s">
        <v>14</v>
      </c>
      <c r="C296" s="8" t="s">
        <v>130</v>
      </c>
      <c r="D296" s="8" t="s">
        <v>78</v>
      </c>
      <c r="E296" s="8" t="s">
        <v>85</v>
      </c>
      <c r="F296" s="9">
        <v>0</v>
      </c>
      <c r="G296" s="9">
        <v>0</v>
      </c>
      <c r="H296" s="9">
        <v>309</v>
      </c>
      <c r="I296" s="9">
        <v>-309</v>
      </c>
      <c r="J296" s="9">
        <v>0</v>
      </c>
      <c r="K296" s="9">
        <v>24</v>
      </c>
      <c r="L296" s="9">
        <v>24</v>
      </c>
      <c r="M296" s="9">
        <v>2</v>
      </c>
      <c r="N296" s="9">
        <v>22</v>
      </c>
      <c r="O296" s="9">
        <v>26</v>
      </c>
      <c r="P296" s="9">
        <v>22</v>
      </c>
      <c r="Q296" s="9">
        <v>2</v>
      </c>
      <c r="R296" s="9">
        <v>2</v>
      </c>
      <c r="S296" s="9">
        <v>2</v>
      </c>
      <c r="T296" s="9">
        <v>2</v>
      </c>
      <c r="U296" s="9">
        <v>2</v>
      </c>
      <c r="V296" s="9">
        <v>22</v>
      </c>
      <c r="W296" s="9">
        <v>22</v>
      </c>
      <c r="X296" s="9">
        <v>25.5</v>
      </c>
      <c r="Y296" s="9">
        <v>5.5</v>
      </c>
      <c r="Z296" s="9">
        <v>2</v>
      </c>
      <c r="AA296" s="9">
        <v>0</v>
      </c>
      <c r="AB296" s="9">
        <v>6</v>
      </c>
      <c r="AC296" s="9">
        <v>2</v>
      </c>
      <c r="AD296" s="9">
        <v>29</v>
      </c>
      <c r="AE296" s="9">
        <v>29</v>
      </c>
      <c r="AF296" s="9">
        <v>26</v>
      </c>
      <c r="AG296" s="9">
        <v>2</v>
      </c>
      <c r="AH296" s="9">
        <v>6</v>
      </c>
      <c r="AI296" s="9">
        <v>2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</row>
    <row r="297" spans="1:49" ht="14.5" collapsed="1" x14ac:dyDescent="0.35">
      <c r="A297" s="6" t="s">
        <v>12</v>
      </c>
      <c r="B297" s="6" t="s">
        <v>14</v>
      </c>
      <c r="C297" s="6" t="s">
        <v>131</v>
      </c>
      <c r="D297" s="6" t="s">
        <v>76</v>
      </c>
      <c r="E297" s="6" t="s">
        <v>77</v>
      </c>
      <c r="F297" s="7">
        <f t="shared" ref="F297:AW297" si="39">SUM(F298)</f>
        <v>0</v>
      </c>
      <c r="G297" s="7">
        <f t="shared" si="39"/>
        <v>375</v>
      </c>
      <c r="H297" s="7">
        <f t="shared" si="39"/>
        <v>385</v>
      </c>
      <c r="I297" s="7">
        <f t="shared" si="39"/>
        <v>-10</v>
      </c>
      <c r="J297" s="7">
        <f t="shared" si="39"/>
        <v>0</v>
      </c>
      <c r="K297" s="7">
        <f t="shared" si="39"/>
        <v>0</v>
      </c>
      <c r="L297" s="7">
        <f t="shared" si="39"/>
        <v>0</v>
      </c>
      <c r="M297" s="7">
        <f t="shared" si="39"/>
        <v>0</v>
      </c>
      <c r="N297" s="7">
        <f t="shared" si="39"/>
        <v>0</v>
      </c>
      <c r="O297" s="7">
        <f t="shared" si="39"/>
        <v>0</v>
      </c>
      <c r="P297" s="7">
        <f t="shared" si="39"/>
        <v>0</v>
      </c>
      <c r="Q297" s="7">
        <f t="shared" si="39"/>
        <v>0</v>
      </c>
      <c r="R297" s="7">
        <f t="shared" si="39"/>
        <v>0</v>
      </c>
      <c r="S297" s="7">
        <f t="shared" si="39"/>
        <v>0</v>
      </c>
      <c r="T297" s="7">
        <f t="shared" si="39"/>
        <v>0</v>
      </c>
      <c r="U297" s="7">
        <f t="shared" si="39"/>
        <v>0</v>
      </c>
      <c r="V297" s="7">
        <f t="shared" si="39"/>
        <v>0</v>
      </c>
      <c r="W297" s="7">
        <f t="shared" si="39"/>
        <v>0</v>
      </c>
      <c r="X297" s="7">
        <f t="shared" si="39"/>
        <v>0</v>
      </c>
      <c r="Y297" s="7">
        <f t="shared" si="39"/>
        <v>0</v>
      </c>
      <c r="Z297" s="7">
        <f t="shared" si="39"/>
        <v>0</v>
      </c>
      <c r="AA297" s="7">
        <f t="shared" si="39"/>
        <v>0</v>
      </c>
      <c r="AB297" s="7">
        <f t="shared" si="39"/>
        <v>35</v>
      </c>
      <c r="AC297" s="7">
        <f t="shared" si="39"/>
        <v>45</v>
      </c>
      <c r="AD297" s="7">
        <f t="shared" si="39"/>
        <v>55</v>
      </c>
      <c r="AE297" s="10">
        <f t="shared" si="39"/>
        <v>65</v>
      </c>
      <c r="AF297" s="10">
        <f t="shared" si="39"/>
        <v>65</v>
      </c>
      <c r="AG297" s="10">
        <f t="shared" si="39"/>
        <v>65</v>
      </c>
      <c r="AH297" s="7">
        <f t="shared" si="39"/>
        <v>55</v>
      </c>
      <c r="AI297" s="7">
        <f t="shared" si="39"/>
        <v>0</v>
      </c>
      <c r="AJ297" s="7">
        <f t="shared" si="39"/>
        <v>0</v>
      </c>
      <c r="AK297" s="7">
        <f t="shared" si="39"/>
        <v>0</v>
      </c>
      <c r="AL297" s="7">
        <f t="shared" si="39"/>
        <v>0</v>
      </c>
      <c r="AM297" s="7">
        <f t="shared" si="39"/>
        <v>0</v>
      </c>
      <c r="AN297" s="7">
        <f t="shared" si="39"/>
        <v>0</v>
      </c>
      <c r="AO297" s="7">
        <f t="shared" si="39"/>
        <v>0</v>
      </c>
      <c r="AP297" s="7">
        <f t="shared" si="39"/>
        <v>0</v>
      </c>
      <c r="AQ297" s="7">
        <f t="shared" si="39"/>
        <v>0</v>
      </c>
      <c r="AR297" s="7">
        <f t="shared" si="39"/>
        <v>0</v>
      </c>
      <c r="AS297" s="7">
        <f t="shared" si="39"/>
        <v>0</v>
      </c>
      <c r="AT297" s="7">
        <f t="shared" si="39"/>
        <v>0</v>
      </c>
      <c r="AU297" s="7">
        <f t="shared" si="39"/>
        <v>0</v>
      </c>
      <c r="AV297" s="7">
        <f t="shared" si="39"/>
        <v>0</v>
      </c>
      <c r="AW297" s="7">
        <f t="shared" si="39"/>
        <v>0</v>
      </c>
    </row>
    <row r="298" spans="1:49" ht="14.5" hidden="1" outlineLevel="1" x14ac:dyDescent="0.35">
      <c r="A298" s="8" t="s">
        <v>12</v>
      </c>
      <c r="B298" s="8" t="s">
        <v>14</v>
      </c>
      <c r="C298" s="8" t="s">
        <v>131</v>
      </c>
      <c r="D298" s="8" t="s">
        <v>78</v>
      </c>
      <c r="E298" s="8" t="s">
        <v>103</v>
      </c>
      <c r="F298" s="9">
        <v>0</v>
      </c>
      <c r="G298" s="9">
        <v>375</v>
      </c>
      <c r="H298" s="9">
        <v>385</v>
      </c>
      <c r="I298" s="9">
        <v>-10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35</v>
      </c>
      <c r="AC298" s="9">
        <v>45</v>
      </c>
      <c r="AD298" s="9">
        <v>55</v>
      </c>
      <c r="AE298" s="9">
        <v>65</v>
      </c>
      <c r="AF298" s="9">
        <v>65</v>
      </c>
      <c r="AG298" s="9">
        <v>65</v>
      </c>
      <c r="AH298" s="9">
        <v>55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</row>
    <row r="299" spans="1:49" ht="14.5" collapsed="1" x14ac:dyDescent="0.35">
      <c r="A299" s="6" t="s">
        <v>12</v>
      </c>
      <c r="B299" s="6" t="s">
        <v>14</v>
      </c>
      <c r="C299" s="6" t="s">
        <v>132</v>
      </c>
      <c r="D299" s="6" t="s">
        <v>76</v>
      </c>
      <c r="E299" s="6" t="s">
        <v>77</v>
      </c>
      <c r="F299" s="7">
        <f t="shared" ref="F299:AW299" si="40">SUM(F300)</f>
        <v>120</v>
      </c>
      <c r="G299" s="7">
        <f t="shared" si="40"/>
        <v>760</v>
      </c>
      <c r="H299" s="7">
        <f t="shared" si="40"/>
        <v>550</v>
      </c>
      <c r="I299" s="7">
        <f t="shared" si="40"/>
        <v>210</v>
      </c>
      <c r="J299" s="7">
        <f t="shared" si="40"/>
        <v>0</v>
      </c>
      <c r="K299" s="7">
        <f t="shared" si="40"/>
        <v>0</v>
      </c>
      <c r="L299" s="7">
        <f t="shared" si="40"/>
        <v>0</v>
      </c>
      <c r="M299" s="7">
        <f t="shared" si="40"/>
        <v>15</v>
      </c>
      <c r="N299" s="7">
        <f t="shared" si="40"/>
        <v>15</v>
      </c>
      <c r="O299" s="7">
        <f t="shared" si="40"/>
        <v>10</v>
      </c>
      <c r="P299" s="7">
        <f t="shared" si="40"/>
        <v>15</v>
      </c>
      <c r="Q299" s="7">
        <f t="shared" si="40"/>
        <v>15</v>
      </c>
      <c r="R299" s="7">
        <f t="shared" si="40"/>
        <v>15</v>
      </c>
      <c r="S299" s="7">
        <f t="shared" si="40"/>
        <v>15</v>
      </c>
      <c r="T299" s="7">
        <f t="shared" si="40"/>
        <v>20</v>
      </c>
      <c r="U299" s="7">
        <f t="shared" si="40"/>
        <v>20</v>
      </c>
      <c r="V299" s="7">
        <f t="shared" si="40"/>
        <v>15</v>
      </c>
      <c r="W299" s="7">
        <f t="shared" si="40"/>
        <v>10</v>
      </c>
      <c r="X299" s="7">
        <f t="shared" si="40"/>
        <v>10</v>
      </c>
      <c r="Y299" s="7">
        <f t="shared" si="40"/>
        <v>5</v>
      </c>
      <c r="Z299" s="7">
        <f t="shared" si="40"/>
        <v>0</v>
      </c>
      <c r="AA299" s="7">
        <f t="shared" si="40"/>
        <v>0</v>
      </c>
      <c r="AB299" s="7">
        <f t="shared" si="40"/>
        <v>20</v>
      </c>
      <c r="AC299" s="7">
        <f t="shared" si="40"/>
        <v>50</v>
      </c>
      <c r="AD299" s="7">
        <f t="shared" si="40"/>
        <v>55</v>
      </c>
      <c r="AE299" s="10">
        <f t="shared" si="40"/>
        <v>60</v>
      </c>
      <c r="AF299" s="10">
        <f t="shared" si="40"/>
        <v>65</v>
      </c>
      <c r="AG299" s="10">
        <f t="shared" si="40"/>
        <v>65</v>
      </c>
      <c r="AH299" s="7">
        <f t="shared" si="40"/>
        <v>55</v>
      </c>
      <c r="AI299" s="7">
        <f t="shared" si="40"/>
        <v>0</v>
      </c>
      <c r="AJ299" s="7">
        <f t="shared" si="40"/>
        <v>0</v>
      </c>
      <c r="AK299" s="7">
        <f t="shared" si="40"/>
        <v>0</v>
      </c>
      <c r="AL299" s="7">
        <f t="shared" si="40"/>
        <v>0</v>
      </c>
      <c r="AM299" s="7">
        <f t="shared" si="40"/>
        <v>0</v>
      </c>
      <c r="AN299" s="7">
        <f t="shared" si="40"/>
        <v>0</v>
      </c>
      <c r="AO299" s="7">
        <f t="shared" si="40"/>
        <v>0</v>
      </c>
      <c r="AP299" s="7">
        <f t="shared" si="40"/>
        <v>0</v>
      </c>
      <c r="AQ299" s="7">
        <f t="shared" si="40"/>
        <v>0</v>
      </c>
      <c r="AR299" s="7">
        <f t="shared" si="40"/>
        <v>0</v>
      </c>
      <c r="AS299" s="7">
        <f t="shared" si="40"/>
        <v>0</v>
      </c>
      <c r="AT299" s="7">
        <f t="shared" si="40"/>
        <v>0</v>
      </c>
      <c r="AU299" s="7">
        <f t="shared" si="40"/>
        <v>0</v>
      </c>
      <c r="AV299" s="7">
        <f t="shared" si="40"/>
        <v>0</v>
      </c>
      <c r="AW299" s="7">
        <f t="shared" si="40"/>
        <v>0</v>
      </c>
    </row>
    <row r="300" spans="1:49" ht="14.5" hidden="1" outlineLevel="1" x14ac:dyDescent="0.35">
      <c r="A300" s="8" t="s">
        <v>12</v>
      </c>
      <c r="B300" s="8" t="s">
        <v>14</v>
      </c>
      <c r="C300" s="8" t="s">
        <v>132</v>
      </c>
      <c r="D300" s="8" t="s">
        <v>78</v>
      </c>
      <c r="E300" s="8" t="s">
        <v>103</v>
      </c>
      <c r="F300" s="9">
        <v>120</v>
      </c>
      <c r="G300" s="9">
        <v>760</v>
      </c>
      <c r="H300" s="9">
        <v>550</v>
      </c>
      <c r="I300" s="9">
        <v>210</v>
      </c>
      <c r="J300" s="9">
        <v>0</v>
      </c>
      <c r="K300" s="9">
        <v>0</v>
      </c>
      <c r="L300" s="9">
        <v>0</v>
      </c>
      <c r="M300" s="9">
        <v>15</v>
      </c>
      <c r="N300" s="9">
        <v>15</v>
      </c>
      <c r="O300" s="9">
        <v>10</v>
      </c>
      <c r="P300" s="9">
        <v>15</v>
      </c>
      <c r="Q300" s="9">
        <v>15</v>
      </c>
      <c r="R300" s="9">
        <v>15</v>
      </c>
      <c r="S300" s="9">
        <v>15</v>
      </c>
      <c r="T300" s="9">
        <v>20</v>
      </c>
      <c r="U300" s="9">
        <v>20</v>
      </c>
      <c r="V300" s="9">
        <v>15</v>
      </c>
      <c r="W300" s="9">
        <v>10</v>
      </c>
      <c r="X300" s="9">
        <v>10</v>
      </c>
      <c r="Y300" s="9">
        <v>5</v>
      </c>
      <c r="Z300" s="9">
        <v>0</v>
      </c>
      <c r="AA300" s="9">
        <v>0</v>
      </c>
      <c r="AB300" s="9">
        <v>20</v>
      </c>
      <c r="AC300" s="9">
        <v>50</v>
      </c>
      <c r="AD300" s="9">
        <v>55</v>
      </c>
      <c r="AE300" s="9">
        <v>60</v>
      </c>
      <c r="AF300" s="9">
        <v>65</v>
      </c>
      <c r="AG300" s="9">
        <v>65</v>
      </c>
      <c r="AH300" s="9">
        <v>55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</row>
    <row r="301" spans="1:49" ht="14.5" collapsed="1" x14ac:dyDescent="0.35">
      <c r="A301" s="6" t="s">
        <v>12</v>
      </c>
      <c r="B301" s="6" t="s">
        <v>14</v>
      </c>
      <c r="C301" s="6" t="s">
        <v>133</v>
      </c>
      <c r="D301" s="6" t="s">
        <v>76</v>
      </c>
      <c r="E301" s="6" t="s">
        <v>77</v>
      </c>
      <c r="F301" s="7">
        <f t="shared" ref="F301:AW301" si="41">SUM(F302)</f>
        <v>37.5</v>
      </c>
      <c r="G301" s="7">
        <f t="shared" si="41"/>
        <v>325</v>
      </c>
      <c r="H301" s="7">
        <f t="shared" si="41"/>
        <v>261</v>
      </c>
      <c r="I301" s="7">
        <f t="shared" si="41"/>
        <v>64</v>
      </c>
      <c r="J301" s="7">
        <f t="shared" si="41"/>
        <v>0</v>
      </c>
      <c r="K301" s="7">
        <f t="shared" si="41"/>
        <v>0</v>
      </c>
      <c r="L301" s="7">
        <f t="shared" si="41"/>
        <v>0</v>
      </c>
      <c r="M301" s="7">
        <f t="shared" si="41"/>
        <v>0</v>
      </c>
      <c r="N301" s="7">
        <f t="shared" si="41"/>
        <v>0</v>
      </c>
      <c r="O301" s="7">
        <f t="shared" si="41"/>
        <v>1.5</v>
      </c>
      <c r="P301" s="7">
        <f t="shared" si="41"/>
        <v>1.5</v>
      </c>
      <c r="Q301" s="7">
        <f t="shared" si="41"/>
        <v>1.5</v>
      </c>
      <c r="R301" s="7">
        <f t="shared" si="41"/>
        <v>1.5</v>
      </c>
      <c r="S301" s="7">
        <f t="shared" si="41"/>
        <v>22.5</v>
      </c>
      <c r="T301" s="7">
        <f t="shared" si="41"/>
        <v>28.5</v>
      </c>
      <c r="U301" s="7">
        <f t="shared" si="41"/>
        <v>1.5</v>
      </c>
      <c r="V301" s="7">
        <f t="shared" si="41"/>
        <v>1.5</v>
      </c>
      <c r="W301" s="7">
        <f t="shared" si="41"/>
        <v>1.5</v>
      </c>
      <c r="X301" s="7">
        <f t="shared" si="41"/>
        <v>22.5</v>
      </c>
      <c r="Y301" s="7">
        <f t="shared" si="41"/>
        <v>1.5</v>
      </c>
      <c r="Z301" s="7">
        <f t="shared" si="41"/>
        <v>0</v>
      </c>
      <c r="AA301" s="7">
        <f t="shared" si="41"/>
        <v>0</v>
      </c>
      <c r="AB301" s="7">
        <f t="shared" si="41"/>
        <v>1.5</v>
      </c>
      <c r="AC301" s="7">
        <f t="shared" si="41"/>
        <v>12.5</v>
      </c>
      <c r="AD301" s="7">
        <f t="shared" si="41"/>
        <v>32.5</v>
      </c>
      <c r="AE301" s="7">
        <f t="shared" si="41"/>
        <v>24</v>
      </c>
      <c r="AF301" s="7">
        <f t="shared" si="41"/>
        <v>34</v>
      </c>
      <c r="AG301" s="7">
        <f t="shared" si="41"/>
        <v>34</v>
      </c>
      <c r="AH301" s="7">
        <f t="shared" si="41"/>
        <v>25</v>
      </c>
      <c r="AI301" s="7">
        <f t="shared" si="41"/>
        <v>7.5</v>
      </c>
      <c r="AJ301" s="7">
        <f t="shared" si="41"/>
        <v>1.5</v>
      </c>
      <c r="AK301" s="7">
        <f t="shared" si="41"/>
        <v>1.5</v>
      </c>
      <c r="AL301" s="7">
        <f t="shared" si="41"/>
        <v>1.5</v>
      </c>
      <c r="AM301" s="7">
        <f t="shared" si="41"/>
        <v>0</v>
      </c>
      <c r="AN301" s="7">
        <f t="shared" si="41"/>
        <v>0</v>
      </c>
      <c r="AO301" s="7">
        <f t="shared" si="41"/>
        <v>0</v>
      </c>
      <c r="AP301" s="7">
        <f t="shared" si="41"/>
        <v>0</v>
      </c>
      <c r="AQ301" s="7">
        <f t="shared" si="41"/>
        <v>0</v>
      </c>
      <c r="AR301" s="7">
        <f t="shared" si="41"/>
        <v>0</v>
      </c>
      <c r="AS301" s="7">
        <f t="shared" si="41"/>
        <v>0</v>
      </c>
      <c r="AT301" s="7">
        <f t="shared" si="41"/>
        <v>0</v>
      </c>
      <c r="AU301" s="7">
        <f t="shared" si="41"/>
        <v>0</v>
      </c>
      <c r="AV301" s="7">
        <f t="shared" si="41"/>
        <v>0</v>
      </c>
      <c r="AW301" s="7">
        <f t="shared" si="41"/>
        <v>0</v>
      </c>
    </row>
    <row r="302" spans="1:49" ht="14.5" hidden="1" outlineLevel="1" x14ac:dyDescent="0.35">
      <c r="A302" s="8" t="s">
        <v>12</v>
      </c>
      <c r="B302" s="8" t="s">
        <v>14</v>
      </c>
      <c r="C302" s="8" t="s">
        <v>133</v>
      </c>
      <c r="D302" s="8" t="s">
        <v>78</v>
      </c>
      <c r="E302" s="8" t="s">
        <v>46</v>
      </c>
      <c r="F302" s="9">
        <v>37.5</v>
      </c>
      <c r="G302" s="9">
        <v>325</v>
      </c>
      <c r="H302" s="9">
        <v>261</v>
      </c>
      <c r="I302" s="9">
        <v>64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1.5</v>
      </c>
      <c r="P302" s="9">
        <v>1.5</v>
      </c>
      <c r="Q302" s="9">
        <v>1.5</v>
      </c>
      <c r="R302" s="9">
        <v>1.5</v>
      </c>
      <c r="S302" s="9">
        <v>22.5</v>
      </c>
      <c r="T302" s="9">
        <v>28.5</v>
      </c>
      <c r="U302" s="9">
        <v>1.5</v>
      </c>
      <c r="V302" s="9">
        <v>1.5</v>
      </c>
      <c r="W302" s="9">
        <v>1.5</v>
      </c>
      <c r="X302" s="9">
        <v>22.5</v>
      </c>
      <c r="Y302" s="9">
        <v>1.5</v>
      </c>
      <c r="Z302" s="9">
        <v>0</v>
      </c>
      <c r="AA302" s="9">
        <v>0</v>
      </c>
      <c r="AB302" s="9">
        <v>1.5</v>
      </c>
      <c r="AC302" s="9">
        <v>12.5</v>
      </c>
      <c r="AD302" s="9">
        <v>32.5</v>
      </c>
      <c r="AE302" s="9">
        <v>24</v>
      </c>
      <c r="AF302" s="9">
        <v>34</v>
      </c>
      <c r="AG302" s="9">
        <v>34</v>
      </c>
      <c r="AH302" s="9">
        <v>25</v>
      </c>
      <c r="AI302" s="9">
        <v>7.5</v>
      </c>
      <c r="AJ302" s="9">
        <v>1.5</v>
      </c>
      <c r="AK302" s="9">
        <v>1.5</v>
      </c>
      <c r="AL302" s="9">
        <v>1.5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</row>
    <row r="303" spans="1:49" ht="14.5" collapsed="1" x14ac:dyDescent="0.35">
      <c r="A303" s="6" t="s">
        <v>12</v>
      </c>
      <c r="B303" s="6" t="s">
        <v>14</v>
      </c>
      <c r="C303" s="6" t="s">
        <v>134</v>
      </c>
      <c r="D303" s="6" t="s">
        <v>76</v>
      </c>
      <c r="E303" s="6" t="s">
        <v>77</v>
      </c>
      <c r="F303" s="7">
        <f t="shared" ref="F303:AW303" si="42">SUM(F304)</f>
        <v>0</v>
      </c>
      <c r="G303" s="7">
        <f t="shared" si="42"/>
        <v>495</v>
      </c>
      <c r="H303" s="7">
        <f t="shared" si="42"/>
        <v>495</v>
      </c>
      <c r="I303" s="7">
        <f t="shared" si="42"/>
        <v>0</v>
      </c>
      <c r="J303" s="7">
        <f t="shared" si="42"/>
        <v>0</v>
      </c>
      <c r="K303" s="7">
        <f t="shared" si="42"/>
        <v>0</v>
      </c>
      <c r="L303" s="7">
        <f t="shared" si="42"/>
        <v>0</v>
      </c>
      <c r="M303" s="7">
        <f t="shared" si="42"/>
        <v>0</v>
      </c>
      <c r="N303" s="7">
        <f t="shared" si="42"/>
        <v>0</v>
      </c>
      <c r="O303" s="7">
        <f t="shared" si="42"/>
        <v>0</v>
      </c>
      <c r="P303" s="7">
        <f t="shared" si="42"/>
        <v>25</v>
      </c>
      <c r="Q303" s="7">
        <f t="shared" si="42"/>
        <v>25</v>
      </c>
      <c r="R303" s="7">
        <f t="shared" si="42"/>
        <v>0</v>
      </c>
      <c r="S303" s="7">
        <f t="shared" si="42"/>
        <v>0</v>
      </c>
      <c r="T303" s="7">
        <f t="shared" si="42"/>
        <v>0</v>
      </c>
      <c r="U303" s="7">
        <f t="shared" si="42"/>
        <v>0</v>
      </c>
      <c r="V303" s="7">
        <f t="shared" si="42"/>
        <v>0</v>
      </c>
      <c r="W303" s="7">
        <f t="shared" si="42"/>
        <v>0</v>
      </c>
      <c r="X303" s="7">
        <f t="shared" si="42"/>
        <v>0</v>
      </c>
      <c r="Y303" s="7">
        <f t="shared" si="42"/>
        <v>25</v>
      </c>
      <c r="Z303" s="7">
        <f t="shared" si="42"/>
        <v>0</v>
      </c>
      <c r="AA303" s="7">
        <f t="shared" si="42"/>
        <v>0</v>
      </c>
      <c r="AB303" s="7">
        <f t="shared" si="42"/>
        <v>40</v>
      </c>
      <c r="AC303" s="7">
        <f t="shared" si="42"/>
        <v>50</v>
      </c>
      <c r="AD303" s="7">
        <f t="shared" si="42"/>
        <v>50</v>
      </c>
      <c r="AE303" s="7">
        <f t="shared" si="42"/>
        <v>50</v>
      </c>
      <c r="AF303" s="10">
        <f t="shared" si="42"/>
        <v>65</v>
      </c>
      <c r="AG303" s="10">
        <f t="shared" si="42"/>
        <v>65</v>
      </c>
      <c r="AH303" s="10">
        <f t="shared" si="42"/>
        <v>60</v>
      </c>
      <c r="AI303" s="7">
        <f t="shared" si="42"/>
        <v>40</v>
      </c>
      <c r="AJ303" s="7">
        <f t="shared" si="42"/>
        <v>0</v>
      </c>
      <c r="AK303" s="7">
        <f t="shared" si="42"/>
        <v>0</v>
      </c>
      <c r="AL303" s="7">
        <f t="shared" si="42"/>
        <v>0</v>
      </c>
      <c r="AM303" s="7">
        <f t="shared" si="42"/>
        <v>0</v>
      </c>
      <c r="AN303" s="7">
        <f t="shared" si="42"/>
        <v>0</v>
      </c>
      <c r="AO303" s="7">
        <f t="shared" si="42"/>
        <v>0</v>
      </c>
      <c r="AP303" s="7">
        <f t="shared" si="42"/>
        <v>0</v>
      </c>
      <c r="AQ303" s="7">
        <f t="shared" si="42"/>
        <v>0</v>
      </c>
      <c r="AR303" s="7">
        <f t="shared" si="42"/>
        <v>0</v>
      </c>
      <c r="AS303" s="7">
        <f t="shared" si="42"/>
        <v>0</v>
      </c>
      <c r="AT303" s="7">
        <f t="shared" si="42"/>
        <v>0</v>
      </c>
      <c r="AU303" s="7">
        <f t="shared" si="42"/>
        <v>0</v>
      </c>
      <c r="AV303" s="7">
        <f t="shared" si="42"/>
        <v>0</v>
      </c>
      <c r="AW303" s="7">
        <f t="shared" si="42"/>
        <v>0</v>
      </c>
    </row>
    <row r="304" spans="1:49" ht="14.5" hidden="1" outlineLevel="1" x14ac:dyDescent="0.35">
      <c r="A304" s="8" t="s">
        <v>12</v>
      </c>
      <c r="B304" s="8" t="s">
        <v>14</v>
      </c>
      <c r="C304" s="8" t="s">
        <v>134</v>
      </c>
      <c r="D304" s="8" t="s">
        <v>78</v>
      </c>
      <c r="E304" s="8" t="s">
        <v>99</v>
      </c>
      <c r="F304" s="9">
        <v>0</v>
      </c>
      <c r="G304" s="9">
        <v>495</v>
      </c>
      <c r="H304" s="9">
        <v>495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25</v>
      </c>
      <c r="Q304" s="9">
        <v>25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25</v>
      </c>
      <c r="Z304" s="9">
        <v>0</v>
      </c>
      <c r="AA304" s="9">
        <v>0</v>
      </c>
      <c r="AB304" s="9">
        <v>40</v>
      </c>
      <c r="AC304" s="9">
        <v>50</v>
      </c>
      <c r="AD304" s="9">
        <v>50</v>
      </c>
      <c r="AE304" s="9">
        <v>50</v>
      </c>
      <c r="AF304" s="9">
        <v>65</v>
      </c>
      <c r="AG304" s="9">
        <v>65</v>
      </c>
      <c r="AH304" s="9">
        <v>60</v>
      </c>
      <c r="AI304" s="9">
        <v>40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</row>
    <row r="305" spans="1:49" ht="14.5" collapsed="1" x14ac:dyDescent="0.35">
      <c r="A305" s="6" t="s">
        <v>12</v>
      </c>
      <c r="B305" s="6" t="s">
        <v>14</v>
      </c>
      <c r="C305" s="6" t="s">
        <v>135</v>
      </c>
      <c r="D305" s="6" t="s">
        <v>76</v>
      </c>
      <c r="E305" s="6" t="s">
        <v>77</v>
      </c>
      <c r="F305" s="7">
        <f t="shared" ref="F305:AW305" si="43">SUM(F306)</f>
        <v>0</v>
      </c>
      <c r="G305" s="7">
        <f t="shared" si="43"/>
        <v>100</v>
      </c>
      <c r="H305" s="7">
        <f t="shared" si="43"/>
        <v>140.5</v>
      </c>
      <c r="I305" s="7">
        <f t="shared" si="43"/>
        <v>-40.5</v>
      </c>
      <c r="J305" s="7">
        <f t="shared" si="43"/>
        <v>0</v>
      </c>
      <c r="K305" s="7">
        <f t="shared" si="43"/>
        <v>0</v>
      </c>
      <c r="L305" s="7">
        <f t="shared" si="43"/>
        <v>0</v>
      </c>
      <c r="M305" s="7">
        <f t="shared" si="43"/>
        <v>0</v>
      </c>
      <c r="N305" s="7">
        <f t="shared" si="43"/>
        <v>0</v>
      </c>
      <c r="O305" s="7">
        <f t="shared" si="43"/>
        <v>0</v>
      </c>
      <c r="P305" s="7">
        <f t="shared" si="43"/>
        <v>0</v>
      </c>
      <c r="Q305" s="7">
        <f t="shared" si="43"/>
        <v>0</v>
      </c>
      <c r="R305" s="7">
        <f t="shared" si="43"/>
        <v>0</v>
      </c>
      <c r="S305" s="7">
        <f t="shared" si="43"/>
        <v>0</v>
      </c>
      <c r="T305" s="7">
        <f t="shared" si="43"/>
        <v>0</v>
      </c>
      <c r="U305" s="7">
        <f t="shared" si="43"/>
        <v>0</v>
      </c>
      <c r="V305" s="7">
        <f t="shared" si="43"/>
        <v>0</v>
      </c>
      <c r="W305" s="7">
        <f t="shared" si="43"/>
        <v>0</v>
      </c>
      <c r="X305" s="7">
        <f t="shared" si="43"/>
        <v>0</v>
      </c>
      <c r="Y305" s="7">
        <f t="shared" si="43"/>
        <v>0</v>
      </c>
      <c r="Z305" s="7">
        <f t="shared" si="43"/>
        <v>0</v>
      </c>
      <c r="AA305" s="7">
        <f t="shared" si="43"/>
        <v>0</v>
      </c>
      <c r="AB305" s="7">
        <f t="shared" si="43"/>
        <v>0</v>
      </c>
      <c r="AC305" s="7">
        <f t="shared" si="43"/>
        <v>0</v>
      </c>
      <c r="AD305" s="7">
        <f t="shared" si="43"/>
        <v>27</v>
      </c>
      <c r="AE305" s="7">
        <f t="shared" si="43"/>
        <v>29</v>
      </c>
      <c r="AF305" s="7">
        <f t="shared" si="43"/>
        <v>36</v>
      </c>
      <c r="AG305" s="7">
        <f t="shared" si="43"/>
        <v>33</v>
      </c>
      <c r="AH305" s="7">
        <f t="shared" si="43"/>
        <v>8</v>
      </c>
      <c r="AI305" s="7">
        <f t="shared" si="43"/>
        <v>7.5</v>
      </c>
      <c r="AJ305" s="7">
        <f t="shared" si="43"/>
        <v>0</v>
      </c>
      <c r="AK305" s="7">
        <f t="shared" si="43"/>
        <v>0</v>
      </c>
      <c r="AL305" s="7">
        <f t="shared" si="43"/>
        <v>0</v>
      </c>
      <c r="AM305" s="7">
        <f t="shared" si="43"/>
        <v>0</v>
      </c>
      <c r="AN305" s="7">
        <f t="shared" si="43"/>
        <v>0</v>
      </c>
      <c r="AO305" s="7">
        <f t="shared" si="43"/>
        <v>0</v>
      </c>
      <c r="AP305" s="7">
        <f t="shared" si="43"/>
        <v>0</v>
      </c>
      <c r="AQ305" s="7">
        <f t="shared" si="43"/>
        <v>0</v>
      </c>
      <c r="AR305" s="7">
        <f t="shared" si="43"/>
        <v>0</v>
      </c>
      <c r="AS305" s="7">
        <f t="shared" si="43"/>
        <v>0</v>
      </c>
      <c r="AT305" s="7">
        <f t="shared" si="43"/>
        <v>0</v>
      </c>
      <c r="AU305" s="7">
        <f t="shared" si="43"/>
        <v>0</v>
      </c>
      <c r="AV305" s="7">
        <f t="shared" si="43"/>
        <v>0</v>
      </c>
      <c r="AW305" s="7">
        <f t="shared" si="43"/>
        <v>0</v>
      </c>
    </row>
    <row r="306" spans="1:49" ht="14.5" hidden="1" outlineLevel="1" x14ac:dyDescent="0.35">
      <c r="A306" s="8" t="s">
        <v>12</v>
      </c>
      <c r="B306" s="8" t="s">
        <v>14</v>
      </c>
      <c r="C306" s="8" t="s">
        <v>135</v>
      </c>
      <c r="D306" s="8" t="s">
        <v>78</v>
      </c>
      <c r="E306" s="8" t="s">
        <v>43</v>
      </c>
      <c r="F306" s="9">
        <v>0</v>
      </c>
      <c r="G306" s="9">
        <v>100</v>
      </c>
      <c r="H306" s="9">
        <v>140.5</v>
      </c>
      <c r="I306" s="9">
        <v>-40.5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27</v>
      </c>
      <c r="AE306" s="9">
        <v>29</v>
      </c>
      <c r="AF306" s="9">
        <v>36</v>
      </c>
      <c r="AG306" s="9">
        <v>33</v>
      </c>
      <c r="AH306" s="9">
        <v>8</v>
      </c>
      <c r="AI306" s="9">
        <v>7.5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0</v>
      </c>
    </row>
    <row r="307" spans="1:49" ht="14.5" collapsed="1" x14ac:dyDescent="0.35">
      <c r="A307" s="6" t="s">
        <v>12</v>
      </c>
      <c r="B307" s="6" t="s">
        <v>14</v>
      </c>
      <c r="C307" s="6" t="s">
        <v>136</v>
      </c>
      <c r="D307" s="6" t="s">
        <v>76</v>
      </c>
      <c r="E307" s="6" t="s">
        <v>77</v>
      </c>
      <c r="F307" s="7">
        <f t="shared" ref="F307:AW307" si="44">SUM(F308)</f>
        <v>0</v>
      </c>
      <c r="G307" s="7">
        <f t="shared" si="44"/>
        <v>0</v>
      </c>
      <c r="H307" s="7">
        <f t="shared" si="44"/>
        <v>90</v>
      </c>
      <c r="I307" s="7">
        <f t="shared" si="44"/>
        <v>-90</v>
      </c>
      <c r="J307" s="7">
        <f t="shared" si="44"/>
        <v>0</v>
      </c>
      <c r="K307" s="7">
        <f t="shared" si="44"/>
        <v>0</v>
      </c>
      <c r="L307" s="7">
        <f t="shared" si="44"/>
        <v>0</v>
      </c>
      <c r="M307" s="7">
        <f t="shared" si="44"/>
        <v>0</v>
      </c>
      <c r="N307" s="7">
        <f t="shared" si="44"/>
        <v>0</v>
      </c>
      <c r="O307" s="7">
        <f t="shared" si="44"/>
        <v>0</v>
      </c>
      <c r="P307" s="7">
        <f t="shared" si="44"/>
        <v>0</v>
      </c>
      <c r="Q307" s="7">
        <f t="shared" si="44"/>
        <v>0</v>
      </c>
      <c r="R307" s="7">
        <f t="shared" si="44"/>
        <v>0</v>
      </c>
      <c r="S307" s="7">
        <f t="shared" si="44"/>
        <v>0</v>
      </c>
      <c r="T307" s="7">
        <f t="shared" si="44"/>
        <v>0</v>
      </c>
      <c r="U307" s="7">
        <f t="shared" si="44"/>
        <v>0</v>
      </c>
      <c r="V307" s="7">
        <f t="shared" si="44"/>
        <v>0</v>
      </c>
      <c r="W307" s="7">
        <f t="shared" si="44"/>
        <v>0</v>
      </c>
      <c r="X307" s="7">
        <f t="shared" si="44"/>
        <v>0</v>
      </c>
      <c r="Y307" s="7">
        <f t="shared" si="44"/>
        <v>0</v>
      </c>
      <c r="Z307" s="7">
        <f t="shared" si="44"/>
        <v>0</v>
      </c>
      <c r="AA307" s="7">
        <f t="shared" si="44"/>
        <v>0</v>
      </c>
      <c r="AB307" s="7">
        <f t="shared" si="44"/>
        <v>0</v>
      </c>
      <c r="AC307" s="7">
        <f t="shared" si="44"/>
        <v>0</v>
      </c>
      <c r="AD307" s="7">
        <f t="shared" si="44"/>
        <v>0</v>
      </c>
      <c r="AE307" s="7">
        <f t="shared" si="44"/>
        <v>10</v>
      </c>
      <c r="AF307" s="7">
        <f t="shared" si="44"/>
        <v>10</v>
      </c>
      <c r="AG307" s="7">
        <f t="shared" si="44"/>
        <v>20</v>
      </c>
      <c r="AH307" s="7">
        <f t="shared" si="44"/>
        <v>20</v>
      </c>
      <c r="AI307" s="7">
        <f t="shared" si="44"/>
        <v>30</v>
      </c>
      <c r="AJ307" s="7">
        <f t="shared" si="44"/>
        <v>0</v>
      </c>
      <c r="AK307" s="7">
        <f t="shared" si="44"/>
        <v>0</v>
      </c>
      <c r="AL307" s="7">
        <f t="shared" si="44"/>
        <v>0</v>
      </c>
      <c r="AM307" s="7">
        <f t="shared" si="44"/>
        <v>0</v>
      </c>
      <c r="AN307" s="7">
        <f t="shared" si="44"/>
        <v>0</v>
      </c>
      <c r="AO307" s="7">
        <f t="shared" si="44"/>
        <v>0</v>
      </c>
      <c r="AP307" s="7">
        <f t="shared" si="44"/>
        <v>0</v>
      </c>
      <c r="AQ307" s="7">
        <f t="shared" si="44"/>
        <v>0</v>
      </c>
      <c r="AR307" s="7">
        <f t="shared" si="44"/>
        <v>0</v>
      </c>
      <c r="AS307" s="7">
        <f t="shared" si="44"/>
        <v>0</v>
      </c>
      <c r="AT307" s="7">
        <f t="shared" si="44"/>
        <v>0</v>
      </c>
      <c r="AU307" s="7">
        <f t="shared" si="44"/>
        <v>0</v>
      </c>
      <c r="AV307" s="7">
        <f t="shared" si="44"/>
        <v>0</v>
      </c>
      <c r="AW307" s="7">
        <f t="shared" si="44"/>
        <v>0</v>
      </c>
    </row>
    <row r="308" spans="1:49" ht="14.5" hidden="1" outlineLevel="1" x14ac:dyDescent="0.35">
      <c r="A308" s="8" t="s">
        <v>12</v>
      </c>
      <c r="B308" s="8" t="s">
        <v>14</v>
      </c>
      <c r="C308" s="8" t="s">
        <v>136</v>
      </c>
      <c r="D308" s="8" t="s">
        <v>78</v>
      </c>
      <c r="E308" s="8" t="s">
        <v>43</v>
      </c>
      <c r="F308" s="9">
        <v>0</v>
      </c>
      <c r="G308" s="9">
        <v>0</v>
      </c>
      <c r="H308" s="9">
        <v>90</v>
      </c>
      <c r="I308" s="9">
        <v>-90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10</v>
      </c>
      <c r="AF308" s="9">
        <v>10</v>
      </c>
      <c r="AG308" s="9">
        <v>20</v>
      </c>
      <c r="AH308" s="9">
        <v>20</v>
      </c>
      <c r="AI308" s="9">
        <v>30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>
        <v>0</v>
      </c>
    </row>
    <row r="309" spans="1:49" ht="14.5" collapsed="1" x14ac:dyDescent="0.35">
      <c r="A309" s="6" t="s">
        <v>12</v>
      </c>
      <c r="B309" s="6" t="s">
        <v>14</v>
      </c>
      <c r="C309" s="6" t="s">
        <v>137</v>
      </c>
      <c r="D309" s="6" t="s">
        <v>76</v>
      </c>
      <c r="E309" s="6" t="s">
        <v>77</v>
      </c>
      <c r="F309" s="7">
        <f t="shared" ref="F309:AW309" si="45">SUM(F310)</f>
        <v>6</v>
      </c>
      <c r="G309" s="7">
        <f t="shared" si="45"/>
        <v>24</v>
      </c>
      <c r="H309" s="7">
        <f t="shared" si="45"/>
        <v>15</v>
      </c>
      <c r="I309" s="7">
        <f t="shared" si="45"/>
        <v>9</v>
      </c>
      <c r="J309" s="7">
        <f t="shared" si="45"/>
        <v>0</v>
      </c>
      <c r="K309" s="7">
        <f t="shared" si="45"/>
        <v>0</v>
      </c>
      <c r="L309" s="7">
        <f t="shared" si="45"/>
        <v>0</v>
      </c>
      <c r="M309" s="7">
        <f t="shared" si="45"/>
        <v>0</v>
      </c>
      <c r="N309" s="7">
        <f t="shared" si="45"/>
        <v>0</v>
      </c>
      <c r="O309" s="7">
        <f t="shared" si="45"/>
        <v>0</v>
      </c>
      <c r="P309" s="7">
        <f t="shared" si="45"/>
        <v>0</v>
      </c>
      <c r="Q309" s="7">
        <f t="shared" si="45"/>
        <v>0</v>
      </c>
      <c r="R309" s="7">
        <f t="shared" si="45"/>
        <v>0</v>
      </c>
      <c r="S309" s="7">
        <f t="shared" si="45"/>
        <v>0</v>
      </c>
      <c r="T309" s="7">
        <f t="shared" si="45"/>
        <v>0</v>
      </c>
      <c r="U309" s="7">
        <f t="shared" si="45"/>
        <v>0</v>
      </c>
      <c r="V309" s="7">
        <f t="shared" si="45"/>
        <v>0</v>
      </c>
      <c r="W309" s="7">
        <f t="shared" si="45"/>
        <v>0</v>
      </c>
      <c r="X309" s="7">
        <f t="shared" si="45"/>
        <v>0</v>
      </c>
      <c r="Y309" s="7">
        <f t="shared" si="45"/>
        <v>0</v>
      </c>
      <c r="Z309" s="7">
        <f t="shared" si="45"/>
        <v>0</v>
      </c>
      <c r="AA309" s="7">
        <f t="shared" si="45"/>
        <v>0</v>
      </c>
      <c r="AB309" s="7">
        <f t="shared" si="45"/>
        <v>0</v>
      </c>
      <c r="AC309" s="7">
        <f t="shared" si="45"/>
        <v>0</v>
      </c>
      <c r="AD309" s="7">
        <f t="shared" si="45"/>
        <v>0</v>
      </c>
      <c r="AE309" s="7">
        <f t="shared" si="45"/>
        <v>0</v>
      </c>
      <c r="AF309" s="7">
        <f t="shared" si="45"/>
        <v>0</v>
      </c>
      <c r="AG309" s="7">
        <f t="shared" si="45"/>
        <v>0</v>
      </c>
      <c r="AH309" s="7">
        <f t="shared" si="45"/>
        <v>10</v>
      </c>
      <c r="AI309" s="7">
        <f t="shared" si="45"/>
        <v>5</v>
      </c>
      <c r="AJ309" s="7">
        <f t="shared" si="45"/>
        <v>0</v>
      </c>
      <c r="AK309" s="7">
        <f t="shared" si="45"/>
        <v>0</v>
      </c>
      <c r="AL309" s="7">
        <f t="shared" si="45"/>
        <v>0</v>
      </c>
      <c r="AM309" s="7">
        <f t="shared" si="45"/>
        <v>0</v>
      </c>
      <c r="AN309" s="7">
        <f t="shared" si="45"/>
        <v>0</v>
      </c>
      <c r="AO309" s="7">
        <f t="shared" si="45"/>
        <v>0</v>
      </c>
      <c r="AP309" s="7">
        <f t="shared" si="45"/>
        <v>0</v>
      </c>
      <c r="AQ309" s="7">
        <f t="shared" si="45"/>
        <v>0</v>
      </c>
      <c r="AR309" s="7">
        <f t="shared" si="45"/>
        <v>0</v>
      </c>
      <c r="AS309" s="7">
        <f t="shared" si="45"/>
        <v>0</v>
      </c>
      <c r="AT309" s="7">
        <f t="shared" si="45"/>
        <v>0</v>
      </c>
      <c r="AU309" s="7">
        <f t="shared" si="45"/>
        <v>0</v>
      </c>
      <c r="AV309" s="7">
        <f t="shared" si="45"/>
        <v>0</v>
      </c>
      <c r="AW309" s="7">
        <f t="shared" si="45"/>
        <v>0</v>
      </c>
    </row>
    <row r="310" spans="1:49" ht="14.5" hidden="1" outlineLevel="1" x14ac:dyDescent="0.35">
      <c r="A310" s="8" t="s">
        <v>12</v>
      </c>
      <c r="B310" s="8" t="s">
        <v>14</v>
      </c>
      <c r="C310" s="8" t="s">
        <v>137</v>
      </c>
      <c r="D310" s="8" t="s">
        <v>78</v>
      </c>
      <c r="E310" s="8" t="s">
        <v>100</v>
      </c>
      <c r="F310" s="9">
        <v>6</v>
      </c>
      <c r="G310" s="9">
        <v>24</v>
      </c>
      <c r="H310" s="9">
        <v>15</v>
      </c>
      <c r="I310" s="9">
        <v>9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10</v>
      </c>
      <c r="AI310" s="9">
        <v>5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>
        <v>0</v>
      </c>
    </row>
    <row r="311" spans="1:49" ht="14.5" collapsed="1" x14ac:dyDescent="0.35">
      <c r="A311" s="6" t="s">
        <v>12</v>
      </c>
      <c r="B311" s="6" t="s">
        <v>14</v>
      </c>
      <c r="C311" s="6" t="s">
        <v>104</v>
      </c>
      <c r="D311" s="6" t="s">
        <v>76</v>
      </c>
      <c r="E311" s="6" t="s">
        <v>77</v>
      </c>
      <c r="F311" s="7">
        <f t="shared" ref="F311:AW311" si="46">SUM(F312)</f>
        <v>40</v>
      </c>
      <c r="G311" s="7">
        <f t="shared" si="46"/>
        <v>200</v>
      </c>
      <c r="H311" s="7">
        <f t="shared" si="46"/>
        <v>160</v>
      </c>
      <c r="I311" s="7">
        <f t="shared" si="46"/>
        <v>40</v>
      </c>
      <c r="J311" s="7">
        <f t="shared" si="46"/>
        <v>0</v>
      </c>
      <c r="K311" s="7">
        <f t="shared" si="46"/>
        <v>0</v>
      </c>
      <c r="L311" s="7">
        <f t="shared" si="46"/>
        <v>0</v>
      </c>
      <c r="M311" s="7">
        <f t="shared" si="46"/>
        <v>0</v>
      </c>
      <c r="N311" s="7">
        <f t="shared" si="46"/>
        <v>0</v>
      </c>
      <c r="O311" s="7">
        <f t="shared" si="46"/>
        <v>0</v>
      </c>
      <c r="P311" s="7">
        <f t="shared" si="46"/>
        <v>0</v>
      </c>
      <c r="Q311" s="7">
        <f t="shared" si="46"/>
        <v>0</v>
      </c>
      <c r="R311" s="7">
        <f t="shared" si="46"/>
        <v>0</v>
      </c>
      <c r="S311" s="7">
        <f t="shared" si="46"/>
        <v>0</v>
      </c>
      <c r="T311" s="7">
        <f t="shared" si="46"/>
        <v>0</v>
      </c>
      <c r="U311" s="7">
        <f t="shared" si="46"/>
        <v>0</v>
      </c>
      <c r="V311" s="7">
        <f t="shared" si="46"/>
        <v>0</v>
      </c>
      <c r="W311" s="7">
        <f t="shared" si="46"/>
        <v>0</v>
      </c>
      <c r="X311" s="7">
        <f t="shared" si="46"/>
        <v>0</v>
      </c>
      <c r="Y311" s="7">
        <f t="shared" si="46"/>
        <v>0</v>
      </c>
      <c r="Z311" s="7">
        <f t="shared" si="46"/>
        <v>0</v>
      </c>
      <c r="AA311" s="7">
        <f t="shared" si="46"/>
        <v>0</v>
      </c>
      <c r="AB311" s="7">
        <f t="shared" si="46"/>
        <v>0</v>
      </c>
      <c r="AC311" s="7">
        <f t="shared" si="46"/>
        <v>0</v>
      </c>
      <c r="AD311" s="7">
        <f t="shared" si="46"/>
        <v>0</v>
      </c>
      <c r="AE311" s="7">
        <f t="shared" si="46"/>
        <v>40</v>
      </c>
      <c r="AF311" s="7">
        <f t="shared" si="46"/>
        <v>40</v>
      </c>
      <c r="AG311" s="7">
        <f t="shared" si="46"/>
        <v>40</v>
      </c>
      <c r="AH311" s="7">
        <f t="shared" si="46"/>
        <v>40</v>
      </c>
      <c r="AI311" s="7">
        <f t="shared" si="46"/>
        <v>0</v>
      </c>
      <c r="AJ311" s="7">
        <f t="shared" si="46"/>
        <v>0</v>
      </c>
      <c r="AK311" s="7">
        <f t="shared" si="46"/>
        <v>0</v>
      </c>
      <c r="AL311" s="7">
        <f t="shared" si="46"/>
        <v>0</v>
      </c>
      <c r="AM311" s="7">
        <f t="shared" si="46"/>
        <v>0</v>
      </c>
      <c r="AN311" s="7">
        <f t="shared" si="46"/>
        <v>0</v>
      </c>
      <c r="AO311" s="7">
        <f t="shared" si="46"/>
        <v>0</v>
      </c>
      <c r="AP311" s="7">
        <f t="shared" si="46"/>
        <v>0</v>
      </c>
      <c r="AQ311" s="7">
        <f t="shared" si="46"/>
        <v>0</v>
      </c>
      <c r="AR311" s="7">
        <f t="shared" si="46"/>
        <v>0</v>
      </c>
      <c r="AS311" s="7">
        <f t="shared" si="46"/>
        <v>0</v>
      </c>
      <c r="AT311" s="7">
        <f t="shared" si="46"/>
        <v>0</v>
      </c>
      <c r="AU311" s="7">
        <f t="shared" si="46"/>
        <v>0</v>
      </c>
      <c r="AV311" s="7">
        <f t="shared" si="46"/>
        <v>0</v>
      </c>
      <c r="AW311" s="7">
        <f t="shared" si="46"/>
        <v>0</v>
      </c>
    </row>
    <row r="312" spans="1:49" ht="14.5" hidden="1" outlineLevel="1" x14ac:dyDescent="0.35">
      <c r="A312" s="8" t="s">
        <v>12</v>
      </c>
      <c r="B312" s="8" t="s">
        <v>14</v>
      </c>
      <c r="C312" s="8" t="s">
        <v>104</v>
      </c>
      <c r="D312" s="8" t="s">
        <v>78</v>
      </c>
      <c r="E312" s="8" t="s">
        <v>105</v>
      </c>
      <c r="F312" s="9">
        <v>40</v>
      </c>
      <c r="G312" s="9">
        <v>200</v>
      </c>
      <c r="H312" s="9">
        <v>160</v>
      </c>
      <c r="I312" s="9">
        <v>40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40</v>
      </c>
      <c r="AF312" s="9">
        <v>40</v>
      </c>
      <c r="AG312" s="9">
        <v>40</v>
      </c>
      <c r="AH312" s="9">
        <v>40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</row>
    <row r="313" spans="1:49" ht="14.5" collapsed="1" x14ac:dyDescent="0.35">
      <c r="A313" s="6" t="s">
        <v>12</v>
      </c>
      <c r="B313" s="6" t="s">
        <v>14</v>
      </c>
      <c r="C313" s="6" t="s">
        <v>138</v>
      </c>
      <c r="D313" s="6" t="s">
        <v>76</v>
      </c>
      <c r="E313" s="6" t="s">
        <v>77</v>
      </c>
      <c r="F313" s="7">
        <f t="shared" ref="F313:AW313" si="47">SUM(F314,F315)</f>
        <v>104</v>
      </c>
      <c r="G313" s="7">
        <f t="shared" si="47"/>
        <v>328</v>
      </c>
      <c r="H313" s="7">
        <f t="shared" si="47"/>
        <v>268</v>
      </c>
      <c r="I313" s="7">
        <f t="shared" si="47"/>
        <v>60</v>
      </c>
      <c r="J313" s="7">
        <f t="shared" si="47"/>
        <v>6</v>
      </c>
      <c r="K313" s="7">
        <f t="shared" si="47"/>
        <v>0</v>
      </c>
      <c r="L313" s="7">
        <f t="shared" si="47"/>
        <v>6</v>
      </c>
      <c r="M313" s="7">
        <f t="shared" si="47"/>
        <v>0</v>
      </c>
      <c r="N313" s="7">
        <f t="shared" si="47"/>
        <v>0</v>
      </c>
      <c r="O313" s="7">
        <f t="shared" si="47"/>
        <v>0</v>
      </c>
      <c r="P313" s="7">
        <f t="shared" si="47"/>
        <v>0</v>
      </c>
      <c r="Q313" s="7">
        <f t="shared" si="47"/>
        <v>0</v>
      </c>
      <c r="R313" s="7">
        <f t="shared" si="47"/>
        <v>0</v>
      </c>
      <c r="S313" s="7">
        <f t="shared" si="47"/>
        <v>0</v>
      </c>
      <c r="T313" s="7">
        <f t="shared" si="47"/>
        <v>0</v>
      </c>
      <c r="U313" s="7">
        <f t="shared" si="47"/>
        <v>0</v>
      </c>
      <c r="V313" s="7">
        <f t="shared" si="47"/>
        <v>0</v>
      </c>
      <c r="W313" s="7">
        <f t="shared" si="47"/>
        <v>0</v>
      </c>
      <c r="X313" s="7">
        <f t="shared" si="47"/>
        <v>0</v>
      </c>
      <c r="Y313" s="7">
        <f t="shared" si="47"/>
        <v>0</v>
      </c>
      <c r="Z313" s="7">
        <f t="shared" si="47"/>
        <v>0</v>
      </c>
      <c r="AA313" s="7">
        <f t="shared" si="47"/>
        <v>0</v>
      </c>
      <c r="AB313" s="7">
        <f t="shared" si="47"/>
        <v>0</v>
      </c>
      <c r="AC313" s="7">
        <f t="shared" si="47"/>
        <v>10</v>
      </c>
      <c r="AD313" s="7">
        <f t="shared" si="47"/>
        <v>23</v>
      </c>
      <c r="AE313" s="7">
        <f t="shared" si="47"/>
        <v>33</v>
      </c>
      <c r="AF313" s="7">
        <f t="shared" si="47"/>
        <v>40</v>
      </c>
      <c r="AG313" s="7">
        <f t="shared" si="47"/>
        <v>50</v>
      </c>
      <c r="AH313" s="10">
        <f t="shared" si="47"/>
        <v>63</v>
      </c>
      <c r="AI313" s="7">
        <f t="shared" si="47"/>
        <v>37</v>
      </c>
      <c r="AJ313" s="7">
        <f t="shared" si="47"/>
        <v>0</v>
      </c>
      <c r="AK313" s="7">
        <f t="shared" si="47"/>
        <v>0</v>
      </c>
      <c r="AL313" s="7">
        <f t="shared" si="47"/>
        <v>0</v>
      </c>
      <c r="AM313" s="7">
        <f t="shared" si="47"/>
        <v>0</v>
      </c>
      <c r="AN313" s="7">
        <f t="shared" si="47"/>
        <v>0</v>
      </c>
      <c r="AO313" s="7">
        <f t="shared" si="47"/>
        <v>0</v>
      </c>
      <c r="AP313" s="7">
        <f t="shared" si="47"/>
        <v>0</v>
      </c>
      <c r="AQ313" s="7">
        <f t="shared" si="47"/>
        <v>0</v>
      </c>
      <c r="AR313" s="7">
        <f t="shared" si="47"/>
        <v>0</v>
      </c>
      <c r="AS313" s="7">
        <f t="shared" si="47"/>
        <v>0</v>
      </c>
      <c r="AT313" s="7">
        <f t="shared" si="47"/>
        <v>0</v>
      </c>
      <c r="AU313" s="7">
        <f t="shared" si="47"/>
        <v>0</v>
      </c>
      <c r="AV313" s="7">
        <f t="shared" si="47"/>
        <v>0</v>
      </c>
      <c r="AW313" s="7">
        <f t="shared" si="47"/>
        <v>0</v>
      </c>
    </row>
    <row r="314" spans="1:49" ht="14.5" hidden="1" outlineLevel="1" x14ac:dyDescent="0.35">
      <c r="A314" s="8" t="s">
        <v>12</v>
      </c>
      <c r="B314" s="8" t="s">
        <v>14</v>
      </c>
      <c r="C314" s="8" t="s">
        <v>138</v>
      </c>
      <c r="D314" s="8" t="s">
        <v>78</v>
      </c>
      <c r="E314" s="8" t="s">
        <v>81</v>
      </c>
      <c r="F314" s="9">
        <v>30</v>
      </c>
      <c r="G314" s="9">
        <v>118</v>
      </c>
      <c r="H314" s="9">
        <v>88</v>
      </c>
      <c r="I314" s="9">
        <v>30</v>
      </c>
      <c r="J314" s="9">
        <v>6</v>
      </c>
      <c r="K314" s="9">
        <v>0</v>
      </c>
      <c r="L314" s="9">
        <v>6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8</v>
      </c>
      <c r="AE314" s="9">
        <v>8</v>
      </c>
      <c r="AF314" s="9">
        <v>15</v>
      </c>
      <c r="AG314" s="9">
        <v>15</v>
      </c>
      <c r="AH314" s="9">
        <v>28</v>
      </c>
      <c r="AI314" s="9">
        <v>2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</row>
    <row r="315" spans="1:49" ht="14.5" hidden="1" outlineLevel="1" x14ac:dyDescent="0.35">
      <c r="A315" s="8" t="s">
        <v>12</v>
      </c>
      <c r="B315" s="8" t="s">
        <v>14</v>
      </c>
      <c r="C315" s="8" t="s">
        <v>138</v>
      </c>
      <c r="D315" s="8" t="s">
        <v>78</v>
      </c>
      <c r="E315" s="8" t="s">
        <v>100</v>
      </c>
      <c r="F315" s="9">
        <v>74</v>
      </c>
      <c r="G315" s="9">
        <v>210</v>
      </c>
      <c r="H315" s="9">
        <v>180</v>
      </c>
      <c r="I315" s="9">
        <v>30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10</v>
      </c>
      <c r="AD315" s="9">
        <v>15</v>
      </c>
      <c r="AE315" s="9">
        <v>25</v>
      </c>
      <c r="AF315" s="9">
        <v>25</v>
      </c>
      <c r="AG315" s="9">
        <v>35</v>
      </c>
      <c r="AH315" s="9">
        <v>35</v>
      </c>
      <c r="AI315" s="9">
        <v>35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  <c r="AT315" s="9">
        <v>0</v>
      </c>
      <c r="AU315" s="9">
        <v>0</v>
      </c>
      <c r="AV315" s="9">
        <v>0</v>
      </c>
      <c r="AW315" s="9">
        <v>0</v>
      </c>
    </row>
    <row r="316" spans="1:49" ht="14.5" collapsed="1" x14ac:dyDescent="0.35">
      <c r="A316" s="6" t="s">
        <v>12</v>
      </c>
      <c r="B316" s="6" t="s">
        <v>14</v>
      </c>
      <c r="C316" s="6" t="s">
        <v>139</v>
      </c>
      <c r="D316" s="6" t="s">
        <v>76</v>
      </c>
      <c r="E316" s="6" t="s">
        <v>77</v>
      </c>
      <c r="F316" s="7">
        <f t="shared" ref="F316:AW316" si="48">SUM(F317,F318,F319,F320)</f>
        <v>0</v>
      </c>
      <c r="G316" s="7">
        <f t="shared" si="48"/>
        <v>230</v>
      </c>
      <c r="H316" s="7">
        <f t="shared" si="48"/>
        <v>230</v>
      </c>
      <c r="I316" s="7">
        <f t="shared" si="48"/>
        <v>0</v>
      </c>
      <c r="J316" s="7">
        <f t="shared" si="48"/>
        <v>0</v>
      </c>
      <c r="K316" s="7">
        <f t="shared" si="48"/>
        <v>0</v>
      </c>
      <c r="L316" s="7">
        <f t="shared" si="48"/>
        <v>0</v>
      </c>
      <c r="M316" s="7">
        <f t="shared" si="48"/>
        <v>0</v>
      </c>
      <c r="N316" s="7">
        <f t="shared" si="48"/>
        <v>0</v>
      </c>
      <c r="O316" s="7">
        <f t="shared" si="48"/>
        <v>0</v>
      </c>
      <c r="P316" s="7">
        <f t="shared" si="48"/>
        <v>0</v>
      </c>
      <c r="Q316" s="7">
        <f t="shared" si="48"/>
        <v>0</v>
      </c>
      <c r="R316" s="7">
        <f t="shared" si="48"/>
        <v>0</v>
      </c>
      <c r="S316" s="7">
        <f t="shared" si="48"/>
        <v>0</v>
      </c>
      <c r="T316" s="7">
        <f t="shared" si="48"/>
        <v>0</v>
      </c>
      <c r="U316" s="7">
        <f t="shared" si="48"/>
        <v>0</v>
      </c>
      <c r="V316" s="7">
        <f t="shared" si="48"/>
        <v>0</v>
      </c>
      <c r="W316" s="7">
        <f t="shared" si="48"/>
        <v>0</v>
      </c>
      <c r="X316" s="7">
        <f t="shared" si="48"/>
        <v>0</v>
      </c>
      <c r="Y316" s="7">
        <f t="shared" si="48"/>
        <v>0</v>
      </c>
      <c r="Z316" s="7">
        <f t="shared" si="48"/>
        <v>0</v>
      </c>
      <c r="AA316" s="7">
        <f t="shared" si="48"/>
        <v>0</v>
      </c>
      <c r="AB316" s="7">
        <f t="shared" si="48"/>
        <v>0</v>
      </c>
      <c r="AC316" s="7">
        <f t="shared" si="48"/>
        <v>25</v>
      </c>
      <c r="AD316" s="7">
        <f t="shared" si="48"/>
        <v>39</v>
      </c>
      <c r="AE316" s="7">
        <f t="shared" si="48"/>
        <v>44</v>
      </c>
      <c r="AF316" s="11">
        <f t="shared" si="48"/>
        <v>66</v>
      </c>
      <c r="AG316" s="7">
        <f t="shared" si="48"/>
        <v>47</v>
      </c>
      <c r="AH316" s="7">
        <f t="shared" si="48"/>
        <v>9</v>
      </c>
      <c r="AI316" s="7">
        <f t="shared" si="48"/>
        <v>0</v>
      </c>
      <c r="AJ316" s="7">
        <f t="shared" si="48"/>
        <v>0</v>
      </c>
      <c r="AK316" s="7">
        <f t="shared" si="48"/>
        <v>0</v>
      </c>
      <c r="AL316" s="7">
        <f t="shared" si="48"/>
        <v>0</v>
      </c>
      <c r="AM316" s="7">
        <f t="shared" si="48"/>
        <v>0</v>
      </c>
      <c r="AN316" s="7">
        <f t="shared" si="48"/>
        <v>0</v>
      </c>
      <c r="AO316" s="7">
        <f t="shared" si="48"/>
        <v>0</v>
      </c>
      <c r="AP316" s="7">
        <f t="shared" si="48"/>
        <v>0</v>
      </c>
      <c r="AQ316" s="7">
        <f t="shared" si="48"/>
        <v>0</v>
      </c>
      <c r="AR316" s="7">
        <f t="shared" si="48"/>
        <v>0</v>
      </c>
      <c r="AS316" s="7">
        <f t="shared" si="48"/>
        <v>0</v>
      </c>
      <c r="AT316" s="7">
        <f t="shared" si="48"/>
        <v>0</v>
      </c>
      <c r="AU316" s="7">
        <f t="shared" si="48"/>
        <v>0</v>
      </c>
      <c r="AV316" s="7">
        <f t="shared" si="48"/>
        <v>0</v>
      </c>
      <c r="AW316" s="7">
        <f t="shared" si="48"/>
        <v>0</v>
      </c>
    </row>
    <row r="317" spans="1:49" ht="14.5" hidden="1" outlineLevel="1" x14ac:dyDescent="0.35">
      <c r="A317" s="8" t="s">
        <v>12</v>
      </c>
      <c r="B317" s="8" t="s">
        <v>14</v>
      </c>
      <c r="C317" s="8" t="s">
        <v>139</v>
      </c>
      <c r="D317" s="8" t="s">
        <v>78</v>
      </c>
      <c r="E317" s="8" t="s">
        <v>95</v>
      </c>
      <c r="F317" s="9">
        <v>0</v>
      </c>
      <c r="G317" s="9">
        <v>122</v>
      </c>
      <c r="H317" s="9">
        <v>122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25</v>
      </c>
      <c r="AD317" s="9">
        <v>39</v>
      </c>
      <c r="AE317" s="9">
        <v>28</v>
      </c>
      <c r="AF317" s="9">
        <v>30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</row>
    <row r="318" spans="1:49" ht="14.5" hidden="1" outlineLevel="1" x14ac:dyDescent="0.35">
      <c r="A318" s="8" t="s">
        <v>12</v>
      </c>
      <c r="B318" s="8" t="s">
        <v>14</v>
      </c>
      <c r="C318" s="8" t="s">
        <v>139</v>
      </c>
      <c r="D318" s="8" t="s">
        <v>78</v>
      </c>
      <c r="E318" s="8" t="s">
        <v>99</v>
      </c>
      <c r="F318" s="9">
        <v>0</v>
      </c>
      <c r="G318" s="9">
        <v>63</v>
      </c>
      <c r="H318" s="9">
        <v>63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16</v>
      </c>
      <c r="AF318" s="9">
        <v>23</v>
      </c>
      <c r="AG318" s="9">
        <v>24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  <c r="AU318" s="9">
        <v>0</v>
      </c>
      <c r="AV318" s="9">
        <v>0</v>
      </c>
      <c r="AW318" s="9">
        <v>0</v>
      </c>
    </row>
    <row r="319" spans="1:49" ht="14.5" hidden="1" outlineLevel="1" x14ac:dyDescent="0.35">
      <c r="A319" s="8" t="s">
        <v>12</v>
      </c>
      <c r="B319" s="8" t="s">
        <v>14</v>
      </c>
      <c r="C319" s="8" t="s">
        <v>139</v>
      </c>
      <c r="D319" s="8" t="s">
        <v>78</v>
      </c>
      <c r="E319" s="8" t="s">
        <v>43</v>
      </c>
      <c r="F319" s="9">
        <v>0</v>
      </c>
      <c r="G319" s="9">
        <v>25</v>
      </c>
      <c r="H319" s="9">
        <v>25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18</v>
      </c>
      <c r="AH319" s="9">
        <v>7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0</v>
      </c>
      <c r="AV319" s="9">
        <v>0</v>
      </c>
      <c r="AW319" s="9">
        <v>0</v>
      </c>
    </row>
    <row r="320" spans="1:49" ht="14.5" hidden="1" outlineLevel="1" x14ac:dyDescent="0.35">
      <c r="A320" s="8" t="s">
        <v>12</v>
      </c>
      <c r="B320" s="8" t="s">
        <v>14</v>
      </c>
      <c r="C320" s="8" t="s">
        <v>139</v>
      </c>
      <c r="D320" s="8" t="s">
        <v>78</v>
      </c>
      <c r="E320" s="8" t="s">
        <v>100</v>
      </c>
      <c r="F320" s="9">
        <v>0</v>
      </c>
      <c r="G320" s="9">
        <v>20</v>
      </c>
      <c r="H320" s="9">
        <v>20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13</v>
      </c>
      <c r="AG320" s="9">
        <v>5</v>
      </c>
      <c r="AH320" s="9">
        <v>2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</row>
    <row r="321" ht="15" customHeight="1" collapsed="1" x14ac:dyDescent="0.35"/>
  </sheetData>
  <autoFilter ref="A1:AW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S327"/>
  <sheetViews>
    <sheetView showGridLines="0" tabSelected="1" zoomScale="50" zoomScaleNormal="100" workbookViewId="0">
      <pane xSplit="5" ySplit="1" topLeftCell="F48" activePane="bottomRight" state="frozen"/>
      <selection pane="topRight" activeCell="F1" sqref="F1"/>
      <selection pane="bottomLeft" activeCell="A2" sqref="A2"/>
      <selection pane="bottomRight"/>
    </sheetView>
  </sheetViews>
  <sheetFormatPr defaultColWidth="8.6328125" defaultRowHeight="15" customHeight="1" outlineLevelRow="1" x14ac:dyDescent="0.35"/>
  <cols>
    <col min="1" max="1" width="12" customWidth="1"/>
    <col min="2" max="2" width="16" customWidth="1"/>
    <col min="3" max="3" width="34" customWidth="1"/>
    <col min="4" max="4" width="18" customWidth="1"/>
    <col min="5" max="5" width="46" customWidth="1"/>
    <col min="6" max="6" width="18" customWidth="1"/>
    <col min="7" max="7" width="16" customWidth="1"/>
    <col min="8" max="8" width="20" customWidth="1"/>
    <col min="9" max="9" width="14" customWidth="1"/>
    <col min="10" max="45" width="13" customWidth="1"/>
  </cols>
  <sheetData>
    <row r="1" spans="1:45" ht="31.5" customHeight="1" x14ac:dyDescent="0.35">
      <c r="A1" s="4" t="s">
        <v>68</v>
      </c>
      <c r="B1" s="4" t="s">
        <v>3</v>
      </c>
      <c r="C1" s="4" t="s">
        <v>2</v>
      </c>
      <c r="D1" s="4" t="s">
        <v>69</v>
      </c>
      <c r="E1" s="4" t="s">
        <v>70</v>
      </c>
      <c r="F1" s="5">
        <v>46265</v>
      </c>
      <c r="G1" s="5">
        <v>46272</v>
      </c>
      <c r="H1" s="5">
        <v>46279</v>
      </c>
      <c r="I1" s="5">
        <v>46286</v>
      </c>
      <c r="J1" s="5">
        <v>46293</v>
      </c>
      <c r="K1" s="5">
        <v>46300</v>
      </c>
      <c r="L1" s="5">
        <v>46307</v>
      </c>
      <c r="M1" s="5">
        <v>46314</v>
      </c>
      <c r="N1" s="5">
        <v>46321</v>
      </c>
      <c r="O1" s="5">
        <v>46328</v>
      </c>
      <c r="P1" s="5">
        <v>46335</v>
      </c>
      <c r="Q1" s="5">
        <v>46342</v>
      </c>
      <c r="R1" s="5">
        <v>46349</v>
      </c>
      <c r="S1" s="5">
        <v>46356</v>
      </c>
      <c r="T1" s="5">
        <v>46363</v>
      </c>
      <c r="U1" s="5">
        <v>46370</v>
      </c>
      <c r="V1" s="5">
        <v>46377</v>
      </c>
      <c r="W1" s="5">
        <v>46384</v>
      </c>
      <c r="X1" s="5">
        <v>46391</v>
      </c>
      <c r="Y1" s="5">
        <v>46398</v>
      </c>
      <c r="Z1" s="5">
        <v>46405</v>
      </c>
      <c r="AA1" s="5">
        <v>46412</v>
      </c>
      <c r="AB1" s="5">
        <v>46419</v>
      </c>
      <c r="AC1" s="5">
        <v>46426</v>
      </c>
      <c r="AD1" s="5">
        <v>46433</v>
      </c>
      <c r="AE1" s="5">
        <v>46440</v>
      </c>
      <c r="AF1" s="5">
        <v>46447</v>
      </c>
      <c r="AG1" s="5">
        <v>46454</v>
      </c>
      <c r="AH1" s="5">
        <v>46461</v>
      </c>
      <c r="AI1" s="5">
        <v>46468</v>
      </c>
      <c r="AJ1" s="5">
        <v>46475</v>
      </c>
      <c r="AK1" s="5">
        <v>46482</v>
      </c>
      <c r="AL1" s="5">
        <v>46489</v>
      </c>
      <c r="AM1" s="5">
        <v>46496</v>
      </c>
      <c r="AN1" s="5">
        <v>46503</v>
      </c>
      <c r="AO1" s="5">
        <v>46510</v>
      </c>
      <c r="AP1" s="5">
        <v>46517</v>
      </c>
      <c r="AQ1" s="5">
        <v>46524</v>
      </c>
      <c r="AR1" s="5">
        <v>46531</v>
      </c>
      <c r="AS1" s="5">
        <v>46538</v>
      </c>
    </row>
    <row r="2" spans="1:45" ht="15" customHeight="1" collapsed="1" x14ac:dyDescent="0.35">
      <c r="A2" s="3" t="s">
        <v>29</v>
      </c>
      <c r="B2" s="3" t="s">
        <v>16</v>
      </c>
      <c r="C2" s="3" t="s">
        <v>140</v>
      </c>
      <c r="D2" s="3" t="s">
        <v>76</v>
      </c>
      <c r="E2" s="3" t="s">
        <v>77</v>
      </c>
      <c r="F2" s="7">
        <f t="shared" ref="F2:AS2" si="0">SUM(F3)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  <c r="M2" s="7">
        <f t="shared" si="0"/>
        <v>0</v>
      </c>
      <c r="N2" s="7">
        <f t="shared" si="0"/>
        <v>0</v>
      </c>
      <c r="O2" s="7">
        <f t="shared" si="0"/>
        <v>0</v>
      </c>
      <c r="P2" s="7">
        <f t="shared" si="0"/>
        <v>0</v>
      </c>
      <c r="Q2" s="7">
        <f t="shared" si="0"/>
        <v>0</v>
      </c>
      <c r="R2" s="7">
        <f t="shared" si="0"/>
        <v>0</v>
      </c>
      <c r="S2" s="7">
        <f t="shared" si="0"/>
        <v>0</v>
      </c>
      <c r="T2" s="7">
        <f t="shared" si="0"/>
        <v>0</v>
      </c>
      <c r="U2" s="7">
        <f t="shared" si="0"/>
        <v>0</v>
      </c>
      <c r="V2" s="7">
        <f t="shared" si="0"/>
        <v>0</v>
      </c>
      <c r="W2" s="7">
        <f t="shared" si="0"/>
        <v>0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0</v>
      </c>
      <c r="AB2" s="7">
        <f t="shared" si="0"/>
        <v>0</v>
      </c>
      <c r="AC2" s="7">
        <f t="shared" si="0"/>
        <v>0</v>
      </c>
      <c r="AD2" s="7">
        <f t="shared" si="0"/>
        <v>10.107018</v>
      </c>
      <c r="AE2" s="7">
        <f t="shared" si="0"/>
        <v>0</v>
      </c>
      <c r="AF2" s="7">
        <f t="shared" si="0"/>
        <v>0</v>
      </c>
      <c r="AG2" s="7">
        <f t="shared" si="0"/>
        <v>0</v>
      </c>
      <c r="AH2" s="7">
        <f t="shared" si="0"/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7">
        <f t="shared" si="0"/>
        <v>0</v>
      </c>
      <c r="AN2" s="7">
        <f t="shared" si="0"/>
        <v>0</v>
      </c>
      <c r="AO2" s="7">
        <f t="shared" si="0"/>
        <v>0</v>
      </c>
      <c r="AP2" s="7">
        <f t="shared" si="0"/>
        <v>0</v>
      </c>
      <c r="AQ2" s="7">
        <f t="shared" si="0"/>
        <v>0</v>
      </c>
      <c r="AR2" s="7">
        <f t="shared" si="0"/>
        <v>0</v>
      </c>
      <c r="AS2" s="7">
        <f t="shared" si="0"/>
        <v>0</v>
      </c>
    </row>
    <row r="3" spans="1:45" ht="15" hidden="1" customHeight="1" outlineLevel="1" x14ac:dyDescent="0.35">
      <c r="A3" t="s">
        <v>29</v>
      </c>
      <c r="B3" t="s">
        <v>16</v>
      </c>
      <c r="C3" t="s">
        <v>140</v>
      </c>
      <c r="D3" t="s">
        <v>141</v>
      </c>
      <c r="E3" t="s">
        <v>92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10.107018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</row>
    <row r="4" spans="1:45" ht="15" customHeight="1" collapsed="1" x14ac:dyDescent="0.35">
      <c r="A4" s="3" t="s">
        <v>12</v>
      </c>
      <c r="B4" s="3" t="s">
        <v>16</v>
      </c>
      <c r="C4" s="3" t="s">
        <v>142</v>
      </c>
      <c r="D4" s="3" t="s">
        <v>76</v>
      </c>
      <c r="E4" s="3" t="s">
        <v>77</v>
      </c>
      <c r="F4" s="7">
        <f t="shared" ref="F4:AS4" si="1">SUM(F5,F6,F7,F8,F9,F10,F11,F12)</f>
        <v>0</v>
      </c>
      <c r="G4" s="7">
        <f t="shared" si="1"/>
        <v>0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7">
        <f t="shared" si="1"/>
        <v>0</v>
      </c>
      <c r="O4" s="7">
        <f t="shared" si="1"/>
        <v>0</v>
      </c>
      <c r="P4" s="7">
        <f t="shared" si="1"/>
        <v>0</v>
      </c>
      <c r="Q4" s="7">
        <f t="shared" si="1"/>
        <v>0</v>
      </c>
      <c r="R4" s="7">
        <f t="shared" si="1"/>
        <v>0</v>
      </c>
      <c r="S4" s="7">
        <f t="shared" si="1"/>
        <v>0</v>
      </c>
      <c r="T4" s="7">
        <f t="shared" si="1"/>
        <v>0</v>
      </c>
      <c r="U4" s="7">
        <f t="shared" si="1"/>
        <v>0</v>
      </c>
      <c r="V4" s="7">
        <f t="shared" si="1"/>
        <v>0</v>
      </c>
      <c r="W4" s="7">
        <f t="shared" si="1"/>
        <v>0</v>
      </c>
      <c r="X4" s="7">
        <f t="shared" si="1"/>
        <v>0</v>
      </c>
      <c r="Y4" s="7">
        <f t="shared" si="1"/>
        <v>0</v>
      </c>
      <c r="Z4" s="7">
        <f t="shared" si="1"/>
        <v>0</v>
      </c>
      <c r="AA4" s="7">
        <f t="shared" si="1"/>
        <v>0</v>
      </c>
      <c r="AB4" s="7">
        <f t="shared" si="1"/>
        <v>0</v>
      </c>
      <c r="AC4" s="7">
        <f t="shared" si="1"/>
        <v>23.414036000000003</v>
      </c>
      <c r="AD4" s="7">
        <f t="shared" si="1"/>
        <v>21.807017999999999</v>
      </c>
      <c r="AE4" s="7">
        <f t="shared" si="1"/>
        <v>0</v>
      </c>
      <c r="AF4" s="7">
        <f t="shared" si="1"/>
        <v>0</v>
      </c>
      <c r="AG4" s="7">
        <f t="shared" si="1"/>
        <v>0</v>
      </c>
      <c r="AH4" s="7">
        <f t="shared" si="1"/>
        <v>0</v>
      </c>
      <c r="AI4" s="7">
        <f t="shared" si="1"/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7">
        <f t="shared" si="1"/>
        <v>0</v>
      </c>
      <c r="AP4" s="7">
        <f t="shared" si="1"/>
        <v>0</v>
      </c>
      <c r="AQ4" s="7">
        <f t="shared" si="1"/>
        <v>0</v>
      </c>
      <c r="AR4" s="7">
        <f t="shared" si="1"/>
        <v>0</v>
      </c>
      <c r="AS4" s="7">
        <f t="shared" si="1"/>
        <v>0</v>
      </c>
    </row>
    <row r="5" spans="1:45" ht="15" hidden="1" customHeight="1" outlineLevel="1" x14ac:dyDescent="0.35">
      <c r="A5" t="s">
        <v>12</v>
      </c>
      <c r="B5" t="s">
        <v>16</v>
      </c>
      <c r="C5" t="s">
        <v>142</v>
      </c>
      <c r="D5" t="s">
        <v>141</v>
      </c>
      <c r="E5" t="s">
        <v>79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2.8070179999999998</v>
      </c>
      <c r="AD5" s="9">
        <v>2.8070179999999998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</row>
    <row r="6" spans="1:45" ht="15" hidden="1" customHeight="1" outlineLevel="1" x14ac:dyDescent="0.35">
      <c r="A6" t="s">
        <v>12</v>
      </c>
      <c r="B6" t="s">
        <v>16</v>
      </c>
      <c r="C6" t="s">
        <v>142</v>
      </c>
      <c r="D6" t="s">
        <v>141</v>
      </c>
      <c r="E6" t="s">
        <v>81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1.5</v>
      </c>
      <c r="AD6" s="9">
        <v>2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</row>
    <row r="7" spans="1:45" ht="15" hidden="1" customHeight="1" outlineLevel="1" x14ac:dyDescent="0.35">
      <c r="A7" t="s">
        <v>12</v>
      </c>
      <c r="B7" t="s">
        <v>16</v>
      </c>
      <c r="C7" t="s">
        <v>142</v>
      </c>
      <c r="D7" t="s">
        <v>141</v>
      </c>
      <c r="E7" t="s">
        <v>94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0.107018000000005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</row>
    <row r="8" spans="1:45" ht="15" hidden="1" customHeight="1" outlineLevel="1" x14ac:dyDescent="0.35">
      <c r="A8" t="s">
        <v>12</v>
      </c>
      <c r="B8" t="s">
        <v>16</v>
      </c>
      <c r="C8" t="s">
        <v>142</v>
      </c>
      <c r="D8" t="s">
        <v>141</v>
      </c>
      <c r="E8" t="s">
        <v>102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5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</row>
    <row r="9" spans="1:45" ht="15" hidden="1" customHeight="1" outlineLevel="1" x14ac:dyDescent="0.35">
      <c r="A9" t="s">
        <v>12</v>
      </c>
      <c r="B9" t="s">
        <v>16</v>
      </c>
      <c r="C9" t="s">
        <v>142</v>
      </c>
      <c r="D9" t="s">
        <v>141</v>
      </c>
      <c r="E9" t="s">
        <v>40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5</v>
      </c>
      <c r="AD9" s="9">
        <v>6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</row>
    <row r="10" spans="1:45" ht="15" hidden="1" customHeight="1" outlineLevel="1" x14ac:dyDescent="0.35">
      <c r="A10" t="s">
        <v>12</v>
      </c>
      <c r="B10" t="s">
        <v>16</v>
      </c>
      <c r="C10" t="s">
        <v>142</v>
      </c>
      <c r="D10" t="s">
        <v>141</v>
      </c>
      <c r="E10" t="s">
        <v>85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8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</row>
    <row r="11" spans="1:45" ht="15" hidden="1" customHeight="1" outlineLevel="1" x14ac:dyDescent="0.35">
      <c r="A11" t="s">
        <v>12</v>
      </c>
      <c r="B11" t="s">
        <v>16</v>
      </c>
      <c r="C11" t="s">
        <v>142</v>
      </c>
      <c r="D11" t="s">
        <v>141</v>
      </c>
      <c r="E11" t="s">
        <v>98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2</v>
      </c>
      <c r="AD11" s="9">
        <v>2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</row>
    <row r="12" spans="1:45" ht="15" hidden="1" customHeight="1" outlineLevel="1" x14ac:dyDescent="0.35">
      <c r="A12" t="s">
        <v>12</v>
      </c>
      <c r="B12" t="s">
        <v>16</v>
      </c>
      <c r="C12" t="s">
        <v>142</v>
      </c>
      <c r="D12" t="s">
        <v>141</v>
      </c>
      <c r="E12" t="s">
        <v>105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4</v>
      </c>
      <c r="AD12" s="9">
        <v>4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</row>
    <row r="13" spans="1:45" ht="15" customHeight="1" collapsed="1" x14ac:dyDescent="0.35">
      <c r="A13" s="3" t="s">
        <v>12</v>
      </c>
      <c r="B13" s="3" t="s">
        <v>16</v>
      </c>
      <c r="C13" s="3" t="s">
        <v>75</v>
      </c>
      <c r="D13" s="3" t="s">
        <v>76</v>
      </c>
      <c r="E13" s="3" t="s">
        <v>77</v>
      </c>
      <c r="F13" s="7">
        <f t="shared" ref="F13:AS13" si="2">SUM(F14,F15,F16,F17,F18,F19,F20,F21,F22)</f>
        <v>22.429825000000001</v>
      </c>
      <c r="G13" s="7">
        <f t="shared" si="2"/>
        <v>20.929825000000001</v>
      </c>
      <c r="H13" s="7">
        <f t="shared" si="2"/>
        <v>21.929825000000001</v>
      </c>
      <c r="I13" s="7">
        <f t="shared" si="2"/>
        <v>9.929825000000001</v>
      </c>
      <c r="J13" s="7">
        <f t="shared" si="2"/>
        <v>9.929825000000001</v>
      </c>
      <c r="K13" s="7">
        <f t="shared" si="2"/>
        <v>9.929825000000001</v>
      </c>
      <c r="L13" s="7">
        <f t="shared" si="2"/>
        <v>9.929825000000001</v>
      </c>
      <c r="M13" s="7">
        <f t="shared" si="2"/>
        <v>36.684211000000005</v>
      </c>
      <c r="N13" s="7">
        <f t="shared" si="2"/>
        <v>40</v>
      </c>
      <c r="O13" s="7">
        <f t="shared" si="2"/>
        <v>12.583334000000001</v>
      </c>
      <c r="P13" s="7">
        <f t="shared" si="2"/>
        <v>9.929825000000001</v>
      </c>
      <c r="Q13" s="7">
        <f t="shared" si="2"/>
        <v>16.429825000000001</v>
      </c>
      <c r="R13" s="7">
        <f t="shared" si="2"/>
        <v>19.929825000000001</v>
      </c>
      <c r="S13" s="7">
        <f t="shared" si="2"/>
        <v>25.929825000000001</v>
      </c>
      <c r="T13" s="7">
        <f t="shared" si="2"/>
        <v>15.929825000000001</v>
      </c>
      <c r="U13" s="7">
        <f t="shared" si="2"/>
        <v>13.833334000000001</v>
      </c>
      <c r="V13" s="7">
        <f t="shared" si="2"/>
        <v>4.9298250000000001</v>
      </c>
      <c r="W13" s="7">
        <f t="shared" si="2"/>
        <v>1.9298249999999999</v>
      </c>
      <c r="X13" s="7">
        <f t="shared" si="2"/>
        <v>10.903509</v>
      </c>
      <c r="Y13" s="7">
        <f t="shared" si="2"/>
        <v>22.003509000000001</v>
      </c>
      <c r="Z13" s="7">
        <f t="shared" si="2"/>
        <v>31.903509</v>
      </c>
      <c r="AA13" s="7">
        <f t="shared" si="2"/>
        <v>31.307017999999999</v>
      </c>
      <c r="AB13" s="7">
        <f t="shared" si="2"/>
        <v>38.907018000000001</v>
      </c>
      <c r="AC13" s="7">
        <f t="shared" si="2"/>
        <v>55</v>
      </c>
      <c r="AD13" s="7">
        <f t="shared" si="2"/>
        <v>55</v>
      </c>
      <c r="AE13" s="7">
        <f t="shared" si="2"/>
        <v>28.903509</v>
      </c>
      <c r="AF13" s="7">
        <f t="shared" si="2"/>
        <v>5.4035089999999997</v>
      </c>
      <c r="AG13" s="7">
        <f t="shared" si="2"/>
        <v>5.4035089999999997</v>
      </c>
      <c r="AH13" s="7">
        <f t="shared" si="2"/>
        <v>10.403509</v>
      </c>
      <c r="AI13" s="7">
        <f t="shared" si="2"/>
        <v>1.4035089999999999</v>
      </c>
      <c r="AJ13" s="7">
        <f t="shared" si="2"/>
        <v>1.4035089999999999</v>
      </c>
      <c r="AK13" s="7">
        <f t="shared" si="2"/>
        <v>1.4035089999999999</v>
      </c>
      <c r="AL13" s="7">
        <f t="shared" si="2"/>
        <v>1.4035089999999999</v>
      </c>
      <c r="AM13" s="7">
        <f t="shared" si="2"/>
        <v>1.4035089999999999</v>
      </c>
      <c r="AN13" s="7">
        <f t="shared" si="2"/>
        <v>1.4035089999999999</v>
      </c>
      <c r="AO13" s="7">
        <f t="shared" si="2"/>
        <v>1.4035089999999999</v>
      </c>
      <c r="AP13" s="7">
        <f t="shared" si="2"/>
        <v>1.4035089999999999</v>
      </c>
      <c r="AQ13" s="7">
        <f t="shared" si="2"/>
        <v>0</v>
      </c>
      <c r="AR13" s="7">
        <f t="shared" si="2"/>
        <v>0</v>
      </c>
      <c r="AS13" s="7">
        <f t="shared" si="2"/>
        <v>0</v>
      </c>
    </row>
    <row r="14" spans="1:45" ht="15" hidden="1" customHeight="1" outlineLevel="1" x14ac:dyDescent="0.35">
      <c r="A14" t="s">
        <v>12</v>
      </c>
      <c r="B14" t="s">
        <v>16</v>
      </c>
      <c r="C14" t="s">
        <v>75</v>
      </c>
      <c r="D14" t="s">
        <v>141</v>
      </c>
      <c r="E14" t="s">
        <v>79</v>
      </c>
      <c r="F14" s="9">
        <v>2.4035090000000001</v>
      </c>
      <c r="G14" s="9">
        <v>1.4035089999999999</v>
      </c>
      <c r="H14" s="9">
        <v>1.4035089999999999</v>
      </c>
      <c r="I14" s="9">
        <v>1.4035089999999999</v>
      </c>
      <c r="J14" s="9">
        <v>1.4035089999999999</v>
      </c>
      <c r="K14" s="9">
        <v>1.4035089999999999</v>
      </c>
      <c r="L14" s="9">
        <v>1.4035089999999999</v>
      </c>
      <c r="M14" s="9">
        <v>1.4035089999999999</v>
      </c>
      <c r="N14" s="9">
        <v>1.4035089999999999</v>
      </c>
      <c r="O14" s="9">
        <v>2.8070179999999998</v>
      </c>
      <c r="P14" s="9">
        <v>1.4035089999999999</v>
      </c>
      <c r="Q14" s="9">
        <v>1.4035089999999999</v>
      </c>
      <c r="R14" s="9">
        <v>1.4035089999999999</v>
      </c>
      <c r="S14" s="9">
        <v>1.4035089999999999</v>
      </c>
      <c r="T14" s="9">
        <v>1.4035089999999999</v>
      </c>
      <c r="U14" s="9">
        <v>2.8070179999999998</v>
      </c>
      <c r="V14" s="9">
        <v>1.4035089999999999</v>
      </c>
      <c r="W14" s="9">
        <v>1.4035089999999999</v>
      </c>
      <c r="X14" s="9">
        <v>1.4035089999999999</v>
      </c>
      <c r="Y14" s="9">
        <v>1.4035089999999999</v>
      </c>
      <c r="Z14" s="9">
        <v>1.4035089999999999</v>
      </c>
      <c r="AA14" s="9">
        <v>1.4035089999999999</v>
      </c>
      <c r="AB14" s="9">
        <v>2.8070179999999998</v>
      </c>
      <c r="AC14" s="9">
        <v>2.8070179999999998</v>
      </c>
      <c r="AD14" s="9">
        <v>2.8070179999999998</v>
      </c>
      <c r="AE14" s="9">
        <v>1.4035089999999999</v>
      </c>
      <c r="AF14" s="9">
        <v>1.4035089999999999</v>
      </c>
      <c r="AG14" s="9">
        <v>1.4035089999999999</v>
      </c>
      <c r="AH14" s="9">
        <v>1.4035089999999999</v>
      </c>
      <c r="AI14" s="9">
        <v>1.4035089999999999</v>
      </c>
      <c r="AJ14" s="9">
        <v>1.4035089999999999</v>
      </c>
      <c r="AK14" s="9">
        <v>1.4035089999999999</v>
      </c>
      <c r="AL14" s="9">
        <v>1.4035089999999999</v>
      </c>
      <c r="AM14" s="9">
        <v>1.4035089999999999</v>
      </c>
      <c r="AN14" s="9">
        <v>1.4035089999999999</v>
      </c>
      <c r="AO14" s="9">
        <v>1.4035089999999999</v>
      </c>
      <c r="AP14" s="9">
        <v>1.4035089999999999</v>
      </c>
      <c r="AQ14" s="9">
        <v>0</v>
      </c>
      <c r="AR14" s="9">
        <v>0</v>
      </c>
      <c r="AS14" s="9">
        <v>0</v>
      </c>
    </row>
    <row r="15" spans="1:45" ht="15" hidden="1" customHeight="1" outlineLevel="1" x14ac:dyDescent="0.35">
      <c r="A15" t="s">
        <v>12</v>
      </c>
      <c r="B15" t="s">
        <v>16</v>
      </c>
      <c r="C15" t="s">
        <v>75</v>
      </c>
      <c r="D15" t="s">
        <v>141</v>
      </c>
      <c r="E15" t="s">
        <v>80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0.100000000000003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5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</row>
    <row r="16" spans="1:45" ht="15" hidden="1" customHeight="1" outlineLevel="1" x14ac:dyDescent="0.35">
      <c r="A16" t="s">
        <v>12</v>
      </c>
      <c r="B16" t="s">
        <v>16</v>
      </c>
      <c r="C16" t="s">
        <v>75</v>
      </c>
      <c r="D16" t="s">
        <v>141</v>
      </c>
      <c r="E16" t="s">
        <v>81</v>
      </c>
      <c r="F16" s="9">
        <v>0.52631600000000001</v>
      </c>
      <c r="G16" s="9">
        <v>0.52631600000000001</v>
      </c>
      <c r="H16" s="9">
        <v>0.52631600000000001</v>
      </c>
      <c r="I16" s="9">
        <v>0.52631600000000001</v>
      </c>
      <c r="J16" s="9">
        <v>0.52631600000000001</v>
      </c>
      <c r="K16" s="9">
        <v>0.52631600000000001</v>
      </c>
      <c r="L16" s="9">
        <v>0.52631600000000001</v>
      </c>
      <c r="M16" s="9">
        <v>0.52631600000000001</v>
      </c>
      <c r="N16" s="9">
        <v>0.52631600000000001</v>
      </c>
      <c r="O16" s="9">
        <v>0.77631600000000001</v>
      </c>
      <c r="P16" s="9">
        <v>0.52631600000000001</v>
      </c>
      <c r="Q16" s="9">
        <v>0.52631600000000001</v>
      </c>
      <c r="R16" s="9">
        <v>0.52631600000000001</v>
      </c>
      <c r="S16" s="9">
        <v>0.52631600000000001</v>
      </c>
      <c r="T16" s="9">
        <v>0.52631600000000001</v>
      </c>
      <c r="U16" s="9">
        <v>0.52631600000000001</v>
      </c>
      <c r="V16" s="9">
        <v>0.52631600000000001</v>
      </c>
      <c r="W16" s="9">
        <v>0.52631600000000001</v>
      </c>
      <c r="X16" s="9">
        <v>1</v>
      </c>
      <c r="Y16" s="9">
        <v>1</v>
      </c>
      <c r="Z16" s="9">
        <v>1</v>
      </c>
      <c r="AA16" s="9">
        <v>1</v>
      </c>
      <c r="AB16" s="9">
        <v>2.1</v>
      </c>
      <c r="AC16" s="9">
        <v>1.5</v>
      </c>
      <c r="AD16" s="9">
        <v>5.3929819999999999</v>
      </c>
      <c r="AE16" s="9">
        <v>1.5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</row>
    <row r="17" spans="1:45" ht="15" hidden="1" customHeight="1" outlineLevel="1" x14ac:dyDescent="0.35">
      <c r="A17" t="s">
        <v>12</v>
      </c>
      <c r="B17" t="s">
        <v>16</v>
      </c>
      <c r="C17" t="s">
        <v>75</v>
      </c>
      <c r="D17" t="s">
        <v>141</v>
      </c>
      <c r="E17" t="s">
        <v>84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5</v>
      </c>
      <c r="N17" s="9">
        <v>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</row>
    <row r="18" spans="1:45" ht="15" hidden="1" customHeight="1" outlineLevel="1" x14ac:dyDescent="0.35">
      <c r="A18" t="s">
        <v>12</v>
      </c>
      <c r="B18" t="s">
        <v>16</v>
      </c>
      <c r="C18" t="s">
        <v>75</v>
      </c>
      <c r="D18" t="s">
        <v>141</v>
      </c>
      <c r="E18" t="s">
        <v>40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2.5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7.9</v>
      </c>
      <c r="AD18" s="9">
        <v>14.8</v>
      </c>
      <c r="AE18" s="9">
        <v>5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</row>
    <row r="19" spans="1:45" ht="15" hidden="1" customHeight="1" outlineLevel="1" x14ac:dyDescent="0.35">
      <c r="A19" t="s">
        <v>12</v>
      </c>
      <c r="B19" t="s">
        <v>16</v>
      </c>
      <c r="C19" t="s">
        <v>75</v>
      </c>
      <c r="D19" t="s">
        <v>141</v>
      </c>
      <c r="E19" t="s">
        <v>85</v>
      </c>
      <c r="F19" s="9">
        <v>11</v>
      </c>
      <c r="G19" s="9">
        <v>14</v>
      </c>
      <c r="H19" s="9">
        <v>14</v>
      </c>
      <c r="I19" s="9">
        <v>3</v>
      </c>
      <c r="J19" s="9">
        <v>3</v>
      </c>
      <c r="K19" s="9">
        <v>3</v>
      </c>
      <c r="L19" s="9">
        <v>3</v>
      </c>
      <c r="M19" s="9">
        <v>4</v>
      </c>
      <c r="N19" s="9">
        <v>4</v>
      </c>
      <c r="O19" s="9">
        <v>4</v>
      </c>
      <c r="P19" s="9">
        <v>3</v>
      </c>
      <c r="Q19" s="9">
        <v>5.5</v>
      </c>
      <c r="R19" s="9">
        <v>13</v>
      </c>
      <c r="S19" s="9">
        <v>19</v>
      </c>
      <c r="T19" s="9">
        <v>3</v>
      </c>
      <c r="U19" s="9">
        <v>3</v>
      </c>
      <c r="V19" s="9">
        <v>3</v>
      </c>
      <c r="W19" s="9">
        <v>0</v>
      </c>
      <c r="X19" s="9">
        <v>4.5</v>
      </c>
      <c r="Y19" s="9">
        <v>7.5</v>
      </c>
      <c r="Z19" s="9">
        <v>3.5</v>
      </c>
      <c r="AA19" s="9">
        <v>3.9035090000000001</v>
      </c>
      <c r="AB19" s="9">
        <v>7</v>
      </c>
      <c r="AC19" s="9">
        <v>12</v>
      </c>
      <c r="AD19" s="9">
        <v>11</v>
      </c>
      <c r="AE19" s="9">
        <v>11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</row>
    <row r="20" spans="1:45" ht="15" hidden="1" customHeight="1" outlineLevel="1" x14ac:dyDescent="0.35">
      <c r="A20" t="s">
        <v>12</v>
      </c>
      <c r="B20" t="s">
        <v>16</v>
      </c>
      <c r="C20" t="s">
        <v>75</v>
      </c>
      <c r="D20" t="s">
        <v>141</v>
      </c>
      <c r="E20" t="s">
        <v>46</v>
      </c>
      <c r="F20" s="9">
        <v>7.5</v>
      </c>
      <c r="G20" s="9">
        <v>4</v>
      </c>
      <c r="H20" s="9">
        <v>5</v>
      </c>
      <c r="I20" s="9">
        <v>4</v>
      </c>
      <c r="J20" s="9">
        <v>4</v>
      </c>
      <c r="K20" s="9">
        <v>4</v>
      </c>
      <c r="L20" s="9">
        <v>4</v>
      </c>
      <c r="M20" s="9">
        <v>4</v>
      </c>
      <c r="N20" s="9">
        <v>4</v>
      </c>
      <c r="O20" s="9">
        <v>4</v>
      </c>
      <c r="P20" s="9">
        <v>4</v>
      </c>
      <c r="Q20" s="9">
        <v>8</v>
      </c>
      <c r="R20" s="9">
        <v>4</v>
      </c>
      <c r="S20" s="9">
        <v>4</v>
      </c>
      <c r="T20" s="9">
        <v>10</v>
      </c>
      <c r="U20" s="9">
        <v>4</v>
      </c>
      <c r="V20" s="9">
        <v>0</v>
      </c>
      <c r="W20" s="9">
        <v>0</v>
      </c>
      <c r="X20" s="9">
        <v>4</v>
      </c>
      <c r="Y20" s="9">
        <v>11</v>
      </c>
      <c r="Z20" s="9">
        <v>21</v>
      </c>
      <c r="AA20" s="9">
        <v>20</v>
      </c>
      <c r="AB20" s="9">
        <v>21</v>
      </c>
      <c r="AC20" s="9">
        <v>22</v>
      </c>
      <c r="AD20" s="9">
        <v>15</v>
      </c>
      <c r="AE20" s="9">
        <v>9</v>
      </c>
      <c r="AF20" s="9">
        <v>4</v>
      </c>
      <c r="AG20" s="9">
        <v>4</v>
      </c>
      <c r="AH20" s="9">
        <v>4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</row>
    <row r="21" spans="1:45" ht="15" hidden="1" customHeight="1" outlineLevel="1" x14ac:dyDescent="0.35">
      <c r="A21" t="s">
        <v>12</v>
      </c>
      <c r="B21" t="s">
        <v>16</v>
      </c>
      <c r="C21" t="s">
        <v>75</v>
      </c>
      <c r="D21" t="s">
        <v>141</v>
      </c>
      <c r="E21" t="s">
        <v>43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0</v>
      </c>
      <c r="N21" s="9">
        <v>0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0</v>
      </c>
      <c r="W21" s="9">
        <v>0</v>
      </c>
      <c r="X21" s="9">
        <v>0</v>
      </c>
      <c r="Y21" s="9">
        <v>1</v>
      </c>
      <c r="Z21" s="9">
        <v>5</v>
      </c>
      <c r="AA21" s="9">
        <v>5</v>
      </c>
      <c r="AB21" s="9">
        <v>6</v>
      </c>
      <c r="AC21" s="9">
        <v>8.7929820000000003</v>
      </c>
      <c r="AD21" s="9">
        <v>6</v>
      </c>
      <c r="AE21" s="9">
        <v>1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</row>
    <row r="22" spans="1:45" ht="15" hidden="1" customHeight="1" outlineLevel="1" x14ac:dyDescent="0.35">
      <c r="A22" t="s">
        <v>12</v>
      </c>
      <c r="B22" t="s">
        <v>16</v>
      </c>
      <c r="C22" t="s">
        <v>75</v>
      </c>
      <c r="D22" t="s">
        <v>141</v>
      </c>
      <c r="E22" t="s">
        <v>88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21.754386</v>
      </c>
      <c r="N22" s="9">
        <v>25.070174999999999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</row>
    <row r="23" spans="1:45" ht="15" customHeight="1" collapsed="1" x14ac:dyDescent="0.35">
      <c r="A23" s="3" t="s">
        <v>89</v>
      </c>
      <c r="B23" s="3" t="s">
        <v>16</v>
      </c>
      <c r="C23" s="3" t="s">
        <v>90</v>
      </c>
      <c r="D23" s="3" t="s">
        <v>76</v>
      </c>
      <c r="E23" s="3" t="s">
        <v>77</v>
      </c>
      <c r="F23" s="7">
        <f t="shared" ref="F23:AS23" si="3">SUM(F24,F25,F26,F27,F28,F29,F30,F31,F32)</f>
        <v>10</v>
      </c>
      <c r="G23" s="7">
        <f t="shared" si="3"/>
        <v>10</v>
      </c>
      <c r="H23" s="7">
        <f t="shared" si="3"/>
        <v>10</v>
      </c>
      <c r="I23" s="7">
        <f t="shared" si="3"/>
        <v>10</v>
      </c>
      <c r="J23" s="7">
        <f t="shared" si="3"/>
        <v>10</v>
      </c>
      <c r="K23" s="7">
        <f t="shared" si="3"/>
        <v>10.5</v>
      </c>
      <c r="L23" s="7">
        <f t="shared" si="3"/>
        <v>20.5</v>
      </c>
      <c r="M23" s="7">
        <f t="shared" si="3"/>
        <v>31.5</v>
      </c>
      <c r="N23" s="7">
        <f t="shared" si="3"/>
        <v>32.5</v>
      </c>
      <c r="O23" s="7">
        <f t="shared" si="3"/>
        <v>10.5</v>
      </c>
      <c r="P23" s="7">
        <f t="shared" si="3"/>
        <v>10.5</v>
      </c>
      <c r="Q23" s="7">
        <f t="shared" si="3"/>
        <v>10.5</v>
      </c>
      <c r="R23" s="7">
        <f t="shared" si="3"/>
        <v>10.5</v>
      </c>
      <c r="S23" s="7">
        <f t="shared" si="3"/>
        <v>0.5</v>
      </c>
      <c r="T23" s="7">
        <f t="shared" si="3"/>
        <v>0.5</v>
      </c>
      <c r="U23" s="7">
        <f t="shared" si="3"/>
        <v>3.5</v>
      </c>
      <c r="V23" s="7">
        <f t="shared" si="3"/>
        <v>0.5</v>
      </c>
      <c r="W23" s="7">
        <f t="shared" si="3"/>
        <v>0</v>
      </c>
      <c r="X23" s="7">
        <f t="shared" si="3"/>
        <v>15</v>
      </c>
      <c r="Y23" s="7">
        <f t="shared" si="3"/>
        <v>28</v>
      </c>
      <c r="Z23" s="7">
        <f t="shared" si="3"/>
        <v>43</v>
      </c>
      <c r="AA23" s="7">
        <f t="shared" si="3"/>
        <v>38</v>
      </c>
      <c r="AB23" s="7">
        <f t="shared" si="3"/>
        <v>42</v>
      </c>
      <c r="AC23" s="7">
        <f t="shared" si="3"/>
        <v>55.000000000000014</v>
      </c>
      <c r="AD23" s="7">
        <f t="shared" si="3"/>
        <v>55.000000000000007</v>
      </c>
      <c r="AE23" s="7">
        <f t="shared" si="3"/>
        <v>35</v>
      </c>
      <c r="AF23" s="7">
        <f t="shared" si="3"/>
        <v>12</v>
      </c>
      <c r="AG23" s="7">
        <f t="shared" si="3"/>
        <v>23.5</v>
      </c>
      <c r="AH23" s="7">
        <f t="shared" si="3"/>
        <v>23.5</v>
      </c>
      <c r="AI23" s="7">
        <f t="shared" si="3"/>
        <v>24</v>
      </c>
      <c r="AJ23" s="7">
        <f t="shared" si="3"/>
        <v>24.8</v>
      </c>
      <c r="AK23" s="7">
        <f t="shared" si="3"/>
        <v>19</v>
      </c>
      <c r="AL23" s="7">
        <f t="shared" si="3"/>
        <v>25</v>
      </c>
      <c r="AM23" s="7">
        <f t="shared" si="3"/>
        <v>18.5</v>
      </c>
      <c r="AN23" s="7">
        <f t="shared" si="3"/>
        <v>17.8</v>
      </c>
      <c r="AO23" s="7">
        <f t="shared" si="3"/>
        <v>15</v>
      </c>
      <c r="AP23" s="7">
        <f t="shared" si="3"/>
        <v>5</v>
      </c>
      <c r="AQ23" s="7">
        <f t="shared" si="3"/>
        <v>0</v>
      </c>
      <c r="AR23" s="7">
        <f t="shared" si="3"/>
        <v>0</v>
      </c>
      <c r="AS23" s="7">
        <f t="shared" si="3"/>
        <v>0</v>
      </c>
    </row>
    <row r="24" spans="1:45" ht="15" hidden="1" customHeight="1" outlineLevel="1" x14ac:dyDescent="0.35">
      <c r="A24" t="s">
        <v>29</v>
      </c>
      <c r="B24" t="s">
        <v>16</v>
      </c>
      <c r="C24" t="s">
        <v>90</v>
      </c>
      <c r="D24" t="s">
        <v>141</v>
      </c>
      <c r="E24" t="s">
        <v>91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5</v>
      </c>
      <c r="N24" s="9">
        <v>5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12</v>
      </c>
      <c r="AG24" s="9">
        <v>22</v>
      </c>
      <c r="AH24" s="9">
        <v>17</v>
      </c>
      <c r="AI24" s="9">
        <v>22</v>
      </c>
      <c r="AJ24" s="9">
        <v>22</v>
      </c>
      <c r="AK24" s="9">
        <v>17</v>
      </c>
      <c r="AL24" s="9">
        <v>17</v>
      </c>
      <c r="AM24" s="9">
        <v>17</v>
      </c>
      <c r="AN24" s="9">
        <v>17</v>
      </c>
      <c r="AO24" s="9">
        <v>15</v>
      </c>
      <c r="AP24" s="9">
        <v>5</v>
      </c>
      <c r="AQ24" s="9">
        <v>0</v>
      </c>
      <c r="AR24" s="9">
        <v>0</v>
      </c>
      <c r="AS24" s="9">
        <v>0</v>
      </c>
    </row>
    <row r="25" spans="1:45" ht="15" hidden="1" customHeight="1" outlineLevel="1" x14ac:dyDescent="0.35">
      <c r="A25" t="s">
        <v>29</v>
      </c>
      <c r="B25" t="s">
        <v>16</v>
      </c>
      <c r="C25" t="s">
        <v>90</v>
      </c>
      <c r="D25" t="s">
        <v>141</v>
      </c>
      <c r="E25" t="s">
        <v>92</v>
      </c>
      <c r="F25" s="9">
        <v>10</v>
      </c>
      <c r="G25" s="9">
        <v>10</v>
      </c>
      <c r="H25" s="9">
        <v>10</v>
      </c>
      <c r="I25" s="9">
        <v>10</v>
      </c>
      <c r="J25" s="9">
        <v>10</v>
      </c>
      <c r="K25" s="9">
        <v>10.5</v>
      </c>
      <c r="L25" s="9">
        <v>20.5</v>
      </c>
      <c r="M25" s="9">
        <v>20.5</v>
      </c>
      <c r="N25" s="9">
        <v>20.5</v>
      </c>
      <c r="O25" s="9">
        <v>10.5</v>
      </c>
      <c r="P25" s="9">
        <v>10.5</v>
      </c>
      <c r="Q25" s="9">
        <v>10.5</v>
      </c>
      <c r="R25" s="9">
        <v>10.5</v>
      </c>
      <c r="S25" s="9">
        <v>0.5</v>
      </c>
      <c r="T25" s="9">
        <v>0.5</v>
      </c>
      <c r="U25" s="9">
        <v>3.5</v>
      </c>
      <c r="V25" s="9">
        <v>0.5</v>
      </c>
      <c r="W25" s="9">
        <v>0</v>
      </c>
      <c r="X25" s="9">
        <v>15</v>
      </c>
      <c r="Y25" s="9">
        <v>28</v>
      </c>
      <c r="Z25" s="9">
        <v>43</v>
      </c>
      <c r="AA25" s="9">
        <v>38</v>
      </c>
      <c r="AB25" s="9">
        <v>38</v>
      </c>
      <c r="AC25" s="9">
        <v>38</v>
      </c>
      <c r="AD25" s="9">
        <v>34.892982000000003</v>
      </c>
      <c r="AE25" s="9">
        <v>35</v>
      </c>
      <c r="AF25" s="9">
        <v>0</v>
      </c>
      <c r="AG25" s="9">
        <v>1.5</v>
      </c>
      <c r="AH25" s="9">
        <v>6.5</v>
      </c>
      <c r="AI25" s="9">
        <v>2</v>
      </c>
      <c r="AJ25" s="9">
        <v>2.8</v>
      </c>
      <c r="AK25" s="9">
        <v>2</v>
      </c>
      <c r="AL25" s="9">
        <v>8</v>
      </c>
      <c r="AM25" s="9">
        <v>1.5</v>
      </c>
      <c r="AN25" s="9">
        <v>0.8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</row>
    <row r="26" spans="1:45" ht="15" hidden="1" customHeight="1" outlineLevel="1" x14ac:dyDescent="0.35">
      <c r="A26" t="s">
        <v>12</v>
      </c>
      <c r="B26" t="s">
        <v>16</v>
      </c>
      <c r="C26" t="s">
        <v>90</v>
      </c>
      <c r="D26" t="s">
        <v>141</v>
      </c>
      <c r="E26" t="s">
        <v>81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7.9</v>
      </c>
      <c r="AD26" s="9">
        <v>9.8070179999999993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</row>
    <row r="27" spans="1:45" ht="15" hidden="1" customHeight="1" outlineLevel="1" x14ac:dyDescent="0.35">
      <c r="A27" t="s">
        <v>12</v>
      </c>
      <c r="B27" t="s">
        <v>16</v>
      </c>
      <c r="C27" t="s">
        <v>90</v>
      </c>
      <c r="D27" t="s">
        <v>141</v>
      </c>
      <c r="E27" t="s">
        <v>94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3.5929820000000099</v>
      </c>
      <c r="AD27" s="9">
        <v>4.2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</row>
    <row r="28" spans="1:45" ht="15" hidden="1" customHeight="1" outlineLevel="1" x14ac:dyDescent="0.35">
      <c r="A28" t="s">
        <v>12</v>
      </c>
      <c r="B28" t="s">
        <v>16</v>
      </c>
      <c r="C28" t="s">
        <v>90</v>
      </c>
      <c r="D28" t="s">
        <v>141</v>
      </c>
      <c r="E28" t="s">
        <v>84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6</v>
      </c>
      <c r="N28" s="9">
        <v>7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</row>
    <row r="29" spans="1:45" ht="15" hidden="1" customHeight="1" outlineLevel="1" x14ac:dyDescent="0.35">
      <c r="A29" t="s">
        <v>12</v>
      </c>
      <c r="B29" t="s">
        <v>16</v>
      </c>
      <c r="C29" t="s">
        <v>90</v>
      </c>
      <c r="D29" t="s">
        <v>141</v>
      </c>
      <c r="E29" t="s">
        <v>97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4</v>
      </c>
      <c r="AD29" s="9">
        <v>4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</row>
    <row r="30" spans="1:45" ht="15" hidden="1" customHeight="1" outlineLevel="1" x14ac:dyDescent="0.35">
      <c r="A30" t="s">
        <v>12</v>
      </c>
      <c r="B30" t="s">
        <v>16</v>
      </c>
      <c r="C30" t="s">
        <v>90</v>
      </c>
      <c r="D30" t="s">
        <v>141</v>
      </c>
      <c r="E30" t="s">
        <v>99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2.1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</row>
    <row r="31" spans="1:45" ht="15" hidden="1" customHeight="1" outlineLevel="1" x14ac:dyDescent="0.35">
      <c r="A31" t="s">
        <v>12</v>
      </c>
      <c r="B31" t="s">
        <v>16</v>
      </c>
      <c r="C31" t="s">
        <v>90</v>
      </c>
      <c r="D31" t="s">
        <v>141</v>
      </c>
      <c r="E31" t="s">
        <v>43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1.507018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</row>
    <row r="32" spans="1:45" ht="15" hidden="1" customHeight="1" outlineLevel="1" x14ac:dyDescent="0.35">
      <c r="A32" t="s">
        <v>12</v>
      </c>
      <c r="B32" t="s">
        <v>16</v>
      </c>
      <c r="C32" t="s">
        <v>90</v>
      </c>
      <c r="D32" t="s">
        <v>141</v>
      </c>
      <c r="E32" t="s">
        <v>105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4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</row>
    <row r="33" spans="1:45" ht="15" customHeight="1" collapsed="1" x14ac:dyDescent="0.35">
      <c r="A33" s="3" t="s">
        <v>12</v>
      </c>
      <c r="B33" s="3" t="s">
        <v>16</v>
      </c>
      <c r="C33" s="3" t="s">
        <v>15</v>
      </c>
      <c r="D33" s="3" t="s">
        <v>76</v>
      </c>
      <c r="E33" s="3" t="s">
        <v>77</v>
      </c>
      <c r="F33" s="7">
        <f t="shared" ref="F33:AS33" si="4">SUM(F34,F35,F36,F37,F38,F39,F40,F41,F42,F43,F44,F45,F46,F47)</f>
        <v>39.203509000000004</v>
      </c>
      <c r="G33" s="7">
        <f t="shared" si="4"/>
        <v>16.203509</v>
      </c>
      <c r="H33" s="7">
        <f t="shared" si="4"/>
        <v>7.4035089999999997</v>
      </c>
      <c r="I33" s="7">
        <f t="shared" si="4"/>
        <v>7.4035089999999997</v>
      </c>
      <c r="J33" s="7">
        <f t="shared" si="4"/>
        <v>5.4035089999999997</v>
      </c>
      <c r="K33" s="7">
        <f t="shared" si="4"/>
        <v>12.603508999999999</v>
      </c>
      <c r="L33" s="7">
        <f t="shared" si="4"/>
        <v>12.903509</v>
      </c>
      <c r="M33" s="7">
        <f t="shared" si="4"/>
        <v>26.057017999999999</v>
      </c>
      <c r="N33" s="7">
        <f t="shared" si="4"/>
        <v>21.841229000000009</v>
      </c>
      <c r="O33" s="7">
        <f t="shared" si="4"/>
        <v>12.503509000000001</v>
      </c>
      <c r="P33" s="7">
        <f t="shared" si="4"/>
        <v>21.003509000000001</v>
      </c>
      <c r="Q33" s="7">
        <f t="shared" si="4"/>
        <v>19.203508999999997</v>
      </c>
      <c r="R33" s="7">
        <f t="shared" si="4"/>
        <v>20.803508999999998</v>
      </c>
      <c r="S33" s="7">
        <f t="shared" si="4"/>
        <v>40</v>
      </c>
      <c r="T33" s="7">
        <f t="shared" si="4"/>
        <v>34.503509000000001</v>
      </c>
      <c r="U33" s="7">
        <f t="shared" si="4"/>
        <v>40</v>
      </c>
      <c r="V33" s="7">
        <f t="shared" si="4"/>
        <v>10.403509</v>
      </c>
      <c r="W33" s="7">
        <f t="shared" si="4"/>
        <v>2.4035089999999997</v>
      </c>
      <c r="X33" s="7">
        <f t="shared" si="4"/>
        <v>4.3070180000000002</v>
      </c>
      <c r="Y33" s="7">
        <f t="shared" si="4"/>
        <v>13.810527</v>
      </c>
      <c r="Z33" s="7">
        <f t="shared" si="4"/>
        <v>11.103508999999999</v>
      </c>
      <c r="AA33" s="7">
        <f t="shared" si="4"/>
        <v>27.903509</v>
      </c>
      <c r="AB33" s="7">
        <f t="shared" si="4"/>
        <v>41.503508999999994</v>
      </c>
      <c r="AC33" s="7">
        <f t="shared" si="4"/>
        <v>54.999999999999986</v>
      </c>
      <c r="AD33" s="7">
        <f t="shared" si="4"/>
        <v>55</v>
      </c>
      <c r="AE33" s="7">
        <f t="shared" si="4"/>
        <v>32.903509</v>
      </c>
      <c r="AF33" s="7">
        <f t="shared" si="4"/>
        <v>2.6035089999999999</v>
      </c>
      <c r="AG33" s="7">
        <f t="shared" si="4"/>
        <v>1.4035089999999999</v>
      </c>
      <c r="AH33" s="7">
        <f t="shared" si="4"/>
        <v>1.4035089999999999</v>
      </c>
      <c r="AI33" s="7">
        <f t="shared" si="4"/>
        <v>1.4035089999999999</v>
      </c>
      <c r="AJ33" s="7">
        <f t="shared" si="4"/>
        <v>1.4035089999999999</v>
      </c>
      <c r="AK33" s="7">
        <f t="shared" si="4"/>
        <v>1.4035089999999999</v>
      </c>
      <c r="AL33" s="7">
        <f t="shared" si="4"/>
        <v>1.4035089999999999</v>
      </c>
      <c r="AM33" s="7">
        <f t="shared" si="4"/>
        <v>1.4035089999999999</v>
      </c>
      <c r="AN33" s="7">
        <f t="shared" si="4"/>
        <v>1.4035089999999999</v>
      </c>
      <c r="AO33" s="7">
        <f t="shared" si="4"/>
        <v>1.4035089999999999</v>
      </c>
      <c r="AP33" s="7">
        <f t="shared" si="4"/>
        <v>1.4035089999999999</v>
      </c>
      <c r="AQ33" s="7">
        <f t="shared" si="4"/>
        <v>0</v>
      </c>
      <c r="AR33" s="7">
        <f t="shared" si="4"/>
        <v>0</v>
      </c>
      <c r="AS33" s="7">
        <f t="shared" si="4"/>
        <v>0</v>
      </c>
    </row>
    <row r="34" spans="1:45" ht="15" hidden="1" customHeight="1" outlineLevel="1" x14ac:dyDescent="0.35">
      <c r="A34" t="s">
        <v>12</v>
      </c>
      <c r="B34" t="s">
        <v>16</v>
      </c>
      <c r="C34" t="s">
        <v>15</v>
      </c>
      <c r="D34" t="s">
        <v>141</v>
      </c>
      <c r="E34" t="s">
        <v>79</v>
      </c>
      <c r="F34" s="9">
        <v>1.9035089999999999</v>
      </c>
      <c r="G34" s="9">
        <v>1.4035089999999999</v>
      </c>
      <c r="H34" s="9">
        <v>1.4035089999999999</v>
      </c>
      <c r="I34" s="9">
        <v>1.4035089999999999</v>
      </c>
      <c r="J34" s="9">
        <v>1.4035089999999999</v>
      </c>
      <c r="K34" s="9">
        <v>1.4035089999999999</v>
      </c>
      <c r="L34" s="9">
        <v>1.4035089999999999</v>
      </c>
      <c r="M34" s="9">
        <v>2.8070179999999998</v>
      </c>
      <c r="N34" s="9">
        <v>2.8070179999999998</v>
      </c>
      <c r="O34" s="9">
        <v>1.4035089999999999</v>
      </c>
      <c r="P34" s="9">
        <v>1.4035089999999999</v>
      </c>
      <c r="Q34" s="9">
        <v>1.4035089999999999</v>
      </c>
      <c r="R34" s="9">
        <v>1.4035089999999999</v>
      </c>
      <c r="S34" s="9">
        <v>0</v>
      </c>
      <c r="T34" s="9">
        <v>1.4035089999999999</v>
      </c>
      <c r="U34" s="9">
        <v>0</v>
      </c>
      <c r="V34" s="9">
        <v>1.4035089999999999</v>
      </c>
      <c r="W34" s="9">
        <v>1.4035089999999999</v>
      </c>
      <c r="X34" s="9">
        <v>1.807018</v>
      </c>
      <c r="Y34" s="9">
        <v>4.2105269999999999</v>
      </c>
      <c r="Z34" s="9">
        <v>1.4035089999999999</v>
      </c>
      <c r="AA34" s="9">
        <v>1.4035089999999999</v>
      </c>
      <c r="AB34" s="9">
        <v>1.4035089999999999</v>
      </c>
      <c r="AC34" s="9">
        <v>0</v>
      </c>
      <c r="AD34" s="9">
        <v>0</v>
      </c>
      <c r="AE34" s="9">
        <v>1.4035089999999999</v>
      </c>
      <c r="AF34" s="9">
        <v>1.4035089999999999</v>
      </c>
      <c r="AG34" s="9">
        <v>1.4035089999999999</v>
      </c>
      <c r="AH34" s="9">
        <v>1.4035089999999999</v>
      </c>
      <c r="AI34" s="9">
        <v>1.4035089999999999</v>
      </c>
      <c r="AJ34" s="9">
        <v>1.4035089999999999</v>
      </c>
      <c r="AK34" s="9">
        <v>1.4035089999999999</v>
      </c>
      <c r="AL34" s="9">
        <v>1.4035089999999999</v>
      </c>
      <c r="AM34" s="9">
        <v>1.4035089999999999</v>
      </c>
      <c r="AN34" s="9">
        <v>1.4035089999999999</v>
      </c>
      <c r="AO34" s="9">
        <v>1.4035089999999999</v>
      </c>
      <c r="AP34" s="9">
        <v>1.4035089999999999</v>
      </c>
      <c r="AQ34" s="9">
        <v>0</v>
      </c>
      <c r="AR34" s="9">
        <v>0</v>
      </c>
      <c r="AS34" s="9">
        <v>0</v>
      </c>
    </row>
    <row r="35" spans="1:45" ht="15" hidden="1" customHeight="1" outlineLevel="1" x14ac:dyDescent="0.35">
      <c r="A35" t="s">
        <v>12</v>
      </c>
      <c r="B35" t="s">
        <v>16</v>
      </c>
      <c r="C35" t="s">
        <v>15</v>
      </c>
      <c r="D35" t="s">
        <v>141</v>
      </c>
      <c r="E35" t="s">
        <v>81</v>
      </c>
      <c r="F35" s="9">
        <v>1.3</v>
      </c>
      <c r="G35" s="9">
        <v>11.5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0.25</v>
      </c>
      <c r="N35" s="9">
        <v>2.25</v>
      </c>
      <c r="O35" s="9">
        <v>0</v>
      </c>
      <c r="P35" s="9">
        <v>2.2999999999999998</v>
      </c>
      <c r="Q35" s="9">
        <v>1.9</v>
      </c>
      <c r="R35" s="9">
        <v>1</v>
      </c>
      <c r="S35" s="9">
        <v>8.8000000000000007</v>
      </c>
      <c r="T35" s="9">
        <v>1.4</v>
      </c>
      <c r="U35" s="9">
        <v>0</v>
      </c>
      <c r="V35" s="9">
        <v>0</v>
      </c>
      <c r="W35" s="9">
        <v>0</v>
      </c>
      <c r="X35" s="9">
        <v>0.5</v>
      </c>
      <c r="Y35" s="9">
        <v>1.1000000000000001</v>
      </c>
      <c r="Z35" s="9">
        <v>0</v>
      </c>
      <c r="AA35" s="9">
        <v>1.5</v>
      </c>
      <c r="AB35" s="9">
        <v>3.4</v>
      </c>
      <c r="AC35" s="9">
        <v>0</v>
      </c>
      <c r="AD35" s="9">
        <v>0</v>
      </c>
      <c r="AE35" s="9">
        <v>15.8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</row>
    <row r="36" spans="1:45" ht="15" hidden="1" customHeight="1" outlineLevel="1" x14ac:dyDescent="0.35">
      <c r="A36" t="s">
        <v>12</v>
      </c>
      <c r="B36" t="s">
        <v>16</v>
      </c>
      <c r="C36" t="s">
        <v>15</v>
      </c>
      <c r="D36" t="s">
        <v>141</v>
      </c>
      <c r="E36" t="s">
        <v>94</v>
      </c>
      <c r="F36" s="9">
        <v>0</v>
      </c>
      <c r="G36" s="9">
        <v>0.3</v>
      </c>
      <c r="H36" s="9">
        <v>0</v>
      </c>
      <c r="I36" s="9">
        <v>0</v>
      </c>
      <c r="J36" s="9">
        <v>0</v>
      </c>
      <c r="K36" s="9">
        <v>0.2</v>
      </c>
      <c r="L36" s="9">
        <v>0</v>
      </c>
      <c r="M36" s="9">
        <v>0</v>
      </c>
      <c r="N36" s="9">
        <v>1</v>
      </c>
      <c r="O36" s="9">
        <v>0</v>
      </c>
      <c r="P36" s="9">
        <v>0</v>
      </c>
      <c r="Q36" s="9">
        <v>2</v>
      </c>
      <c r="R36" s="9">
        <v>0</v>
      </c>
      <c r="S36" s="9">
        <v>1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1</v>
      </c>
      <c r="Z36" s="9">
        <v>5.2</v>
      </c>
      <c r="AA36" s="9">
        <v>8</v>
      </c>
      <c r="AB36" s="9">
        <v>8</v>
      </c>
      <c r="AC36" s="9">
        <v>1.2999999999999901</v>
      </c>
      <c r="AD36" s="9">
        <v>9.8000000000000007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</row>
    <row r="37" spans="1:45" ht="15" hidden="1" customHeight="1" outlineLevel="1" x14ac:dyDescent="0.35">
      <c r="A37" t="s">
        <v>12</v>
      </c>
      <c r="B37" t="s">
        <v>16</v>
      </c>
      <c r="C37" t="s">
        <v>15</v>
      </c>
      <c r="D37" t="s">
        <v>141</v>
      </c>
      <c r="E37" t="s">
        <v>95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6</v>
      </c>
      <c r="R37" s="9">
        <v>10</v>
      </c>
      <c r="S37" s="9">
        <v>12</v>
      </c>
      <c r="T37" s="9">
        <v>10</v>
      </c>
      <c r="U37" s="9">
        <v>21</v>
      </c>
      <c r="V37" s="9">
        <v>4</v>
      </c>
      <c r="W37" s="9">
        <v>1</v>
      </c>
      <c r="X37" s="9">
        <v>1</v>
      </c>
      <c r="Y37" s="9">
        <v>2.5</v>
      </c>
      <c r="Z37" s="9">
        <v>2.5</v>
      </c>
      <c r="AA37" s="9">
        <v>9</v>
      </c>
      <c r="AB37" s="9">
        <v>11.5</v>
      </c>
      <c r="AC37" s="9">
        <v>12</v>
      </c>
      <c r="AD37" s="9">
        <v>25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</row>
    <row r="38" spans="1:45" ht="15" hidden="1" customHeight="1" outlineLevel="1" x14ac:dyDescent="0.35">
      <c r="A38" t="s">
        <v>12</v>
      </c>
      <c r="B38" t="s">
        <v>16</v>
      </c>
      <c r="C38" t="s">
        <v>15</v>
      </c>
      <c r="D38" t="s">
        <v>141</v>
      </c>
      <c r="E38" t="s">
        <v>40</v>
      </c>
      <c r="F38" s="9">
        <v>7.9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1.8</v>
      </c>
      <c r="P38" s="9">
        <v>1.4</v>
      </c>
      <c r="Q38" s="9">
        <v>0</v>
      </c>
      <c r="R38" s="9">
        <v>6.4</v>
      </c>
      <c r="S38" s="9">
        <v>2.7</v>
      </c>
      <c r="T38" s="9">
        <v>0</v>
      </c>
      <c r="U38" s="9">
        <v>3.5</v>
      </c>
      <c r="V38" s="9">
        <v>5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6.9</v>
      </c>
      <c r="AC38" s="9">
        <v>0</v>
      </c>
      <c r="AD38" s="9">
        <v>0</v>
      </c>
      <c r="AE38" s="9">
        <v>1.2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</row>
    <row r="39" spans="1:45" ht="15" hidden="1" customHeight="1" outlineLevel="1" x14ac:dyDescent="0.35">
      <c r="A39" t="s">
        <v>12</v>
      </c>
      <c r="B39" t="s">
        <v>16</v>
      </c>
      <c r="C39" t="s">
        <v>15</v>
      </c>
      <c r="D39" t="s">
        <v>141</v>
      </c>
      <c r="E39" t="s">
        <v>96</v>
      </c>
      <c r="F39" s="9">
        <v>12</v>
      </c>
      <c r="G39" s="9">
        <v>1</v>
      </c>
      <c r="H39" s="9">
        <v>0</v>
      </c>
      <c r="I39" s="9">
        <v>0</v>
      </c>
      <c r="J39" s="9">
        <v>0</v>
      </c>
      <c r="K39" s="9">
        <v>11</v>
      </c>
      <c r="L39" s="9">
        <v>10.5</v>
      </c>
      <c r="M39" s="9">
        <v>11</v>
      </c>
      <c r="N39" s="9">
        <v>0</v>
      </c>
      <c r="O39" s="9">
        <v>0</v>
      </c>
      <c r="P39" s="9">
        <v>7.4</v>
      </c>
      <c r="Q39" s="9">
        <v>1</v>
      </c>
      <c r="R39" s="9">
        <v>0</v>
      </c>
      <c r="S39" s="9">
        <v>2</v>
      </c>
      <c r="T39" s="9">
        <v>14.5</v>
      </c>
      <c r="U39" s="9">
        <v>11.5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15</v>
      </c>
      <c r="AD39" s="9">
        <v>20.2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</row>
    <row r="40" spans="1:45" ht="15" hidden="1" customHeight="1" outlineLevel="1" x14ac:dyDescent="0.35">
      <c r="A40" t="s">
        <v>12</v>
      </c>
      <c r="B40" t="s">
        <v>16</v>
      </c>
      <c r="C40" t="s">
        <v>15</v>
      </c>
      <c r="D40" t="s">
        <v>141</v>
      </c>
      <c r="E40" t="s">
        <v>97</v>
      </c>
      <c r="F40" s="9">
        <v>6.5</v>
      </c>
      <c r="G40" s="9">
        <v>0</v>
      </c>
      <c r="H40" s="9">
        <v>4</v>
      </c>
      <c r="I40" s="9">
        <v>4</v>
      </c>
      <c r="J40" s="9">
        <v>4</v>
      </c>
      <c r="K40" s="9">
        <v>0</v>
      </c>
      <c r="L40" s="9">
        <v>0</v>
      </c>
      <c r="M40" s="9">
        <v>0</v>
      </c>
      <c r="N40" s="9">
        <v>4</v>
      </c>
      <c r="O40" s="9">
        <v>5</v>
      </c>
      <c r="P40" s="9">
        <v>5</v>
      </c>
      <c r="Q40" s="9">
        <v>5</v>
      </c>
      <c r="R40" s="9">
        <v>0</v>
      </c>
      <c r="S40" s="9">
        <v>5</v>
      </c>
      <c r="T40" s="9">
        <v>4</v>
      </c>
      <c r="U40" s="9">
        <v>4</v>
      </c>
      <c r="V40" s="9">
        <v>0</v>
      </c>
      <c r="W40" s="9">
        <v>0</v>
      </c>
      <c r="X40" s="9">
        <v>0</v>
      </c>
      <c r="Y40" s="9">
        <v>2</v>
      </c>
      <c r="Z40" s="9">
        <v>2</v>
      </c>
      <c r="AA40" s="9">
        <v>4</v>
      </c>
      <c r="AB40" s="9">
        <v>4</v>
      </c>
      <c r="AC40" s="9">
        <v>0</v>
      </c>
      <c r="AD40" s="9">
        <v>0</v>
      </c>
      <c r="AE40" s="9">
        <v>4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</row>
    <row r="41" spans="1:45" ht="15" hidden="1" customHeight="1" outlineLevel="1" x14ac:dyDescent="0.35">
      <c r="A41" t="s">
        <v>12</v>
      </c>
      <c r="B41" t="s">
        <v>16</v>
      </c>
      <c r="C41" t="s">
        <v>15</v>
      </c>
      <c r="D41" t="s">
        <v>141</v>
      </c>
      <c r="E41" t="s">
        <v>103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10</v>
      </c>
      <c r="N41" s="9">
        <v>6.8543860000000096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</row>
    <row r="42" spans="1:45" ht="15" hidden="1" customHeight="1" outlineLevel="1" x14ac:dyDescent="0.35">
      <c r="A42" t="s">
        <v>12</v>
      </c>
      <c r="B42" t="s">
        <v>16</v>
      </c>
      <c r="C42" t="s">
        <v>15</v>
      </c>
      <c r="D42" t="s">
        <v>141</v>
      </c>
      <c r="E42" t="s">
        <v>98</v>
      </c>
      <c r="F42" s="9">
        <v>0</v>
      </c>
      <c r="G42" s="9">
        <v>2</v>
      </c>
      <c r="H42" s="9">
        <v>2</v>
      </c>
      <c r="I42" s="9">
        <v>2</v>
      </c>
      <c r="J42" s="9">
        <v>0</v>
      </c>
      <c r="K42" s="9">
        <v>0</v>
      </c>
      <c r="L42" s="9">
        <v>1</v>
      </c>
      <c r="M42" s="9">
        <v>0</v>
      </c>
      <c r="N42" s="9">
        <v>0</v>
      </c>
      <c r="O42" s="9">
        <v>1</v>
      </c>
      <c r="P42" s="9">
        <v>1</v>
      </c>
      <c r="Q42" s="9">
        <v>1</v>
      </c>
      <c r="R42" s="9">
        <v>0</v>
      </c>
      <c r="S42" s="9">
        <v>0</v>
      </c>
      <c r="T42" s="9">
        <v>1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</row>
    <row r="43" spans="1:45" ht="15" hidden="1" customHeight="1" outlineLevel="1" x14ac:dyDescent="0.35">
      <c r="A43" t="s">
        <v>12</v>
      </c>
      <c r="B43" t="s">
        <v>16</v>
      </c>
      <c r="C43" t="s">
        <v>15</v>
      </c>
      <c r="D43" t="s">
        <v>141</v>
      </c>
      <c r="E43" t="s">
        <v>99</v>
      </c>
      <c r="F43" s="9">
        <v>2.4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2</v>
      </c>
      <c r="N43" s="9">
        <v>0</v>
      </c>
      <c r="O43" s="9">
        <v>1.4</v>
      </c>
      <c r="P43" s="9">
        <v>1.2</v>
      </c>
      <c r="Q43" s="9">
        <v>0</v>
      </c>
      <c r="R43" s="9">
        <v>2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1</v>
      </c>
      <c r="Y43" s="9">
        <v>3</v>
      </c>
      <c r="Z43" s="9">
        <v>0</v>
      </c>
      <c r="AA43" s="9">
        <v>0</v>
      </c>
      <c r="AB43" s="9">
        <v>2</v>
      </c>
      <c r="AC43" s="9">
        <v>16.7</v>
      </c>
      <c r="AD43" s="9">
        <v>0</v>
      </c>
      <c r="AE43" s="9">
        <v>1.2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</row>
    <row r="44" spans="1:45" ht="15" hidden="1" customHeight="1" outlineLevel="1" x14ac:dyDescent="0.35">
      <c r="A44" t="s">
        <v>12</v>
      </c>
      <c r="B44" t="s">
        <v>16</v>
      </c>
      <c r="C44" t="s">
        <v>15</v>
      </c>
      <c r="D44" t="s">
        <v>141</v>
      </c>
      <c r="E44" t="s">
        <v>43</v>
      </c>
      <c r="F44" s="9">
        <v>3.6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1.3</v>
      </c>
      <c r="Q44" s="9">
        <v>0.9</v>
      </c>
      <c r="R44" s="9">
        <v>0</v>
      </c>
      <c r="S44" s="9">
        <v>4</v>
      </c>
      <c r="T44" s="9">
        <v>2.2000000000000002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9.3000000000000007</v>
      </c>
      <c r="AF44" s="9">
        <v>1.2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</row>
    <row r="45" spans="1:45" ht="15" hidden="1" customHeight="1" outlineLevel="1" x14ac:dyDescent="0.35">
      <c r="A45" t="s">
        <v>12</v>
      </c>
      <c r="B45" t="s">
        <v>16</v>
      </c>
      <c r="C45" t="s">
        <v>15</v>
      </c>
      <c r="D45" t="s">
        <v>141</v>
      </c>
      <c r="E45" t="s">
        <v>100</v>
      </c>
      <c r="F45" s="9">
        <v>3.6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1.9</v>
      </c>
      <c r="P45" s="9">
        <v>0</v>
      </c>
      <c r="Q45" s="9">
        <v>0</v>
      </c>
      <c r="R45" s="9">
        <v>0</v>
      </c>
      <c r="S45" s="9">
        <v>4.5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4.3</v>
      </c>
      <c r="AC45" s="9">
        <v>10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</row>
    <row r="46" spans="1:45" ht="15" hidden="1" customHeight="1" outlineLevel="1" x14ac:dyDescent="0.35">
      <c r="A46" t="s">
        <v>12</v>
      </c>
      <c r="B46" t="s">
        <v>16</v>
      </c>
      <c r="C46" t="s">
        <v>15</v>
      </c>
      <c r="D46" t="s">
        <v>141</v>
      </c>
      <c r="E46" t="s">
        <v>88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4.9298250000000001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</row>
    <row r="47" spans="1:45" ht="15" hidden="1" customHeight="1" outlineLevel="1" x14ac:dyDescent="0.35">
      <c r="A47" t="s">
        <v>12</v>
      </c>
      <c r="B47" t="s">
        <v>16</v>
      </c>
      <c r="C47" t="s">
        <v>15</v>
      </c>
      <c r="D47" t="s">
        <v>141</v>
      </c>
      <c r="E47" t="s">
        <v>105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4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</row>
    <row r="48" spans="1:45" ht="15" customHeight="1" collapsed="1" x14ac:dyDescent="0.35">
      <c r="A48" s="3" t="s">
        <v>12</v>
      </c>
      <c r="B48" s="3" t="s">
        <v>16</v>
      </c>
      <c r="C48" s="3" t="s">
        <v>101</v>
      </c>
      <c r="D48" s="3" t="s">
        <v>76</v>
      </c>
      <c r="E48" s="3" t="s">
        <v>77</v>
      </c>
      <c r="F48" s="7">
        <f t="shared" ref="F48:AS48" si="5">SUM(F49,F50,F51)</f>
        <v>3</v>
      </c>
      <c r="G48" s="7">
        <f t="shared" si="5"/>
        <v>6</v>
      </c>
      <c r="H48" s="7">
        <f t="shared" si="5"/>
        <v>8</v>
      </c>
      <c r="I48" s="7">
        <f t="shared" si="5"/>
        <v>8</v>
      </c>
      <c r="J48" s="7">
        <f t="shared" si="5"/>
        <v>5</v>
      </c>
      <c r="K48" s="7">
        <f t="shared" si="5"/>
        <v>2</v>
      </c>
      <c r="L48" s="7">
        <f t="shared" si="5"/>
        <v>2</v>
      </c>
      <c r="M48" s="7">
        <f t="shared" si="5"/>
        <v>4</v>
      </c>
      <c r="N48" s="7">
        <f t="shared" si="5"/>
        <v>4</v>
      </c>
      <c r="O48" s="7">
        <f t="shared" si="5"/>
        <v>4</v>
      </c>
      <c r="P48" s="7">
        <f t="shared" si="5"/>
        <v>7</v>
      </c>
      <c r="Q48" s="7">
        <f t="shared" si="5"/>
        <v>5</v>
      </c>
      <c r="R48" s="7">
        <f t="shared" si="5"/>
        <v>4</v>
      </c>
      <c r="S48" s="7">
        <f t="shared" si="5"/>
        <v>2</v>
      </c>
      <c r="T48" s="7">
        <f t="shared" si="5"/>
        <v>3</v>
      </c>
      <c r="U48" s="7">
        <f t="shared" si="5"/>
        <v>5</v>
      </c>
      <c r="V48" s="7">
        <f t="shared" si="5"/>
        <v>0</v>
      </c>
      <c r="W48" s="7">
        <f t="shared" si="5"/>
        <v>0</v>
      </c>
      <c r="X48" s="7">
        <f t="shared" si="5"/>
        <v>10</v>
      </c>
      <c r="Y48" s="7">
        <f t="shared" si="5"/>
        <v>10</v>
      </c>
      <c r="Z48" s="7">
        <f t="shared" si="5"/>
        <v>17</v>
      </c>
      <c r="AA48" s="7">
        <f t="shared" si="5"/>
        <v>25</v>
      </c>
      <c r="AB48" s="7">
        <f t="shared" si="5"/>
        <v>30</v>
      </c>
      <c r="AC48" s="7">
        <f t="shared" si="5"/>
        <v>30</v>
      </c>
      <c r="AD48" s="7">
        <f t="shared" si="5"/>
        <v>30</v>
      </c>
      <c r="AE48" s="7">
        <f t="shared" si="5"/>
        <v>10</v>
      </c>
      <c r="AF48" s="7">
        <f t="shared" si="5"/>
        <v>0</v>
      </c>
      <c r="AG48" s="7">
        <f t="shared" si="5"/>
        <v>0</v>
      </c>
      <c r="AH48" s="7">
        <f t="shared" si="5"/>
        <v>0</v>
      </c>
      <c r="AI48" s="7">
        <f t="shared" si="5"/>
        <v>0</v>
      </c>
      <c r="AJ48" s="7">
        <f t="shared" si="5"/>
        <v>0</v>
      </c>
      <c r="AK48" s="7">
        <f t="shared" si="5"/>
        <v>0</v>
      </c>
      <c r="AL48" s="7">
        <f t="shared" si="5"/>
        <v>0</v>
      </c>
      <c r="AM48" s="7">
        <f t="shared" si="5"/>
        <v>0</v>
      </c>
      <c r="AN48" s="7">
        <f t="shared" si="5"/>
        <v>0</v>
      </c>
      <c r="AO48" s="7">
        <f t="shared" si="5"/>
        <v>0</v>
      </c>
      <c r="AP48" s="7">
        <f t="shared" si="5"/>
        <v>0</v>
      </c>
      <c r="AQ48" s="7">
        <f t="shared" si="5"/>
        <v>0</v>
      </c>
      <c r="AR48" s="7">
        <f t="shared" si="5"/>
        <v>0</v>
      </c>
      <c r="AS48" s="7">
        <f t="shared" si="5"/>
        <v>0</v>
      </c>
    </row>
    <row r="49" spans="1:45" ht="15" hidden="1" customHeight="1" outlineLevel="1" x14ac:dyDescent="0.35">
      <c r="A49" t="s">
        <v>12</v>
      </c>
      <c r="B49" t="s">
        <v>16</v>
      </c>
      <c r="C49" t="s">
        <v>101</v>
      </c>
      <c r="D49" t="s">
        <v>141</v>
      </c>
      <c r="E49" t="s">
        <v>79</v>
      </c>
      <c r="F49" s="9">
        <v>3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</row>
    <row r="50" spans="1:45" ht="15" hidden="1" customHeight="1" outlineLevel="1" x14ac:dyDescent="0.35">
      <c r="A50" t="s">
        <v>12</v>
      </c>
      <c r="B50" t="s">
        <v>16</v>
      </c>
      <c r="C50" t="s">
        <v>101</v>
      </c>
      <c r="D50" t="s">
        <v>141</v>
      </c>
      <c r="E50" t="s">
        <v>102</v>
      </c>
      <c r="F50" s="9">
        <v>0</v>
      </c>
      <c r="G50" s="9">
        <v>6</v>
      </c>
      <c r="H50" s="9">
        <v>8</v>
      </c>
      <c r="I50" s="9">
        <v>8</v>
      </c>
      <c r="J50" s="9">
        <v>5</v>
      </c>
      <c r="K50" s="9">
        <v>2</v>
      </c>
      <c r="L50" s="9">
        <v>2</v>
      </c>
      <c r="M50" s="9">
        <v>4</v>
      </c>
      <c r="N50" s="9">
        <v>4</v>
      </c>
      <c r="O50" s="9">
        <v>4</v>
      </c>
      <c r="P50" s="9">
        <v>7</v>
      </c>
      <c r="Q50" s="9">
        <v>5</v>
      </c>
      <c r="R50" s="9">
        <v>4</v>
      </c>
      <c r="S50" s="9">
        <v>2</v>
      </c>
      <c r="T50" s="9">
        <v>3</v>
      </c>
      <c r="U50" s="9">
        <v>5</v>
      </c>
      <c r="V50" s="9">
        <v>0</v>
      </c>
      <c r="W50" s="9">
        <v>0</v>
      </c>
      <c r="X50" s="9">
        <v>10</v>
      </c>
      <c r="Y50" s="9">
        <v>10</v>
      </c>
      <c r="Z50" s="9">
        <v>12</v>
      </c>
      <c r="AA50" s="9">
        <v>15</v>
      </c>
      <c r="AB50" s="9">
        <v>20</v>
      </c>
      <c r="AC50" s="9">
        <v>20</v>
      </c>
      <c r="AD50" s="9">
        <v>15</v>
      </c>
      <c r="AE50" s="9">
        <v>10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</row>
    <row r="51" spans="1:45" ht="15" hidden="1" customHeight="1" outlineLevel="1" x14ac:dyDescent="0.35">
      <c r="A51" t="s">
        <v>12</v>
      </c>
      <c r="B51" t="s">
        <v>16</v>
      </c>
      <c r="C51" t="s">
        <v>101</v>
      </c>
      <c r="D51" t="s">
        <v>141</v>
      </c>
      <c r="E51" t="s">
        <v>103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5</v>
      </c>
      <c r="AA51" s="9">
        <v>10</v>
      </c>
      <c r="AB51" s="9">
        <v>10</v>
      </c>
      <c r="AC51" s="9">
        <v>10</v>
      </c>
      <c r="AD51" s="9">
        <v>15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</row>
    <row r="52" spans="1:45" ht="15" customHeight="1" collapsed="1" x14ac:dyDescent="0.35">
      <c r="A52" s="3" t="s">
        <v>89</v>
      </c>
      <c r="B52" s="3" t="s">
        <v>16</v>
      </c>
      <c r="C52" s="3" t="s">
        <v>18</v>
      </c>
      <c r="D52" s="3" t="s">
        <v>76</v>
      </c>
      <c r="E52" s="3" t="s">
        <v>77</v>
      </c>
      <c r="F52" s="7">
        <f t="shared" ref="F52:AS52" si="6">SUM(F53,F54,F55,F56,F57,F58,F59,F60)</f>
        <v>28.653509</v>
      </c>
      <c r="G52" s="7">
        <f t="shared" si="6"/>
        <v>29.653509</v>
      </c>
      <c r="H52" s="7">
        <f t="shared" si="6"/>
        <v>23.653509</v>
      </c>
      <c r="I52" s="7">
        <f t="shared" si="6"/>
        <v>12.653509</v>
      </c>
      <c r="J52" s="7">
        <f t="shared" si="6"/>
        <v>12.653509</v>
      </c>
      <c r="K52" s="7">
        <f t="shared" si="6"/>
        <v>17.653509</v>
      </c>
      <c r="L52" s="7">
        <f t="shared" si="6"/>
        <v>39.653509</v>
      </c>
      <c r="M52" s="7">
        <f t="shared" si="6"/>
        <v>40</v>
      </c>
      <c r="N52" s="7">
        <f t="shared" si="6"/>
        <v>39.999999999999986</v>
      </c>
      <c r="O52" s="7">
        <f t="shared" si="6"/>
        <v>40</v>
      </c>
      <c r="P52" s="7">
        <f t="shared" si="6"/>
        <v>32.653509</v>
      </c>
      <c r="Q52" s="7">
        <f t="shared" si="6"/>
        <v>40</v>
      </c>
      <c r="R52" s="7">
        <f t="shared" si="6"/>
        <v>39.653509</v>
      </c>
      <c r="S52" s="7">
        <f t="shared" si="6"/>
        <v>17.153509</v>
      </c>
      <c r="T52" s="7">
        <f t="shared" si="6"/>
        <v>2.6535089999999997</v>
      </c>
      <c r="U52" s="7">
        <f t="shared" si="6"/>
        <v>11.653509</v>
      </c>
      <c r="V52" s="7">
        <f t="shared" si="6"/>
        <v>2.6535089999999997</v>
      </c>
      <c r="W52" s="7">
        <f t="shared" si="6"/>
        <v>1.6535089999999999</v>
      </c>
      <c r="X52" s="7">
        <f t="shared" si="6"/>
        <v>55</v>
      </c>
      <c r="Y52" s="7">
        <f t="shared" si="6"/>
        <v>55</v>
      </c>
      <c r="Z52" s="7">
        <f t="shared" si="6"/>
        <v>50.903509</v>
      </c>
      <c r="AA52" s="7">
        <f t="shared" si="6"/>
        <v>55</v>
      </c>
      <c r="AB52" s="7">
        <f t="shared" si="6"/>
        <v>55</v>
      </c>
      <c r="AC52" s="7">
        <f t="shared" si="6"/>
        <v>55</v>
      </c>
      <c r="AD52" s="7">
        <f t="shared" si="6"/>
        <v>55</v>
      </c>
      <c r="AE52" s="7">
        <f t="shared" si="6"/>
        <v>39.103509000000003</v>
      </c>
      <c r="AF52" s="7">
        <f t="shared" si="6"/>
        <v>11.403509</v>
      </c>
      <c r="AG52" s="7">
        <f t="shared" si="6"/>
        <v>21.403509</v>
      </c>
      <c r="AH52" s="7">
        <f t="shared" si="6"/>
        <v>16.403509</v>
      </c>
      <c r="AI52" s="7">
        <f t="shared" si="6"/>
        <v>21.403509</v>
      </c>
      <c r="AJ52" s="7">
        <f t="shared" si="6"/>
        <v>21.403509</v>
      </c>
      <c r="AK52" s="7">
        <f t="shared" si="6"/>
        <v>16.403509</v>
      </c>
      <c r="AL52" s="7">
        <f t="shared" si="6"/>
        <v>16.403509</v>
      </c>
      <c r="AM52" s="7">
        <f t="shared" si="6"/>
        <v>16.403509</v>
      </c>
      <c r="AN52" s="7">
        <f t="shared" si="6"/>
        <v>16.403509</v>
      </c>
      <c r="AO52" s="7">
        <f t="shared" si="6"/>
        <v>16.403509</v>
      </c>
      <c r="AP52" s="7">
        <f t="shared" si="6"/>
        <v>6.4035089999999997</v>
      </c>
      <c r="AQ52" s="7">
        <f t="shared" si="6"/>
        <v>0</v>
      </c>
      <c r="AR52" s="7">
        <f t="shared" si="6"/>
        <v>0</v>
      </c>
      <c r="AS52" s="7">
        <f t="shared" si="6"/>
        <v>0</v>
      </c>
    </row>
    <row r="53" spans="1:45" ht="15" hidden="1" customHeight="1" outlineLevel="1" x14ac:dyDescent="0.35">
      <c r="A53" t="s">
        <v>29</v>
      </c>
      <c r="B53" t="s">
        <v>16</v>
      </c>
      <c r="C53" t="s">
        <v>18</v>
      </c>
      <c r="D53" t="s">
        <v>141</v>
      </c>
      <c r="E53" t="s">
        <v>91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5</v>
      </c>
      <c r="L53" s="9">
        <v>5</v>
      </c>
      <c r="M53" s="9">
        <v>10</v>
      </c>
      <c r="N53" s="9">
        <v>10</v>
      </c>
      <c r="O53" s="9">
        <v>5</v>
      </c>
      <c r="P53" s="9">
        <v>5</v>
      </c>
      <c r="Q53" s="9">
        <v>5</v>
      </c>
      <c r="R53" s="9">
        <v>5</v>
      </c>
      <c r="S53" s="9">
        <v>5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10</v>
      </c>
      <c r="AG53" s="9">
        <v>20</v>
      </c>
      <c r="AH53" s="9">
        <v>15</v>
      </c>
      <c r="AI53" s="9">
        <v>20</v>
      </c>
      <c r="AJ53" s="9">
        <v>20</v>
      </c>
      <c r="AK53" s="9">
        <v>15</v>
      </c>
      <c r="AL53" s="9">
        <v>15</v>
      </c>
      <c r="AM53" s="9">
        <v>15</v>
      </c>
      <c r="AN53" s="9">
        <v>15</v>
      </c>
      <c r="AO53" s="9">
        <v>15</v>
      </c>
      <c r="AP53" s="9">
        <v>5</v>
      </c>
      <c r="AQ53" s="9">
        <v>0</v>
      </c>
      <c r="AR53" s="9">
        <v>0</v>
      </c>
      <c r="AS53" s="9">
        <v>0</v>
      </c>
    </row>
    <row r="54" spans="1:45" ht="15" hidden="1" customHeight="1" outlineLevel="1" x14ac:dyDescent="0.35">
      <c r="A54" t="s">
        <v>29</v>
      </c>
      <c r="B54" t="s">
        <v>16</v>
      </c>
      <c r="C54" t="s">
        <v>18</v>
      </c>
      <c r="D54" t="s">
        <v>141</v>
      </c>
      <c r="E54" t="s">
        <v>92</v>
      </c>
      <c r="F54" s="9">
        <v>10</v>
      </c>
      <c r="G54" s="9">
        <v>10</v>
      </c>
      <c r="H54" s="9">
        <v>10</v>
      </c>
      <c r="I54" s="9">
        <v>10</v>
      </c>
      <c r="J54" s="9">
        <v>10</v>
      </c>
      <c r="K54" s="9">
        <v>10</v>
      </c>
      <c r="L54" s="9">
        <v>30</v>
      </c>
      <c r="M54" s="9">
        <v>30</v>
      </c>
      <c r="N54" s="9">
        <v>30</v>
      </c>
      <c r="O54" s="9">
        <v>25</v>
      </c>
      <c r="P54" s="9">
        <v>25</v>
      </c>
      <c r="Q54" s="9">
        <v>25</v>
      </c>
      <c r="R54" s="9">
        <v>25</v>
      </c>
      <c r="S54" s="9">
        <v>0</v>
      </c>
      <c r="T54" s="9">
        <v>0</v>
      </c>
      <c r="U54" s="9">
        <v>3</v>
      </c>
      <c r="V54" s="9">
        <v>0</v>
      </c>
      <c r="W54" s="9">
        <v>0</v>
      </c>
      <c r="X54" s="9">
        <v>40</v>
      </c>
      <c r="Y54" s="9">
        <v>35</v>
      </c>
      <c r="Z54" s="9">
        <v>30</v>
      </c>
      <c r="AA54" s="9">
        <v>30</v>
      </c>
      <c r="AB54" s="9">
        <v>30</v>
      </c>
      <c r="AC54" s="9">
        <v>25</v>
      </c>
      <c r="AD54" s="9">
        <v>0</v>
      </c>
      <c r="AE54" s="9">
        <v>20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</row>
    <row r="55" spans="1:45" ht="15" hidden="1" customHeight="1" outlineLevel="1" x14ac:dyDescent="0.35">
      <c r="A55" t="s">
        <v>12</v>
      </c>
      <c r="B55" t="s">
        <v>16</v>
      </c>
      <c r="C55" t="s">
        <v>18</v>
      </c>
      <c r="D55" t="s">
        <v>141</v>
      </c>
      <c r="E55" t="s">
        <v>79</v>
      </c>
      <c r="F55" s="9">
        <v>1.4035089999999999</v>
      </c>
      <c r="G55" s="9">
        <v>1.4035089999999999</v>
      </c>
      <c r="H55" s="9">
        <v>1.4035089999999999</v>
      </c>
      <c r="I55" s="9">
        <v>1.4035089999999999</v>
      </c>
      <c r="J55" s="9">
        <v>1.4035089999999999</v>
      </c>
      <c r="K55" s="9">
        <v>1.4035089999999999</v>
      </c>
      <c r="L55" s="9">
        <v>1.4035089999999999</v>
      </c>
      <c r="M55" s="9">
        <v>0</v>
      </c>
      <c r="N55" s="9">
        <v>0</v>
      </c>
      <c r="O55" s="9">
        <v>0</v>
      </c>
      <c r="P55" s="9">
        <v>1.4035089999999999</v>
      </c>
      <c r="Q55" s="9">
        <v>0</v>
      </c>
      <c r="R55" s="9">
        <v>1.4035089999999999</v>
      </c>
      <c r="S55" s="9">
        <v>1.4035089999999999</v>
      </c>
      <c r="T55" s="9">
        <v>1.4035089999999999</v>
      </c>
      <c r="U55" s="9">
        <v>1.4035089999999999</v>
      </c>
      <c r="V55" s="9">
        <v>1.4035089999999999</v>
      </c>
      <c r="W55" s="9">
        <v>1.4035089999999999</v>
      </c>
      <c r="X55" s="9">
        <v>1</v>
      </c>
      <c r="Y55" s="9">
        <v>0</v>
      </c>
      <c r="Z55" s="9">
        <v>1.4035089999999999</v>
      </c>
      <c r="AA55" s="9">
        <v>1.4035089999999999</v>
      </c>
      <c r="AB55" s="9">
        <v>0</v>
      </c>
      <c r="AC55" s="9">
        <v>0</v>
      </c>
      <c r="AD55" s="9">
        <v>0</v>
      </c>
      <c r="AE55" s="9">
        <v>1.4035089999999999</v>
      </c>
      <c r="AF55" s="9">
        <v>1.4035089999999999</v>
      </c>
      <c r="AG55" s="9">
        <v>1.4035089999999999</v>
      </c>
      <c r="AH55" s="9">
        <v>1.4035089999999999</v>
      </c>
      <c r="AI55" s="9">
        <v>1.4035089999999999</v>
      </c>
      <c r="AJ55" s="9">
        <v>1.4035089999999999</v>
      </c>
      <c r="AK55" s="9">
        <v>1.4035089999999999</v>
      </c>
      <c r="AL55" s="9">
        <v>1.4035089999999999</v>
      </c>
      <c r="AM55" s="9">
        <v>1.4035089999999999</v>
      </c>
      <c r="AN55" s="9">
        <v>1.4035089999999999</v>
      </c>
      <c r="AO55" s="9">
        <v>1.4035089999999999</v>
      </c>
      <c r="AP55" s="9">
        <v>1.4035089999999999</v>
      </c>
      <c r="AQ55" s="9">
        <v>0</v>
      </c>
      <c r="AR55" s="9">
        <v>0</v>
      </c>
      <c r="AS55" s="9">
        <v>0</v>
      </c>
    </row>
    <row r="56" spans="1:45" ht="15" hidden="1" customHeight="1" outlineLevel="1" x14ac:dyDescent="0.35">
      <c r="A56" t="s">
        <v>12</v>
      </c>
      <c r="B56" t="s">
        <v>16</v>
      </c>
      <c r="C56" t="s">
        <v>18</v>
      </c>
      <c r="D56" t="s">
        <v>141</v>
      </c>
      <c r="E56" t="s">
        <v>81</v>
      </c>
      <c r="F56" s="9">
        <v>0.25</v>
      </c>
      <c r="G56" s="9">
        <v>0.25</v>
      </c>
      <c r="H56" s="9">
        <v>0.25</v>
      </c>
      <c r="I56" s="9">
        <v>0.25</v>
      </c>
      <c r="J56" s="9">
        <v>0.25</v>
      </c>
      <c r="K56" s="9">
        <v>0.25</v>
      </c>
      <c r="L56" s="9">
        <v>0.25</v>
      </c>
      <c r="M56" s="9">
        <v>0</v>
      </c>
      <c r="N56" s="9">
        <v>0</v>
      </c>
      <c r="O56" s="9">
        <v>0</v>
      </c>
      <c r="P56" s="9">
        <v>0.25</v>
      </c>
      <c r="Q56" s="9">
        <v>0</v>
      </c>
      <c r="R56" s="9">
        <v>0.25</v>
      </c>
      <c r="S56" s="9">
        <v>0.25</v>
      </c>
      <c r="T56" s="9">
        <v>0.25</v>
      </c>
      <c r="U56" s="9">
        <v>0.25</v>
      </c>
      <c r="V56" s="9">
        <v>0.25</v>
      </c>
      <c r="W56" s="9">
        <v>0.25</v>
      </c>
      <c r="X56" s="9">
        <v>0</v>
      </c>
      <c r="Y56" s="9">
        <v>0</v>
      </c>
      <c r="Z56" s="9">
        <v>0.5</v>
      </c>
      <c r="AA56" s="9">
        <v>0</v>
      </c>
      <c r="AB56" s="9">
        <v>0</v>
      </c>
      <c r="AC56" s="9">
        <v>0</v>
      </c>
      <c r="AD56" s="9">
        <v>0</v>
      </c>
      <c r="AE56" s="9">
        <v>0.7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</row>
    <row r="57" spans="1:45" ht="15" hidden="1" customHeight="1" outlineLevel="1" x14ac:dyDescent="0.35">
      <c r="A57" t="s">
        <v>12</v>
      </c>
      <c r="B57" t="s">
        <v>16</v>
      </c>
      <c r="C57" t="s">
        <v>18</v>
      </c>
      <c r="D57" t="s">
        <v>141</v>
      </c>
      <c r="E57" t="s">
        <v>40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4</v>
      </c>
      <c r="AE57" s="9">
        <v>5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</row>
    <row r="58" spans="1:45" ht="15" hidden="1" customHeight="1" outlineLevel="1" x14ac:dyDescent="0.35">
      <c r="A58" t="s">
        <v>12</v>
      </c>
      <c r="B58" t="s">
        <v>16</v>
      </c>
      <c r="C58" t="s">
        <v>18</v>
      </c>
      <c r="D58" t="s">
        <v>141</v>
      </c>
      <c r="E58" t="s">
        <v>85</v>
      </c>
      <c r="F58" s="9">
        <v>1</v>
      </c>
      <c r="G58" s="9">
        <v>8</v>
      </c>
      <c r="H58" s="9">
        <v>12</v>
      </c>
      <c r="I58" s="9">
        <v>1</v>
      </c>
      <c r="J58" s="9">
        <v>1</v>
      </c>
      <c r="K58" s="9">
        <v>1</v>
      </c>
      <c r="L58" s="9">
        <v>1</v>
      </c>
      <c r="M58" s="9">
        <v>0</v>
      </c>
      <c r="N58" s="9">
        <v>0</v>
      </c>
      <c r="O58" s="9">
        <v>0</v>
      </c>
      <c r="P58" s="9">
        <v>1</v>
      </c>
      <c r="Q58" s="9">
        <v>0</v>
      </c>
      <c r="R58" s="9">
        <v>8</v>
      </c>
      <c r="S58" s="9">
        <v>10.5</v>
      </c>
      <c r="T58" s="9">
        <v>1</v>
      </c>
      <c r="U58" s="9">
        <v>1</v>
      </c>
      <c r="V58" s="9">
        <v>1</v>
      </c>
      <c r="W58" s="9">
        <v>0</v>
      </c>
      <c r="X58" s="9">
        <v>3</v>
      </c>
      <c r="Y58" s="9">
        <v>0</v>
      </c>
      <c r="Z58" s="9">
        <v>1</v>
      </c>
      <c r="AA58" s="9">
        <v>0.59649099999999999</v>
      </c>
      <c r="AB58" s="9">
        <v>2</v>
      </c>
      <c r="AC58" s="9">
        <v>2</v>
      </c>
      <c r="AD58" s="9">
        <v>12</v>
      </c>
      <c r="AE58" s="9">
        <v>2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</row>
    <row r="59" spans="1:45" ht="15" hidden="1" customHeight="1" outlineLevel="1" x14ac:dyDescent="0.35">
      <c r="A59" t="s">
        <v>12</v>
      </c>
      <c r="B59" t="s">
        <v>16</v>
      </c>
      <c r="C59" t="s">
        <v>18</v>
      </c>
      <c r="D59" t="s">
        <v>141</v>
      </c>
      <c r="E59" t="s">
        <v>103</v>
      </c>
      <c r="F59" s="9">
        <v>16</v>
      </c>
      <c r="G59" s="9">
        <v>10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-1.06581410364015E-14</v>
      </c>
      <c r="O59" s="9">
        <v>10</v>
      </c>
      <c r="P59" s="9">
        <v>0</v>
      </c>
      <c r="Q59" s="9">
        <v>10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11</v>
      </c>
      <c r="Y59" s="9">
        <v>20</v>
      </c>
      <c r="Z59" s="9">
        <v>13</v>
      </c>
      <c r="AA59" s="9">
        <v>18</v>
      </c>
      <c r="AB59" s="9">
        <v>18</v>
      </c>
      <c r="AC59" s="9">
        <v>18</v>
      </c>
      <c r="AD59" s="9">
        <v>29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</row>
    <row r="60" spans="1:45" ht="15" hidden="1" customHeight="1" outlineLevel="1" x14ac:dyDescent="0.35">
      <c r="A60" t="s">
        <v>12</v>
      </c>
      <c r="B60" t="s">
        <v>16</v>
      </c>
      <c r="C60" t="s">
        <v>18</v>
      </c>
      <c r="D60" t="s">
        <v>141</v>
      </c>
      <c r="E60" t="s">
        <v>99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2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6</v>
      </c>
      <c r="V60" s="9">
        <v>0</v>
      </c>
      <c r="W60" s="9">
        <v>0</v>
      </c>
      <c r="X60" s="9">
        <v>0</v>
      </c>
      <c r="Y60" s="9">
        <v>0</v>
      </c>
      <c r="Z60" s="9">
        <v>5</v>
      </c>
      <c r="AA60" s="9">
        <v>5</v>
      </c>
      <c r="AB60" s="9">
        <v>5</v>
      </c>
      <c r="AC60" s="9">
        <v>10</v>
      </c>
      <c r="AD60" s="9">
        <v>10</v>
      </c>
      <c r="AE60" s="9">
        <v>10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</row>
    <row r="61" spans="1:45" ht="15" customHeight="1" collapsed="1" x14ac:dyDescent="0.35">
      <c r="A61" s="3" t="s">
        <v>12</v>
      </c>
      <c r="B61" s="3" t="s">
        <v>16</v>
      </c>
      <c r="C61" s="3" t="s">
        <v>25</v>
      </c>
      <c r="D61" s="3" t="s">
        <v>76</v>
      </c>
      <c r="E61" s="3" t="s">
        <v>77</v>
      </c>
      <c r="F61" s="7">
        <f t="shared" ref="F61:AS61" si="7">SUM(F62,F63,F64,F65,F66,F67,F68,F69,F70,F71,F72,F73)</f>
        <v>32.850876999999997</v>
      </c>
      <c r="G61" s="7">
        <f t="shared" si="7"/>
        <v>25.754386</v>
      </c>
      <c r="H61" s="7">
        <f t="shared" si="7"/>
        <v>13.754386</v>
      </c>
      <c r="I61" s="7">
        <f t="shared" si="7"/>
        <v>9.7543860000000002</v>
      </c>
      <c r="J61" s="7">
        <f t="shared" si="7"/>
        <v>4.7543860000000002</v>
      </c>
      <c r="K61" s="7">
        <f t="shared" si="7"/>
        <v>11.454386</v>
      </c>
      <c r="L61" s="7">
        <f t="shared" si="7"/>
        <v>10.854386</v>
      </c>
      <c r="M61" s="7">
        <f t="shared" si="7"/>
        <v>40</v>
      </c>
      <c r="N61" s="7">
        <f t="shared" si="7"/>
        <v>40</v>
      </c>
      <c r="O61" s="7">
        <f t="shared" si="7"/>
        <v>15.854386</v>
      </c>
      <c r="P61" s="7">
        <f t="shared" si="7"/>
        <v>7.7543860000000002</v>
      </c>
      <c r="Q61" s="7">
        <f t="shared" si="7"/>
        <v>14.407895</v>
      </c>
      <c r="R61" s="7">
        <f t="shared" si="7"/>
        <v>1.7543859999999998</v>
      </c>
      <c r="S61" s="7">
        <f t="shared" si="7"/>
        <v>19.657895</v>
      </c>
      <c r="T61" s="7">
        <f t="shared" si="7"/>
        <v>19.754386</v>
      </c>
      <c r="U61" s="7">
        <f t="shared" si="7"/>
        <v>25.754386</v>
      </c>
      <c r="V61" s="7">
        <f t="shared" si="7"/>
        <v>1.7543859999999998</v>
      </c>
      <c r="W61" s="7">
        <f t="shared" si="7"/>
        <v>1.7543859999999998</v>
      </c>
      <c r="X61" s="7">
        <f t="shared" si="7"/>
        <v>39.103509000000003</v>
      </c>
      <c r="Y61" s="7">
        <f t="shared" si="7"/>
        <v>55</v>
      </c>
      <c r="Z61" s="7">
        <f t="shared" si="7"/>
        <v>51.103509000000003</v>
      </c>
      <c r="AA61" s="7">
        <f t="shared" si="7"/>
        <v>51.403509</v>
      </c>
      <c r="AB61" s="7">
        <f t="shared" si="7"/>
        <v>49.403509</v>
      </c>
      <c r="AC61" s="7">
        <f t="shared" si="7"/>
        <v>55</v>
      </c>
      <c r="AD61" s="7">
        <f t="shared" si="7"/>
        <v>55</v>
      </c>
      <c r="AE61" s="7">
        <f t="shared" si="7"/>
        <v>34.903509</v>
      </c>
      <c r="AF61" s="7">
        <f t="shared" si="7"/>
        <v>8.603508999999999</v>
      </c>
      <c r="AG61" s="7">
        <f t="shared" si="7"/>
        <v>12.503508999999999</v>
      </c>
      <c r="AH61" s="7">
        <f t="shared" si="7"/>
        <v>14.403509</v>
      </c>
      <c r="AI61" s="7">
        <f t="shared" si="7"/>
        <v>8.5035089999999993</v>
      </c>
      <c r="AJ61" s="7">
        <f t="shared" si="7"/>
        <v>7.0035089999999993</v>
      </c>
      <c r="AK61" s="7">
        <f t="shared" si="7"/>
        <v>5.303509</v>
      </c>
      <c r="AL61" s="7">
        <f t="shared" si="7"/>
        <v>3.2035089999999999</v>
      </c>
      <c r="AM61" s="7">
        <f t="shared" si="7"/>
        <v>1.4035089999999999</v>
      </c>
      <c r="AN61" s="7">
        <f t="shared" si="7"/>
        <v>1.4035089999999999</v>
      </c>
      <c r="AO61" s="7">
        <f t="shared" si="7"/>
        <v>1.4035089999999999</v>
      </c>
      <c r="AP61" s="7">
        <f t="shared" si="7"/>
        <v>1.4035089999999999</v>
      </c>
      <c r="AQ61" s="7">
        <f t="shared" si="7"/>
        <v>0</v>
      </c>
      <c r="AR61" s="7">
        <f t="shared" si="7"/>
        <v>0</v>
      </c>
      <c r="AS61" s="7">
        <f t="shared" si="7"/>
        <v>0</v>
      </c>
    </row>
    <row r="62" spans="1:45" ht="15" hidden="1" customHeight="1" outlineLevel="1" x14ac:dyDescent="0.35">
      <c r="A62" t="s">
        <v>12</v>
      </c>
      <c r="B62" t="s">
        <v>16</v>
      </c>
      <c r="C62" t="s">
        <v>25</v>
      </c>
      <c r="D62" t="s">
        <v>141</v>
      </c>
      <c r="E62" t="s">
        <v>79</v>
      </c>
      <c r="F62" s="9">
        <v>5</v>
      </c>
      <c r="G62" s="9">
        <v>1.4035089999999999</v>
      </c>
      <c r="H62" s="9">
        <v>1.4035089999999999</v>
      </c>
      <c r="I62" s="9">
        <v>1.4035089999999999</v>
      </c>
      <c r="J62" s="9">
        <v>1.4035089999999999</v>
      </c>
      <c r="K62" s="9">
        <v>1.4035089999999999</v>
      </c>
      <c r="L62" s="9">
        <v>1.4035089999999999</v>
      </c>
      <c r="M62" s="9">
        <v>1.4035089999999999</v>
      </c>
      <c r="N62" s="9">
        <v>1.4035089999999999</v>
      </c>
      <c r="O62" s="9">
        <v>1.4035089999999999</v>
      </c>
      <c r="P62" s="9">
        <v>1.4035089999999999</v>
      </c>
      <c r="Q62" s="9">
        <v>2.8070179999999998</v>
      </c>
      <c r="R62" s="9">
        <v>1.4035089999999999</v>
      </c>
      <c r="S62" s="9">
        <v>2.8070179999999998</v>
      </c>
      <c r="T62" s="9">
        <v>1.4035089999999999</v>
      </c>
      <c r="U62" s="9">
        <v>1.4035089999999999</v>
      </c>
      <c r="V62" s="9">
        <v>1.4035089999999999</v>
      </c>
      <c r="W62" s="9">
        <v>1.4035089999999999</v>
      </c>
      <c r="X62" s="9">
        <v>1.4035089999999999</v>
      </c>
      <c r="Y62" s="9">
        <v>0</v>
      </c>
      <c r="Z62" s="9">
        <v>1.4035089999999999</v>
      </c>
      <c r="AA62" s="9">
        <v>1.4035089999999999</v>
      </c>
      <c r="AB62" s="9">
        <v>1.4035089999999999</v>
      </c>
      <c r="AC62" s="9">
        <v>0</v>
      </c>
      <c r="AD62" s="9">
        <v>0</v>
      </c>
      <c r="AE62" s="9">
        <v>1.4035089999999999</v>
      </c>
      <c r="AF62" s="9">
        <v>1.4035089999999999</v>
      </c>
      <c r="AG62" s="9">
        <v>1.4035089999999999</v>
      </c>
      <c r="AH62" s="9">
        <v>1.4035089999999999</v>
      </c>
      <c r="AI62" s="9">
        <v>1.4035089999999999</v>
      </c>
      <c r="AJ62" s="9">
        <v>1.4035089999999999</v>
      </c>
      <c r="AK62" s="9">
        <v>1.4035089999999999</v>
      </c>
      <c r="AL62" s="9">
        <v>1.4035089999999999</v>
      </c>
      <c r="AM62" s="9">
        <v>1.4035089999999999</v>
      </c>
      <c r="AN62" s="9">
        <v>1.4035089999999999</v>
      </c>
      <c r="AO62" s="9">
        <v>1.4035089999999999</v>
      </c>
      <c r="AP62" s="9">
        <v>1.4035089999999999</v>
      </c>
      <c r="AQ62" s="9">
        <v>0</v>
      </c>
      <c r="AR62" s="9">
        <v>0</v>
      </c>
      <c r="AS62" s="9">
        <v>0</v>
      </c>
    </row>
    <row r="63" spans="1:45" ht="15" hidden="1" customHeight="1" outlineLevel="1" x14ac:dyDescent="0.35">
      <c r="A63" t="s">
        <v>12</v>
      </c>
      <c r="B63" t="s">
        <v>16</v>
      </c>
      <c r="C63" t="s">
        <v>25</v>
      </c>
      <c r="D63" t="s">
        <v>141</v>
      </c>
      <c r="E63" t="s">
        <v>80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2</v>
      </c>
      <c r="O63" s="9">
        <v>3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2</v>
      </c>
      <c r="Y63" s="9">
        <v>1.9</v>
      </c>
      <c r="Z63" s="9">
        <v>2</v>
      </c>
      <c r="AA63" s="9">
        <v>2</v>
      </c>
      <c r="AB63" s="9">
        <v>0</v>
      </c>
      <c r="AC63" s="9">
        <v>0</v>
      </c>
      <c r="AD63" s="9">
        <v>0</v>
      </c>
      <c r="AE63" s="9">
        <v>0</v>
      </c>
      <c r="AF63" s="9">
        <v>5</v>
      </c>
      <c r="AG63" s="9">
        <v>8</v>
      </c>
      <c r="AH63" s="9">
        <v>9</v>
      </c>
      <c r="AI63" s="9">
        <v>2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</row>
    <row r="64" spans="1:45" ht="15" hidden="1" customHeight="1" outlineLevel="1" x14ac:dyDescent="0.35">
      <c r="A64" t="s">
        <v>12</v>
      </c>
      <c r="B64" t="s">
        <v>16</v>
      </c>
      <c r="C64" t="s">
        <v>25</v>
      </c>
      <c r="D64" t="s">
        <v>141</v>
      </c>
      <c r="E64" t="s">
        <v>81</v>
      </c>
      <c r="F64" s="9">
        <v>0.35087699999999999</v>
      </c>
      <c r="G64" s="9">
        <v>0.35087699999999999</v>
      </c>
      <c r="H64" s="9">
        <v>0.35087699999999999</v>
      </c>
      <c r="I64" s="9">
        <v>0.35087699999999999</v>
      </c>
      <c r="J64" s="9">
        <v>0.35087699999999999</v>
      </c>
      <c r="K64" s="9">
        <v>0.35087699999999999</v>
      </c>
      <c r="L64" s="9">
        <v>0.35087699999999999</v>
      </c>
      <c r="M64" s="9">
        <v>0.35087699999999999</v>
      </c>
      <c r="N64" s="9">
        <v>0.35087699999999999</v>
      </c>
      <c r="O64" s="9">
        <v>0.35087699999999999</v>
      </c>
      <c r="P64" s="9">
        <v>0.35087699999999999</v>
      </c>
      <c r="Q64" s="9">
        <v>0.60087699999999999</v>
      </c>
      <c r="R64" s="9">
        <v>0.35087699999999999</v>
      </c>
      <c r="S64" s="9">
        <v>0.35087699999999999</v>
      </c>
      <c r="T64" s="9">
        <v>0.35087699999999999</v>
      </c>
      <c r="U64" s="9">
        <v>0.35087699999999999</v>
      </c>
      <c r="V64" s="9">
        <v>0.35087699999999999</v>
      </c>
      <c r="W64" s="9">
        <v>0.35087699999999999</v>
      </c>
      <c r="X64" s="9">
        <v>0.6</v>
      </c>
      <c r="Y64" s="9">
        <v>0</v>
      </c>
      <c r="Z64" s="9">
        <v>0.7</v>
      </c>
      <c r="AA64" s="9">
        <v>1</v>
      </c>
      <c r="AB64" s="9">
        <v>1</v>
      </c>
      <c r="AC64" s="9">
        <v>0</v>
      </c>
      <c r="AD64" s="9">
        <v>0</v>
      </c>
      <c r="AE64" s="9">
        <v>0.8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</row>
    <row r="65" spans="1:45" ht="15" hidden="1" customHeight="1" outlineLevel="1" x14ac:dyDescent="0.35">
      <c r="A65" t="s">
        <v>12</v>
      </c>
      <c r="B65" t="s">
        <v>16</v>
      </c>
      <c r="C65" t="s">
        <v>25</v>
      </c>
      <c r="D65" t="s">
        <v>141</v>
      </c>
      <c r="E65" t="s">
        <v>102</v>
      </c>
      <c r="F65" s="9">
        <v>0</v>
      </c>
      <c r="G65" s="9">
        <v>6</v>
      </c>
      <c r="H65" s="9">
        <v>7</v>
      </c>
      <c r="I65" s="9">
        <v>7</v>
      </c>
      <c r="J65" s="9">
        <v>2</v>
      </c>
      <c r="K65" s="9">
        <v>1</v>
      </c>
      <c r="L65" s="9">
        <v>1</v>
      </c>
      <c r="M65" s="9">
        <v>2</v>
      </c>
      <c r="N65" s="9">
        <v>2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2</v>
      </c>
      <c r="U65" s="9">
        <v>2</v>
      </c>
      <c r="V65" s="9">
        <v>0</v>
      </c>
      <c r="W65" s="9">
        <v>0</v>
      </c>
      <c r="X65" s="9">
        <v>2</v>
      </c>
      <c r="Y65" s="9">
        <v>3</v>
      </c>
      <c r="Z65" s="9">
        <v>3</v>
      </c>
      <c r="AA65" s="9">
        <v>5</v>
      </c>
      <c r="AB65" s="9">
        <v>5</v>
      </c>
      <c r="AC65" s="9">
        <v>5</v>
      </c>
      <c r="AD65" s="9">
        <v>0</v>
      </c>
      <c r="AE65" s="9">
        <v>5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</row>
    <row r="66" spans="1:45" ht="15" hidden="1" customHeight="1" outlineLevel="1" x14ac:dyDescent="0.35">
      <c r="A66" t="s">
        <v>12</v>
      </c>
      <c r="B66" t="s">
        <v>16</v>
      </c>
      <c r="C66" t="s">
        <v>25</v>
      </c>
      <c r="D66" t="s">
        <v>141</v>
      </c>
      <c r="E66" t="s">
        <v>40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1.1000000000000001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5</v>
      </c>
      <c r="AD66" s="9">
        <v>0</v>
      </c>
      <c r="AE66" s="9">
        <v>5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</row>
    <row r="67" spans="1:45" ht="15" hidden="1" customHeight="1" outlineLevel="1" x14ac:dyDescent="0.35">
      <c r="A67" t="s">
        <v>12</v>
      </c>
      <c r="B67" t="s">
        <v>16</v>
      </c>
      <c r="C67" t="s">
        <v>25</v>
      </c>
      <c r="D67" t="s">
        <v>141</v>
      </c>
      <c r="E67" t="s">
        <v>103</v>
      </c>
      <c r="F67" s="9">
        <v>8</v>
      </c>
      <c r="G67" s="9">
        <v>10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15</v>
      </c>
      <c r="N67" s="9">
        <v>18.145613999999998</v>
      </c>
      <c r="O67" s="9">
        <v>5</v>
      </c>
      <c r="P67" s="9">
        <v>0</v>
      </c>
      <c r="Q67" s="9">
        <v>5</v>
      </c>
      <c r="R67" s="9">
        <v>0</v>
      </c>
      <c r="S67" s="9">
        <v>0</v>
      </c>
      <c r="T67" s="9">
        <v>5</v>
      </c>
      <c r="U67" s="9">
        <v>5</v>
      </c>
      <c r="V67" s="9">
        <v>0</v>
      </c>
      <c r="W67" s="9">
        <v>0</v>
      </c>
      <c r="X67" s="9">
        <v>17</v>
      </c>
      <c r="Y67" s="9">
        <v>25</v>
      </c>
      <c r="Z67" s="9">
        <v>23</v>
      </c>
      <c r="AA67" s="9">
        <v>25</v>
      </c>
      <c r="AB67" s="9">
        <v>25</v>
      </c>
      <c r="AC67" s="9">
        <v>25</v>
      </c>
      <c r="AD67" s="9">
        <v>35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</row>
    <row r="68" spans="1:45" ht="15" hidden="1" customHeight="1" outlineLevel="1" x14ac:dyDescent="0.35">
      <c r="A68" t="s">
        <v>12</v>
      </c>
      <c r="B68" t="s">
        <v>16</v>
      </c>
      <c r="C68" t="s">
        <v>25</v>
      </c>
      <c r="D68" t="s">
        <v>141</v>
      </c>
      <c r="E68" t="s">
        <v>98</v>
      </c>
      <c r="F68" s="9">
        <v>4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1</v>
      </c>
      <c r="T68" s="9">
        <v>0</v>
      </c>
      <c r="U68" s="9">
        <v>1</v>
      </c>
      <c r="V68" s="9">
        <v>0</v>
      </c>
      <c r="W68" s="9">
        <v>0</v>
      </c>
      <c r="X68" s="9">
        <v>2</v>
      </c>
      <c r="Y68" s="9">
        <v>2</v>
      </c>
      <c r="Z68" s="9">
        <v>2</v>
      </c>
      <c r="AA68" s="9">
        <v>2</v>
      </c>
      <c r="AB68" s="9">
        <v>2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</row>
    <row r="69" spans="1:45" ht="15" hidden="1" customHeight="1" outlineLevel="1" x14ac:dyDescent="0.35">
      <c r="A69" t="s">
        <v>12</v>
      </c>
      <c r="B69" t="s">
        <v>16</v>
      </c>
      <c r="C69" t="s">
        <v>25</v>
      </c>
      <c r="D69" t="s">
        <v>141</v>
      </c>
      <c r="E69" t="s">
        <v>99</v>
      </c>
      <c r="F69" s="9">
        <v>7.5</v>
      </c>
      <c r="G69" s="9">
        <v>4</v>
      </c>
      <c r="H69" s="9">
        <v>3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1.4</v>
      </c>
      <c r="T69" s="9">
        <v>0</v>
      </c>
      <c r="U69" s="9">
        <v>3</v>
      </c>
      <c r="V69" s="9">
        <v>0</v>
      </c>
      <c r="W69" s="9">
        <v>0</v>
      </c>
      <c r="X69" s="9">
        <v>2</v>
      </c>
      <c r="Y69" s="9">
        <v>15</v>
      </c>
      <c r="Z69" s="9">
        <v>15</v>
      </c>
      <c r="AA69" s="9">
        <v>15</v>
      </c>
      <c r="AB69" s="9">
        <v>15</v>
      </c>
      <c r="AC69" s="9">
        <v>20</v>
      </c>
      <c r="AD69" s="9">
        <v>20</v>
      </c>
      <c r="AE69" s="9">
        <v>20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</row>
    <row r="70" spans="1:45" ht="15" hidden="1" customHeight="1" outlineLevel="1" x14ac:dyDescent="0.35">
      <c r="A70" t="s">
        <v>12</v>
      </c>
      <c r="B70" t="s">
        <v>16</v>
      </c>
      <c r="C70" t="s">
        <v>25</v>
      </c>
      <c r="D70" t="s">
        <v>141</v>
      </c>
      <c r="E70" t="s">
        <v>106</v>
      </c>
      <c r="F70" s="9">
        <v>4</v>
      </c>
      <c r="G70" s="9">
        <v>0</v>
      </c>
      <c r="H70" s="9">
        <v>0</v>
      </c>
      <c r="I70" s="9">
        <v>0</v>
      </c>
      <c r="J70" s="9">
        <v>0</v>
      </c>
      <c r="K70" s="9">
        <v>8</v>
      </c>
      <c r="L70" s="9">
        <v>8</v>
      </c>
      <c r="M70" s="9">
        <v>6</v>
      </c>
      <c r="N70" s="9">
        <v>6</v>
      </c>
      <c r="O70" s="9">
        <v>6</v>
      </c>
      <c r="P70" s="9">
        <v>6</v>
      </c>
      <c r="Q70" s="9">
        <v>6</v>
      </c>
      <c r="R70" s="9">
        <v>0</v>
      </c>
      <c r="S70" s="9">
        <v>6</v>
      </c>
      <c r="T70" s="9">
        <v>4</v>
      </c>
      <c r="U70" s="9">
        <v>6</v>
      </c>
      <c r="V70" s="9">
        <v>0</v>
      </c>
      <c r="W70" s="9">
        <v>0</v>
      </c>
      <c r="X70" s="9">
        <v>8</v>
      </c>
      <c r="Y70" s="9">
        <v>8</v>
      </c>
      <c r="Z70" s="9">
        <v>4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</row>
    <row r="71" spans="1:45" ht="15" hidden="1" customHeight="1" outlineLevel="1" x14ac:dyDescent="0.35">
      <c r="A71" t="s">
        <v>12</v>
      </c>
      <c r="B71" t="s">
        <v>16</v>
      </c>
      <c r="C71" t="s">
        <v>25</v>
      </c>
      <c r="D71" t="s">
        <v>141</v>
      </c>
      <c r="E71" t="s">
        <v>100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2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</row>
    <row r="72" spans="1:45" ht="15" hidden="1" customHeight="1" outlineLevel="1" x14ac:dyDescent="0.35">
      <c r="A72" t="s">
        <v>12</v>
      </c>
      <c r="B72" t="s">
        <v>16</v>
      </c>
      <c r="C72" t="s">
        <v>25</v>
      </c>
      <c r="D72" t="s">
        <v>141</v>
      </c>
      <c r="E72" t="s">
        <v>88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15.245614</v>
      </c>
      <c r="N72" s="9">
        <v>10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</row>
    <row r="73" spans="1:45" ht="15" hidden="1" customHeight="1" outlineLevel="1" x14ac:dyDescent="0.35">
      <c r="A73" t="s">
        <v>12</v>
      </c>
      <c r="B73" t="s">
        <v>16</v>
      </c>
      <c r="C73" t="s">
        <v>25</v>
      </c>
      <c r="D73" t="s">
        <v>141</v>
      </c>
      <c r="E73" t="s">
        <v>107</v>
      </c>
      <c r="F73" s="9">
        <v>4</v>
      </c>
      <c r="G73" s="9">
        <v>4</v>
      </c>
      <c r="H73" s="9">
        <v>2</v>
      </c>
      <c r="I73" s="9">
        <v>1</v>
      </c>
      <c r="J73" s="9">
        <v>1</v>
      </c>
      <c r="K73" s="9">
        <v>0.7</v>
      </c>
      <c r="L73" s="9">
        <v>0.1</v>
      </c>
      <c r="M73" s="9">
        <v>0</v>
      </c>
      <c r="N73" s="9">
        <v>0.1</v>
      </c>
      <c r="O73" s="9">
        <v>0.1</v>
      </c>
      <c r="P73" s="9">
        <v>0</v>
      </c>
      <c r="Q73" s="9">
        <v>0</v>
      </c>
      <c r="R73" s="9">
        <v>0</v>
      </c>
      <c r="S73" s="9">
        <v>7</v>
      </c>
      <c r="T73" s="9">
        <v>7</v>
      </c>
      <c r="U73" s="9">
        <v>7</v>
      </c>
      <c r="V73" s="9">
        <v>0</v>
      </c>
      <c r="W73" s="9">
        <v>0</v>
      </c>
      <c r="X73" s="9">
        <v>4.0999999999999996</v>
      </c>
      <c r="Y73" s="9">
        <v>0.1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0.7</v>
      </c>
      <c r="AF73" s="9">
        <v>2.2000000000000002</v>
      </c>
      <c r="AG73" s="9">
        <v>3.1</v>
      </c>
      <c r="AH73" s="9">
        <v>4</v>
      </c>
      <c r="AI73" s="9">
        <v>5.0999999999999996</v>
      </c>
      <c r="AJ73" s="9">
        <v>5.6</v>
      </c>
      <c r="AK73" s="9">
        <v>3.9</v>
      </c>
      <c r="AL73" s="9">
        <v>1.8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</row>
    <row r="74" spans="1:45" ht="15" customHeight="1" collapsed="1" x14ac:dyDescent="0.35">
      <c r="A74" s="3" t="s">
        <v>29</v>
      </c>
      <c r="B74" s="3" t="s">
        <v>10</v>
      </c>
      <c r="C74" s="3" t="s">
        <v>143</v>
      </c>
      <c r="D74" s="3" t="s">
        <v>76</v>
      </c>
      <c r="E74" s="3" t="s">
        <v>77</v>
      </c>
      <c r="F74" s="7">
        <f t="shared" ref="F74:AS74" si="8">SUM(F75)</f>
        <v>0</v>
      </c>
      <c r="G74" s="7">
        <f t="shared" si="8"/>
        <v>0</v>
      </c>
      <c r="H74" s="7">
        <f t="shared" si="8"/>
        <v>0</v>
      </c>
      <c r="I74" s="7">
        <f t="shared" si="8"/>
        <v>0</v>
      </c>
      <c r="J74" s="7">
        <f t="shared" si="8"/>
        <v>0</v>
      </c>
      <c r="K74" s="7">
        <f t="shared" si="8"/>
        <v>0</v>
      </c>
      <c r="L74" s="7">
        <f t="shared" si="8"/>
        <v>0</v>
      </c>
      <c r="M74" s="7">
        <f t="shared" si="8"/>
        <v>10</v>
      </c>
      <c r="N74" s="7">
        <f t="shared" si="8"/>
        <v>10</v>
      </c>
      <c r="O74" s="7">
        <f t="shared" si="8"/>
        <v>0</v>
      </c>
      <c r="P74" s="7">
        <f t="shared" si="8"/>
        <v>0</v>
      </c>
      <c r="Q74" s="7">
        <f t="shared" si="8"/>
        <v>0</v>
      </c>
      <c r="R74" s="7">
        <f t="shared" si="8"/>
        <v>0</v>
      </c>
      <c r="S74" s="7">
        <f t="shared" si="8"/>
        <v>0</v>
      </c>
      <c r="T74" s="7">
        <f t="shared" si="8"/>
        <v>0</v>
      </c>
      <c r="U74" s="7">
        <f t="shared" si="8"/>
        <v>0</v>
      </c>
      <c r="V74" s="7">
        <f t="shared" si="8"/>
        <v>0</v>
      </c>
      <c r="W74" s="7">
        <f t="shared" si="8"/>
        <v>0</v>
      </c>
      <c r="X74" s="7">
        <f t="shared" si="8"/>
        <v>0</v>
      </c>
      <c r="Y74" s="7">
        <f t="shared" si="8"/>
        <v>0</v>
      </c>
      <c r="Z74" s="7">
        <f t="shared" si="8"/>
        <v>0</v>
      </c>
      <c r="AA74" s="7">
        <f t="shared" si="8"/>
        <v>0</v>
      </c>
      <c r="AB74" s="7">
        <f t="shared" si="8"/>
        <v>10</v>
      </c>
      <c r="AC74" s="7">
        <f t="shared" si="8"/>
        <v>10</v>
      </c>
      <c r="AD74" s="7">
        <f t="shared" si="8"/>
        <v>10</v>
      </c>
      <c r="AE74" s="7">
        <f t="shared" si="8"/>
        <v>0</v>
      </c>
      <c r="AF74" s="7">
        <f t="shared" si="8"/>
        <v>0</v>
      </c>
      <c r="AG74" s="7">
        <f t="shared" si="8"/>
        <v>0</v>
      </c>
      <c r="AH74" s="7">
        <f t="shared" si="8"/>
        <v>0</v>
      </c>
      <c r="AI74" s="7">
        <f t="shared" si="8"/>
        <v>0</v>
      </c>
      <c r="AJ74" s="7">
        <f t="shared" si="8"/>
        <v>0</v>
      </c>
      <c r="AK74" s="7">
        <f t="shared" si="8"/>
        <v>0</v>
      </c>
      <c r="AL74" s="7">
        <f t="shared" si="8"/>
        <v>0</v>
      </c>
      <c r="AM74" s="7">
        <f t="shared" si="8"/>
        <v>0</v>
      </c>
      <c r="AN74" s="7">
        <f t="shared" si="8"/>
        <v>0</v>
      </c>
      <c r="AO74" s="7">
        <f t="shared" si="8"/>
        <v>0</v>
      </c>
      <c r="AP74" s="7">
        <f t="shared" si="8"/>
        <v>0</v>
      </c>
      <c r="AQ74" s="7">
        <f t="shared" si="8"/>
        <v>0</v>
      </c>
      <c r="AR74" s="7">
        <f t="shared" si="8"/>
        <v>0</v>
      </c>
      <c r="AS74" s="7">
        <f t="shared" si="8"/>
        <v>0</v>
      </c>
    </row>
    <row r="75" spans="1:45" ht="15" hidden="1" customHeight="1" outlineLevel="1" x14ac:dyDescent="0.35">
      <c r="A75" t="s">
        <v>29</v>
      </c>
      <c r="B75" t="s">
        <v>10</v>
      </c>
      <c r="C75" t="s">
        <v>143</v>
      </c>
      <c r="D75" t="s">
        <v>141</v>
      </c>
      <c r="E75" t="s">
        <v>92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10</v>
      </c>
      <c r="N75" s="9">
        <v>10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10</v>
      </c>
      <c r="AC75" s="9">
        <v>10</v>
      </c>
      <c r="AD75" s="9">
        <v>10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</row>
    <row r="76" spans="1:45" ht="15" customHeight="1" collapsed="1" x14ac:dyDescent="0.35">
      <c r="A76" s="3" t="s">
        <v>12</v>
      </c>
      <c r="B76" s="3" t="s">
        <v>10</v>
      </c>
      <c r="C76" s="3" t="s">
        <v>9</v>
      </c>
      <c r="D76" s="3" t="s">
        <v>76</v>
      </c>
      <c r="E76" s="3" t="s">
        <v>77</v>
      </c>
      <c r="F76" s="7">
        <f t="shared" ref="F76:AS76" si="9">SUM(F77,F78,F79,F80,F81,F82,F83,F84,F85)</f>
        <v>25</v>
      </c>
      <c r="G76" s="7">
        <f t="shared" si="9"/>
        <v>22</v>
      </c>
      <c r="H76" s="7">
        <f t="shared" si="9"/>
        <v>12</v>
      </c>
      <c r="I76" s="7">
        <f t="shared" si="9"/>
        <v>0</v>
      </c>
      <c r="J76" s="7">
        <f t="shared" si="9"/>
        <v>8</v>
      </c>
      <c r="K76" s="7">
        <f t="shared" si="9"/>
        <v>0.5</v>
      </c>
      <c r="L76" s="7">
        <f t="shared" si="9"/>
        <v>3</v>
      </c>
      <c r="M76" s="7">
        <f t="shared" si="9"/>
        <v>23.114035000000001</v>
      </c>
      <c r="N76" s="7">
        <f t="shared" si="9"/>
        <v>20.614035000000001</v>
      </c>
      <c r="O76" s="7">
        <f t="shared" si="9"/>
        <v>20.5</v>
      </c>
      <c r="P76" s="7">
        <f t="shared" si="9"/>
        <v>25</v>
      </c>
      <c r="Q76" s="7">
        <f t="shared" si="9"/>
        <v>24</v>
      </c>
      <c r="R76" s="7">
        <f t="shared" si="9"/>
        <v>22</v>
      </c>
      <c r="S76" s="7">
        <f t="shared" si="9"/>
        <v>40</v>
      </c>
      <c r="T76" s="7">
        <f t="shared" si="9"/>
        <v>40</v>
      </c>
      <c r="U76" s="7">
        <f t="shared" si="9"/>
        <v>15.5</v>
      </c>
      <c r="V76" s="7">
        <f t="shared" si="9"/>
        <v>3</v>
      </c>
      <c r="W76" s="7">
        <f t="shared" si="9"/>
        <v>0</v>
      </c>
      <c r="X76" s="7">
        <f t="shared" si="9"/>
        <v>0</v>
      </c>
      <c r="Y76" s="7">
        <f t="shared" si="9"/>
        <v>14</v>
      </c>
      <c r="Z76" s="7">
        <f t="shared" si="9"/>
        <v>31.5</v>
      </c>
      <c r="AA76" s="7">
        <f t="shared" si="9"/>
        <v>30.5</v>
      </c>
      <c r="AB76" s="7">
        <f t="shared" si="9"/>
        <v>55</v>
      </c>
      <c r="AC76" s="7">
        <f t="shared" si="9"/>
        <v>55</v>
      </c>
      <c r="AD76" s="7">
        <f t="shared" si="9"/>
        <v>55</v>
      </c>
      <c r="AE76" s="7">
        <f t="shared" si="9"/>
        <v>12.5</v>
      </c>
      <c r="AF76" s="7">
        <f t="shared" si="9"/>
        <v>0</v>
      </c>
      <c r="AG76" s="7">
        <f t="shared" si="9"/>
        <v>0</v>
      </c>
      <c r="AH76" s="7">
        <f t="shared" si="9"/>
        <v>0</v>
      </c>
      <c r="AI76" s="7">
        <f t="shared" si="9"/>
        <v>0</v>
      </c>
      <c r="AJ76" s="7">
        <f t="shared" si="9"/>
        <v>0</v>
      </c>
      <c r="AK76" s="7">
        <f t="shared" si="9"/>
        <v>0</v>
      </c>
      <c r="AL76" s="7">
        <f t="shared" si="9"/>
        <v>0</v>
      </c>
      <c r="AM76" s="7">
        <f t="shared" si="9"/>
        <v>0</v>
      </c>
      <c r="AN76" s="7">
        <f t="shared" si="9"/>
        <v>0</v>
      </c>
      <c r="AO76" s="7">
        <f t="shared" si="9"/>
        <v>0</v>
      </c>
      <c r="AP76" s="7">
        <f t="shared" si="9"/>
        <v>0</v>
      </c>
      <c r="AQ76" s="7">
        <f t="shared" si="9"/>
        <v>0</v>
      </c>
      <c r="AR76" s="7">
        <f t="shared" si="9"/>
        <v>0</v>
      </c>
      <c r="AS76" s="7">
        <f t="shared" si="9"/>
        <v>0</v>
      </c>
    </row>
    <row r="77" spans="1:45" ht="15" hidden="1" customHeight="1" outlineLevel="1" x14ac:dyDescent="0.35">
      <c r="A77" t="s">
        <v>12</v>
      </c>
      <c r="B77" t="s">
        <v>10</v>
      </c>
      <c r="C77" t="s">
        <v>9</v>
      </c>
      <c r="D77" t="s">
        <v>141</v>
      </c>
      <c r="E77" t="s">
        <v>81</v>
      </c>
      <c r="F77" s="9">
        <v>0</v>
      </c>
      <c r="G77" s="9">
        <v>1</v>
      </c>
      <c r="H77" s="9">
        <v>0</v>
      </c>
      <c r="I77" s="9">
        <v>0</v>
      </c>
      <c r="J77" s="9">
        <v>8</v>
      </c>
      <c r="K77" s="9">
        <v>0</v>
      </c>
      <c r="L77" s="9">
        <v>0</v>
      </c>
      <c r="M77" s="9">
        <v>8.6140349999999994</v>
      </c>
      <c r="N77" s="9">
        <v>8.6140349999999994</v>
      </c>
      <c r="O77" s="9">
        <v>8</v>
      </c>
      <c r="P77" s="9">
        <v>2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8</v>
      </c>
      <c r="Z77" s="9">
        <v>25.5</v>
      </c>
      <c r="AA77" s="9">
        <v>9.5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</row>
    <row r="78" spans="1:45" ht="15" hidden="1" customHeight="1" outlineLevel="1" x14ac:dyDescent="0.35">
      <c r="A78" t="s">
        <v>12</v>
      </c>
      <c r="B78" t="s">
        <v>10</v>
      </c>
      <c r="C78" t="s">
        <v>9</v>
      </c>
      <c r="D78" t="s">
        <v>141</v>
      </c>
      <c r="E78" t="s">
        <v>94</v>
      </c>
      <c r="F78" s="9">
        <v>0</v>
      </c>
      <c r="G78" s="9">
        <v>0.5</v>
      </c>
      <c r="H78" s="9">
        <v>0</v>
      </c>
      <c r="I78" s="9">
        <v>0</v>
      </c>
      <c r="J78" s="9">
        <v>0</v>
      </c>
      <c r="K78" s="9">
        <v>0.5</v>
      </c>
      <c r="L78" s="9">
        <v>0</v>
      </c>
      <c r="M78" s="9">
        <v>2</v>
      </c>
      <c r="N78" s="9">
        <v>0</v>
      </c>
      <c r="O78" s="9">
        <v>3</v>
      </c>
      <c r="P78" s="9">
        <v>3</v>
      </c>
      <c r="Q78" s="9">
        <v>1</v>
      </c>
      <c r="R78" s="9">
        <v>0</v>
      </c>
      <c r="S78" s="9">
        <v>7.5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3</v>
      </c>
      <c r="AA78" s="9">
        <v>7</v>
      </c>
      <c r="AB78" s="9">
        <v>0</v>
      </c>
      <c r="AC78" s="9">
        <v>0</v>
      </c>
      <c r="AD78" s="9">
        <v>18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</row>
    <row r="79" spans="1:45" ht="15" hidden="1" customHeight="1" outlineLevel="1" x14ac:dyDescent="0.35">
      <c r="A79" t="s">
        <v>12</v>
      </c>
      <c r="B79" t="s">
        <v>10</v>
      </c>
      <c r="C79" t="s">
        <v>9</v>
      </c>
      <c r="D79" t="s">
        <v>141</v>
      </c>
      <c r="E79" t="s">
        <v>95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3</v>
      </c>
      <c r="M79" s="9">
        <v>0</v>
      </c>
      <c r="N79" s="9">
        <v>2</v>
      </c>
      <c r="O79" s="9">
        <v>2</v>
      </c>
      <c r="P79" s="9">
        <v>7</v>
      </c>
      <c r="Q79" s="9">
        <v>16</v>
      </c>
      <c r="R79" s="9">
        <v>3</v>
      </c>
      <c r="S79" s="9">
        <v>24</v>
      </c>
      <c r="T79" s="9">
        <v>36</v>
      </c>
      <c r="U79" s="9">
        <v>14</v>
      </c>
      <c r="V79" s="9">
        <v>3</v>
      </c>
      <c r="W79" s="9">
        <v>0</v>
      </c>
      <c r="X79" s="9">
        <v>0</v>
      </c>
      <c r="Y79" s="9">
        <v>6</v>
      </c>
      <c r="Z79" s="9">
        <v>3</v>
      </c>
      <c r="AA79" s="9">
        <v>14</v>
      </c>
      <c r="AB79" s="9">
        <v>55</v>
      </c>
      <c r="AC79" s="9">
        <v>55</v>
      </c>
      <c r="AD79" s="9">
        <v>9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</row>
    <row r="80" spans="1:45" ht="15" hidden="1" customHeight="1" outlineLevel="1" x14ac:dyDescent="0.35">
      <c r="A80" t="s">
        <v>12</v>
      </c>
      <c r="B80" t="s">
        <v>10</v>
      </c>
      <c r="C80" t="s">
        <v>9</v>
      </c>
      <c r="D80" t="s">
        <v>141</v>
      </c>
      <c r="E80" t="s">
        <v>84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12.5</v>
      </c>
      <c r="N80" s="9">
        <v>10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</row>
    <row r="81" spans="1:45" ht="15" hidden="1" customHeight="1" outlineLevel="1" x14ac:dyDescent="0.35">
      <c r="A81" t="s">
        <v>12</v>
      </c>
      <c r="B81" t="s">
        <v>10</v>
      </c>
      <c r="C81" t="s">
        <v>9</v>
      </c>
      <c r="D81" t="s">
        <v>141</v>
      </c>
      <c r="E81" t="s">
        <v>40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11.1</v>
      </c>
      <c r="AE81" s="9">
        <v>1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</row>
    <row r="82" spans="1:45" ht="15" hidden="1" customHeight="1" outlineLevel="1" x14ac:dyDescent="0.35">
      <c r="A82" t="s">
        <v>12</v>
      </c>
      <c r="B82" t="s">
        <v>10</v>
      </c>
      <c r="C82" t="s">
        <v>9</v>
      </c>
      <c r="D82" t="s">
        <v>141</v>
      </c>
      <c r="E82" t="s">
        <v>96</v>
      </c>
      <c r="F82" s="9">
        <v>18</v>
      </c>
      <c r="G82" s="9">
        <v>18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8.5</v>
      </c>
      <c r="Q82" s="9">
        <v>3.5</v>
      </c>
      <c r="R82" s="9">
        <v>0</v>
      </c>
      <c r="S82" s="9">
        <v>8.5</v>
      </c>
      <c r="T82" s="9">
        <v>4</v>
      </c>
      <c r="U82" s="9">
        <v>1.5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16.899999999999999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</row>
    <row r="83" spans="1:45" ht="15" hidden="1" customHeight="1" outlineLevel="1" x14ac:dyDescent="0.35">
      <c r="A83" t="s">
        <v>12</v>
      </c>
      <c r="B83" t="s">
        <v>10</v>
      </c>
      <c r="C83" t="s">
        <v>9</v>
      </c>
      <c r="D83" t="s">
        <v>141</v>
      </c>
      <c r="E83" t="s">
        <v>99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3</v>
      </c>
      <c r="P83" s="9">
        <v>1</v>
      </c>
      <c r="Q83" s="9">
        <v>2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</row>
    <row r="84" spans="1:45" ht="15" hidden="1" customHeight="1" outlineLevel="1" x14ac:dyDescent="0.35">
      <c r="A84" t="s">
        <v>12</v>
      </c>
      <c r="B84" t="s">
        <v>10</v>
      </c>
      <c r="C84" t="s">
        <v>9</v>
      </c>
      <c r="D84" t="s">
        <v>141</v>
      </c>
      <c r="E84" t="s">
        <v>43</v>
      </c>
      <c r="F84" s="9">
        <v>3.5</v>
      </c>
      <c r="G84" s="9">
        <v>2.5</v>
      </c>
      <c r="H84" s="9">
        <v>10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3</v>
      </c>
      <c r="Q84" s="9">
        <v>1</v>
      </c>
      <c r="R84" s="9">
        <v>13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11.5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</row>
    <row r="85" spans="1:45" ht="15" hidden="1" customHeight="1" outlineLevel="1" x14ac:dyDescent="0.35">
      <c r="A85" t="s">
        <v>12</v>
      </c>
      <c r="B85" t="s">
        <v>10</v>
      </c>
      <c r="C85" t="s">
        <v>9</v>
      </c>
      <c r="D85" t="s">
        <v>141</v>
      </c>
      <c r="E85" t="s">
        <v>100</v>
      </c>
      <c r="F85" s="9">
        <v>3.5</v>
      </c>
      <c r="G85" s="9">
        <v>0</v>
      </c>
      <c r="H85" s="9">
        <v>2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4.5</v>
      </c>
      <c r="P85" s="9">
        <v>0.5</v>
      </c>
      <c r="Q85" s="9">
        <v>0.5</v>
      </c>
      <c r="R85" s="9">
        <v>6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</row>
    <row r="86" spans="1:45" ht="15" customHeight="1" collapsed="1" x14ac:dyDescent="0.35">
      <c r="A86" s="3" t="s">
        <v>12</v>
      </c>
      <c r="B86" s="3" t="s">
        <v>10</v>
      </c>
      <c r="C86" s="3" t="s">
        <v>36</v>
      </c>
      <c r="D86" s="3" t="s">
        <v>76</v>
      </c>
      <c r="E86" s="3" t="s">
        <v>77</v>
      </c>
      <c r="F86" s="7">
        <f t="shared" ref="F86:AS86" si="10">SUM(F87,F88,F89,F90,F91,F92,F93,F94,F95)</f>
        <v>31</v>
      </c>
      <c r="G86" s="7">
        <f t="shared" si="10"/>
        <v>23.5</v>
      </c>
      <c r="H86" s="7">
        <f t="shared" si="10"/>
        <v>13.5</v>
      </c>
      <c r="I86" s="7">
        <f t="shared" si="10"/>
        <v>0</v>
      </c>
      <c r="J86" s="7">
        <f t="shared" si="10"/>
        <v>0</v>
      </c>
      <c r="K86" s="7">
        <f t="shared" si="10"/>
        <v>0.4</v>
      </c>
      <c r="L86" s="7">
        <f t="shared" si="10"/>
        <v>0</v>
      </c>
      <c r="M86" s="7">
        <f t="shared" si="10"/>
        <v>40</v>
      </c>
      <c r="N86" s="7">
        <f t="shared" si="10"/>
        <v>40</v>
      </c>
      <c r="O86" s="7">
        <f t="shared" si="10"/>
        <v>18</v>
      </c>
      <c r="P86" s="7">
        <f t="shared" si="10"/>
        <v>28</v>
      </c>
      <c r="Q86" s="7">
        <f t="shared" si="10"/>
        <v>25</v>
      </c>
      <c r="R86" s="7">
        <f t="shared" si="10"/>
        <v>2.5</v>
      </c>
      <c r="S86" s="7">
        <f t="shared" si="10"/>
        <v>9.5</v>
      </c>
      <c r="T86" s="7">
        <f t="shared" si="10"/>
        <v>12</v>
      </c>
      <c r="U86" s="7">
        <f t="shared" si="10"/>
        <v>12</v>
      </c>
      <c r="V86" s="7">
        <f t="shared" si="10"/>
        <v>0</v>
      </c>
      <c r="W86" s="7">
        <f t="shared" si="10"/>
        <v>0</v>
      </c>
      <c r="X86" s="7">
        <f t="shared" si="10"/>
        <v>7.5</v>
      </c>
      <c r="Y86" s="7">
        <f t="shared" si="10"/>
        <v>33</v>
      </c>
      <c r="Z86" s="7">
        <f t="shared" si="10"/>
        <v>45</v>
      </c>
      <c r="AA86" s="7">
        <f t="shared" si="10"/>
        <v>44</v>
      </c>
      <c r="AB86" s="7">
        <f t="shared" si="10"/>
        <v>55</v>
      </c>
      <c r="AC86" s="7">
        <f t="shared" si="10"/>
        <v>55</v>
      </c>
      <c r="AD86" s="7">
        <f t="shared" si="10"/>
        <v>54</v>
      </c>
      <c r="AE86" s="7">
        <f t="shared" si="10"/>
        <v>28</v>
      </c>
      <c r="AF86" s="7">
        <f t="shared" si="10"/>
        <v>0</v>
      </c>
      <c r="AG86" s="7">
        <f t="shared" si="10"/>
        <v>0</v>
      </c>
      <c r="AH86" s="7">
        <f t="shared" si="10"/>
        <v>0</v>
      </c>
      <c r="AI86" s="7">
        <f t="shared" si="10"/>
        <v>0</v>
      </c>
      <c r="AJ86" s="7">
        <f t="shared" si="10"/>
        <v>0</v>
      </c>
      <c r="AK86" s="7">
        <f t="shared" si="10"/>
        <v>0</v>
      </c>
      <c r="AL86" s="7">
        <f t="shared" si="10"/>
        <v>0</v>
      </c>
      <c r="AM86" s="7">
        <f t="shared" si="10"/>
        <v>0</v>
      </c>
      <c r="AN86" s="7">
        <f t="shared" si="10"/>
        <v>0</v>
      </c>
      <c r="AO86" s="7">
        <f t="shared" si="10"/>
        <v>0</v>
      </c>
      <c r="AP86" s="7">
        <f t="shared" si="10"/>
        <v>0</v>
      </c>
      <c r="AQ86" s="7">
        <f t="shared" si="10"/>
        <v>0</v>
      </c>
      <c r="AR86" s="7">
        <f t="shared" si="10"/>
        <v>0</v>
      </c>
      <c r="AS86" s="7">
        <f t="shared" si="10"/>
        <v>0</v>
      </c>
    </row>
    <row r="87" spans="1:45" ht="15" hidden="1" customHeight="1" outlineLevel="1" x14ac:dyDescent="0.35">
      <c r="A87" t="s">
        <v>12</v>
      </c>
      <c r="B87" t="s">
        <v>10</v>
      </c>
      <c r="C87" t="s">
        <v>36</v>
      </c>
      <c r="D87" t="s">
        <v>141</v>
      </c>
      <c r="E87" t="s">
        <v>108</v>
      </c>
      <c r="F87" s="9">
        <v>4</v>
      </c>
      <c r="G87" s="9">
        <v>0</v>
      </c>
      <c r="H87" s="9">
        <v>0</v>
      </c>
      <c r="I87" s="9">
        <v>0</v>
      </c>
      <c r="J87" s="9">
        <v>0</v>
      </c>
      <c r="K87" s="9">
        <v>0.4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1</v>
      </c>
      <c r="U87" s="9">
        <v>1</v>
      </c>
      <c r="V87" s="9">
        <v>0</v>
      </c>
      <c r="W87" s="9">
        <v>0</v>
      </c>
      <c r="X87" s="9">
        <v>0.5</v>
      </c>
      <c r="Y87" s="9">
        <v>11</v>
      </c>
      <c r="Z87" s="9">
        <v>0.5</v>
      </c>
      <c r="AA87" s="9">
        <v>5.5</v>
      </c>
      <c r="AB87" s="9">
        <v>21.5</v>
      </c>
      <c r="AC87" s="9">
        <v>14.5</v>
      </c>
      <c r="AD87" s="9">
        <v>11.5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</row>
    <row r="88" spans="1:45" ht="15" hidden="1" customHeight="1" outlineLevel="1" x14ac:dyDescent="0.35">
      <c r="A88" t="s">
        <v>12</v>
      </c>
      <c r="B88" t="s">
        <v>10</v>
      </c>
      <c r="C88" t="s">
        <v>36</v>
      </c>
      <c r="D88" t="s">
        <v>141</v>
      </c>
      <c r="E88" t="s">
        <v>94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9.5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</row>
    <row r="89" spans="1:45" ht="15" hidden="1" customHeight="1" outlineLevel="1" x14ac:dyDescent="0.35">
      <c r="A89" t="s">
        <v>12</v>
      </c>
      <c r="B89" t="s">
        <v>10</v>
      </c>
      <c r="C89" t="s">
        <v>36</v>
      </c>
      <c r="D89" t="s">
        <v>141</v>
      </c>
      <c r="E89" t="s">
        <v>109</v>
      </c>
      <c r="F89" s="9">
        <v>13</v>
      </c>
      <c r="G89" s="9">
        <v>10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10</v>
      </c>
      <c r="Q89" s="9">
        <v>10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9</v>
      </c>
      <c r="AA89" s="9">
        <v>7</v>
      </c>
      <c r="AB89" s="9">
        <v>6</v>
      </c>
      <c r="AC89" s="9">
        <v>6</v>
      </c>
      <c r="AD89" s="9">
        <v>6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</row>
    <row r="90" spans="1:45" ht="15" hidden="1" customHeight="1" outlineLevel="1" x14ac:dyDescent="0.35">
      <c r="A90" t="s">
        <v>12</v>
      </c>
      <c r="B90" t="s">
        <v>10</v>
      </c>
      <c r="C90" t="s">
        <v>36</v>
      </c>
      <c r="D90" t="s">
        <v>141</v>
      </c>
      <c r="E90" t="s">
        <v>110</v>
      </c>
      <c r="F90" s="9">
        <v>4</v>
      </c>
      <c r="G90" s="9">
        <v>8</v>
      </c>
      <c r="H90" s="9">
        <v>8</v>
      </c>
      <c r="I90" s="9">
        <v>0</v>
      </c>
      <c r="J90" s="9">
        <v>0</v>
      </c>
      <c r="K90" s="9">
        <v>0</v>
      </c>
      <c r="L90" s="9">
        <v>0</v>
      </c>
      <c r="M90" s="9">
        <v>10.5</v>
      </c>
      <c r="N90" s="9">
        <v>10.5</v>
      </c>
      <c r="O90" s="9">
        <v>8</v>
      </c>
      <c r="P90" s="9">
        <v>8</v>
      </c>
      <c r="Q90" s="9">
        <v>0</v>
      </c>
      <c r="R90" s="9">
        <v>0</v>
      </c>
      <c r="S90" s="9">
        <v>0</v>
      </c>
      <c r="T90" s="9">
        <v>6</v>
      </c>
      <c r="U90" s="9">
        <v>6</v>
      </c>
      <c r="V90" s="9">
        <v>0</v>
      </c>
      <c r="W90" s="9">
        <v>0</v>
      </c>
      <c r="X90" s="9">
        <v>0</v>
      </c>
      <c r="Y90" s="9">
        <v>11</v>
      </c>
      <c r="Z90" s="9">
        <v>22.5</v>
      </c>
      <c r="AA90" s="9">
        <v>18.5</v>
      </c>
      <c r="AB90" s="9">
        <v>9</v>
      </c>
      <c r="AC90" s="9">
        <v>10</v>
      </c>
      <c r="AD90" s="9">
        <v>10</v>
      </c>
      <c r="AE90" s="9">
        <v>13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</row>
    <row r="91" spans="1:45" ht="15" hidden="1" customHeight="1" outlineLevel="1" x14ac:dyDescent="0.35">
      <c r="A91" t="s">
        <v>12</v>
      </c>
      <c r="B91" t="s">
        <v>10</v>
      </c>
      <c r="C91" t="s">
        <v>36</v>
      </c>
      <c r="D91" t="s">
        <v>141</v>
      </c>
      <c r="E91" t="s">
        <v>84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7.5</v>
      </c>
      <c r="N91" s="9">
        <v>5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</row>
    <row r="92" spans="1:45" ht="15" hidden="1" customHeight="1" outlineLevel="1" x14ac:dyDescent="0.35">
      <c r="A92" t="s">
        <v>12</v>
      </c>
      <c r="B92" t="s">
        <v>10</v>
      </c>
      <c r="C92" t="s">
        <v>36</v>
      </c>
      <c r="D92" t="s">
        <v>141</v>
      </c>
      <c r="E92" t="s">
        <v>97</v>
      </c>
      <c r="F92" s="9">
        <v>8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10</v>
      </c>
      <c r="N92" s="9">
        <v>10</v>
      </c>
      <c r="O92" s="9">
        <v>10</v>
      </c>
      <c r="P92" s="9">
        <v>10</v>
      </c>
      <c r="Q92" s="9">
        <v>15</v>
      </c>
      <c r="R92" s="9">
        <v>0</v>
      </c>
      <c r="S92" s="9">
        <v>5</v>
      </c>
      <c r="T92" s="9">
        <v>5</v>
      </c>
      <c r="U92" s="9">
        <v>5</v>
      </c>
      <c r="V92" s="9">
        <v>0</v>
      </c>
      <c r="W92" s="9">
        <v>0</v>
      </c>
      <c r="X92" s="9">
        <v>5</v>
      </c>
      <c r="Y92" s="9">
        <v>5</v>
      </c>
      <c r="Z92" s="9">
        <v>5</v>
      </c>
      <c r="AA92" s="9">
        <v>5</v>
      </c>
      <c r="AB92" s="9">
        <v>5</v>
      </c>
      <c r="AC92" s="9">
        <v>5</v>
      </c>
      <c r="AD92" s="9">
        <v>5</v>
      </c>
      <c r="AE92" s="9">
        <v>5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</row>
    <row r="93" spans="1:45" ht="15" hidden="1" customHeight="1" outlineLevel="1" x14ac:dyDescent="0.35">
      <c r="A93" t="s">
        <v>12</v>
      </c>
      <c r="B93" t="s">
        <v>10</v>
      </c>
      <c r="C93" t="s">
        <v>36</v>
      </c>
      <c r="D93" t="s">
        <v>141</v>
      </c>
      <c r="E93" t="s">
        <v>85</v>
      </c>
      <c r="F93" s="9">
        <v>2</v>
      </c>
      <c r="G93" s="9">
        <v>5.5</v>
      </c>
      <c r="H93" s="9">
        <v>5.5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2.5</v>
      </c>
      <c r="S93" s="9">
        <v>4.5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5.5</v>
      </c>
      <c r="AC93" s="9">
        <v>0</v>
      </c>
      <c r="AD93" s="9">
        <v>11.5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</row>
    <row r="94" spans="1:45" ht="15" hidden="1" customHeight="1" outlineLevel="1" x14ac:dyDescent="0.35">
      <c r="A94" t="s">
        <v>12</v>
      </c>
      <c r="B94" t="s">
        <v>10</v>
      </c>
      <c r="C94" t="s">
        <v>36</v>
      </c>
      <c r="D94" t="s">
        <v>141</v>
      </c>
      <c r="E94" t="s">
        <v>112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2</v>
      </c>
      <c r="Y94" s="9">
        <v>6</v>
      </c>
      <c r="Z94" s="9">
        <v>8</v>
      </c>
      <c r="AA94" s="9">
        <v>8</v>
      </c>
      <c r="AB94" s="9">
        <v>8</v>
      </c>
      <c r="AC94" s="9">
        <v>10</v>
      </c>
      <c r="AD94" s="9">
        <v>10</v>
      </c>
      <c r="AE94" s="9">
        <v>10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</row>
    <row r="95" spans="1:45" ht="15" hidden="1" customHeight="1" outlineLevel="1" x14ac:dyDescent="0.35">
      <c r="A95" t="s">
        <v>12</v>
      </c>
      <c r="B95" t="s">
        <v>10</v>
      </c>
      <c r="C95" t="s">
        <v>36</v>
      </c>
      <c r="D95" t="s">
        <v>141</v>
      </c>
      <c r="E95" t="s">
        <v>88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12</v>
      </c>
      <c r="N95" s="9">
        <v>14.5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</row>
    <row r="96" spans="1:45" ht="15" customHeight="1" collapsed="1" x14ac:dyDescent="0.35">
      <c r="A96" s="3" t="s">
        <v>12</v>
      </c>
      <c r="B96" s="3" t="s">
        <v>10</v>
      </c>
      <c r="C96" s="3" t="s">
        <v>22</v>
      </c>
      <c r="D96" s="3" t="s">
        <v>76</v>
      </c>
      <c r="E96" s="3" t="s">
        <v>77</v>
      </c>
      <c r="F96" s="7">
        <f t="shared" ref="F96:AS96" si="11">SUM(F97,F98,F99,F100)</f>
        <v>18.5</v>
      </c>
      <c r="G96" s="7">
        <f t="shared" si="11"/>
        <v>5</v>
      </c>
      <c r="H96" s="7">
        <f t="shared" si="11"/>
        <v>8</v>
      </c>
      <c r="I96" s="7">
        <f t="shared" si="11"/>
        <v>3</v>
      </c>
      <c r="J96" s="7">
        <f t="shared" si="11"/>
        <v>3</v>
      </c>
      <c r="K96" s="7">
        <f t="shared" si="11"/>
        <v>3</v>
      </c>
      <c r="L96" s="7">
        <f t="shared" si="11"/>
        <v>13</v>
      </c>
      <c r="M96" s="7">
        <f t="shared" si="11"/>
        <v>14</v>
      </c>
      <c r="N96" s="7">
        <f t="shared" si="11"/>
        <v>6</v>
      </c>
      <c r="O96" s="7">
        <f t="shared" si="11"/>
        <v>5</v>
      </c>
      <c r="P96" s="7">
        <f t="shared" si="11"/>
        <v>5</v>
      </c>
      <c r="Q96" s="7">
        <f t="shared" si="11"/>
        <v>10</v>
      </c>
      <c r="R96" s="7">
        <f t="shared" si="11"/>
        <v>10</v>
      </c>
      <c r="S96" s="7">
        <f t="shared" si="11"/>
        <v>0</v>
      </c>
      <c r="T96" s="7">
        <f t="shared" si="11"/>
        <v>0</v>
      </c>
      <c r="U96" s="7">
        <f t="shared" si="11"/>
        <v>8</v>
      </c>
      <c r="V96" s="7">
        <f t="shared" si="11"/>
        <v>0</v>
      </c>
      <c r="W96" s="7">
        <f t="shared" si="11"/>
        <v>0</v>
      </c>
      <c r="X96" s="7">
        <f t="shared" si="11"/>
        <v>23</v>
      </c>
      <c r="Y96" s="7">
        <f t="shared" si="11"/>
        <v>45</v>
      </c>
      <c r="Z96" s="7">
        <f t="shared" si="11"/>
        <v>55</v>
      </c>
      <c r="AA96" s="7">
        <f t="shared" si="11"/>
        <v>55</v>
      </c>
      <c r="AB96" s="7">
        <f t="shared" si="11"/>
        <v>55</v>
      </c>
      <c r="AC96" s="7">
        <f t="shared" si="11"/>
        <v>55</v>
      </c>
      <c r="AD96" s="7">
        <f t="shared" si="11"/>
        <v>55</v>
      </c>
      <c r="AE96" s="7">
        <f t="shared" si="11"/>
        <v>46</v>
      </c>
      <c r="AF96" s="7">
        <f t="shared" si="11"/>
        <v>12</v>
      </c>
      <c r="AG96" s="7">
        <f t="shared" si="11"/>
        <v>16</v>
      </c>
      <c r="AH96" s="7">
        <f t="shared" si="11"/>
        <v>16</v>
      </c>
      <c r="AI96" s="7">
        <f t="shared" si="11"/>
        <v>8</v>
      </c>
      <c r="AJ96" s="7">
        <f t="shared" si="11"/>
        <v>0</v>
      </c>
      <c r="AK96" s="7">
        <f t="shared" si="11"/>
        <v>0</v>
      </c>
      <c r="AL96" s="7">
        <f t="shared" si="11"/>
        <v>0</v>
      </c>
      <c r="AM96" s="7">
        <f t="shared" si="11"/>
        <v>0</v>
      </c>
      <c r="AN96" s="7">
        <f t="shared" si="11"/>
        <v>0</v>
      </c>
      <c r="AO96" s="7">
        <f t="shared" si="11"/>
        <v>0</v>
      </c>
      <c r="AP96" s="7">
        <f t="shared" si="11"/>
        <v>0</v>
      </c>
      <c r="AQ96" s="7">
        <f t="shared" si="11"/>
        <v>0</v>
      </c>
      <c r="AR96" s="7">
        <f t="shared" si="11"/>
        <v>0</v>
      </c>
      <c r="AS96" s="7">
        <f t="shared" si="11"/>
        <v>0</v>
      </c>
    </row>
    <row r="97" spans="1:45" ht="15" hidden="1" customHeight="1" outlineLevel="1" x14ac:dyDescent="0.35">
      <c r="A97" t="s">
        <v>12</v>
      </c>
      <c r="B97" t="s">
        <v>10</v>
      </c>
      <c r="C97" t="s">
        <v>22</v>
      </c>
      <c r="D97" t="s">
        <v>141</v>
      </c>
      <c r="E97" t="s">
        <v>113</v>
      </c>
      <c r="F97" s="9">
        <v>0</v>
      </c>
      <c r="G97" s="9">
        <v>0</v>
      </c>
      <c r="H97" s="9">
        <v>3</v>
      </c>
      <c r="I97" s="9">
        <v>3</v>
      </c>
      <c r="J97" s="9">
        <v>3</v>
      </c>
      <c r="K97" s="9">
        <v>3</v>
      </c>
      <c r="L97" s="9">
        <v>3</v>
      </c>
      <c r="M97" s="9">
        <v>3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12</v>
      </c>
      <c r="AG97" s="9">
        <v>16</v>
      </c>
      <c r="AH97" s="9">
        <v>16</v>
      </c>
      <c r="AI97" s="9">
        <v>8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</row>
    <row r="98" spans="1:45" ht="15" hidden="1" customHeight="1" outlineLevel="1" x14ac:dyDescent="0.35">
      <c r="A98" t="s">
        <v>12</v>
      </c>
      <c r="B98" t="s">
        <v>10</v>
      </c>
      <c r="C98" t="s">
        <v>22</v>
      </c>
      <c r="D98" t="s">
        <v>141</v>
      </c>
      <c r="E98" t="s">
        <v>102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</v>
      </c>
      <c r="N98" s="9">
        <v>6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8</v>
      </c>
      <c r="Y98" s="9">
        <v>15</v>
      </c>
      <c r="Z98" s="9">
        <v>15</v>
      </c>
      <c r="AA98" s="9">
        <v>20</v>
      </c>
      <c r="AB98" s="9">
        <v>20</v>
      </c>
      <c r="AC98" s="9">
        <v>15</v>
      </c>
      <c r="AD98" s="9">
        <v>15</v>
      </c>
      <c r="AE98" s="9">
        <v>6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</row>
    <row r="99" spans="1:45" ht="15" hidden="1" customHeight="1" outlineLevel="1" x14ac:dyDescent="0.35">
      <c r="A99" t="s">
        <v>12</v>
      </c>
      <c r="B99" t="s">
        <v>10</v>
      </c>
      <c r="C99" t="s">
        <v>22</v>
      </c>
      <c r="D99" t="s">
        <v>141</v>
      </c>
      <c r="E99" t="s">
        <v>103</v>
      </c>
      <c r="F99" s="9">
        <v>12.5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5</v>
      </c>
      <c r="P99" s="9">
        <v>5</v>
      </c>
      <c r="Q99" s="9">
        <v>10</v>
      </c>
      <c r="R99" s="9">
        <v>10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10</v>
      </c>
      <c r="Z99" s="9">
        <v>10</v>
      </c>
      <c r="AA99" s="9">
        <v>10</v>
      </c>
      <c r="AB99" s="9">
        <v>10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</row>
    <row r="100" spans="1:45" ht="15" hidden="1" customHeight="1" outlineLevel="1" x14ac:dyDescent="0.35">
      <c r="A100" t="s">
        <v>12</v>
      </c>
      <c r="B100" t="s">
        <v>10</v>
      </c>
      <c r="C100" t="s">
        <v>22</v>
      </c>
      <c r="D100" t="s">
        <v>141</v>
      </c>
      <c r="E100" t="s">
        <v>99</v>
      </c>
      <c r="F100" s="9">
        <v>6</v>
      </c>
      <c r="G100" s="9">
        <v>5</v>
      </c>
      <c r="H100" s="9">
        <v>5</v>
      </c>
      <c r="I100" s="9">
        <v>0</v>
      </c>
      <c r="J100" s="9">
        <v>0</v>
      </c>
      <c r="K100" s="9">
        <v>0</v>
      </c>
      <c r="L100" s="9">
        <v>10</v>
      </c>
      <c r="M100" s="9">
        <v>10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8</v>
      </c>
      <c r="V100" s="9">
        <v>0</v>
      </c>
      <c r="W100" s="9">
        <v>0</v>
      </c>
      <c r="X100" s="9">
        <v>15</v>
      </c>
      <c r="Y100" s="9">
        <v>20</v>
      </c>
      <c r="Z100" s="9">
        <v>30</v>
      </c>
      <c r="AA100" s="9">
        <v>25</v>
      </c>
      <c r="AB100" s="9">
        <v>25</v>
      </c>
      <c r="AC100" s="9">
        <v>40</v>
      </c>
      <c r="AD100" s="9">
        <v>40</v>
      </c>
      <c r="AE100" s="9">
        <v>40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</row>
    <row r="101" spans="1:45" ht="15" customHeight="1" collapsed="1" x14ac:dyDescent="0.35">
      <c r="A101" s="3" t="s">
        <v>12</v>
      </c>
      <c r="B101" s="3" t="s">
        <v>10</v>
      </c>
      <c r="C101" s="3" t="s">
        <v>20</v>
      </c>
      <c r="D101" s="3" t="s">
        <v>76</v>
      </c>
      <c r="E101" s="3" t="s">
        <v>77</v>
      </c>
      <c r="F101" s="7">
        <f t="shared" ref="F101:AS101" si="12">SUM(F102,F103,F104,F105,F106,F107,F108,F109)</f>
        <v>40</v>
      </c>
      <c r="G101" s="7">
        <f t="shared" si="12"/>
        <v>40</v>
      </c>
      <c r="H101" s="7">
        <f t="shared" si="12"/>
        <v>40</v>
      </c>
      <c r="I101" s="7">
        <f t="shared" si="12"/>
        <v>16.5</v>
      </c>
      <c r="J101" s="7">
        <f t="shared" si="12"/>
        <v>16.5</v>
      </c>
      <c r="K101" s="7">
        <f t="shared" si="12"/>
        <v>12.5</v>
      </c>
      <c r="L101" s="7">
        <f t="shared" si="12"/>
        <v>20.5</v>
      </c>
      <c r="M101" s="7">
        <f t="shared" si="12"/>
        <v>40</v>
      </c>
      <c r="N101" s="7">
        <f t="shared" si="12"/>
        <v>40</v>
      </c>
      <c r="O101" s="7">
        <f t="shared" si="12"/>
        <v>14.5</v>
      </c>
      <c r="P101" s="7">
        <f t="shared" si="12"/>
        <v>17.5</v>
      </c>
      <c r="Q101" s="7">
        <f t="shared" si="12"/>
        <v>25.5</v>
      </c>
      <c r="R101" s="7">
        <f t="shared" si="12"/>
        <v>40</v>
      </c>
      <c r="S101" s="7">
        <f t="shared" si="12"/>
        <v>40</v>
      </c>
      <c r="T101" s="7">
        <f t="shared" si="12"/>
        <v>25.5</v>
      </c>
      <c r="U101" s="7">
        <f t="shared" si="12"/>
        <v>17</v>
      </c>
      <c r="V101" s="7">
        <f t="shared" si="12"/>
        <v>10</v>
      </c>
      <c r="W101" s="7">
        <f t="shared" si="12"/>
        <v>0</v>
      </c>
      <c r="X101" s="7">
        <f t="shared" si="12"/>
        <v>13.5</v>
      </c>
      <c r="Y101" s="7">
        <f t="shared" si="12"/>
        <v>16.5</v>
      </c>
      <c r="Z101" s="7">
        <f t="shared" si="12"/>
        <v>28.5</v>
      </c>
      <c r="AA101" s="7">
        <f t="shared" si="12"/>
        <v>37.5</v>
      </c>
      <c r="AB101" s="7">
        <f t="shared" si="12"/>
        <v>55</v>
      </c>
      <c r="AC101" s="7">
        <f t="shared" si="12"/>
        <v>55</v>
      </c>
      <c r="AD101" s="7">
        <f t="shared" si="12"/>
        <v>55</v>
      </c>
      <c r="AE101" s="7">
        <f t="shared" si="12"/>
        <v>55</v>
      </c>
      <c r="AF101" s="7">
        <f t="shared" si="12"/>
        <v>30</v>
      </c>
      <c r="AG101" s="7">
        <f t="shared" si="12"/>
        <v>30</v>
      </c>
      <c r="AH101" s="7">
        <f t="shared" si="12"/>
        <v>30</v>
      </c>
      <c r="AI101" s="7">
        <f t="shared" si="12"/>
        <v>0</v>
      </c>
      <c r="AJ101" s="7">
        <f t="shared" si="12"/>
        <v>0</v>
      </c>
      <c r="AK101" s="7">
        <f t="shared" si="12"/>
        <v>0</v>
      </c>
      <c r="AL101" s="7">
        <f t="shared" si="12"/>
        <v>0</v>
      </c>
      <c r="AM101" s="7">
        <f t="shared" si="12"/>
        <v>0</v>
      </c>
      <c r="AN101" s="7">
        <f t="shared" si="12"/>
        <v>0</v>
      </c>
      <c r="AO101" s="7">
        <f t="shared" si="12"/>
        <v>0</v>
      </c>
      <c r="AP101" s="7">
        <f t="shared" si="12"/>
        <v>0</v>
      </c>
      <c r="AQ101" s="7">
        <f t="shared" si="12"/>
        <v>0</v>
      </c>
      <c r="AR101" s="7">
        <f t="shared" si="12"/>
        <v>0</v>
      </c>
      <c r="AS101" s="7">
        <f t="shared" si="12"/>
        <v>0</v>
      </c>
    </row>
    <row r="102" spans="1:45" ht="15" hidden="1" customHeight="1" outlineLevel="1" x14ac:dyDescent="0.35">
      <c r="A102" t="s">
        <v>12</v>
      </c>
      <c r="B102" t="s">
        <v>10</v>
      </c>
      <c r="C102" t="s">
        <v>20</v>
      </c>
      <c r="D102" t="s">
        <v>141</v>
      </c>
      <c r="E102" t="s">
        <v>84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4</v>
      </c>
      <c r="N102" s="9">
        <v>4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</row>
    <row r="103" spans="1:45" ht="15" hidden="1" customHeight="1" outlineLevel="1" x14ac:dyDescent="0.35">
      <c r="A103" t="s">
        <v>12</v>
      </c>
      <c r="B103" t="s">
        <v>10</v>
      </c>
      <c r="C103" t="s">
        <v>20</v>
      </c>
      <c r="D103" t="s">
        <v>141</v>
      </c>
      <c r="E103" t="s">
        <v>40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8</v>
      </c>
      <c r="AC103" s="9">
        <v>0</v>
      </c>
      <c r="AD103" s="9">
        <v>4.4408920985006301E-15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</row>
    <row r="104" spans="1:45" ht="15" hidden="1" customHeight="1" outlineLevel="1" x14ac:dyDescent="0.35">
      <c r="A104" t="s">
        <v>12</v>
      </c>
      <c r="B104" t="s">
        <v>10</v>
      </c>
      <c r="C104" t="s">
        <v>20</v>
      </c>
      <c r="D104" t="s">
        <v>141</v>
      </c>
      <c r="E104" t="s">
        <v>85</v>
      </c>
      <c r="F104" s="9">
        <v>27</v>
      </c>
      <c r="G104" s="9">
        <v>38</v>
      </c>
      <c r="H104" s="9">
        <v>36</v>
      </c>
      <c r="I104" s="9">
        <v>5.5</v>
      </c>
      <c r="J104" s="9">
        <v>3.5</v>
      </c>
      <c r="K104" s="9">
        <v>3.5</v>
      </c>
      <c r="L104" s="9">
        <v>3.5</v>
      </c>
      <c r="M104" s="9">
        <v>3.5</v>
      </c>
      <c r="N104" s="9">
        <v>3.5</v>
      </c>
      <c r="O104" s="9">
        <v>5.5</v>
      </c>
      <c r="P104" s="9">
        <v>3.5</v>
      </c>
      <c r="Q104" s="9">
        <v>11.5</v>
      </c>
      <c r="R104" s="9">
        <v>40</v>
      </c>
      <c r="S104" s="9">
        <v>36</v>
      </c>
      <c r="T104" s="9">
        <v>11.5</v>
      </c>
      <c r="U104" s="9">
        <v>0</v>
      </c>
      <c r="V104" s="9">
        <v>0</v>
      </c>
      <c r="W104" s="9">
        <v>0</v>
      </c>
      <c r="X104" s="9">
        <v>13.5</v>
      </c>
      <c r="Y104" s="9">
        <v>6.5</v>
      </c>
      <c r="Z104" s="9">
        <v>3.5</v>
      </c>
      <c r="AA104" s="9">
        <v>7.5</v>
      </c>
      <c r="AB104" s="9">
        <v>9</v>
      </c>
      <c r="AC104" s="9">
        <v>25</v>
      </c>
      <c r="AD104" s="9">
        <v>10</v>
      </c>
      <c r="AE104" s="9">
        <v>10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</row>
    <row r="105" spans="1:45" ht="15" hidden="1" customHeight="1" outlineLevel="1" x14ac:dyDescent="0.35">
      <c r="A105" t="s">
        <v>12</v>
      </c>
      <c r="B105" t="s">
        <v>10</v>
      </c>
      <c r="C105" t="s">
        <v>20</v>
      </c>
      <c r="D105" t="s">
        <v>141</v>
      </c>
      <c r="E105" t="s">
        <v>43</v>
      </c>
      <c r="F105" s="9">
        <v>8</v>
      </c>
      <c r="G105" s="9">
        <v>0</v>
      </c>
      <c r="H105" s="9">
        <v>0</v>
      </c>
      <c r="I105" s="9">
        <v>5</v>
      </c>
      <c r="J105" s="9">
        <v>5</v>
      </c>
      <c r="K105" s="9">
        <v>5</v>
      </c>
      <c r="L105" s="9">
        <v>5</v>
      </c>
      <c r="M105" s="9">
        <v>5</v>
      </c>
      <c r="N105" s="9">
        <v>5</v>
      </c>
      <c r="O105" s="9">
        <v>5</v>
      </c>
      <c r="P105" s="9">
        <v>10</v>
      </c>
      <c r="Q105" s="9">
        <v>10</v>
      </c>
      <c r="R105" s="9">
        <v>0</v>
      </c>
      <c r="S105" s="9">
        <v>0</v>
      </c>
      <c r="T105" s="9">
        <v>10</v>
      </c>
      <c r="U105" s="9">
        <v>10</v>
      </c>
      <c r="V105" s="9">
        <v>10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</row>
    <row r="106" spans="1:45" ht="15" hidden="1" customHeight="1" outlineLevel="1" x14ac:dyDescent="0.35">
      <c r="A106" t="s">
        <v>12</v>
      </c>
      <c r="B106" t="s">
        <v>10</v>
      </c>
      <c r="C106" t="s">
        <v>20</v>
      </c>
      <c r="D106" t="s">
        <v>141</v>
      </c>
      <c r="E106" t="s">
        <v>111</v>
      </c>
      <c r="F106" s="9">
        <v>5</v>
      </c>
      <c r="G106" s="9">
        <v>2</v>
      </c>
      <c r="H106" s="9">
        <v>4</v>
      </c>
      <c r="I106" s="9">
        <v>4</v>
      </c>
      <c r="J106" s="9">
        <v>4</v>
      </c>
      <c r="K106" s="9">
        <v>0</v>
      </c>
      <c r="L106" s="9">
        <v>0</v>
      </c>
      <c r="M106" s="9">
        <v>0</v>
      </c>
      <c r="N106" s="9">
        <v>0</v>
      </c>
      <c r="O106" s="9">
        <v>4</v>
      </c>
      <c r="P106" s="9">
        <v>4</v>
      </c>
      <c r="Q106" s="9">
        <v>4</v>
      </c>
      <c r="R106" s="9">
        <v>0</v>
      </c>
      <c r="S106" s="9">
        <v>4</v>
      </c>
      <c r="T106" s="9">
        <v>4</v>
      </c>
      <c r="U106" s="9">
        <v>4</v>
      </c>
      <c r="V106" s="9">
        <v>0</v>
      </c>
      <c r="W106" s="9">
        <v>0</v>
      </c>
      <c r="X106" s="9">
        <v>0</v>
      </c>
      <c r="Y106" s="9">
        <v>4</v>
      </c>
      <c r="Z106" s="9">
        <v>10</v>
      </c>
      <c r="AA106" s="9">
        <v>10</v>
      </c>
      <c r="AB106" s="9">
        <v>8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</row>
    <row r="107" spans="1:45" ht="15" hidden="1" customHeight="1" outlineLevel="1" x14ac:dyDescent="0.35">
      <c r="A107" t="s">
        <v>12</v>
      </c>
      <c r="B107" t="s">
        <v>10</v>
      </c>
      <c r="C107" t="s">
        <v>20</v>
      </c>
      <c r="D107" t="s">
        <v>141</v>
      </c>
      <c r="E107" t="s">
        <v>100</v>
      </c>
      <c r="F107" s="9">
        <v>0</v>
      </c>
      <c r="G107" s="9">
        <v>0</v>
      </c>
      <c r="H107" s="9">
        <v>0</v>
      </c>
      <c r="I107" s="9">
        <v>2</v>
      </c>
      <c r="J107" s="9">
        <v>4</v>
      </c>
      <c r="K107" s="9">
        <v>4</v>
      </c>
      <c r="L107" s="9">
        <v>12</v>
      </c>
      <c r="M107" s="9">
        <v>20</v>
      </c>
      <c r="N107" s="9">
        <v>12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3</v>
      </c>
      <c r="V107" s="9">
        <v>0</v>
      </c>
      <c r="W107" s="9">
        <v>0</v>
      </c>
      <c r="X107" s="9">
        <v>0</v>
      </c>
      <c r="Y107" s="9">
        <v>6</v>
      </c>
      <c r="Z107" s="9">
        <v>15</v>
      </c>
      <c r="AA107" s="9">
        <v>20</v>
      </c>
      <c r="AB107" s="9">
        <v>30</v>
      </c>
      <c r="AC107" s="9">
        <v>30</v>
      </c>
      <c r="AD107" s="9">
        <v>45</v>
      </c>
      <c r="AE107" s="9">
        <v>45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</row>
    <row r="108" spans="1:45" ht="15" hidden="1" customHeight="1" outlineLevel="1" x14ac:dyDescent="0.35">
      <c r="A108" t="s">
        <v>12</v>
      </c>
      <c r="B108" t="s">
        <v>10</v>
      </c>
      <c r="C108" t="s">
        <v>20</v>
      </c>
      <c r="D108" t="s">
        <v>141</v>
      </c>
      <c r="E108" t="s">
        <v>114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30</v>
      </c>
      <c r="AG108" s="9">
        <v>30</v>
      </c>
      <c r="AH108" s="9">
        <v>30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</row>
    <row r="109" spans="1:45" ht="15" hidden="1" customHeight="1" outlineLevel="1" x14ac:dyDescent="0.35">
      <c r="A109" t="s">
        <v>12</v>
      </c>
      <c r="B109" t="s">
        <v>10</v>
      </c>
      <c r="C109" t="s">
        <v>20</v>
      </c>
      <c r="D109" t="s">
        <v>141</v>
      </c>
      <c r="E109" t="s">
        <v>88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7.5</v>
      </c>
      <c r="N109" s="9">
        <v>15.5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</row>
    <row r="110" spans="1:45" ht="15" customHeight="1" collapsed="1" x14ac:dyDescent="0.35">
      <c r="A110" s="3" t="s">
        <v>12</v>
      </c>
      <c r="B110" s="3" t="s">
        <v>10</v>
      </c>
      <c r="C110" s="3" t="s">
        <v>23</v>
      </c>
      <c r="D110" s="3" t="s">
        <v>76</v>
      </c>
      <c r="E110" s="3" t="s">
        <v>77</v>
      </c>
      <c r="F110" s="7">
        <f t="shared" ref="F110:AS110" si="13">SUM(F111,F112,F113,F114,F115,F116)</f>
        <v>0.614035</v>
      </c>
      <c r="G110" s="7">
        <f t="shared" si="13"/>
        <v>14.614034999999999</v>
      </c>
      <c r="H110" s="7">
        <f t="shared" si="13"/>
        <v>18.614035000000001</v>
      </c>
      <c r="I110" s="7">
        <f t="shared" si="13"/>
        <v>18.614035000000001</v>
      </c>
      <c r="J110" s="7">
        <f t="shared" si="13"/>
        <v>19.614035000000001</v>
      </c>
      <c r="K110" s="7">
        <f t="shared" si="13"/>
        <v>15.614035000000001</v>
      </c>
      <c r="L110" s="7">
        <f t="shared" si="13"/>
        <v>32.614035000000001</v>
      </c>
      <c r="M110" s="7">
        <f t="shared" si="13"/>
        <v>40</v>
      </c>
      <c r="N110" s="7">
        <f t="shared" si="13"/>
        <v>40</v>
      </c>
      <c r="O110" s="7">
        <f t="shared" si="13"/>
        <v>17.614035000000001</v>
      </c>
      <c r="P110" s="7">
        <f t="shared" si="13"/>
        <v>21.614035000000001</v>
      </c>
      <c r="Q110" s="7">
        <f t="shared" si="13"/>
        <v>33.614035000000001</v>
      </c>
      <c r="R110" s="7">
        <f t="shared" si="13"/>
        <v>8.6140349999999994</v>
      </c>
      <c r="S110" s="7">
        <f t="shared" si="13"/>
        <v>12.614035000000001</v>
      </c>
      <c r="T110" s="7">
        <f t="shared" si="13"/>
        <v>22.614035000000001</v>
      </c>
      <c r="U110" s="7">
        <f t="shared" si="13"/>
        <v>19.614035000000001</v>
      </c>
      <c r="V110" s="7">
        <f t="shared" si="13"/>
        <v>0.614035</v>
      </c>
      <c r="W110" s="7">
        <f t="shared" si="13"/>
        <v>0.8</v>
      </c>
      <c r="X110" s="7">
        <f t="shared" si="13"/>
        <v>42.5</v>
      </c>
      <c r="Y110" s="7">
        <f t="shared" si="13"/>
        <v>47.5</v>
      </c>
      <c r="Z110" s="7">
        <f t="shared" si="13"/>
        <v>55</v>
      </c>
      <c r="AA110" s="7">
        <f t="shared" si="13"/>
        <v>55</v>
      </c>
      <c r="AB110" s="7">
        <f t="shared" si="13"/>
        <v>55</v>
      </c>
      <c r="AC110" s="7">
        <f t="shared" si="13"/>
        <v>55</v>
      </c>
      <c r="AD110" s="7">
        <f t="shared" si="13"/>
        <v>55</v>
      </c>
      <c r="AE110" s="7">
        <f t="shared" si="13"/>
        <v>17.5</v>
      </c>
      <c r="AF110" s="7">
        <f t="shared" si="13"/>
        <v>10</v>
      </c>
      <c r="AG110" s="7">
        <f t="shared" si="13"/>
        <v>17</v>
      </c>
      <c r="AH110" s="7">
        <f t="shared" si="13"/>
        <v>15</v>
      </c>
      <c r="AI110" s="7">
        <f t="shared" si="13"/>
        <v>0</v>
      </c>
      <c r="AJ110" s="7">
        <f t="shared" si="13"/>
        <v>0</v>
      </c>
      <c r="AK110" s="7">
        <f t="shared" si="13"/>
        <v>0</v>
      </c>
      <c r="AL110" s="7">
        <f t="shared" si="13"/>
        <v>0</v>
      </c>
      <c r="AM110" s="7">
        <f t="shared" si="13"/>
        <v>0</v>
      </c>
      <c r="AN110" s="7">
        <f t="shared" si="13"/>
        <v>0</v>
      </c>
      <c r="AO110" s="7">
        <f t="shared" si="13"/>
        <v>0</v>
      </c>
      <c r="AP110" s="7">
        <f t="shared" si="13"/>
        <v>0</v>
      </c>
      <c r="AQ110" s="7">
        <f t="shared" si="13"/>
        <v>0</v>
      </c>
      <c r="AR110" s="7">
        <f t="shared" si="13"/>
        <v>0</v>
      </c>
      <c r="AS110" s="7">
        <f t="shared" si="13"/>
        <v>0</v>
      </c>
    </row>
    <row r="111" spans="1:45" ht="15" hidden="1" customHeight="1" outlineLevel="1" x14ac:dyDescent="0.35">
      <c r="A111" t="s">
        <v>12</v>
      </c>
      <c r="B111" t="s">
        <v>10</v>
      </c>
      <c r="C111" t="s">
        <v>23</v>
      </c>
      <c r="D111" t="s">
        <v>141</v>
      </c>
      <c r="E111" t="s">
        <v>80</v>
      </c>
      <c r="F111" s="9">
        <v>0</v>
      </c>
      <c r="G111" s="9">
        <v>1</v>
      </c>
      <c r="H111" s="9">
        <v>0</v>
      </c>
      <c r="I111" s="9">
        <v>0</v>
      </c>
      <c r="J111" s="9">
        <v>2</v>
      </c>
      <c r="K111" s="9">
        <v>0</v>
      </c>
      <c r="L111" s="9">
        <v>2</v>
      </c>
      <c r="M111" s="9">
        <v>6</v>
      </c>
      <c r="N111" s="9">
        <v>4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2</v>
      </c>
      <c r="U111" s="9">
        <v>2</v>
      </c>
      <c r="V111" s="9">
        <v>0</v>
      </c>
      <c r="W111" s="9">
        <v>0</v>
      </c>
      <c r="X111" s="9">
        <v>3</v>
      </c>
      <c r="Y111" s="9">
        <v>5</v>
      </c>
      <c r="Z111" s="9">
        <v>2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10</v>
      </c>
      <c r="AG111" s="9">
        <v>17</v>
      </c>
      <c r="AH111" s="9">
        <v>15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</row>
    <row r="112" spans="1:45" ht="15" hidden="1" customHeight="1" outlineLevel="1" x14ac:dyDescent="0.35">
      <c r="A112" t="s">
        <v>12</v>
      </c>
      <c r="B112" t="s">
        <v>10</v>
      </c>
      <c r="C112" t="s">
        <v>23</v>
      </c>
      <c r="D112" t="s">
        <v>141</v>
      </c>
      <c r="E112" t="s">
        <v>81</v>
      </c>
      <c r="F112" s="9">
        <v>0.614035</v>
      </c>
      <c r="G112" s="9">
        <v>0.614035</v>
      </c>
      <c r="H112" s="9">
        <v>0.614035</v>
      </c>
      <c r="I112" s="9">
        <v>0.614035</v>
      </c>
      <c r="J112" s="9">
        <v>0.614035</v>
      </c>
      <c r="K112" s="9">
        <v>0.614035</v>
      </c>
      <c r="L112" s="9">
        <v>0.614035</v>
      </c>
      <c r="M112" s="9">
        <v>0</v>
      </c>
      <c r="N112" s="9">
        <v>0</v>
      </c>
      <c r="O112" s="9">
        <v>0.614035</v>
      </c>
      <c r="P112" s="9">
        <v>0.614035</v>
      </c>
      <c r="Q112" s="9">
        <v>0.614035</v>
      </c>
      <c r="R112" s="9">
        <v>0.614035</v>
      </c>
      <c r="S112" s="9">
        <v>0.614035</v>
      </c>
      <c r="T112" s="9">
        <v>0.614035</v>
      </c>
      <c r="U112" s="9">
        <v>0.614035</v>
      </c>
      <c r="V112" s="9">
        <v>0.614035</v>
      </c>
      <c r="W112" s="9">
        <v>0.8</v>
      </c>
      <c r="X112" s="9">
        <v>1.5</v>
      </c>
      <c r="Y112" s="9">
        <v>1.5</v>
      </c>
      <c r="Z112" s="9">
        <v>0</v>
      </c>
      <c r="AA112" s="9">
        <v>0</v>
      </c>
      <c r="AB112" s="9">
        <v>0</v>
      </c>
      <c r="AC112" s="9">
        <v>0</v>
      </c>
      <c r="AD112" s="9">
        <v>9.5</v>
      </c>
      <c r="AE112" s="9">
        <v>1.5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</row>
    <row r="113" spans="1:45" ht="15" hidden="1" customHeight="1" outlineLevel="1" x14ac:dyDescent="0.35">
      <c r="A113" t="s">
        <v>12</v>
      </c>
      <c r="B113" t="s">
        <v>10</v>
      </c>
      <c r="C113" t="s">
        <v>23</v>
      </c>
      <c r="D113" t="s">
        <v>141</v>
      </c>
      <c r="E113" t="s">
        <v>102</v>
      </c>
      <c r="F113" s="9">
        <v>0</v>
      </c>
      <c r="G113" s="9">
        <v>13</v>
      </c>
      <c r="H113" s="9">
        <v>18</v>
      </c>
      <c r="I113" s="9">
        <v>18</v>
      </c>
      <c r="J113" s="9">
        <v>17</v>
      </c>
      <c r="K113" s="9">
        <v>7</v>
      </c>
      <c r="L113" s="9">
        <v>7</v>
      </c>
      <c r="M113" s="9">
        <v>9</v>
      </c>
      <c r="N113" s="9">
        <v>4</v>
      </c>
      <c r="O113" s="9">
        <v>7</v>
      </c>
      <c r="P113" s="9">
        <v>8</v>
      </c>
      <c r="Q113" s="9">
        <v>10</v>
      </c>
      <c r="R113" s="9">
        <v>8</v>
      </c>
      <c r="S113" s="9">
        <v>4</v>
      </c>
      <c r="T113" s="9">
        <v>10</v>
      </c>
      <c r="U113" s="9">
        <v>7</v>
      </c>
      <c r="V113" s="9">
        <v>0</v>
      </c>
      <c r="W113" s="9">
        <v>0</v>
      </c>
      <c r="X113" s="9">
        <v>7</v>
      </c>
      <c r="Y113" s="9">
        <v>10</v>
      </c>
      <c r="Z113" s="9">
        <v>18</v>
      </c>
      <c r="AA113" s="9">
        <v>15</v>
      </c>
      <c r="AB113" s="9">
        <v>20</v>
      </c>
      <c r="AC113" s="9">
        <v>10</v>
      </c>
      <c r="AD113" s="9">
        <v>15.5</v>
      </c>
      <c r="AE113" s="9">
        <v>6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</row>
    <row r="114" spans="1:45" ht="15" hidden="1" customHeight="1" outlineLevel="1" x14ac:dyDescent="0.35">
      <c r="A114" t="s">
        <v>12</v>
      </c>
      <c r="B114" t="s">
        <v>10</v>
      </c>
      <c r="C114" t="s">
        <v>23</v>
      </c>
      <c r="D114" t="s">
        <v>141</v>
      </c>
      <c r="E114" t="s">
        <v>40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5</v>
      </c>
      <c r="AE114" s="9">
        <v>10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</row>
    <row r="115" spans="1:45" ht="15" hidden="1" customHeight="1" outlineLevel="1" x14ac:dyDescent="0.35">
      <c r="A115" t="s">
        <v>12</v>
      </c>
      <c r="B115" t="s">
        <v>10</v>
      </c>
      <c r="C115" t="s">
        <v>23</v>
      </c>
      <c r="D115" t="s">
        <v>141</v>
      </c>
      <c r="E115" t="s">
        <v>103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15</v>
      </c>
      <c r="M115" s="9">
        <v>15</v>
      </c>
      <c r="N115" s="9">
        <v>20</v>
      </c>
      <c r="O115" s="9">
        <v>0</v>
      </c>
      <c r="P115" s="9">
        <v>5</v>
      </c>
      <c r="Q115" s="9">
        <v>15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25</v>
      </c>
      <c r="Y115" s="9">
        <v>25</v>
      </c>
      <c r="Z115" s="9">
        <v>35</v>
      </c>
      <c r="AA115" s="9">
        <v>40</v>
      </c>
      <c r="AB115" s="9">
        <v>35</v>
      </c>
      <c r="AC115" s="9">
        <v>45</v>
      </c>
      <c r="AD115" s="9">
        <v>25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</row>
    <row r="116" spans="1:45" ht="15" hidden="1" customHeight="1" outlineLevel="1" x14ac:dyDescent="0.35">
      <c r="A116" t="s">
        <v>12</v>
      </c>
      <c r="B116" t="s">
        <v>10</v>
      </c>
      <c r="C116" t="s">
        <v>23</v>
      </c>
      <c r="D116" t="s">
        <v>141</v>
      </c>
      <c r="E116" t="s">
        <v>106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8</v>
      </c>
      <c r="L116" s="9">
        <v>8</v>
      </c>
      <c r="M116" s="9">
        <v>10</v>
      </c>
      <c r="N116" s="9">
        <v>12</v>
      </c>
      <c r="O116" s="9">
        <v>10</v>
      </c>
      <c r="P116" s="9">
        <v>8</v>
      </c>
      <c r="Q116" s="9">
        <v>8</v>
      </c>
      <c r="R116" s="9">
        <v>0</v>
      </c>
      <c r="S116" s="9">
        <v>8</v>
      </c>
      <c r="T116" s="9">
        <v>10</v>
      </c>
      <c r="U116" s="9">
        <v>10</v>
      </c>
      <c r="V116" s="9">
        <v>0</v>
      </c>
      <c r="W116" s="9">
        <v>0</v>
      </c>
      <c r="X116" s="9">
        <v>6</v>
      </c>
      <c r="Y116" s="9">
        <v>6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</row>
    <row r="117" spans="1:45" ht="15" customHeight="1" collapsed="1" x14ac:dyDescent="0.35">
      <c r="A117" s="3" t="s">
        <v>12</v>
      </c>
      <c r="B117" s="3" t="s">
        <v>10</v>
      </c>
      <c r="C117" s="3" t="s">
        <v>144</v>
      </c>
      <c r="D117" s="3" t="s">
        <v>76</v>
      </c>
      <c r="E117" s="3" t="s">
        <v>77</v>
      </c>
      <c r="F117" s="7">
        <f t="shared" ref="F117:AS117" si="14">SUM(F118,F119,F120,F121,F122,F123)</f>
        <v>0</v>
      </c>
      <c r="G117" s="7">
        <f t="shared" si="14"/>
        <v>0</v>
      </c>
      <c r="H117" s="7">
        <f t="shared" si="14"/>
        <v>0</v>
      </c>
      <c r="I117" s="7">
        <f t="shared" si="14"/>
        <v>0</v>
      </c>
      <c r="J117" s="7">
        <f t="shared" si="14"/>
        <v>0</v>
      </c>
      <c r="K117" s="7">
        <f t="shared" si="14"/>
        <v>0</v>
      </c>
      <c r="L117" s="7">
        <f t="shared" si="14"/>
        <v>0</v>
      </c>
      <c r="M117" s="7">
        <f t="shared" si="14"/>
        <v>0</v>
      </c>
      <c r="N117" s="7">
        <f t="shared" si="14"/>
        <v>0</v>
      </c>
      <c r="O117" s="7">
        <f t="shared" si="14"/>
        <v>0</v>
      </c>
      <c r="P117" s="7">
        <f t="shared" si="14"/>
        <v>0</v>
      </c>
      <c r="Q117" s="7">
        <f t="shared" si="14"/>
        <v>0</v>
      </c>
      <c r="R117" s="7">
        <f t="shared" si="14"/>
        <v>0</v>
      </c>
      <c r="S117" s="7">
        <f t="shared" si="14"/>
        <v>0</v>
      </c>
      <c r="T117" s="7">
        <f t="shared" si="14"/>
        <v>0</v>
      </c>
      <c r="U117" s="7">
        <f t="shared" si="14"/>
        <v>0</v>
      </c>
      <c r="V117" s="7">
        <f t="shared" si="14"/>
        <v>0</v>
      </c>
      <c r="W117" s="7">
        <f t="shared" si="14"/>
        <v>0</v>
      </c>
      <c r="X117" s="7">
        <f t="shared" si="14"/>
        <v>0</v>
      </c>
      <c r="Y117" s="7">
        <f t="shared" si="14"/>
        <v>0</v>
      </c>
      <c r="Z117" s="7">
        <f t="shared" si="14"/>
        <v>0</v>
      </c>
      <c r="AA117" s="7">
        <f t="shared" si="14"/>
        <v>0</v>
      </c>
      <c r="AB117" s="7">
        <f t="shared" si="14"/>
        <v>0</v>
      </c>
      <c r="AC117" s="7">
        <f t="shared" si="14"/>
        <v>55</v>
      </c>
      <c r="AD117" s="7">
        <f t="shared" si="14"/>
        <v>0</v>
      </c>
      <c r="AE117" s="7">
        <f t="shared" si="14"/>
        <v>0</v>
      </c>
      <c r="AF117" s="7">
        <f t="shared" si="14"/>
        <v>0</v>
      </c>
      <c r="AG117" s="7">
        <f t="shared" si="14"/>
        <v>0</v>
      </c>
      <c r="AH117" s="7">
        <f t="shared" si="14"/>
        <v>0</v>
      </c>
      <c r="AI117" s="7">
        <f t="shared" si="14"/>
        <v>0</v>
      </c>
      <c r="AJ117" s="7">
        <f t="shared" si="14"/>
        <v>0</v>
      </c>
      <c r="AK117" s="7">
        <f t="shared" si="14"/>
        <v>0</v>
      </c>
      <c r="AL117" s="7">
        <f t="shared" si="14"/>
        <v>0</v>
      </c>
      <c r="AM117" s="7">
        <f t="shared" si="14"/>
        <v>0</v>
      </c>
      <c r="AN117" s="7">
        <f t="shared" si="14"/>
        <v>0</v>
      </c>
      <c r="AO117" s="7">
        <f t="shared" si="14"/>
        <v>0</v>
      </c>
      <c r="AP117" s="7">
        <f t="shared" si="14"/>
        <v>0</v>
      </c>
      <c r="AQ117" s="7">
        <f t="shared" si="14"/>
        <v>0</v>
      </c>
      <c r="AR117" s="7">
        <f t="shared" si="14"/>
        <v>0</v>
      </c>
      <c r="AS117" s="7">
        <f t="shared" si="14"/>
        <v>0</v>
      </c>
    </row>
    <row r="118" spans="1:45" ht="15" hidden="1" customHeight="1" outlineLevel="1" x14ac:dyDescent="0.35">
      <c r="A118" t="s">
        <v>12</v>
      </c>
      <c r="B118" t="s">
        <v>10</v>
      </c>
      <c r="C118" t="s">
        <v>144</v>
      </c>
      <c r="D118" t="s">
        <v>141</v>
      </c>
      <c r="E118" t="s">
        <v>81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1.5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</row>
    <row r="119" spans="1:45" ht="15" hidden="1" customHeight="1" outlineLevel="1" x14ac:dyDescent="0.35">
      <c r="A119" t="s">
        <v>12</v>
      </c>
      <c r="B119" t="s">
        <v>10</v>
      </c>
      <c r="C119" t="s">
        <v>144</v>
      </c>
      <c r="D119" t="s">
        <v>141</v>
      </c>
      <c r="E119" t="s">
        <v>94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22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</row>
    <row r="120" spans="1:45" ht="15" hidden="1" customHeight="1" outlineLevel="1" x14ac:dyDescent="0.35">
      <c r="A120" t="s">
        <v>12</v>
      </c>
      <c r="B120" t="s">
        <v>10</v>
      </c>
      <c r="C120" t="s">
        <v>144</v>
      </c>
      <c r="D120" t="s">
        <v>141</v>
      </c>
      <c r="E120" t="s">
        <v>102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16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</row>
    <row r="121" spans="1:45" ht="15" hidden="1" customHeight="1" outlineLevel="1" x14ac:dyDescent="0.35">
      <c r="A121" t="s">
        <v>12</v>
      </c>
      <c r="B121" t="s">
        <v>10</v>
      </c>
      <c r="C121" t="s">
        <v>144</v>
      </c>
      <c r="D121" t="s">
        <v>141</v>
      </c>
      <c r="E121" t="s">
        <v>95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12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</row>
    <row r="122" spans="1:45" ht="15" hidden="1" customHeight="1" outlineLevel="1" x14ac:dyDescent="0.35">
      <c r="A122" t="s">
        <v>12</v>
      </c>
      <c r="B122" t="s">
        <v>10</v>
      </c>
      <c r="C122" t="s">
        <v>144</v>
      </c>
      <c r="D122" t="s">
        <v>141</v>
      </c>
      <c r="E122" t="s">
        <v>40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3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</row>
    <row r="123" spans="1:45" ht="15" hidden="1" customHeight="1" outlineLevel="1" x14ac:dyDescent="0.35">
      <c r="A123" t="s">
        <v>12</v>
      </c>
      <c r="B123" t="s">
        <v>10</v>
      </c>
      <c r="C123" t="s">
        <v>144</v>
      </c>
      <c r="D123" t="s">
        <v>141</v>
      </c>
      <c r="E123" t="s">
        <v>85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0.5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</row>
    <row r="124" spans="1:45" ht="15" customHeight="1" collapsed="1" x14ac:dyDescent="0.35">
      <c r="A124" s="3" t="s">
        <v>12</v>
      </c>
      <c r="B124" s="3" t="s">
        <v>10</v>
      </c>
      <c r="C124" s="3" t="s">
        <v>145</v>
      </c>
      <c r="D124" s="3" t="s">
        <v>76</v>
      </c>
      <c r="E124" s="3" t="s">
        <v>77</v>
      </c>
      <c r="F124" s="7">
        <f t="shared" ref="F124:AS124" si="15">SUM(F125,F126,F127)</f>
        <v>0</v>
      </c>
      <c r="G124" s="7">
        <f t="shared" si="15"/>
        <v>0</v>
      </c>
      <c r="H124" s="7">
        <f t="shared" si="15"/>
        <v>0</v>
      </c>
      <c r="I124" s="7">
        <f t="shared" si="15"/>
        <v>0</v>
      </c>
      <c r="J124" s="7">
        <f t="shared" si="15"/>
        <v>0</v>
      </c>
      <c r="K124" s="7">
        <f t="shared" si="15"/>
        <v>0</v>
      </c>
      <c r="L124" s="7">
        <f t="shared" si="15"/>
        <v>0</v>
      </c>
      <c r="M124" s="7">
        <f t="shared" si="15"/>
        <v>0</v>
      </c>
      <c r="N124" s="7">
        <f t="shared" si="15"/>
        <v>0</v>
      </c>
      <c r="O124" s="7">
        <f t="shared" si="15"/>
        <v>0</v>
      </c>
      <c r="P124" s="7">
        <f t="shared" si="15"/>
        <v>0</v>
      </c>
      <c r="Q124" s="7">
        <f t="shared" si="15"/>
        <v>0</v>
      </c>
      <c r="R124" s="7">
        <f t="shared" si="15"/>
        <v>0</v>
      </c>
      <c r="S124" s="7">
        <f t="shared" si="15"/>
        <v>0</v>
      </c>
      <c r="T124" s="7">
        <f t="shared" si="15"/>
        <v>0</v>
      </c>
      <c r="U124" s="7">
        <f t="shared" si="15"/>
        <v>0</v>
      </c>
      <c r="V124" s="7">
        <f t="shared" si="15"/>
        <v>0</v>
      </c>
      <c r="W124" s="7">
        <f t="shared" si="15"/>
        <v>0</v>
      </c>
      <c r="X124" s="7">
        <f t="shared" si="15"/>
        <v>0</v>
      </c>
      <c r="Y124" s="7">
        <f t="shared" si="15"/>
        <v>0</v>
      </c>
      <c r="Z124" s="7">
        <f t="shared" si="15"/>
        <v>0</v>
      </c>
      <c r="AA124" s="7">
        <f t="shared" si="15"/>
        <v>0</v>
      </c>
      <c r="AB124" s="7">
        <f t="shared" si="15"/>
        <v>0</v>
      </c>
      <c r="AC124" s="7">
        <f t="shared" si="15"/>
        <v>30</v>
      </c>
      <c r="AD124" s="7">
        <f t="shared" si="15"/>
        <v>0</v>
      </c>
      <c r="AE124" s="7">
        <f t="shared" si="15"/>
        <v>0</v>
      </c>
      <c r="AF124" s="7">
        <f t="shared" si="15"/>
        <v>0</v>
      </c>
      <c r="AG124" s="7">
        <f t="shared" si="15"/>
        <v>0</v>
      </c>
      <c r="AH124" s="7">
        <f t="shared" si="15"/>
        <v>0</v>
      </c>
      <c r="AI124" s="7">
        <f t="shared" si="15"/>
        <v>0</v>
      </c>
      <c r="AJ124" s="7">
        <f t="shared" si="15"/>
        <v>0</v>
      </c>
      <c r="AK124" s="7">
        <f t="shared" si="15"/>
        <v>0</v>
      </c>
      <c r="AL124" s="7">
        <f t="shared" si="15"/>
        <v>0</v>
      </c>
      <c r="AM124" s="7">
        <f t="shared" si="15"/>
        <v>0</v>
      </c>
      <c r="AN124" s="7">
        <f t="shared" si="15"/>
        <v>0</v>
      </c>
      <c r="AO124" s="7">
        <f t="shared" si="15"/>
        <v>0</v>
      </c>
      <c r="AP124" s="7">
        <f t="shared" si="15"/>
        <v>0</v>
      </c>
      <c r="AQ124" s="7">
        <f t="shared" si="15"/>
        <v>0</v>
      </c>
      <c r="AR124" s="7">
        <f t="shared" si="15"/>
        <v>0</v>
      </c>
      <c r="AS124" s="7">
        <f t="shared" si="15"/>
        <v>0</v>
      </c>
    </row>
    <row r="125" spans="1:45" ht="15" hidden="1" customHeight="1" outlineLevel="1" x14ac:dyDescent="0.35">
      <c r="A125" t="s">
        <v>12</v>
      </c>
      <c r="B125" t="s">
        <v>10</v>
      </c>
      <c r="C125" t="s">
        <v>145</v>
      </c>
      <c r="D125" t="s">
        <v>141</v>
      </c>
      <c r="E125" t="s">
        <v>85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4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</row>
    <row r="126" spans="1:45" ht="15" hidden="1" customHeight="1" outlineLevel="1" x14ac:dyDescent="0.35">
      <c r="A126" t="s">
        <v>12</v>
      </c>
      <c r="B126" t="s">
        <v>10</v>
      </c>
      <c r="C126" t="s">
        <v>145</v>
      </c>
      <c r="D126" t="s">
        <v>141</v>
      </c>
      <c r="E126" t="s">
        <v>103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10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</row>
    <row r="127" spans="1:45" ht="15" hidden="1" customHeight="1" outlineLevel="1" x14ac:dyDescent="0.35">
      <c r="A127" t="s">
        <v>12</v>
      </c>
      <c r="B127" t="s">
        <v>10</v>
      </c>
      <c r="C127" t="s">
        <v>145</v>
      </c>
      <c r="D127" t="s">
        <v>141</v>
      </c>
      <c r="E127" t="s">
        <v>105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16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</row>
    <row r="128" spans="1:45" ht="15" customHeight="1" collapsed="1" x14ac:dyDescent="0.35">
      <c r="A128" s="3" t="s">
        <v>12</v>
      </c>
      <c r="B128" s="3" t="s">
        <v>10</v>
      </c>
      <c r="C128" s="3" t="s">
        <v>33</v>
      </c>
      <c r="D128" s="3" t="s">
        <v>76</v>
      </c>
      <c r="E128" s="3" t="s">
        <v>77</v>
      </c>
      <c r="F128" s="7">
        <f t="shared" ref="F128:AS128" si="16">SUM(F129,F130,F131,F132)</f>
        <v>24</v>
      </c>
      <c r="G128" s="7">
        <f t="shared" si="16"/>
        <v>8</v>
      </c>
      <c r="H128" s="7">
        <f t="shared" si="16"/>
        <v>4</v>
      </c>
      <c r="I128" s="7">
        <f t="shared" si="16"/>
        <v>1</v>
      </c>
      <c r="J128" s="7">
        <f t="shared" si="16"/>
        <v>1</v>
      </c>
      <c r="K128" s="7">
        <f t="shared" si="16"/>
        <v>6</v>
      </c>
      <c r="L128" s="7">
        <f t="shared" si="16"/>
        <v>13.2</v>
      </c>
      <c r="M128" s="7">
        <f t="shared" si="16"/>
        <v>30.1</v>
      </c>
      <c r="N128" s="7">
        <f t="shared" si="16"/>
        <v>30.1</v>
      </c>
      <c r="O128" s="7">
        <f t="shared" si="16"/>
        <v>13.2</v>
      </c>
      <c r="P128" s="7">
        <f t="shared" si="16"/>
        <v>15</v>
      </c>
      <c r="Q128" s="7">
        <f t="shared" si="16"/>
        <v>15</v>
      </c>
      <c r="R128" s="7">
        <f t="shared" si="16"/>
        <v>22</v>
      </c>
      <c r="S128" s="7">
        <f t="shared" si="16"/>
        <v>34.5</v>
      </c>
      <c r="T128" s="7">
        <f t="shared" si="16"/>
        <v>22</v>
      </c>
      <c r="U128" s="7">
        <f t="shared" si="16"/>
        <v>22</v>
      </c>
      <c r="V128" s="7">
        <f t="shared" si="16"/>
        <v>0</v>
      </c>
      <c r="W128" s="7">
        <f t="shared" si="16"/>
        <v>0</v>
      </c>
      <c r="X128" s="7">
        <f t="shared" si="16"/>
        <v>37</v>
      </c>
      <c r="Y128" s="7">
        <f t="shared" si="16"/>
        <v>45.1</v>
      </c>
      <c r="Z128" s="7">
        <f t="shared" si="16"/>
        <v>55</v>
      </c>
      <c r="AA128" s="7">
        <f t="shared" si="16"/>
        <v>55</v>
      </c>
      <c r="AB128" s="7">
        <f t="shared" si="16"/>
        <v>55</v>
      </c>
      <c r="AC128" s="7">
        <f t="shared" si="16"/>
        <v>55</v>
      </c>
      <c r="AD128" s="7">
        <f t="shared" si="16"/>
        <v>26</v>
      </c>
      <c r="AE128" s="7">
        <f t="shared" si="16"/>
        <v>6</v>
      </c>
      <c r="AF128" s="7">
        <f t="shared" si="16"/>
        <v>39</v>
      </c>
      <c r="AG128" s="7">
        <f t="shared" si="16"/>
        <v>39</v>
      </c>
      <c r="AH128" s="7">
        <f t="shared" si="16"/>
        <v>39</v>
      </c>
      <c r="AI128" s="7">
        <f t="shared" si="16"/>
        <v>9</v>
      </c>
      <c r="AJ128" s="7">
        <f t="shared" si="16"/>
        <v>9</v>
      </c>
      <c r="AK128" s="7">
        <f t="shared" si="16"/>
        <v>9</v>
      </c>
      <c r="AL128" s="7">
        <f t="shared" si="16"/>
        <v>3</v>
      </c>
      <c r="AM128" s="7">
        <f t="shared" si="16"/>
        <v>0</v>
      </c>
      <c r="AN128" s="7">
        <f t="shared" si="16"/>
        <v>0</v>
      </c>
      <c r="AO128" s="7">
        <f t="shared" si="16"/>
        <v>0</v>
      </c>
      <c r="AP128" s="7">
        <f t="shared" si="16"/>
        <v>0</v>
      </c>
      <c r="AQ128" s="7">
        <f t="shared" si="16"/>
        <v>0</v>
      </c>
      <c r="AR128" s="7">
        <f t="shared" si="16"/>
        <v>0</v>
      </c>
      <c r="AS128" s="7">
        <f t="shared" si="16"/>
        <v>0</v>
      </c>
    </row>
    <row r="129" spans="1:45" ht="15" hidden="1" customHeight="1" outlineLevel="1" x14ac:dyDescent="0.35">
      <c r="A129" t="s">
        <v>12</v>
      </c>
      <c r="B129" t="s">
        <v>10</v>
      </c>
      <c r="C129" t="s">
        <v>33</v>
      </c>
      <c r="D129" t="s">
        <v>141</v>
      </c>
      <c r="E129" t="s">
        <v>103</v>
      </c>
      <c r="F129" s="9">
        <v>15</v>
      </c>
      <c r="G129" s="9">
        <v>0</v>
      </c>
      <c r="H129" s="9">
        <v>0</v>
      </c>
      <c r="I129" s="9">
        <v>0</v>
      </c>
      <c r="J129" s="9">
        <v>0</v>
      </c>
      <c r="K129" s="9">
        <v>5</v>
      </c>
      <c r="L129" s="9">
        <v>13</v>
      </c>
      <c r="M129" s="9">
        <v>30</v>
      </c>
      <c r="N129" s="9">
        <v>30</v>
      </c>
      <c r="O129" s="9">
        <v>13</v>
      </c>
      <c r="P129" s="9">
        <v>15</v>
      </c>
      <c r="Q129" s="9">
        <v>15</v>
      </c>
      <c r="R129" s="9">
        <v>22</v>
      </c>
      <c r="S129" s="9">
        <v>25</v>
      </c>
      <c r="T129" s="9">
        <v>15</v>
      </c>
      <c r="U129" s="9">
        <v>15</v>
      </c>
      <c r="V129" s="9">
        <v>0</v>
      </c>
      <c r="W129" s="9">
        <v>0</v>
      </c>
      <c r="X129" s="9">
        <v>30</v>
      </c>
      <c r="Y129" s="9">
        <v>45</v>
      </c>
      <c r="Z129" s="9">
        <v>55</v>
      </c>
      <c r="AA129" s="9">
        <v>55</v>
      </c>
      <c r="AB129" s="9">
        <v>55</v>
      </c>
      <c r="AC129" s="9">
        <v>55</v>
      </c>
      <c r="AD129" s="9">
        <v>25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</row>
    <row r="130" spans="1:45" ht="15" hidden="1" customHeight="1" outlineLevel="1" x14ac:dyDescent="0.35">
      <c r="A130" t="s">
        <v>12</v>
      </c>
      <c r="B130" t="s">
        <v>10</v>
      </c>
      <c r="C130" t="s">
        <v>33</v>
      </c>
      <c r="D130" t="s">
        <v>141</v>
      </c>
      <c r="E130" t="s">
        <v>100</v>
      </c>
      <c r="F130" s="9">
        <v>2</v>
      </c>
      <c r="G130" s="9">
        <v>1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2.5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1</v>
      </c>
      <c r="AE130" s="9">
        <v>4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</row>
    <row r="131" spans="1:45" ht="15" hidden="1" customHeight="1" outlineLevel="1" x14ac:dyDescent="0.35">
      <c r="A131" t="s">
        <v>12</v>
      </c>
      <c r="B131" t="s">
        <v>10</v>
      </c>
      <c r="C131" t="s">
        <v>33</v>
      </c>
      <c r="D131" t="s">
        <v>141</v>
      </c>
      <c r="E131" t="s">
        <v>114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30</v>
      </c>
      <c r="AG131" s="9">
        <v>30</v>
      </c>
      <c r="AH131" s="9">
        <v>30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</row>
    <row r="132" spans="1:45" ht="15" hidden="1" customHeight="1" outlineLevel="1" x14ac:dyDescent="0.35">
      <c r="A132" t="s">
        <v>12</v>
      </c>
      <c r="B132" t="s">
        <v>10</v>
      </c>
      <c r="C132" t="s">
        <v>33</v>
      </c>
      <c r="D132" t="s">
        <v>141</v>
      </c>
      <c r="E132" t="s">
        <v>107</v>
      </c>
      <c r="F132" s="9">
        <v>7</v>
      </c>
      <c r="G132" s="9">
        <v>7</v>
      </c>
      <c r="H132" s="9">
        <v>4</v>
      </c>
      <c r="I132" s="9">
        <v>1</v>
      </c>
      <c r="J132" s="9">
        <v>1</v>
      </c>
      <c r="K132" s="9">
        <v>1</v>
      </c>
      <c r="L132" s="9">
        <v>0.2</v>
      </c>
      <c r="M132" s="9">
        <v>0.1</v>
      </c>
      <c r="N132" s="9">
        <v>0.1</v>
      </c>
      <c r="O132" s="9">
        <v>0.2</v>
      </c>
      <c r="P132" s="9">
        <v>0</v>
      </c>
      <c r="Q132" s="9">
        <v>0</v>
      </c>
      <c r="R132" s="9">
        <v>0</v>
      </c>
      <c r="S132" s="9">
        <v>7</v>
      </c>
      <c r="T132" s="9">
        <v>7</v>
      </c>
      <c r="U132" s="9">
        <v>7</v>
      </c>
      <c r="V132" s="9">
        <v>0</v>
      </c>
      <c r="W132" s="9">
        <v>0</v>
      </c>
      <c r="X132" s="9">
        <v>7</v>
      </c>
      <c r="Y132" s="9">
        <v>0.1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2</v>
      </c>
      <c r="AF132" s="9">
        <v>9</v>
      </c>
      <c r="AG132" s="9">
        <v>9</v>
      </c>
      <c r="AH132" s="9">
        <v>9</v>
      </c>
      <c r="AI132" s="9">
        <v>9</v>
      </c>
      <c r="AJ132" s="9">
        <v>9</v>
      </c>
      <c r="AK132" s="9">
        <v>9</v>
      </c>
      <c r="AL132" s="9">
        <v>3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</row>
    <row r="133" spans="1:45" ht="15" customHeight="1" collapsed="1" x14ac:dyDescent="0.35">
      <c r="A133" s="3" t="s">
        <v>29</v>
      </c>
      <c r="B133" s="3" t="s">
        <v>10</v>
      </c>
      <c r="C133" s="3" t="s">
        <v>35</v>
      </c>
      <c r="D133" s="3" t="s">
        <v>76</v>
      </c>
      <c r="E133" s="3" t="s">
        <v>77</v>
      </c>
      <c r="F133" s="7">
        <f t="shared" ref="F133:AS133" si="17">SUM(F134,F135)</f>
        <v>26</v>
      </c>
      <c r="G133" s="7">
        <f t="shared" si="17"/>
        <v>20</v>
      </c>
      <c r="H133" s="7">
        <f t="shared" si="17"/>
        <v>20</v>
      </c>
      <c r="I133" s="7">
        <f t="shared" si="17"/>
        <v>20</v>
      </c>
      <c r="J133" s="7">
        <f t="shared" si="17"/>
        <v>40</v>
      </c>
      <c r="K133" s="7">
        <f t="shared" si="17"/>
        <v>30</v>
      </c>
      <c r="L133" s="7">
        <f t="shared" si="17"/>
        <v>40</v>
      </c>
      <c r="M133" s="7">
        <f t="shared" si="17"/>
        <v>40</v>
      </c>
      <c r="N133" s="7">
        <f t="shared" si="17"/>
        <v>40</v>
      </c>
      <c r="O133" s="7">
        <f t="shared" si="17"/>
        <v>30</v>
      </c>
      <c r="P133" s="7">
        <f t="shared" si="17"/>
        <v>15</v>
      </c>
      <c r="Q133" s="7">
        <f t="shared" si="17"/>
        <v>15</v>
      </c>
      <c r="R133" s="7">
        <f t="shared" si="17"/>
        <v>15</v>
      </c>
      <c r="S133" s="7">
        <f t="shared" si="17"/>
        <v>15</v>
      </c>
      <c r="T133" s="7">
        <f t="shared" si="17"/>
        <v>15</v>
      </c>
      <c r="U133" s="7">
        <f t="shared" si="17"/>
        <v>3</v>
      </c>
      <c r="V133" s="7">
        <f t="shared" si="17"/>
        <v>2</v>
      </c>
      <c r="W133" s="7">
        <f t="shared" si="17"/>
        <v>0</v>
      </c>
      <c r="X133" s="7">
        <f t="shared" si="17"/>
        <v>55</v>
      </c>
      <c r="Y133" s="7">
        <f t="shared" si="17"/>
        <v>50</v>
      </c>
      <c r="Z133" s="7">
        <f t="shared" si="17"/>
        <v>50</v>
      </c>
      <c r="AA133" s="7">
        <f t="shared" si="17"/>
        <v>50</v>
      </c>
      <c r="AB133" s="7">
        <f t="shared" si="17"/>
        <v>55</v>
      </c>
      <c r="AC133" s="7">
        <f t="shared" si="17"/>
        <v>55</v>
      </c>
      <c r="AD133" s="7">
        <f t="shared" si="17"/>
        <v>55</v>
      </c>
      <c r="AE133" s="7">
        <f t="shared" si="17"/>
        <v>40</v>
      </c>
      <c r="AF133" s="7">
        <f t="shared" si="17"/>
        <v>25</v>
      </c>
      <c r="AG133" s="7">
        <f t="shared" si="17"/>
        <v>40</v>
      </c>
      <c r="AH133" s="7">
        <f t="shared" si="17"/>
        <v>30</v>
      </c>
      <c r="AI133" s="7">
        <f t="shared" si="17"/>
        <v>30</v>
      </c>
      <c r="AJ133" s="7">
        <f t="shared" si="17"/>
        <v>25</v>
      </c>
      <c r="AK133" s="7">
        <f t="shared" si="17"/>
        <v>25</v>
      </c>
      <c r="AL133" s="7">
        <f t="shared" si="17"/>
        <v>25</v>
      </c>
      <c r="AM133" s="7">
        <f t="shared" si="17"/>
        <v>25</v>
      </c>
      <c r="AN133" s="7">
        <f t="shared" si="17"/>
        <v>20</v>
      </c>
      <c r="AO133" s="7">
        <f t="shared" si="17"/>
        <v>15</v>
      </c>
      <c r="AP133" s="7">
        <f t="shared" si="17"/>
        <v>5</v>
      </c>
      <c r="AQ133" s="7">
        <f t="shared" si="17"/>
        <v>0</v>
      </c>
      <c r="AR133" s="7">
        <f t="shared" si="17"/>
        <v>0</v>
      </c>
      <c r="AS133" s="7">
        <f t="shared" si="17"/>
        <v>0</v>
      </c>
    </row>
    <row r="134" spans="1:45" ht="15" hidden="1" customHeight="1" outlineLevel="1" x14ac:dyDescent="0.35">
      <c r="A134" t="s">
        <v>29</v>
      </c>
      <c r="B134" t="s">
        <v>10</v>
      </c>
      <c r="C134" t="s">
        <v>35</v>
      </c>
      <c r="D134" t="s">
        <v>141</v>
      </c>
      <c r="E134" t="s">
        <v>91</v>
      </c>
      <c r="F134" s="9">
        <v>0</v>
      </c>
      <c r="G134" s="9">
        <v>0</v>
      </c>
      <c r="H134" s="9">
        <v>0</v>
      </c>
      <c r="I134" s="9">
        <v>0</v>
      </c>
      <c r="J134" s="9">
        <v>5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25</v>
      </c>
      <c r="AG134" s="9">
        <v>40</v>
      </c>
      <c r="AH134" s="9">
        <v>30</v>
      </c>
      <c r="AI134" s="9">
        <v>30</v>
      </c>
      <c r="AJ134" s="9">
        <v>25</v>
      </c>
      <c r="AK134" s="9">
        <v>25</v>
      </c>
      <c r="AL134" s="9">
        <v>25</v>
      </c>
      <c r="AM134" s="9">
        <v>25</v>
      </c>
      <c r="AN134" s="9">
        <v>20</v>
      </c>
      <c r="AO134" s="9">
        <v>15</v>
      </c>
      <c r="AP134" s="9">
        <v>5</v>
      </c>
      <c r="AQ134" s="9">
        <v>0</v>
      </c>
      <c r="AR134" s="9">
        <v>0</v>
      </c>
      <c r="AS134" s="9">
        <v>0</v>
      </c>
    </row>
    <row r="135" spans="1:45" ht="15" hidden="1" customHeight="1" outlineLevel="1" x14ac:dyDescent="0.35">
      <c r="A135" t="s">
        <v>29</v>
      </c>
      <c r="B135" t="s">
        <v>10</v>
      </c>
      <c r="C135" t="s">
        <v>35</v>
      </c>
      <c r="D135" t="s">
        <v>141</v>
      </c>
      <c r="E135" t="s">
        <v>92</v>
      </c>
      <c r="F135" s="9">
        <v>26</v>
      </c>
      <c r="G135" s="9">
        <v>20</v>
      </c>
      <c r="H135" s="9">
        <v>20</v>
      </c>
      <c r="I135" s="9">
        <v>20</v>
      </c>
      <c r="J135" s="9">
        <v>35</v>
      </c>
      <c r="K135" s="9">
        <v>30</v>
      </c>
      <c r="L135" s="9">
        <v>40</v>
      </c>
      <c r="M135" s="9">
        <v>40</v>
      </c>
      <c r="N135" s="9">
        <v>40</v>
      </c>
      <c r="O135" s="9">
        <v>30</v>
      </c>
      <c r="P135" s="9">
        <v>15</v>
      </c>
      <c r="Q135" s="9">
        <v>15</v>
      </c>
      <c r="R135" s="9">
        <v>15</v>
      </c>
      <c r="S135" s="9">
        <v>15</v>
      </c>
      <c r="T135" s="9">
        <v>15</v>
      </c>
      <c r="U135" s="9">
        <v>3</v>
      </c>
      <c r="V135" s="9">
        <v>2</v>
      </c>
      <c r="W135" s="9">
        <v>0</v>
      </c>
      <c r="X135" s="9">
        <v>55</v>
      </c>
      <c r="Y135" s="9">
        <v>50</v>
      </c>
      <c r="Z135" s="9">
        <v>50</v>
      </c>
      <c r="AA135" s="9">
        <v>50</v>
      </c>
      <c r="AB135" s="9">
        <v>55</v>
      </c>
      <c r="AC135" s="9">
        <v>55</v>
      </c>
      <c r="AD135" s="9">
        <v>55</v>
      </c>
      <c r="AE135" s="9">
        <v>40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</row>
    <row r="136" spans="1:45" ht="15" customHeight="1" collapsed="1" x14ac:dyDescent="0.35">
      <c r="A136" s="3" t="s">
        <v>12</v>
      </c>
      <c r="B136" s="3" t="s">
        <v>10</v>
      </c>
      <c r="C136" s="3" t="s">
        <v>116</v>
      </c>
      <c r="D136" s="3" t="s">
        <v>76</v>
      </c>
      <c r="E136" s="3" t="s">
        <v>77</v>
      </c>
      <c r="F136" s="7">
        <f t="shared" ref="F136:AS136" si="18">SUM(F137,F138,F139,F140,F141,F142)</f>
        <v>23</v>
      </c>
      <c r="G136" s="7">
        <f t="shared" si="18"/>
        <v>31</v>
      </c>
      <c r="H136" s="7">
        <f t="shared" si="18"/>
        <v>20</v>
      </c>
      <c r="I136" s="7">
        <f t="shared" si="18"/>
        <v>16</v>
      </c>
      <c r="J136" s="7">
        <f t="shared" si="18"/>
        <v>11</v>
      </c>
      <c r="K136" s="7">
        <f t="shared" si="18"/>
        <v>5</v>
      </c>
      <c r="L136" s="7">
        <f t="shared" si="18"/>
        <v>5</v>
      </c>
      <c r="M136" s="7">
        <f t="shared" si="18"/>
        <v>21</v>
      </c>
      <c r="N136" s="7">
        <f t="shared" si="18"/>
        <v>26</v>
      </c>
      <c r="O136" s="7">
        <f t="shared" si="18"/>
        <v>27.5</v>
      </c>
      <c r="P136" s="7">
        <f t="shared" si="18"/>
        <v>29</v>
      </c>
      <c r="Q136" s="7">
        <f t="shared" si="18"/>
        <v>32.5</v>
      </c>
      <c r="R136" s="7">
        <f t="shared" si="18"/>
        <v>13</v>
      </c>
      <c r="S136" s="7">
        <f t="shared" si="18"/>
        <v>38.9</v>
      </c>
      <c r="T136" s="7">
        <f t="shared" si="18"/>
        <v>29.8</v>
      </c>
      <c r="U136" s="7">
        <f t="shared" si="18"/>
        <v>18</v>
      </c>
      <c r="V136" s="7">
        <f t="shared" si="18"/>
        <v>0</v>
      </c>
      <c r="W136" s="7">
        <f t="shared" si="18"/>
        <v>0</v>
      </c>
      <c r="X136" s="7">
        <f t="shared" si="18"/>
        <v>32</v>
      </c>
      <c r="Y136" s="7">
        <f t="shared" si="18"/>
        <v>32</v>
      </c>
      <c r="Z136" s="7">
        <f t="shared" si="18"/>
        <v>32</v>
      </c>
      <c r="AA136" s="7">
        <f t="shared" si="18"/>
        <v>42</v>
      </c>
      <c r="AB136" s="7">
        <f t="shared" si="18"/>
        <v>55</v>
      </c>
      <c r="AC136" s="7">
        <f t="shared" si="18"/>
        <v>55</v>
      </c>
      <c r="AD136" s="7">
        <f t="shared" si="18"/>
        <v>55</v>
      </c>
      <c r="AE136" s="7">
        <f t="shared" si="18"/>
        <v>17.5</v>
      </c>
      <c r="AF136" s="7">
        <f t="shared" si="18"/>
        <v>0</v>
      </c>
      <c r="AG136" s="7">
        <f t="shared" si="18"/>
        <v>0</v>
      </c>
      <c r="AH136" s="7">
        <f t="shared" si="18"/>
        <v>0</v>
      </c>
      <c r="AI136" s="7">
        <f t="shared" si="18"/>
        <v>0</v>
      </c>
      <c r="AJ136" s="7">
        <f t="shared" si="18"/>
        <v>0</v>
      </c>
      <c r="AK136" s="7">
        <f t="shared" si="18"/>
        <v>0</v>
      </c>
      <c r="AL136" s="7">
        <f t="shared" si="18"/>
        <v>0</v>
      </c>
      <c r="AM136" s="7">
        <f t="shared" si="18"/>
        <v>0</v>
      </c>
      <c r="AN136" s="7">
        <f t="shared" si="18"/>
        <v>0</v>
      </c>
      <c r="AO136" s="7">
        <f t="shared" si="18"/>
        <v>0</v>
      </c>
      <c r="AP136" s="7">
        <f t="shared" si="18"/>
        <v>0</v>
      </c>
      <c r="AQ136" s="7">
        <f t="shared" si="18"/>
        <v>0</v>
      </c>
      <c r="AR136" s="7">
        <f t="shared" si="18"/>
        <v>0</v>
      </c>
      <c r="AS136" s="7">
        <f t="shared" si="18"/>
        <v>0</v>
      </c>
    </row>
    <row r="137" spans="1:45" ht="15" hidden="1" customHeight="1" outlineLevel="1" x14ac:dyDescent="0.35">
      <c r="A137" t="s">
        <v>12</v>
      </c>
      <c r="B137" t="s">
        <v>10</v>
      </c>
      <c r="C137" t="s">
        <v>116</v>
      </c>
      <c r="D137" t="s">
        <v>141</v>
      </c>
      <c r="E137" t="s">
        <v>40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8.5</v>
      </c>
      <c r="AC137" s="9">
        <v>9</v>
      </c>
      <c r="AD137" s="9">
        <v>24.5</v>
      </c>
      <c r="AE137" s="9">
        <v>10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</row>
    <row r="138" spans="1:45" ht="15" hidden="1" customHeight="1" outlineLevel="1" x14ac:dyDescent="0.35">
      <c r="A138" t="s">
        <v>12</v>
      </c>
      <c r="B138" t="s">
        <v>10</v>
      </c>
      <c r="C138" t="s">
        <v>116</v>
      </c>
      <c r="D138" t="s">
        <v>141</v>
      </c>
      <c r="E138" t="s">
        <v>96</v>
      </c>
      <c r="F138" s="9">
        <v>6</v>
      </c>
      <c r="G138" s="9">
        <v>0</v>
      </c>
      <c r="H138" s="9">
        <v>0</v>
      </c>
      <c r="I138" s="9">
        <v>6</v>
      </c>
      <c r="J138" s="9">
        <v>6</v>
      </c>
      <c r="K138" s="9">
        <v>0</v>
      </c>
      <c r="L138" s="9">
        <v>0</v>
      </c>
      <c r="M138" s="9">
        <v>6</v>
      </c>
      <c r="N138" s="9">
        <v>6</v>
      </c>
      <c r="O138" s="9">
        <v>6</v>
      </c>
      <c r="P138" s="9">
        <v>6</v>
      </c>
      <c r="Q138" s="9">
        <v>8</v>
      </c>
      <c r="R138" s="9">
        <v>0</v>
      </c>
      <c r="S138" s="9">
        <v>17.899999999999999</v>
      </c>
      <c r="T138" s="9">
        <v>19.8</v>
      </c>
      <c r="U138" s="9">
        <v>8</v>
      </c>
      <c r="V138" s="9">
        <v>0</v>
      </c>
      <c r="W138" s="9">
        <v>0</v>
      </c>
      <c r="X138" s="9">
        <v>12</v>
      </c>
      <c r="Y138" s="9">
        <v>12</v>
      </c>
      <c r="Z138" s="9">
        <v>12</v>
      </c>
      <c r="AA138" s="9">
        <v>12</v>
      </c>
      <c r="AB138" s="9">
        <v>11</v>
      </c>
      <c r="AC138" s="9">
        <v>22</v>
      </c>
      <c r="AD138" s="9">
        <v>8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</row>
    <row r="139" spans="1:45" ht="15" hidden="1" customHeight="1" outlineLevel="1" x14ac:dyDescent="0.35">
      <c r="A139" t="s">
        <v>12</v>
      </c>
      <c r="B139" t="s">
        <v>10</v>
      </c>
      <c r="C139" t="s">
        <v>116</v>
      </c>
      <c r="D139" t="s">
        <v>141</v>
      </c>
      <c r="E139" t="s">
        <v>85</v>
      </c>
      <c r="F139" s="9">
        <v>10</v>
      </c>
      <c r="G139" s="9">
        <v>20</v>
      </c>
      <c r="H139" s="9">
        <v>20</v>
      </c>
      <c r="I139" s="9">
        <v>10</v>
      </c>
      <c r="J139" s="9">
        <v>5</v>
      </c>
      <c r="K139" s="9">
        <v>5</v>
      </c>
      <c r="L139" s="9">
        <v>5</v>
      </c>
      <c r="M139" s="9">
        <v>5</v>
      </c>
      <c r="N139" s="9">
        <v>20</v>
      </c>
      <c r="O139" s="9">
        <v>20</v>
      </c>
      <c r="P139" s="9">
        <v>20</v>
      </c>
      <c r="Q139" s="9">
        <v>20</v>
      </c>
      <c r="R139" s="9">
        <v>10</v>
      </c>
      <c r="S139" s="9">
        <v>10</v>
      </c>
      <c r="T139" s="9">
        <v>10</v>
      </c>
      <c r="U139" s="9">
        <v>10</v>
      </c>
      <c r="V139" s="9">
        <v>0</v>
      </c>
      <c r="W139" s="9">
        <v>0</v>
      </c>
      <c r="X139" s="9">
        <v>20</v>
      </c>
      <c r="Y139" s="9">
        <v>20</v>
      </c>
      <c r="Z139" s="9">
        <v>15</v>
      </c>
      <c r="AA139" s="9">
        <v>15</v>
      </c>
      <c r="AB139" s="9">
        <v>15</v>
      </c>
      <c r="AC139" s="9">
        <v>0</v>
      </c>
      <c r="AD139" s="9">
        <v>0</v>
      </c>
      <c r="AE139" s="9">
        <v>1.5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</row>
    <row r="140" spans="1:45" ht="15" hidden="1" customHeight="1" outlineLevel="1" x14ac:dyDescent="0.35">
      <c r="A140" t="s">
        <v>12</v>
      </c>
      <c r="B140" t="s">
        <v>10</v>
      </c>
      <c r="C140" t="s">
        <v>116</v>
      </c>
      <c r="D140" t="s">
        <v>141</v>
      </c>
      <c r="E140" t="s">
        <v>99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1.5</v>
      </c>
      <c r="P140" s="9">
        <v>1.5</v>
      </c>
      <c r="Q140" s="9">
        <v>3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5</v>
      </c>
      <c r="AA140" s="9">
        <v>15</v>
      </c>
      <c r="AB140" s="9">
        <v>20.5</v>
      </c>
      <c r="AC140" s="9">
        <v>16.5</v>
      </c>
      <c r="AD140" s="9">
        <v>12.5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</row>
    <row r="141" spans="1:45" ht="15" hidden="1" customHeight="1" outlineLevel="1" x14ac:dyDescent="0.35">
      <c r="A141" t="s">
        <v>12</v>
      </c>
      <c r="B141" t="s">
        <v>10</v>
      </c>
      <c r="C141" t="s">
        <v>116</v>
      </c>
      <c r="D141" t="s">
        <v>141</v>
      </c>
      <c r="E141" t="s">
        <v>43</v>
      </c>
      <c r="F141" s="9">
        <v>7</v>
      </c>
      <c r="G141" s="9">
        <v>11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1.5</v>
      </c>
      <c r="Q141" s="9">
        <v>1.5</v>
      </c>
      <c r="R141" s="9">
        <v>3</v>
      </c>
      <c r="S141" s="9">
        <v>11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7.5</v>
      </c>
      <c r="AD141" s="9">
        <v>10</v>
      </c>
      <c r="AE141" s="9">
        <v>6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</row>
    <row r="142" spans="1:45" ht="15" hidden="1" customHeight="1" outlineLevel="1" x14ac:dyDescent="0.35">
      <c r="A142" t="s">
        <v>12</v>
      </c>
      <c r="B142" t="s">
        <v>10</v>
      </c>
      <c r="C142" t="s">
        <v>116</v>
      </c>
      <c r="D142" t="s">
        <v>141</v>
      </c>
      <c r="E142" t="s">
        <v>88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10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</row>
    <row r="143" spans="1:45" ht="15" customHeight="1" collapsed="1" x14ac:dyDescent="0.35">
      <c r="A143" s="3" t="s">
        <v>12</v>
      </c>
      <c r="B143" s="3" t="s">
        <v>10</v>
      </c>
      <c r="C143" s="3" t="s">
        <v>117</v>
      </c>
      <c r="D143" s="3" t="s">
        <v>76</v>
      </c>
      <c r="E143" s="3" t="s">
        <v>77</v>
      </c>
      <c r="F143" s="7">
        <f t="shared" ref="F143:AS143" si="19">SUM(F144,F145,F146,F147,F148,F149,F150,F151,F152,F153,F154,F155,F156)</f>
        <v>0</v>
      </c>
      <c r="G143" s="7">
        <f t="shared" si="19"/>
        <v>0</v>
      </c>
      <c r="H143" s="7">
        <f t="shared" si="19"/>
        <v>0</v>
      </c>
      <c r="I143" s="7">
        <f t="shared" si="19"/>
        <v>0</v>
      </c>
      <c r="J143" s="7">
        <f t="shared" si="19"/>
        <v>0</v>
      </c>
      <c r="K143" s="7">
        <f t="shared" si="19"/>
        <v>0</v>
      </c>
      <c r="L143" s="7">
        <f t="shared" si="19"/>
        <v>0</v>
      </c>
      <c r="M143" s="7">
        <f t="shared" si="19"/>
        <v>16.5</v>
      </c>
      <c r="N143" s="7">
        <f t="shared" si="19"/>
        <v>6</v>
      </c>
      <c r="O143" s="7">
        <f t="shared" si="19"/>
        <v>0</v>
      </c>
      <c r="P143" s="7">
        <f t="shared" si="19"/>
        <v>0</v>
      </c>
      <c r="Q143" s="7">
        <f t="shared" si="19"/>
        <v>0</v>
      </c>
      <c r="R143" s="7">
        <f t="shared" si="19"/>
        <v>0</v>
      </c>
      <c r="S143" s="7">
        <f t="shared" si="19"/>
        <v>0</v>
      </c>
      <c r="T143" s="7">
        <f t="shared" si="19"/>
        <v>0</v>
      </c>
      <c r="U143" s="7">
        <f t="shared" si="19"/>
        <v>0</v>
      </c>
      <c r="V143" s="7">
        <f t="shared" si="19"/>
        <v>0</v>
      </c>
      <c r="W143" s="7">
        <f t="shared" si="19"/>
        <v>0</v>
      </c>
      <c r="X143" s="7">
        <f t="shared" si="19"/>
        <v>0</v>
      </c>
      <c r="Y143" s="7">
        <f t="shared" si="19"/>
        <v>0</v>
      </c>
      <c r="Z143" s="7">
        <f t="shared" si="19"/>
        <v>12</v>
      </c>
      <c r="AA143" s="7">
        <f t="shared" si="19"/>
        <v>31</v>
      </c>
      <c r="AB143" s="7">
        <f t="shared" si="19"/>
        <v>54</v>
      </c>
      <c r="AC143" s="7">
        <f t="shared" si="19"/>
        <v>55</v>
      </c>
      <c r="AD143" s="7">
        <f t="shared" si="19"/>
        <v>17.900000000000006</v>
      </c>
      <c r="AE143" s="7">
        <f t="shared" si="19"/>
        <v>0</v>
      </c>
      <c r="AF143" s="7">
        <f t="shared" si="19"/>
        <v>0</v>
      </c>
      <c r="AG143" s="7">
        <f t="shared" si="19"/>
        <v>0</v>
      </c>
      <c r="AH143" s="7">
        <f t="shared" si="19"/>
        <v>0</v>
      </c>
      <c r="AI143" s="7">
        <f t="shared" si="19"/>
        <v>0</v>
      </c>
      <c r="AJ143" s="7">
        <f t="shared" si="19"/>
        <v>0</v>
      </c>
      <c r="AK143" s="7">
        <f t="shared" si="19"/>
        <v>0</v>
      </c>
      <c r="AL143" s="7">
        <f t="shared" si="19"/>
        <v>0</v>
      </c>
      <c r="AM143" s="7">
        <f t="shared" si="19"/>
        <v>0</v>
      </c>
      <c r="AN143" s="7">
        <f t="shared" si="19"/>
        <v>0</v>
      </c>
      <c r="AO143" s="7">
        <f t="shared" si="19"/>
        <v>0</v>
      </c>
      <c r="AP143" s="7">
        <f t="shared" si="19"/>
        <v>0</v>
      </c>
      <c r="AQ143" s="7">
        <f t="shared" si="19"/>
        <v>0</v>
      </c>
      <c r="AR143" s="7">
        <f t="shared" si="19"/>
        <v>0</v>
      </c>
      <c r="AS143" s="7">
        <f t="shared" si="19"/>
        <v>0</v>
      </c>
    </row>
    <row r="144" spans="1:45" ht="15" hidden="1" customHeight="1" outlineLevel="1" x14ac:dyDescent="0.35">
      <c r="A144" t="s">
        <v>12</v>
      </c>
      <c r="B144" t="s">
        <v>10</v>
      </c>
      <c r="C144" t="s">
        <v>117</v>
      </c>
      <c r="D144" t="s">
        <v>141</v>
      </c>
      <c r="E144" t="s">
        <v>80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2</v>
      </c>
      <c r="AA144" s="9">
        <v>2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</row>
    <row r="145" spans="1:45" ht="15" hidden="1" customHeight="1" outlineLevel="1" x14ac:dyDescent="0.35">
      <c r="A145" t="s">
        <v>12</v>
      </c>
      <c r="B145" t="s">
        <v>10</v>
      </c>
      <c r="C145" t="s">
        <v>117</v>
      </c>
      <c r="D145" t="s">
        <v>141</v>
      </c>
      <c r="E145" t="s">
        <v>81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9</v>
      </c>
      <c r="AC145" s="9">
        <v>24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</row>
    <row r="146" spans="1:45" ht="15" hidden="1" customHeight="1" outlineLevel="1" x14ac:dyDescent="0.35">
      <c r="A146" t="s">
        <v>12</v>
      </c>
      <c r="B146" t="s">
        <v>10</v>
      </c>
      <c r="C146" t="s">
        <v>117</v>
      </c>
      <c r="D146" t="s">
        <v>141</v>
      </c>
      <c r="E146" t="s">
        <v>94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5</v>
      </c>
      <c r="AC146" s="9">
        <v>4.5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</row>
    <row r="147" spans="1:45" ht="15" hidden="1" customHeight="1" outlineLevel="1" x14ac:dyDescent="0.35">
      <c r="A147" t="s">
        <v>12</v>
      </c>
      <c r="B147" t="s">
        <v>10</v>
      </c>
      <c r="C147" t="s">
        <v>117</v>
      </c>
      <c r="D147" t="s">
        <v>141</v>
      </c>
      <c r="E147" t="s">
        <v>102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5</v>
      </c>
      <c r="AB147" s="9">
        <v>0</v>
      </c>
      <c r="AC147" s="9">
        <v>0</v>
      </c>
      <c r="AD147" s="9">
        <v>1.5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</row>
    <row r="148" spans="1:45" ht="15" hidden="1" customHeight="1" outlineLevel="1" x14ac:dyDescent="0.35">
      <c r="A148" t="s">
        <v>12</v>
      </c>
      <c r="B148" t="s">
        <v>10</v>
      </c>
      <c r="C148" t="s">
        <v>117</v>
      </c>
      <c r="D148" t="s">
        <v>141</v>
      </c>
      <c r="E148" t="s">
        <v>95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3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</row>
    <row r="149" spans="1:45" ht="15" hidden="1" customHeight="1" outlineLevel="1" x14ac:dyDescent="0.35">
      <c r="A149" t="s">
        <v>12</v>
      </c>
      <c r="B149" t="s">
        <v>10</v>
      </c>
      <c r="C149" t="s">
        <v>117</v>
      </c>
      <c r="D149" t="s">
        <v>141</v>
      </c>
      <c r="E149" t="s">
        <v>40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0.40000000000000602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</row>
    <row r="150" spans="1:45" ht="15" hidden="1" customHeight="1" outlineLevel="1" x14ac:dyDescent="0.35">
      <c r="A150" t="s">
        <v>12</v>
      </c>
      <c r="B150" t="s">
        <v>10</v>
      </c>
      <c r="C150" t="s">
        <v>117</v>
      </c>
      <c r="D150" t="s">
        <v>141</v>
      </c>
      <c r="E150" t="s">
        <v>96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7.5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</row>
    <row r="151" spans="1:45" ht="15" hidden="1" customHeight="1" outlineLevel="1" x14ac:dyDescent="0.35">
      <c r="A151" t="s">
        <v>12</v>
      </c>
      <c r="B151" t="s">
        <v>10</v>
      </c>
      <c r="C151" t="s">
        <v>117</v>
      </c>
      <c r="D151" t="s">
        <v>141</v>
      </c>
      <c r="E151" t="s">
        <v>85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2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</row>
    <row r="152" spans="1:45" ht="15" hidden="1" customHeight="1" outlineLevel="1" x14ac:dyDescent="0.35">
      <c r="A152" t="s">
        <v>12</v>
      </c>
      <c r="B152" t="s">
        <v>10</v>
      </c>
      <c r="C152" t="s">
        <v>117</v>
      </c>
      <c r="D152" t="s">
        <v>141</v>
      </c>
      <c r="E152" t="s">
        <v>103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10</v>
      </c>
      <c r="AA152" s="9">
        <v>8</v>
      </c>
      <c r="AB152" s="9">
        <v>7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</row>
    <row r="153" spans="1:45" ht="15" hidden="1" customHeight="1" outlineLevel="1" x14ac:dyDescent="0.35">
      <c r="A153" t="s">
        <v>12</v>
      </c>
      <c r="B153" t="s">
        <v>10</v>
      </c>
      <c r="C153" t="s">
        <v>117</v>
      </c>
      <c r="D153" t="s">
        <v>141</v>
      </c>
      <c r="E153" t="s">
        <v>99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6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</row>
    <row r="154" spans="1:45" ht="15" hidden="1" customHeight="1" outlineLevel="1" x14ac:dyDescent="0.35">
      <c r="A154" t="s">
        <v>12</v>
      </c>
      <c r="B154" t="s">
        <v>10</v>
      </c>
      <c r="C154" t="s">
        <v>117</v>
      </c>
      <c r="D154" t="s">
        <v>141</v>
      </c>
      <c r="E154" t="s">
        <v>100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6</v>
      </c>
      <c r="AC154" s="9">
        <v>19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</row>
    <row r="155" spans="1:45" ht="15" hidden="1" customHeight="1" outlineLevel="1" x14ac:dyDescent="0.35">
      <c r="A155" t="s">
        <v>12</v>
      </c>
      <c r="B155" t="s">
        <v>10</v>
      </c>
      <c r="C155" t="s">
        <v>117</v>
      </c>
      <c r="D155" t="s">
        <v>141</v>
      </c>
      <c r="E155" t="s">
        <v>88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16.5</v>
      </c>
      <c r="N155" s="9">
        <v>6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</row>
    <row r="156" spans="1:45" ht="15" hidden="1" customHeight="1" outlineLevel="1" x14ac:dyDescent="0.35">
      <c r="A156" t="s">
        <v>12</v>
      </c>
      <c r="B156" t="s">
        <v>10</v>
      </c>
      <c r="C156" t="s">
        <v>117</v>
      </c>
      <c r="D156" t="s">
        <v>141</v>
      </c>
      <c r="E156" t="s">
        <v>105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16</v>
      </c>
      <c r="AB156" s="9">
        <v>16</v>
      </c>
      <c r="AC156" s="9">
        <v>0</v>
      </c>
      <c r="AD156" s="9">
        <v>16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</row>
    <row r="157" spans="1:45" ht="15" customHeight="1" collapsed="1" x14ac:dyDescent="0.35">
      <c r="A157" s="3" t="s">
        <v>29</v>
      </c>
      <c r="B157" s="3" t="s">
        <v>10</v>
      </c>
      <c r="C157" s="3" t="s">
        <v>28</v>
      </c>
      <c r="D157" s="3" t="s">
        <v>76</v>
      </c>
      <c r="E157" s="3" t="s">
        <v>77</v>
      </c>
      <c r="F157" s="7">
        <f t="shared" ref="F157:AS157" si="20">SUM(F158,F159)</f>
        <v>31.5</v>
      </c>
      <c r="G157" s="7">
        <f t="shared" si="20"/>
        <v>25</v>
      </c>
      <c r="H157" s="7">
        <f t="shared" si="20"/>
        <v>25</v>
      </c>
      <c r="I157" s="7">
        <f t="shared" si="20"/>
        <v>25</v>
      </c>
      <c r="J157" s="7">
        <f t="shared" si="20"/>
        <v>40</v>
      </c>
      <c r="K157" s="7">
        <f t="shared" si="20"/>
        <v>40</v>
      </c>
      <c r="L157" s="7">
        <f t="shared" si="20"/>
        <v>40</v>
      </c>
      <c r="M157" s="7">
        <f t="shared" si="20"/>
        <v>40</v>
      </c>
      <c r="N157" s="7">
        <f t="shared" si="20"/>
        <v>40</v>
      </c>
      <c r="O157" s="7">
        <f t="shared" si="20"/>
        <v>40</v>
      </c>
      <c r="P157" s="7">
        <f t="shared" si="20"/>
        <v>15</v>
      </c>
      <c r="Q157" s="7">
        <f t="shared" si="20"/>
        <v>15</v>
      </c>
      <c r="R157" s="7">
        <f t="shared" si="20"/>
        <v>15</v>
      </c>
      <c r="S157" s="7">
        <f t="shared" si="20"/>
        <v>3</v>
      </c>
      <c r="T157" s="7">
        <f t="shared" si="20"/>
        <v>3</v>
      </c>
      <c r="U157" s="7">
        <f t="shared" si="20"/>
        <v>3</v>
      </c>
      <c r="V157" s="7">
        <f t="shared" si="20"/>
        <v>2</v>
      </c>
      <c r="W157" s="7">
        <f t="shared" si="20"/>
        <v>0</v>
      </c>
      <c r="X157" s="7">
        <f t="shared" si="20"/>
        <v>10</v>
      </c>
      <c r="Y157" s="7">
        <f t="shared" si="20"/>
        <v>50</v>
      </c>
      <c r="Z157" s="7">
        <f t="shared" si="20"/>
        <v>50</v>
      </c>
      <c r="AA157" s="7">
        <f t="shared" si="20"/>
        <v>50</v>
      </c>
      <c r="AB157" s="7">
        <f t="shared" si="20"/>
        <v>55</v>
      </c>
      <c r="AC157" s="7">
        <f t="shared" si="20"/>
        <v>55</v>
      </c>
      <c r="AD157" s="7">
        <f t="shared" si="20"/>
        <v>55</v>
      </c>
      <c r="AE157" s="7">
        <f t="shared" si="20"/>
        <v>40</v>
      </c>
      <c r="AF157" s="7">
        <f t="shared" si="20"/>
        <v>25</v>
      </c>
      <c r="AG157" s="7">
        <f t="shared" si="20"/>
        <v>40</v>
      </c>
      <c r="AH157" s="7">
        <f t="shared" si="20"/>
        <v>30</v>
      </c>
      <c r="AI157" s="7">
        <f t="shared" si="20"/>
        <v>30</v>
      </c>
      <c r="AJ157" s="7">
        <f t="shared" si="20"/>
        <v>30</v>
      </c>
      <c r="AK157" s="7">
        <f t="shared" si="20"/>
        <v>30</v>
      </c>
      <c r="AL157" s="7">
        <f t="shared" si="20"/>
        <v>30</v>
      </c>
      <c r="AM157" s="7">
        <f t="shared" si="20"/>
        <v>30</v>
      </c>
      <c r="AN157" s="7">
        <f t="shared" si="20"/>
        <v>20</v>
      </c>
      <c r="AO157" s="7">
        <f t="shared" si="20"/>
        <v>15</v>
      </c>
      <c r="AP157" s="7">
        <f t="shared" si="20"/>
        <v>5</v>
      </c>
      <c r="AQ157" s="7">
        <f t="shared" si="20"/>
        <v>0</v>
      </c>
      <c r="AR157" s="7">
        <f t="shared" si="20"/>
        <v>0</v>
      </c>
      <c r="AS157" s="7">
        <f t="shared" si="20"/>
        <v>0</v>
      </c>
    </row>
    <row r="158" spans="1:45" ht="15" hidden="1" customHeight="1" outlineLevel="1" x14ac:dyDescent="0.35">
      <c r="A158" t="s">
        <v>29</v>
      </c>
      <c r="B158" t="s">
        <v>10</v>
      </c>
      <c r="C158" t="s">
        <v>28</v>
      </c>
      <c r="D158" t="s">
        <v>141</v>
      </c>
      <c r="E158" t="s">
        <v>91</v>
      </c>
      <c r="F158" s="9">
        <v>11</v>
      </c>
      <c r="G158" s="9">
        <v>5</v>
      </c>
      <c r="H158" s="9">
        <v>5</v>
      </c>
      <c r="I158" s="9">
        <v>5</v>
      </c>
      <c r="J158" s="9">
        <v>10</v>
      </c>
      <c r="K158" s="9">
        <v>10</v>
      </c>
      <c r="L158" s="9">
        <v>20</v>
      </c>
      <c r="M158" s="9">
        <v>30</v>
      </c>
      <c r="N158" s="9">
        <v>30</v>
      </c>
      <c r="O158" s="9">
        <v>30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25</v>
      </c>
      <c r="AG158" s="9">
        <v>40</v>
      </c>
      <c r="AH158" s="9">
        <v>30</v>
      </c>
      <c r="AI158" s="9">
        <v>30</v>
      </c>
      <c r="AJ158" s="9">
        <v>30</v>
      </c>
      <c r="AK158" s="9">
        <v>30</v>
      </c>
      <c r="AL158" s="9">
        <v>30</v>
      </c>
      <c r="AM158" s="9">
        <v>30</v>
      </c>
      <c r="AN158" s="9">
        <v>20</v>
      </c>
      <c r="AO158" s="9">
        <v>15</v>
      </c>
      <c r="AP158" s="9">
        <v>5</v>
      </c>
      <c r="AQ158" s="9">
        <v>0</v>
      </c>
      <c r="AR158" s="9">
        <v>0</v>
      </c>
      <c r="AS158" s="9">
        <v>0</v>
      </c>
    </row>
    <row r="159" spans="1:45" ht="15" hidden="1" customHeight="1" outlineLevel="1" x14ac:dyDescent="0.35">
      <c r="A159" t="s">
        <v>29</v>
      </c>
      <c r="B159" t="s">
        <v>10</v>
      </c>
      <c r="C159" t="s">
        <v>28</v>
      </c>
      <c r="D159" t="s">
        <v>141</v>
      </c>
      <c r="E159" t="s">
        <v>92</v>
      </c>
      <c r="F159" s="9">
        <v>20.5</v>
      </c>
      <c r="G159" s="9">
        <v>20</v>
      </c>
      <c r="H159" s="9">
        <v>20</v>
      </c>
      <c r="I159" s="9">
        <v>20</v>
      </c>
      <c r="J159" s="9">
        <v>30</v>
      </c>
      <c r="K159" s="9">
        <v>30</v>
      </c>
      <c r="L159" s="9">
        <v>20</v>
      </c>
      <c r="M159" s="9">
        <v>10</v>
      </c>
      <c r="N159" s="9">
        <v>10</v>
      </c>
      <c r="O159" s="9">
        <v>10</v>
      </c>
      <c r="P159" s="9">
        <v>15</v>
      </c>
      <c r="Q159" s="9">
        <v>15</v>
      </c>
      <c r="R159" s="9">
        <v>15</v>
      </c>
      <c r="S159" s="9">
        <v>3</v>
      </c>
      <c r="T159" s="9">
        <v>3</v>
      </c>
      <c r="U159" s="9">
        <v>3</v>
      </c>
      <c r="V159" s="9">
        <v>2</v>
      </c>
      <c r="W159" s="9">
        <v>0</v>
      </c>
      <c r="X159" s="9">
        <v>10</v>
      </c>
      <c r="Y159" s="9">
        <v>50</v>
      </c>
      <c r="Z159" s="9">
        <v>50</v>
      </c>
      <c r="AA159" s="9">
        <v>50</v>
      </c>
      <c r="AB159" s="9">
        <v>55</v>
      </c>
      <c r="AC159" s="9">
        <v>55</v>
      </c>
      <c r="AD159" s="9">
        <v>55</v>
      </c>
      <c r="AE159" s="9">
        <v>40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</row>
    <row r="160" spans="1:45" ht="15" customHeight="1" collapsed="1" x14ac:dyDescent="0.35">
      <c r="A160" s="3" t="s">
        <v>12</v>
      </c>
      <c r="B160" s="3" t="s">
        <v>14</v>
      </c>
      <c r="C160" s="3" t="s">
        <v>13</v>
      </c>
      <c r="D160" s="3" t="s">
        <v>76</v>
      </c>
      <c r="E160" s="3" t="s">
        <v>77</v>
      </c>
      <c r="F160" s="7">
        <f t="shared" ref="F160:AS160" si="21">SUM(F161,F162,F163,F164,F165,F166,F167,F168,F169)</f>
        <v>40</v>
      </c>
      <c r="G160" s="7">
        <f t="shared" si="21"/>
        <v>32</v>
      </c>
      <c r="H160" s="7">
        <f t="shared" si="21"/>
        <v>40</v>
      </c>
      <c r="I160" s="7">
        <f t="shared" si="21"/>
        <v>33</v>
      </c>
      <c r="J160" s="7">
        <f t="shared" si="21"/>
        <v>30</v>
      </c>
      <c r="K160" s="7">
        <f t="shared" si="21"/>
        <v>30</v>
      </c>
      <c r="L160" s="7">
        <f t="shared" si="21"/>
        <v>40</v>
      </c>
      <c r="M160" s="7">
        <f t="shared" si="21"/>
        <v>37.846153999999999</v>
      </c>
      <c r="N160" s="7">
        <f t="shared" si="21"/>
        <v>30</v>
      </c>
      <c r="O160" s="7">
        <f t="shared" si="21"/>
        <v>40</v>
      </c>
      <c r="P160" s="7">
        <f t="shared" si="21"/>
        <v>40</v>
      </c>
      <c r="Q160" s="7">
        <f t="shared" si="21"/>
        <v>40</v>
      </c>
      <c r="R160" s="7">
        <f t="shared" si="21"/>
        <v>35</v>
      </c>
      <c r="S160" s="7">
        <f t="shared" si="21"/>
        <v>40</v>
      </c>
      <c r="T160" s="7">
        <f t="shared" si="21"/>
        <v>35</v>
      </c>
      <c r="U160" s="7">
        <f t="shared" si="21"/>
        <v>35</v>
      </c>
      <c r="V160" s="7">
        <f t="shared" si="21"/>
        <v>0</v>
      </c>
      <c r="W160" s="7">
        <f t="shared" si="21"/>
        <v>0</v>
      </c>
      <c r="X160" s="7">
        <f t="shared" si="21"/>
        <v>37</v>
      </c>
      <c r="Y160" s="7">
        <f t="shared" si="21"/>
        <v>55</v>
      </c>
      <c r="Z160" s="7">
        <f t="shared" si="21"/>
        <v>55</v>
      </c>
      <c r="AA160" s="7">
        <f t="shared" si="21"/>
        <v>55</v>
      </c>
      <c r="AB160" s="7">
        <f t="shared" si="21"/>
        <v>55</v>
      </c>
      <c r="AC160" s="7">
        <f t="shared" si="21"/>
        <v>55</v>
      </c>
      <c r="AD160" s="7">
        <f t="shared" si="21"/>
        <v>55</v>
      </c>
      <c r="AE160" s="7">
        <f t="shared" si="21"/>
        <v>49</v>
      </c>
      <c r="AF160" s="7">
        <f t="shared" si="21"/>
        <v>0</v>
      </c>
      <c r="AG160" s="7">
        <f t="shared" si="21"/>
        <v>0</v>
      </c>
      <c r="AH160" s="7">
        <f t="shared" si="21"/>
        <v>0</v>
      </c>
      <c r="AI160" s="7">
        <f t="shared" si="21"/>
        <v>0</v>
      </c>
      <c r="AJ160" s="7">
        <f t="shared" si="21"/>
        <v>0</v>
      </c>
      <c r="AK160" s="7">
        <f t="shared" si="21"/>
        <v>0</v>
      </c>
      <c r="AL160" s="7">
        <f t="shared" si="21"/>
        <v>0</v>
      </c>
      <c r="AM160" s="7">
        <f t="shared" si="21"/>
        <v>0</v>
      </c>
      <c r="AN160" s="7">
        <f t="shared" si="21"/>
        <v>0</v>
      </c>
      <c r="AO160" s="7">
        <f t="shared" si="21"/>
        <v>0</v>
      </c>
      <c r="AP160" s="7">
        <f t="shared" si="21"/>
        <v>0</v>
      </c>
      <c r="AQ160" s="7">
        <f t="shared" si="21"/>
        <v>0</v>
      </c>
      <c r="AR160" s="7">
        <f t="shared" si="21"/>
        <v>0</v>
      </c>
      <c r="AS160" s="7">
        <f t="shared" si="21"/>
        <v>0</v>
      </c>
    </row>
    <row r="161" spans="1:45" ht="15" hidden="1" customHeight="1" outlineLevel="1" x14ac:dyDescent="0.35">
      <c r="A161" t="s">
        <v>12</v>
      </c>
      <c r="B161" t="s">
        <v>14</v>
      </c>
      <c r="C161" t="s">
        <v>13</v>
      </c>
      <c r="D161" t="s">
        <v>141</v>
      </c>
      <c r="E161" t="s">
        <v>108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21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</row>
    <row r="162" spans="1:45" ht="15" hidden="1" customHeight="1" outlineLevel="1" x14ac:dyDescent="0.35">
      <c r="A162" t="s">
        <v>12</v>
      </c>
      <c r="B162" t="s">
        <v>14</v>
      </c>
      <c r="C162" t="s">
        <v>13</v>
      </c>
      <c r="D162" t="s">
        <v>141</v>
      </c>
      <c r="E162" t="s">
        <v>81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1.3461540000000001</v>
      </c>
      <c r="N162" s="9">
        <v>0</v>
      </c>
      <c r="O162" s="9">
        <v>14</v>
      </c>
      <c r="P162" s="9">
        <v>16</v>
      </c>
      <c r="Q162" s="9">
        <v>0</v>
      </c>
      <c r="R162" s="9">
        <v>4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13.1</v>
      </c>
      <c r="AA162" s="9">
        <v>25</v>
      </c>
      <c r="AB162" s="9">
        <v>36</v>
      </c>
      <c r="AC162" s="9">
        <v>17</v>
      </c>
      <c r="AD162" s="9">
        <v>25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</row>
    <row r="163" spans="1:45" ht="15" hidden="1" customHeight="1" outlineLevel="1" x14ac:dyDescent="0.35">
      <c r="A163" t="s">
        <v>12</v>
      </c>
      <c r="B163" t="s">
        <v>14</v>
      </c>
      <c r="C163" t="s">
        <v>13</v>
      </c>
      <c r="D163" t="s">
        <v>141</v>
      </c>
      <c r="E163" t="s">
        <v>40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2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</row>
    <row r="164" spans="1:45" ht="15" hidden="1" customHeight="1" outlineLevel="1" x14ac:dyDescent="0.35">
      <c r="A164" t="s">
        <v>12</v>
      </c>
      <c r="B164" t="s">
        <v>14</v>
      </c>
      <c r="C164" t="s">
        <v>13</v>
      </c>
      <c r="D164" t="s">
        <v>141</v>
      </c>
      <c r="E164" t="s">
        <v>96</v>
      </c>
      <c r="F164" s="9">
        <v>28</v>
      </c>
      <c r="G164" s="9">
        <v>0</v>
      </c>
      <c r="H164" s="9">
        <v>30</v>
      </c>
      <c r="I164" s="9">
        <v>25</v>
      </c>
      <c r="J164" s="9">
        <v>30</v>
      </c>
      <c r="K164" s="9">
        <v>30</v>
      </c>
      <c r="L164" s="9">
        <v>20</v>
      </c>
      <c r="M164" s="9">
        <v>6.5</v>
      </c>
      <c r="N164" s="9">
        <v>24</v>
      </c>
      <c r="O164" s="9">
        <v>24</v>
      </c>
      <c r="P164" s="9">
        <v>24</v>
      </c>
      <c r="Q164" s="9">
        <v>28</v>
      </c>
      <c r="R164" s="9">
        <v>0</v>
      </c>
      <c r="S164" s="9">
        <v>24</v>
      </c>
      <c r="T164" s="9">
        <v>30</v>
      </c>
      <c r="U164" s="9">
        <v>30</v>
      </c>
      <c r="V164" s="9">
        <v>0</v>
      </c>
      <c r="W164" s="9">
        <v>0</v>
      </c>
      <c r="X164" s="9">
        <v>16</v>
      </c>
      <c r="Y164" s="9">
        <v>24</v>
      </c>
      <c r="Z164" s="9">
        <v>24</v>
      </c>
      <c r="AA164" s="9">
        <v>30</v>
      </c>
      <c r="AB164" s="9">
        <v>19</v>
      </c>
      <c r="AC164" s="9">
        <v>30</v>
      </c>
      <c r="AD164" s="9">
        <v>30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</row>
    <row r="165" spans="1:45" ht="15" hidden="1" customHeight="1" outlineLevel="1" x14ac:dyDescent="0.35">
      <c r="A165" t="s">
        <v>12</v>
      </c>
      <c r="B165" t="s">
        <v>14</v>
      </c>
      <c r="C165" t="s">
        <v>13</v>
      </c>
      <c r="D165" t="s">
        <v>141</v>
      </c>
      <c r="E165" t="s">
        <v>103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21</v>
      </c>
      <c r="Z165" s="9">
        <v>14.9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</row>
    <row r="166" spans="1:45" ht="15" hidden="1" customHeight="1" outlineLevel="1" x14ac:dyDescent="0.35">
      <c r="A166" t="s">
        <v>12</v>
      </c>
      <c r="B166" t="s">
        <v>14</v>
      </c>
      <c r="C166" t="s">
        <v>13</v>
      </c>
      <c r="D166" t="s">
        <v>141</v>
      </c>
      <c r="E166" t="s">
        <v>98</v>
      </c>
      <c r="F166" s="9">
        <v>0</v>
      </c>
      <c r="G166" s="9">
        <v>8</v>
      </c>
      <c r="H166" s="9">
        <v>8</v>
      </c>
      <c r="I166" s="9">
        <v>8</v>
      </c>
      <c r="J166" s="9">
        <v>0</v>
      </c>
      <c r="K166" s="9">
        <v>0</v>
      </c>
      <c r="L166" s="9">
        <v>5</v>
      </c>
      <c r="M166" s="9">
        <v>5</v>
      </c>
      <c r="N166" s="9">
        <v>5</v>
      </c>
      <c r="O166" s="9">
        <v>0</v>
      </c>
      <c r="P166" s="9">
        <v>0</v>
      </c>
      <c r="Q166" s="9">
        <v>0</v>
      </c>
      <c r="R166" s="9">
        <v>0</v>
      </c>
      <c r="S166" s="9">
        <v>5</v>
      </c>
      <c r="T166" s="9">
        <v>5</v>
      </c>
      <c r="U166" s="9">
        <v>5</v>
      </c>
      <c r="V166" s="9">
        <v>0</v>
      </c>
      <c r="W166" s="9">
        <v>0</v>
      </c>
      <c r="X166" s="9">
        <v>0</v>
      </c>
      <c r="Y166" s="9">
        <v>0</v>
      </c>
      <c r="Z166" s="9">
        <v>3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</row>
    <row r="167" spans="1:45" ht="15" hidden="1" customHeight="1" outlineLevel="1" x14ac:dyDescent="0.35">
      <c r="A167" t="s">
        <v>12</v>
      </c>
      <c r="B167" t="s">
        <v>14</v>
      </c>
      <c r="C167" t="s">
        <v>13</v>
      </c>
      <c r="D167" t="s">
        <v>141</v>
      </c>
      <c r="E167" t="s">
        <v>99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25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-1.7763568394002501E-15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</row>
    <row r="168" spans="1:45" ht="15" hidden="1" customHeight="1" outlineLevel="1" x14ac:dyDescent="0.35">
      <c r="A168" t="s">
        <v>12</v>
      </c>
      <c r="B168" t="s">
        <v>14</v>
      </c>
      <c r="C168" t="s">
        <v>13</v>
      </c>
      <c r="D168" t="s">
        <v>141</v>
      </c>
      <c r="E168" t="s">
        <v>43</v>
      </c>
      <c r="F168" s="9">
        <v>12</v>
      </c>
      <c r="G168" s="9">
        <v>24</v>
      </c>
      <c r="H168" s="9">
        <v>2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1</v>
      </c>
      <c r="O168" s="9">
        <v>0</v>
      </c>
      <c r="P168" s="9">
        <v>0</v>
      </c>
      <c r="Q168" s="9">
        <v>12</v>
      </c>
      <c r="R168" s="9">
        <v>31</v>
      </c>
      <c r="S168" s="9">
        <v>11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14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</row>
    <row r="169" spans="1:45" ht="15" hidden="1" customHeight="1" outlineLevel="1" x14ac:dyDescent="0.35">
      <c r="A169" t="s">
        <v>12</v>
      </c>
      <c r="B169" t="s">
        <v>14</v>
      </c>
      <c r="C169" t="s">
        <v>13</v>
      </c>
      <c r="D169" t="s">
        <v>141</v>
      </c>
      <c r="E169" t="s">
        <v>100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15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10</v>
      </c>
      <c r="Z169" s="9">
        <v>0</v>
      </c>
      <c r="AA169" s="9">
        <v>0</v>
      </c>
      <c r="AB169" s="9">
        <v>0</v>
      </c>
      <c r="AC169" s="9">
        <v>8</v>
      </c>
      <c r="AD169" s="9">
        <v>0</v>
      </c>
      <c r="AE169" s="9">
        <v>35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</row>
    <row r="170" spans="1:45" ht="15" customHeight="1" collapsed="1" x14ac:dyDescent="0.35">
      <c r="A170" s="3" t="s">
        <v>12</v>
      </c>
      <c r="B170" s="3" t="s">
        <v>14</v>
      </c>
      <c r="C170" s="3" t="s">
        <v>26</v>
      </c>
      <c r="D170" s="3" t="s">
        <v>76</v>
      </c>
      <c r="E170" s="3" t="s">
        <v>77</v>
      </c>
      <c r="F170" s="7">
        <f t="shared" ref="F170:AS170" si="22">SUM(F171,F172,F173,F174,F175,F176,F177,F178,F179,F180,F181)</f>
        <v>40</v>
      </c>
      <c r="G170" s="7">
        <f t="shared" si="22"/>
        <v>16</v>
      </c>
      <c r="H170" s="7">
        <f t="shared" si="22"/>
        <v>40</v>
      </c>
      <c r="I170" s="7">
        <f t="shared" si="22"/>
        <v>35</v>
      </c>
      <c r="J170" s="7">
        <f t="shared" si="22"/>
        <v>35.1</v>
      </c>
      <c r="K170" s="7">
        <f t="shared" si="22"/>
        <v>40</v>
      </c>
      <c r="L170" s="7">
        <f t="shared" si="22"/>
        <v>19.3</v>
      </c>
      <c r="M170" s="7">
        <f t="shared" si="22"/>
        <v>40</v>
      </c>
      <c r="N170" s="7">
        <f t="shared" si="22"/>
        <v>34.200000000000003</v>
      </c>
      <c r="O170" s="7">
        <f t="shared" si="22"/>
        <v>40</v>
      </c>
      <c r="P170" s="7">
        <f t="shared" si="22"/>
        <v>40</v>
      </c>
      <c r="Q170" s="7">
        <f t="shared" si="22"/>
        <v>40</v>
      </c>
      <c r="R170" s="7">
        <f t="shared" si="22"/>
        <v>21</v>
      </c>
      <c r="S170" s="7">
        <f t="shared" si="22"/>
        <v>40</v>
      </c>
      <c r="T170" s="7">
        <f t="shared" si="22"/>
        <v>40</v>
      </c>
      <c r="U170" s="7">
        <f t="shared" si="22"/>
        <v>40</v>
      </c>
      <c r="V170" s="7">
        <f t="shared" si="22"/>
        <v>0</v>
      </c>
      <c r="W170" s="7">
        <f t="shared" si="22"/>
        <v>0</v>
      </c>
      <c r="X170" s="7">
        <f t="shared" si="22"/>
        <v>55</v>
      </c>
      <c r="Y170" s="7">
        <f t="shared" si="22"/>
        <v>55</v>
      </c>
      <c r="Z170" s="7">
        <f t="shared" si="22"/>
        <v>55</v>
      </c>
      <c r="AA170" s="7">
        <f t="shared" si="22"/>
        <v>55</v>
      </c>
      <c r="AB170" s="7">
        <f t="shared" si="22"/>
        <v>55</v>
      </c>
      <c r="AC170" s="7">
        <f t="shared" si="22"/>
        <v>55</v>
      </c>
      <c r="AD170" s="7">
        <f t="shared" si="22"/>
        <v>55</v>
      </c>
      <c r="AE170" s="7">
        <f t="shared" si="22"/>
        <v>21.9</v>
      </c>
      <c r="AF170" s="7">
        <f t="shared" si="22"/>
        <v>11.3</v>
      </c>
      <c r="AG170" s="7">
        <f t="shared" si="22"/>
        <v>29.7</v>
      </c>
      <c r="AH170" s="7">
        <f t="shared" si="22"/>
        <v>22</v>
      </c>
      <c r="AI170" s="7">
        <f t="shared" si="22"/>
        <v>16</v>
      </c>
      <c r="AJ170" s="7">
        <f t="shared" si="22"/>
        <v>16</v>
      </c>
      <c r="AK170" s="7">
        <f t="shared" si="22"/>
        <v>16</v>
      </c>
      <c r="AL170" s="7">
        <f t="shared" si="22"/>
        <v>5.0999999999999996</v>
      </c>
      <c r="AM170" s="7">
        <f t="shared" si="22"/>
        <v>0</v>
      </c>
      <c r="AN170" s="7">
        <f t="shared" si="22"/>
        <v>0</v>
      </c>
      <c r="AO170" s="7">
        <f t="shared" si="22"/>
        <v>0</v>
      </c>
      <c r="AP170" s="7">
        <f t="shared" si="22"/>
        <v>0</v>
      </c>
      <c r="AQ170" s="7">
        <f t="shared" si="22"/>
        <v>0</v>
      </c>
      <c r="AR170" s="7">
        <f t="shared" si="22"/>
        <v>0</v>
      </c>
      <c r="AS170" s="7">
        <f t="shared" si="22"/>
        <v>0</v>
      </c>
    </row>
    <row r="171" spans="1:45" ht="15" hidden="1" customHeight="1" outlineLevel="1" x14ac:dyDescent="0.35">
      <c r="A171" t="s">
        <v>12</v>
      </c>
      <c r="B171" t="s">
        <v>14</v>
      </c>
      <c r="C171" t="s">
        <v>26</v>
      </c>
      <c r="D171" t="s">
        <v>141</v>
      </c>
      <c r="E171" t="s">
        <v>80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5</v>
      </c>
      <c r="M171" s="9">
        <v>8</v>
      </c>
      <c r="N171" s="9">
        <v>2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3</v>
      </c>
      <c r="Y171" s="9">
        <v>6</v>
      </c>
      <c r="Z171" s="9">
        <v>5</v>
      </c>
      <c r="AA171" s="9">
        <v>2</v>
      </c>
      <c r="AB171" s="9">
        <v>0</v>
      </c>
      <c r="AC171" s="9">
        <v>0</v>
      </c>
      <c r="AD171" s="9">
        <v>0</v>
      </c>
      <c r="AE171" s="9">
        <v>0</v>
      </c>
      <c r="AF171" s="9">
        <v>5</v>
      </c>
      <c r="AG171" s="9">
        <v>21</v>
      </c>
      <c r="AH171" s="9">
        <v>6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</row>
    <row r="172" spans="1:45" ht="15" hidden="1" customHeight="1" outlineLevel="1" x14ac:dyDescent="0.35">
      <c r="A172" t="s">
        <v>12</v>
      </c>
      <c r="B172" t="s">
        <v>14</v>
      </c>
      <c r="C172" t="s">
        <v>26</v>
      </c>
      <c r="D172" t="s">
        <v>141</v>
      </c>
      <c r="E172" t="s">
        <v>94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6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</row>
    <row r="173" spans="1:45" ht="15" hidden="1" customHeight="1" outlineLevel="1" x14ac:dyDescent="0.35">
      <c r="A173" t="s">
        <v>12</v>
      </c>
      <c r="B173" t="s">
        <v>14</v>
      </c>
      <c r="C173" t="s">
        <v>26</v>
      </c>
      <c r="D173" t="s">
        <v>141</v>
      </c>
      <c r="E173" t="s">
        <v>102</v>
      </c>
      <c r="F173" s="9">
        <v>0</v>
      </c>
      <c r="G173" s="9">
        <v>0</v>
      </c>
      <c r="H173" s="9">
        <v>1</v>
      </c>
      <c r="I173" s="9">
        <v>0</v>
      </c>
      <c r="J173" s="9">
        <v>0</v>
      </c>
      <c r="K173" s="9">
        <v>20</v>
      </c>
      <c r="L173" s="9">
        <v>0</v>
      </c>
      <c r="M173" s="9">
        <v>11.9</v>
      </c>
      <c r="N173" s="9">
        <v>15</v>
      </c>
      <c r="O173" s="9">
        <v>0.60000000000000098</v>
      </c>
      <c r="P173" s="9">
        <v>0</v>
      </c>
      <c r="Q173" s="9">
        <v>0</v>
      </c>
      <c r="R173" s="9">
        <v>15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5.3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</row>
    <row r="174" spans="1:45" ht="15" hidden="1" customHeight="1" outlineLevel="1" x14ac:dyDescent="0.35">
      <c r="A174" t="s">
        <v>12</v>
      </c>
      <c r="B174" t="s">
        <v>14</v>
      </c>
      <c r="C174" t="s">
        <v>26</v>
      </c>
      <c r="D174" t="s">
        <v>141</v>
      </c>
      <c r="E174" t="s">
        <v>40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12</v>
      </c>
      <c r="AC174" s="9">
        <v>24</v>
      </c>
      <c r="AD174" s="9">
        <v>20</v>
      </c>
      <c r="AE174" s="9">
        <v>10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</row>
    <row r="175" spans="1:45" ht="15" hidden="1" customHeight="1" outlineLevel="1" x14ac:dyDescent="0.35">
      <c r="A175" t="s">
        <v>12</v>
      </c>
      <c r="B175" t="s">
        <v>14</v>
      </c>
      <c r="C175" t="s">
        <v>26</v>
      </c>
      <c r="D175" t="s">
        <v>141</v>
      </c>
      <c r="E175" t="s">
        <v>97</v>
      </c>
      <c r="F175" s="9">
        <v>8</v>
      </c>
      <c r="G175" s="9">
        <v>0</v>
      </c>
      <c r="H175" s="9">
        <v>20</v>
      </c>
      <c r="I175" s="9">
        <v>20</v>
      </c>
      <c r="J175" s="9">
        <v>20</v>
      </c>
      <c r="K175" s="9">
        <v>0</v>
      </c>
      <c r="L175" s="9">
        <v>0</v>
      </c>
      <c r="M175" s="9">
        <v>5</v>
      </c>
      <c r="N175" s="9">
        <v>5</v>
      </c>
      <c r="O175" s="9">
        <v>20</v>
      </c>
      <c r="P175" s="9">
        <v>20</v>
      </c>
      <c r="Q175" s="9">
        <v>20</v>
      </c>
      <c r="R175" s="9">
        <v>0</v>
      </c>
      <c r="S175" s="9">
        <v>15</v>
      </c>
      <c r="T175" s="9">
        <v>15</v>
      </c>
      <c r="U175" s="9">
        <v>15</v>
      </c>
      <c r="V175" s="9">
        <v>0</v>
      </c>
      <c r="W175" s="9">
        <v>0</v>
      </c>
      <c r="X175" s="9">
        <v>10</v>
      </c>
      <c r="Y175" s="9">
        <v>10</v>
      </c>
      <c r="Z175" s="9">
        <v>10</v>
      </c>
      <c r="AA175" s="9">
        <v>10</v>
      </c>
      <c r="AB175" s="9">
        <v>10</v>
      </c>
      <c r="AC175" s="9">
        <v>5</v>
      </c>
      <c r="AD175" s="9">
        <v>5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</row>
    <row r="176" spans="1:45" ht="15" hidden="1" customHeight="1" outlineLevel="1" x14ac:dyDescent="0.35">
      <c r="A176" t="s">
        <v>12</v>
      </c>
      <c r="B176" t="s">
        <v>14</v>
      </c>
      <c r="C176" t="s">
        <v>26</v>
      </c>
      <c r="D176" t="s">
        <v>141</v>
      </c>
      <c r="E176" t="s">
        <v>98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5</v>
      </c>
      <c r="P176" s="9">
        <v>2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15</v>
      </c>
      <c r="Y176" s="9">
        <v>15</v>
      </c>
      <c r="Z176" s="9">
        <v>12</v>
      </c>
      <c r="AA176" s="9">
        <v>15</v>
      </c>
      <c r="AB176" s="9">
        <v>15</v>
      </c>
      <c r="AC176" s="9">
        <v>16</v>
      </c>
      <c r="AD176" s="9">
        <v>20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</row>
    <row r="177" spans="1:45" ht="15" hidden="1" customHeight="1" outlineLevel="1" x14ac:dyDescent="0.35">
      <c r="A177" t="s">
        <v>12</v>
      </c>
      <c r="B177" t="s">
        <v>14</v>
      </c>
      <c r="C177" t="s">
        <v>26</v>
      </c>
      <c r="D177" t="s">
        <v>141</v>
      </c>
      <c r="E177" t="s">
        <v>99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1.8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</row>
    <row r="178" spans="1:45" ht="15" hidden="1" customHeight="1" outlineLevel="1" x14ac:dyDescent="0.35">
      <c r="A178" t="s">
        <v>12</v>
      </c>
      <c r="B178" t="s">
        <v>14</v>
      </c>
      <c r="C178" t="s">
        <v>26</v>
      </c>
      <c r="D178" t="s">
        <v>141</v>
      </c>
      <c r="E178" t="s">
        <v>106</v>
      </c>
      <c r="F178" s="9">
        <v>32</v>
      </c>
      <c r="G178" s="9">
        <v>0</v>
      </c>
      <c r="H178" s="9">
        <v>0</v>
      </c>
      <c r="I178" s="9">
        <v>0</v>
      </c>
      <c r="J178" s="9">
        <v>0</v>
      </c>
      <c r="K178" s="9">
        <v>12</v>
      </c>
      <c r="L178" s="9">
        <v>12</v>
      </c>
      <c r="M178" s="9">
        <v>15</v>
      </c>
      <c r="N178" s="9">
        <v>12</v>
      </c>
      <c r="O178" s="9">
        <v>6</v>
      </c>
      <c r="P178" s="9">
        <v>10</v>
      </c>
      <c r="Q178" s="9">
        <v>12</v>
      </c>
      <c r="R178" s="9">
        <v>0</v>
      </c>
      <c r="S178" s="9">
        <v>10</v>
      </c>
      <c r="T178" s="9">
        <v>12</v>
      </c>
      <c r="U178" s="9">
        <v>14</v>
      </c>
      <c r="V178" s="9">
        <v>0</v>
      </c>
      <c r="W178" s="9">
        <v>0</v>
      </c>
      <c r="X178" s="9">
        <v>8</v>
      </c>
      <c r="Y178" s="9">
        <v>8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</row>
    <row r="179" spans="1:45" ht="15" hidden="1" customHeight="1" outlineLevel="1" x14ac:dyDescent="0.35">
      <c r="A179" t="s">
        <v>12</v>
      </c>
      <c r="B179" t="s">
        <v>14</v>
      </c>
      <c r="C179" t="s">
        <v>26</v>
      </c>
      <c r="D179" t="s">
        <v>141</v>
      </c>
      <c r="E179" t="s">
        <v>111</v>
      </c>
      <c r="F179" s="9">
        <v>0</v>
      </c>
      <c r="G179" s="9">
        <v>4</v>
      </c>
      <c r="H179" s="9">
        <v>8</v>
      </c>
      <c r="I179" s="9">
        <v>8</v>
      </c>
      <c r="J179" s="9">
        <v>8</v>
      </c>
      <c r="K179" s="9">
        <v>0</v>
      </c>
      <c r="L179" s="9">
        <v>0</v>
      </c>
      <c r="M179" s="9">
        <v>0</v>
      </c>
      <c r="N179" s="9">
        <v>0</v>
      </c>
      <c r="O179" s="9">
        <v>8</v>
      </c>
      <c r="P179" s="9">
        <v>8</v>
      </c>
      <c r="Q179" s="9">
        <v>8</v>
      </c>
      <c r="R179" s="9">
        <v>0</v>
      </c>
      <c r="S179" s="9">
        <v>5</v>
      </c>
      <c r="T179" s="9">
        <v>3</v>
      </c>
      <c r="U179" s="9">
        <v>1</v>
      </c>
      <c r="V179" s="9">
        <v>0</v>
      </c>
      <c r="W179" s="9">
        <v>0</v>
      </c>
      <c r="X179" s="9">
        <v>0</v>
      </c>
      <c r="Y179" s="9">
        <v>8</v>
      </c>
      <c r="Z179" s="9">
        <v>20</v>
      </c>
      <c r="AA179" s="9">
        <v>20</v>
      </c>
      <c r="AB179" s="9">
        <v>10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</row>
    <row r="180" spans="1:45" ht="15" hidden="1" customHeight="1" outlineLevel="1" x14ac:dyDescent="0.35">
      <c r="A180" t="s">
        <v>12</v>
      </c>
      <c r="B180" t="s">
        <v>14</v>
      </c>
      <c r="C180" t="s">
        <v>26</v>
      </c>
      <c r="D180" t="s">
        <v>141</v>
      </c>
      <c r="E180" t="s">
        <v>112</v>
      </c>
      <c r="F180" s="9">
        <v>0</v>
      </c>
      <c r="G180" s="9">
        <v>4</v>
      </c>
      <c r="H180" s="9">
        <v>6</v>
      </c>
      <c r="I180" s="9">
        <v>6</v>
      </c>
      <c r="J180" s="9">
        <v>6</v>
      </c>
      <c r="K180" s="9">
        <v>6</v>
      </c>
      <c r="L180" s="9">
        <v>2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2</v>
      </c>
      <c r="Y180" s="9">
        <v>6</v>
      </c>
      <c r="Z180" s="9">
        <v>8</v>
      </c>
      <c r="AA180" s="9">
        <v>8</v>
      </c>
      <c r="AB180" s="9">
        <v>8</v>
      </c>
      <c r="AC180" s="9">
        <v>10</v>
      </c>
      <c r="AD180" s="9">
        <v>10</v>
      </c>
      <c r="AE180" s="9">
        <v>10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</row>
    <row r="181" spans="1:45" ht="15" hidden="1" customHeight="1" outlineLevel="1" x14ac:dyDescent="0.35">
      <c r="A181" t="s">
        <v>12</v>
      </c>
      <c r="B181" t="s">
        <v>14</v>
      </c>
      <c r="C181" t="s">
        <v>26</v>
      </c>
      <c r="D181" t="s">
        <v>141</v>
      </c>
      <c r="E181" t="s">
        <v>107</v>
      </c>
      <c r="F181" s="9">
        <v>0</v>
      </c>
      <c r="G181" s="9">
        <v>8</v>
      </c>
      <c r="H181" s="9">
        <v>5</v>
      </c>
      <c r="I181" s="9">
        <v>1</v>
      </c>
      <c r="J181" s="9">
        <v>1.1000000000000001</v>
      </c>
      <c r="K181" s="9">
        <v>2</v>
      </c>
      <c r="L181" s="9">
        <v>0.3</v>
      </c>
      <c r="M181" s="9">
        <v>0.1</v>
      </c>
      <c r="N181" s="9">
        <v>0.2</v>
      </c>
      <c r="O181" s="9">
        <v>0.4</v>
      </c>
      <c r="P181" s="9">
        <v>0</v>
      </c>
      <c r="Q181" s="9">
        <v>0</v>
      </c>
      <c r="R181" s="9">
        <v>0</v>
      </c>
      <c r="S181" s="9">
        <v>10</v>
      </c>
      <c r="T181" s="9">
        <v>10</v>
      </c>
      <c r="U181" s="9">
        <v>10</v>
      </c>
      <c r="V181" s="9">
        <v>0</v>
      </c>
      <c r="W181" s="9">
        <v>0</v>
      </c>
      <c r="X181" s="9">
        <v>11.7</v>
      </c>
      <c r="Y181" s="9">
        <v>0.2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1.9</v>
      </c>
      <c r="AF181" s="9">
        <v>6.3</v>
      </c>
      <c r="AG181" s="9">
        <v>8.6999999999999993</v>
      </c>
      <c r="AH181" s="9">
        <v>16</v>
      </c>
      <c r="AI181" s="9">
        <v>16</v>
      </c>
      <c r="AJ181" s="9">
        <v>16</v>
      </c>
      <c r="AK181" s="9">
        <v>16</v>
      </c>
      <c r="AL181" s="9">
        <v>5.0999999999999996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</row>
    <row r="182" spans="1:45" ht="15" customHeight="1" collapsed="1" x14ac:dyDescent="0.35">
      <c r="A182" s="3" t="s">
        <v>29</v>
      </c>
      <c r="B182" s="3" t="s">
        <v>14</v>
      </c>
      <c r="C182" s="3" t="s">
        <v>31</v>
      </c>
      <c r="D182" s="3" t="s">
        <v>76</v>
      </c>
      <c r="E182" s="3" t="s">
        <v>77</v>
      </c>
      <c r="F182" s="7">
        <f t="shared" ref="F182:AS182" si="23">SUM(F183,F184)</f>
        <v>24</v>
      </c>
      <c r="G182" s="7">
        <f t="shared" si="23"/>
        <v>18</v>
      </c>
      <c r="H182" s="7">
        <f t="shared" si="23"/>
        <v>18</v>
      </c>
      <c r="I182" s="7">
        <f t="shared" si="23"/>
        <v>15</v>
      </c>
      <c r="J182" s="7">
        <f t="shared" si="23"/>
        <v>25</v>
      </c>
      <c r="K182" s="7">
        <f t="shared" si="23"/>
        <v>35</v>
      </c>
      <c r="L182" s="7">
        <f t="shared" si="23"/>
        <v>40</v>
      </c>
      <c r="M182" s="7">
        <f t="shared" si="23"/>
        <v>40</v>
      </c>
      <c r="N182" s="7">
        <f t="shared" si="23"/>
        <v>40</v>
      </c>
      <c r="O182" s="7">
        <f t="shared" si="23"/>
        <v>15</v>
      </c>
      <c r="P182" s="7">
        <f t="shared" si="23"/>
        <v>15</v>
      </c>
      <c r="Q182" s="7">
        <f t="shared" si="23"/>
        <v>15</v>
      </c>
      <c r="R182" s="7">
        <f t="shared" si="23"/>
        <v>25</v>
      </c>
      <c r="S182" s="7">
        <f t="shared" si="23"/>
        <v>15</v>
      </c>
      <c r="T182" s="7">
        <f t="shared" si="23"/>
        <v>15</v>
      </c>
      <c r="U182" s="7">
        <f t="shared" si="23"/>
        <v>15</v>
      </c>
      <c r="V182" s="7">
        <f t="shared" si="23"/>
        <v>0</v>
      </c>
      <c r="W182" s="7">
        <f t="shared" si="23"/>
        <v>0</v>
      </c>
      <c r="X182" s="7">
        <f t="shared" si="23"/>
        <v>20</v>
      </c>
      <c r="Y182" s="7">
        <f t="shared" si="23"/>
        <v>40</v>
      </c>
      <c r="Z182" s="7">
        <f t="shared" si="23"/>
        <v>55</v>
      </c>
      <c r="AA182" s="7">
        <f t="shared" si="23"/>
        <v>50</v>
      </c>
      <c r="AB182" s="7">
        <f t="shared" si="23"/>
        <v>50</v>
      </c>
      <c r="AC182" s="7">
        <f t="shared" si="23"/>
        <v>55</v>
      </c>
      <c r="AD182" s="7">
        <f t="shared" si="23"/>
        <v>50</v>
      </c>
      <c r="AE182" s="7">
        <f t="shared" si="23"/>
        <v>25</v>
      </c>
      <c r="AF182" s="7">
        <f t="shared" si="23"/>
        <v>25</v>
      </c>
      <c r="AG182" s="7">
        <f t="shared" si="23"/>
        <v>25</v>
      </c>
      <c r="AH182" s="7">
        <f t="shared" si="23"/>
        <v>25</v>
      </c>
      <c r="AI182" s="7">
        <f t="shared" si="23"/>
        <v>25</v>
      </c>
      <c r="AJ182" s="7">
        <f t="shared" si="23"/>
        <v>25</v>
      </c>
      <c r="AK182" s="7">
        <f t="shared" si="23"/>
        <v>25</v>
      </c>
      <c r="AL182" s="7">
        <f t="shared" si="23"/>
        <v>25</v>
      </c>
      <c r="AM182" s="7">
        <f t="shared" si="23"/>
        <v>10</v>
      </c>
      <c r="AN182" s="7">
        <f t="shared" si="23"/>
        <v>10</v>
      </c>
      <c r="AO182" s="7">
        <f t="shared" si="23"/>
        <v>5</v>
      </c>
      <c r="AP182" s="7">
        <f t="shared" si="23"/>
        <v>0</v>
      </c>
      <c r="AQ182" s="7">
        <f t="shared" si="23"/>
        <v>0</v>
      </c>
      <c r="AR182" s="7">
        <f t="shared" si="23"/>
        <v>0</v>
      </c>
      <c r="AS182" s="7">
        <f t="shared" si="23"/>
        <v>0</v>
      </c>
    </row>
    <row r="183" spans="1:45" ht="15" hidden="1" customHeight="1" outlineLevel="1" x14ac:dyDescent="0.35">
      <c r="A183" t="s">
        <v>29</v>
      </c>
      <c r="B183" t="s">
        <v>14</v>
      </c>
      <c r="C183" t="s">
        <v>31</v>
      </c>
      <c r="D183" t="s">
        <v>141</v>
      </c>
      <c r="E183" t="s">
        <v>91</v>
      </c>
      <c r="F183" s="9">
        <v>10</v>
      </c>
      <c r="G183" s="9">
        <v>10</v>
      </c>
      <c r="H183" s="9">
        <v>10</v>
      </c>
      <c r="I183" s="9">
        <v>10</v>
      </c>
      <c r="J183" s="9">
        <v>20</v>
      </c>
      <c r="K183" s="9">
        <v>30</v>
      </c>
      <c r="L183" s="9">
        <v>30</v>
      </c>
      <c r="M183" s="9">
        <v>20</v>
      </c>
      <c r="N183" s="9">
        <v>20</v>
      </c>
      <c r="O183" s="9">
        <v>10</v>
      </c>
      <c r="P183" s="9">
        <v>10</v>
      </c>
      <c r="Q183" s="9">
        <v>10</v>
      </c>
      <c r="R183" s="9">
        <v>10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5</v>
      </c>
      <c r="AF183" s="9">
        <v>25</v>
      </c>
      <c r="AG183" s="9">
        <v>25</v>
      </c>
      <c r="AH183" s="9">
        <v>25</v>
      </c>
      <c r="AI183" s="9">
        <v>25</v>
      </c>
      <c r="AJ183" s="9">
        <v>25</v>
      </c>
      <c r="AK183" s="9">
        <v>25</v>
      </c>
      <c r="AL183" s="9">
        <v>25</v>
      </c>
      <c r="AM183" s="9">
        <v>10</v>
      </c>
      <c r="AN183" s="9">
        <v>10</v>
      </c>
      <c r="AO183" s="9">
        <v>5</v>
      </c>
      <c r="AP183" s="9">
        <v>0</v>
      </c>
      <c r="AQ183" s="9">
        <v>0</v>
      </c>
      <c r="AR183" s="9">
        <v>0</v>
      </c>
      <c r="AS183" s="9">
        <v>0</v>
      </c>
    </row>
    <row r="184" spans="1:45" ht="15" hidden="1" customHeight="1" outlineLevel="1" x14ac:dyDescent="0.35">
      <c r="A184" t="s">
        <v>29</v>
      </c>
      <c r="B184" t="s">
        <v>14</v>
      </c>
      <c r="C184" t="s">
        <v>31</v>
      </c>
      <c r="D184" t="s">
        <v>141</v>
      </c>
      <c r="E184" t="s">
        <v>92</v>
      </c>
      <c r="F184" s="9">
        <v>14</v>
      </c>
      <c r="G184" s="9">
        <v>8</v>
      </c>
      <c r="H184" s="9">
        <v>8</v>
      </c>
      <c r="I184" s="9">
        <v>5</v>
      </c>
      <c r="J184" s="9">
        <v>5</v>
      </c>
      <c r="K184" s="9">
        <v>5</v>
      </c>
      <c r="L184" s="9">
        <v>10</v>
      </c>
      <c r="M184" s="9">
        <v>20</v>
      </c>
      <c r="N184" s="9">
        <v>20</v>
      </c>
      <c r="O184" s="9">
        <v>5</v>
      </c>
      <c r="P184" s="9">
        <v>5</v>
      </c>
      <c r="Q184" s="9">
        <v>5</v>
      </c>
      <c r="R184" s="9">
        <v>15</v>
      </c>
      <c r="S184" s="9">
        <v>15</v>
      </c>
      <c r="T184" s="9">
        <v>15</v>
      </c>
      <c r="U184" s="9">
        <v>15</v>
      </c>
      <c r="V184" s="9">
        <v>0</v>
      </c>
      <c r="W184" s="9">
        <v>0</v>
      </c>
      <c r="X184" s="9">
        <v>20</v>
      </c>
      <c r="Y184" s="9">
        <v>40</v>
      </c>
      <c r="Z184" s="9">
        <v>55</v>
      </c>
      <c r="AA184" s="9">
        <v>50</v>
      </c>
      <c r="AB184" s="9">
        <v>50</v>
      </c>
      <c r="AC184" s="9">
        <v>55</v>
      </c>
      <c r="AD184" s="9">
        <v>50</v>
      </c>
      <c r="AE184" s="9">
        <v>20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</row>
    <row r="185" spans="1:45" ht="15" customHeight="1" collapsed="1" x14ac:dyDescent="0.35">
      <c r="A185" s="3" t="s">
        <v>29</v>
      </c>
      <c r="B185" s="3" t="s">
        <v>14</v>
      </c>
      <c r="C185" s="3" t="s">
        <v>120</v>
      </c>
      <c r="D185" s="3" t="s">
        <v>76</v>
      </c>
      <c r="E185" s="3" t="s">
        <v>77</v>
      </c>
      <c r="F185" s="7">
        <f t="shared" ref="F185:AS185" si="24">SUM(F186,F187)</f>
        <v>7</v>
      </c>
      <c r="G185" s="7">
        <f t="shared" si="24"/>
        <v>0</v>
      </c>
      <c r="H185" s="7">
        <f t="shared" si="24"/>
        <v>0</v>
      </c>
      <c r="I185" s="7">
        <f t="shared" si="24"/>
        <v>5</v>
      </c>
      <c r="J185" s="7">
        <f t="shared" si="24"/>
        <v>5</v>
      </c>
      <c r="K185" s="7">
        <f t="shared" si="24"/>
        <v>5</v>
      </c>
      <c r="L185" s="7">
        <f t="shared" si="24"/>
        <v>40</v>
      </c>
      <c r="M185" s="7">
        <f t="shared" si="24"/>
        <v>20</v>
      </c>
      <c r="N185" s="7">
        <f t="shared" si="24"/>
        <v>20</v>
      </c>
      <c r="O185" s="7">
        <f t="shared" si="24"/>
        <v>5</v>
      </c>
      <c r="P185" s="7">
        <f t="shared" si="24"/>
        <v>5</v>
      </c>
      <c r="Q185" s="7">
        <f t="shared" si="24"/>
        <v>5</v>
      </c>
      <c r="R185" s="7">
        <f t="shared" si="24"/>
        <v>15</v>
      </c>
      <c r="S185" s="7">
        <f t="shared" si="24"/>
        <v>15</v>
      </c>
      <c r="T185" s="7">
        <f t="shared" si="24"/>
        <v>15</v>
      </c>
      <c r="U185" s="7">
        <f t="shared" si="24"/>
        <v>15</v>
      </c>
      <c r="V185" s="7">
        <f t="shared" si="24"/>
        <v>0</v>
      </c>
      <c r="W185" s="7">
        <f t="shared" si="24"/>
        <v>0</v>
      </c>
      <c r="X185" s="7">
        <f t="shared" si="24"/>
        <v>20</v>
      </c>
      <c r="Y185" s="7">
        <f t="shared" si="24"/>
        <v>40</v>
      </c>
      <c r="Z185" s="7">
        <f t="shared" si="24"/>
        <v>55</v>
      </c>
      <c r="AA185" s="7">
        <f t="shared" si="24"/>
        <v>55</v>
      </c>
      <c r="AB185" s="7">
        <f t="shared" si="24"/>
        <v>55</v>
      </c>
      <c r="AC185" s="7">
        <f t="shared" si="24"/>
        <v>55</v>
      </c>
      <c r="AD185" s="7">
        <f t="shared" si="24"/>
        <v>50</v>
      </c>
      <c r="AE185" s="7">
        <f t="shared" si="24"/>
        <v>25</v>
      </c>
      <c r="AF185" s="7">
        <f t="shared" si="24"/>
        <v>25</v>
      </c>
      <c r="AG185" s="7">
        <f t="shared" si="24"/>
        <v>25</v>
      </c>
      <c r="AH185" s="7">
        <f t="shared" si="24"/>
        <v>25</v>
      </c>
      <c r="AI185" s="7">
        <f t="shared" si="24"/>
        <v>25</v>
      </c>
      <c r="AJ185" s="7">
        <f t="shared" si="24"/>
        <v>25</v>
      </c>
      <c r="AK185" s="7">
        <f t="shared" si="24"/>
        <v>25</v>
      </c>
      <c r="AL185" s="7">
        <f t="shared" si="24"/>
        <v>25</v>
      </c>
      <c r="AM185" s="7">
        <f t="shared" si="24"/>
        <v>10</v>
      </c>
      <c r="AN185" s="7">
        <f t="shared" si="24"/>
        <v>10</v>
      </c>
      <c r="AO185" s="7">
        <f t="shared" si="24"/>
        <v>0</v>
      </c>
      <c r="AP185" s="7">
        <f t="shared" si="24"/>
        <v>0</v>
      </c>
      <c r="AQ185" s="7">
        <f t="shared" si="24"/>
        <v>0</v>
      </c>
      <c r="AR185" s="7">
        <f t="shared" si="24"/>
        <v>0</v>
      </c>
      <c r="AS185" s="7">
        <f t="shared" si="24"/>
        <v>0</v>
      </c>
    </row>
    <row r="186" spans="1:45" ht="15" hidden="1" customHeight="1" outlineLevel="1" x14ac:dyDescent="0.35">
      <c r="A186" t="s">
        <v>29</v>
      </c>
      <c r="B186" t="s">
        <v>14</v>
      </c>
      <c r="C186" t="s">
        <v>120</v>
      </c>
      <c r="D186" t="s">
        <v>141</v>
      </c>
      <c r="E186" t="s">
        <v>91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5</v>
      </c>
      <c r="AF186" s="9">
        <v>25</v>
      </c>
      <c r="AG186" s="9">
        <v>25</v>
      </c>
      <c r="AH186" s="9">
        <v>25</v>
      </c>
      <c r="AI186" s="9">
        <v>25</v>
      </c>
      <c r="AJ186" s="9">
        <v>25</v>
      </c>
      <c r="AK186" s="9">
        <v>25</v>
      </c>
      <c r="AL186" s="9">
        <v>25</v>
      </c>
      <c r="AM186" s="9">
        <v>10</v>
      </c>
      <c r="AN186" s="9">
        <v>10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</row>
    <row r="187" spans="1:45" ht="15" hidden="1" customHeight="1" outlineLevel="1" x14ac:dyDescent="0.35">
      <c r="A187" t="s">
        <v>29</v>
      </c>
      <c r="B187" t="s">
        <v>14</v>
      </c>
      <c r="C187" t="s">
        <v>120</v>
      </c>
      <c r="D187" t="s">
        <v>141</v>
      </c>
      <c r="E187" t="s">
        <v>92</v>
      </c>
      <c r="F187" s="9">
        <v>7</v>
      </c>
      <c r="G187" s="9">
        <v>0</v>
      </c>
      <c r="H187" s="9">
        <v>0</v>
      </c>
      <c r="I187" s="9">
        <v>5</v>
      </c>
      <c r="J187" s="9">
        <v>5</v>
      </c>
      <c r="K187" s="9">
        <v>5</v>
      </c>
      <c r="L187" s="9">
        <v>40</v>
      </c>
      <c r="M187" s="9">
        <v>20</v>
      </c>
      <c r="N187" s="9">
        <v>20</v>
      </c>
      <c r="O187" s="9">
        <v>5</v>
      </c>
      <c r="P187" s="9">
        <v>5</v>
      </c>
      <c r="Q187" s="9">
        <v>5</v>
      </c>
      <c r="R187" s="9">
        <v>15</v>
      </c>
      <c r="S187" s="9">
        <v>15</v>
      </c>
      <c r="T187" s="9">
        <v>15</v>
      </c>
      <c r="U187" s="9">
        <v>15</v>
      </c>
      <c r="V187" s="9">
        <v>0</v>
      </c>
      <c r="W187" s="9">
        <v>0</v>
      </c>
      <c r="X187" s="9">
        <v>20</v>
      </c>
      <c r="Y187" s="9">
        <v>40</v>
      </c>
      <c r="Z187" s="9">
        <v>55</v>
      </c>
      <c r="AA187" s="9">
        <v>55</v>
      </c>
      <c r="AB187" s="9">
        <v>55</v>
      </c>
      <c r="AC187" s="9">
        <v>55</v>
      </c>
      <c r="AD187" s="9">
        <v>50</v>
      </c>
      <c r="AE187" s="9">
        <v>20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</row>
    <row r="188" spans="1:45" ht="15" customHeight="1" collapsed="1" x14ac:dyDescent="0.35">
      <c r="A188" s="3" t="s">
        <v>12</v>
      </c>
      <c r="B188" s="3" t="s">
        <v>14</v>
      </c>
      <c r="C188" s="3" t="s">
        <v>146</v>
      </c>
      <c r="D188" s="3" t="s">
        <v>76</v>
      </c>
      <c r="E188" s="3" t="s">
        <v>77</v>
      </c>
      <c r="F188" s="7">
        <f t="shared" ref="F188:AS188" si="25">SUM(F189,F190,F191,F192,F193)</f>
        <v>0</v>
      </c>
      <c r="G188" s="7">
        <f t="shared" si="25"/>
        <v>0</v>
      </c>
      <c r="H188" s="7">
        <f t="shared" si="25"/>
        <v>0</v>
      </c>
      <c r="I188" s="7">
        <f t="shared" si="25"/>
        <v>0</v>
      </c>
      <c r="J188" s="7">
        <f t="shared" si="25"/>
        <v>0</v>
      </c>
      <c r="K188" s="7">
        <f t="shared" si="25"/>
        <v>0</v>
      </c>
      <c r="L188" s="7">
        <f t="shared" si="25"/>
        <v>0</v>
      </c>
      <c r="M188" s="7">
        <f t="shared" si="25"/>
        <v>0</v>
      </c>
      <c r="N188" s="7">
        <f t="shared" si="25"/>
        <v>0</v>
      </c>
      <c r="O188" s="7">
        <f t="shared" si="25"/>
        <v>0</v>
      </c>
      <c r="P188" s="7">
        <f t="shared" si="25"/>
        <v>0</v>
      </c>
      <c r="Q188" s="7">
        <f t="shared" si="25"/>
        <v>0</v>
      </c>
      <c r="R188" s="7">
        <f t="shared" si="25"/>
        <v>0</v>
      </c>
      <c r="S188" s="7">
        <f t="shared" si="25"/>
        <v>0</v>
      </c>
      <c r="T188" s="7">
        <f t="shared" si="25"/>
        <v>0</v>
      </c>
      <c r="U188" s="7">
        <f t="shared" si="25"/>
        <v>0</v>
      </c>
      <c r="V188" s="7">
        <f t="shared" si="25"/>
        <v>0</v>
      </c>
      <c r="W188" s="7">
        <f t="shared" si="25"/>
        <v>0</v>
      </c>
      <c r="X188" s="7">
        <f t="shared" si="25"/>
        <v>0</v>
      </c>
      <c r="Y188" s="7">
        <f t="shared" si="25"/>
        <v>55</v>
      </c>
      <c r="Z188" s="7">
        <f t="shared" si="25"/>
        <v>55</v>
      </c>
      <c r="AA188" s="7">
        <f t="shared" si="25"/>
        <v>55</v>
      </c>
      <c r="AB188" s="7">
        <f t="shared" si="25"/>
        <v>55</v>
      </c>
      <c r="AC188" s="7">
        <f t="shared" si="25"/>
        <v>33</v>
      </c>
      <c r="AD188" s="7">
        <f t="shared" si="25"/>
        <v>17</v>
      </c>
      <c r="AE188" s="7">
        <f t="shared" si="25"/>
        <v>0</v>
      </c>
      <c r="AF188" s="7">
        <f t="shared" si="25"/>
        <v>0</v>
      </c>
      <c r="AG188" s="7">
        <f t="shared" si="25"/>
        <v>0</v>
      </c>
      <c r="AH188" s="7">
        <f t="shared" si="25"/>
        <v>0</v>
      </c>
      <c r="AI188" s="7">
        <f t="shared" si="25"/>
        <v>0</v>
      </c>
      <c r="AJ188" s="7">
        <f t="shared" si="25"/>
        <v>0</v>
      </c>
      <c r="AK188" s="7">
        <f t="shared" si="25"/>
        <v>0</v>
      </c>
      <c r="AL188" s="7">
        <f t="shared" si="25"/>
        <v>0</v>
      </c>
      <c r="AM188" s="7">
        <f t="shared" si="25"/>
        <v>0</v>
      </c>
      <c r="AN188" s="7">
        <f t="shared" si="25"/>
        <v>0</v>
      </c>
      <c r="AO188" s="7">
        <f t="shared" si="25"/>
        <v>0</v>
      </c>
      <c r="AP188" s="7">
        <f t="shared" si="25"/>
        <v>0</v>
      </c>
      <c r="AQ188" s="7">
        <f t="shared" si="25"/>
        <v>0</v>
      </c>
      <c r="AR188" s="7">
        <f t="shared" si="25"/>
        <v>0</v>
      </c>
      <c r="AS188" s="7">
        <f t="shared" si="25"/>
        <v>0</v>
      </c>
    </row>
    <row r="189" spans="1:45" ht="15" hidden="1" customHeight="1" outlineLevel="1" x14ac:dyDescent="0.35">
      <c r="A189" t="s">
        <v>12</v>
      </c>
      <c r="B189" t="s">
        <v>14</v>
      </c>
      <c r="C189" t="s">
        <v>146</v>
      </c>
      <c r="D189" t="s">
        <v>141</v>
      </c>
      <c r="E189" t="s">
        <v>108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31</v>
      </c>
      <c r="Z189" s="9">
        <v>20.5</v>
      </c>
      <c r="AA189" s="9">
        <v>22.5</v>
      </c>
      <c r="AB189" s="9">
        <v>26.5</v>
      </c>
      <c r="AC189" s="9">
        <v>3.5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</row>
    <row r="190" spans="1:45" ht="15" hidden="1" customHeight="1" outlineLevel="1" x14ac:dyDescent="0.35">
      <c r="A190" t="s">
        <v>12</v>
      </c>
      <c r="B190" t="s">
        <v>14</v>
      </c>
      <c r="C190" t="s">
        <v>146</v>
      </c>
      <c r="D190" t="s">
        <v>141</v>
      </c>
      <c r="E190" t="s">
        <v>81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20.9</v>
      </c>
      <c r="AC190" s="9">
        <v>29.5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</row>
    <row r="191" spans="1:45" ht="15" hidden="1" customHeight="1" outlineLevel="1" x14ac:dyDescent="0.35">
      <c r="A191" t="s">
        <v>12</v>
      </c>
      <c r="B191" t="s">
        <v>14</v>
      </c>
      <c r="C191" t="s">
        <v>146</v>
      </c>
      <c r="D191" t="s">
        <v>141</v>
      </c>
      <c r="E191" t="s">
        <v>102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24</v>
      </c>
      <c r="Z191" s="9">
        <v>0</v>
      </c>
      <c r="AA191" s="9">
        <v>0</v>
      </c>
      <c r="AB191" s="9">
        <v>0</v>
      </c>
      <c r="AC191" s="9">
        <v>0</v>
      </c>
      <c r="AD191" s="9">
        <v>17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</row>
    <row r="192" spans="1:45" ht="15" hidden="1" customHeight="1" outlineLevel="1" x14ac:dyDescent="0.35">
      <c r="A192" t="s">
        <v>12</v>
      </c>
      <c r="B192" t="s">
        <v>14</v>
      </c>
      <c r="C192" t="s">
        <v>146</v>
      </c>
      <c r="D192" t="s">
        <v>141</v>
      </c>
      <c r="E192" t="s">
        <v>95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34.5</v>
      </c>
      <c r="AA192" s="9">
        <v>28</v>
      </c>
      <c r="AB192" s="9">
        <v>7.6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</row>
    <row r="193" spans="1:45" ht="15" hidden="1" customHeight="1" outlineLevel="1" x14ac:dyDescent="0.35">
      <c r="A193" t="s">
        <v>12</v>
      </c>
      <c r="B193" t="s">
        <v>14</v>
      </c>
      <c r="C193" t="s">
        <v>146</v>
      </c>
      <c r="D193" t="s">
        <v>141</v>
      </c>
      <c r="E193" t="s">
        <v>103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4.5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</row>
    <row r="194" spans="1:45" ht="15" customHeight="1" collapsed="1" x14ac:dyDescent="0.35">
      <c r="A194" s="3" t="s">
        <v>12</v>
      </c>
      <c r="B194" s="3" t="s">
        <v>14</v>
      </c>
      <c r="C194" s="3" t="s">
        <v>147</v>
      </c>
      <c r="D194" s="3" t="s">
        <v>76</v>
      </c>
      <c r="E194" s="3" t="s">
        <v>77</v>
      </c>
      <c r="F194" s="7">
        <f t="shared" ref="F194:AS194" si="26">SUM(F195,F196,F197)</f>
        <v>0</v>
      </c>
      <c r="G194" s="7">
        <f t="shared" si="26"/>
        <v>0</v>
      </c>
      <c r="H194" s="7">
        <f t="shared" si="26"/>
        <v>0</v>
      </c>
      <c r="I194" s="7">
        <f t="shared" si="26"/>
        <v>0</v>
      </c>
      <c r="J194" s="7">
        <f t="shared" si="26"/>
        <v>0</v>
      </c>
      <c r="K194" s="7">
        <f t="shared" si="26"/>
        <v>0</v>
      </c>
      <c r="L194" s="7">
        <f t="shared" si="26"/>
        <v>0</v>
      </c>
      <c r="M194" s="7">
        <f t="shared" si="26"/>
        <v>0</v>
      </c>
      <c r="N194" s="7">
        <f t="shared" si="26"/>
        <v>0</v>
      </c>
      <c r="O194" s="7">
        <f t="shared" si="26"/>
        <v>0</v>
      </c>
      <c r="P194" s="7">
        <f t="shared" si="26"/>
        <v>0</v>
      </c>
      <c r="Q194" s="7">
        <f t="shared" si="26"/>
        <v>0</v>
      </c>
      <c r="R194" s="7">
        <f t="shared" si="26"/>
        <v>0</v>
      </c>
      <c r="S194" s="7">
        <f t="shared" si="26"/>
        <v>0</v>
      </c>
      <c r="T194" s="7">
        <f t="shared" si="26"/>
        <v>0</v>
      </c>
      <c r="U194" s="7">
        <f t="shared" si="26"/>
        <v>0</v>
      </c>
      <c r="V194" s="7">
        <f t="shared" si="26"/>
        <v>0</v>
      </c>
      <c r="W194" s="7">
        <f t="shared" si="26"/>
        <v>0</v>
      </c>
      <c r="X194" s="7">
        <f t="shared" si="26"/>
        <v>0</v>
      </c>
      <c r="Y194" s="7">
        <f t="shared" si="26"/>
        <v>17</v>
      </c>
      <c r="Z194" s="7">
        <f t="shared" si="26"/>
        <v>52.5</v>
      </c>
      <c r="AA194" s="7">
        <f t="shared" si="26"/>
        <v>55</v>
      </c>
      <c r="AB194" s="7">
        <f t="shared" si="26"/>
        <v>55</v>
      </c>
      <c r="AC194" s="7">
        <f t="shared" si="26"/>
        <v>38</v>
      </c>
      <c r="AD194" s="7">
        <f t="shared" si="26"/>
        <v>55</v>
      </c>
      <c r="AE194" s="7">
        <f t="shared" si="26"/>
        <v>0</v>
      </c>
      <c r="AF194" s="7">
        <f t="shared" si="26"/>
        <v>0</v>
      </c>
      <c r="AG194" s="7">
        <f t="shared" si="26"/>
        <v>0</v>
      </c>
      <c r="AH194" s="7">
        <f t="shared" si="26"/>
        <v>0</v>
      </c>
      <c r="AI194" s="7">
        <f t="shared" si="26"/>
        <v>0</v>
      </c>
      <c r="AJ194" s="7">
        <f t="shared" si="26"/>
        <v>0</v>
      </c>
      <c r="AK194" s="7">
        <f t="shared" si="26"/>
        <v>0</v>
      </c>
      <c r="AL194" s="7">
        <f t="shared" si="26"/>
        <v>0</v>
      </c>
      <c r="AM194" s="7">
        <f t="shared" si="26"/>
        <v>0</v>
      </c>
      <c r="AN194" s="7">
        <f t="shared" si="26"/>
        <v>0</v>
      </c>
      <c r="AO194" s="7">
        <f t="shared" si="26"/>
        <v>0</v>
      </c>
      <c r="AP194" s="7">
        <f t="shared" si="26"/>
        <v>0</v>
      </c>
      <c r="AQ194" s="7">
        <f t="shared" si="26"/>
        <v>0</v>
      </c>
      <c r="AR194" s="7">
        <f t="shared" si="26"/>
        <v>0</v>
      </c>
      <c r="AS194" s="7">
        <f t="shared" si="26"/>
        <v>0</v>
      </c>
    </row>
    <row r="195" spans="1:45" ht="15" hidden="1" customHeight="1" outlineLevel="1" x14ac:dyDescent="0.35">
      <c r="A195" t="s">
        <v>12</v>
      </c>
      <c r="B195" t="s">
        <v>14</v>
      </c>
      <c r="C195" t="s">
        <v>147</v>
      </c>
      <c r="D195" t="s">
        <v>141</v>
      </c>
      <c r="E195" t="s">
        <v>102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17</v>
      </c>
      <c r="Z195" s="9">
        <v>48</v>
      </c>
      <c r="AA195" s="9">
        <v>45</v>
      </c>
      <c r="AB195" s="9">
        <v>47</v>
      </c>
      <c r="AC195" s="9">
        <v>38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</row>
    <row r="196" spans="1:45" ht="15" hidden="1" customHeight="1" outlineLevel="1" x14ac:dyDescent="0.35">
      <c r="A196" t="s">
        <v>12</v>
      </c>
      <c r="B196" t="s">
        <v>14</v>
      </c>
      <c r="C196" t="s">
        <v>147</v>
      </c>
      <c r="D196" t="s">
        <v>141</v>
      </c>
      <c r="E196" t="s">
        <v>95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4.5</v>
      </c>
      <c r="AA196" s="9">
        <v>0</v>
      </c>
      <c r="AB196" s="9">
        <v>8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</row>
    <row r="197" spans="1:45" ht="15" hidden="1" customHeight="1" outlineLevel="1" x14ac:dyDescent="0.35">
      <c r="A197" t="s">
        <v>12</v>
      </c>
      <c r="B197" t="s">
        <v>14</v>
      </c>
      <c r="C197" t="s">
        <v>147</v>
      </c>
      <c r="D197" t="s">
        <v>141</v>
      </c>
      <c r="E197" t="s">
        <v>103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10</v>
      </c>
      <c r="AB197" s="9">
        <v>0</v>
      </c>
      <c r="AC197" s="9">
        <v>0</v>
      </c>
      <c r="AD197" s="9">
        <v>55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</row>
    <row r="198" spans="1:45" ht="15" customHeight="1" collapsed="1" x14ac:dyDescent="0.35">
      <c r="A198" s="3" t="s">
        <v>12</v>
      </c>
      <c r="B198" s="3" t="s">
        <v>14</v>
      </c>
      <c r="C198" s="3" t="s">
        <v>148</v>
      </c>
      <c r="D198" s="3" t="s">
        <v>76</v>
      </c>
      <c r="E198" s="3" t="s">
        <v>77</v>
      </c>
      <c r="F198" s="7">
        <f t="shared" ref="F198:AS198" si="27">SUM(F199,F200,F201,F202,F203,F204,F205)</f>
        <v>0</v>
      </c>
      <c r="G198" s="7">
        <f t="shared" si="27"/>
        <v>0</v>
      </c>
      <c r="H198" s="7">
        <f t="shared" si="27"/>
        <v>0</v>
      </c>
      <c r="I198" s="7">
        <f t="shared" si="27"/>
        <v>0</v>
      </c>
      <c r="J198" s="7">
        <f t="shared" si="27"/>
        <v>0</v>
      </c>
      <c r="K198" s="7">
        <f t="shared" si="27"/>
        <v>0</v>
      </c>
      <c r="L198" s="7">
        <f t="shared" si="27"/>
        <v>0</v>
      </c>
      <c r="M198" s="7">
        <f t="shared" si="27"/>
        <v>0</v>
      </c>
      <c r="N198" s="7">
        <f t="shared" si="27"/>
        <v>0</v>
      </c>
      <c r="O198" s="7">
        <f t="shared" si="27"/>
        <v>0</v>
      </c>
      <c r="P198" s="7">
        <f t="shared" si="27"/>
        <v>0</v>
      </c>
      <c r="Q198" s="7">
        <f t="shared" si="27"/>
        <v>0</v>
      </c>
      <c r="R198" s="7">
        <f t="shared" si="27"/>
        <v>0</v>
      </c>
      <c r="S198" s="7">
        <f t="shared" si="27"/>
        <v>0</v>
      </c>
      <c r="T198" s="7">
        <f t="shared" si="27"/>
        <v>0</v>
      </c>
      <c r="U198" s="7">
        <f t="shared" si="27"/>
        <v>0</v>
      </c>
      <c r="V198" s="7">
        <f t="shared" si="27"/>
        <v>0</v>
      </c>
      <c r="W198" s="7">
        <f t="shared" si="27"/>
        <v>0</v>
      </c>
      <c r="X198" s="7">
        <f t="shared" si="27"/>
        <v>0</v>
      </c>
      <c r="Y198" s="7">
        <f t="shared" si="27"/>
        <v>12.5</v>
      </c>
      <c r="Z198" s="7">
        <f t="shared" si="27"/>
        <v>55</v>
      </c>
      <c r="AA198" s="7">
        <f t="shared" si="27"/>
        <v>55</v>
      </c>
      <c r="AB198" s="7">
        <f t="shared" si="27"/>
        <v>55</v>
      </c>
      <c r="AC198" s="7">
        <f t="shared" si="27"/>
        <v>41.5</v>
      </c>
      <c r="AD198" s="7">
        <f t="shared" si="27"/>
        <v>6</v>
      </c>
      <c r="AE198" s="7">
        <f t="shared" si="27"/>
        <v>0</v>
      </c>
      <c r="AF198" s="7">
        <f t="shared" si="27"/>
        <v>0</v>
      </c>
      <c r="AG198" s="7">
        <f t="shared" si="27"/>
        <v>0</v>
      </c>
      <c r="AH198" s="7">
        <f t="shared" si="27"/>
        <v>0</v>
      </c>
      <c r="AI198" s="7">
        <f t="shared" si="27"/>
        <v>0</v>
      </c>
      <c r="AJ198" s="7">
        <f t="shared" si="27"/>
        <v>0</v>
      </c>
      <c r="AK198" s="7">
        <f t="shared" si="27"/>
        <v>0</v>
      </c>
      <c r="AL198" s="7">
        <f t="shared" si="27"/>
        <v>0</v>
      </c>
      <c r="AM198" s="7">
        <f t="shared" si="27"/>
        <v>0</v>
      </c>
      <c r="AN198" s="7">
        <f t="shared" si="27"/>
        <v>0</v>
      </c>
      <c r="AO198" s="7">
        <f t="shared" si="27"/>
        <v>0</v>
      </c>
      <c r="AP198" s="7">
        <f t="shared" si="27"/>
        <v>0</v>
      </c>
      <c r="AQ198" s="7">
        <f t="shared" si="27"/>
        <v>0</v>
      </c>
      <c r="AR198" s="7">
        <f t="shared" si="27"/>
        <v>0</v>
      </c>
      <c r="AS198" s="7">
        <f t="shared" si="27"/>
        <v>0</v>
      </c>
    </row>
    <row r="199" spans="1:45" ht="15" hidden="1" customHeight="1" outlineLevel="1" x14ac:dyDescent="0.35">
      <c r="A199" t="s">
        <v>12</v>
      </c>
      <c r="B199" t="s">
        <v>14</v>
      </c>
      <c r="C199" t="s">
        <v>148</v>
      </c>
      <c r="D199" t="s">
        <v>141</v>
      </c>
      <c r="E199" t="s">
        <v>95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14.4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</row>
    <row r="200" spans="1:45" ht="15" hidden="1" customHeight="1" outlineLevel="1" x14ac:dyDescent="0.35">
      <c r="A200" t="s">
        <v>12</v>
      </c>
      <c r="B200" t="s">
        <v>14</v>
      </c>
      <c r="C200" t="s">
        <v>148</v>
      </c>
      <c r="D200" t="s">
        <v>141</v>
      </c>
      <c r="E200" t="s">
        <v>40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12.5</v>
      </c>
      <c r="AC200" s="9">
        <v>29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</row>
    <row r="201" spans="1:45" ht="15" hidden="1" customHeight="1" outlineLevel="1" x14ac:dyDescent="0.35">
      <c r="A201" t="s">
        <v>12</v>
      </c>
      <c r="B201" t="s">
        <v>14</v>
      </c>
      <c r="C201" t="s">
        <v>148</v>
      </c>
      <c r="D201" t="s">
        <v>141</v>
      </c>
      <c r="E201" t="s">
        <v>96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11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</row>
    <row r="202" spans="1:45" ht="15" hidden="1" customHeight="1" outlineLevel="1" x14ac:dyDescent="0.35">
      <c r="A202" t="s">
        <v>12</v>
      </c>
      <c r="B202" t="s">
        <v>14</v>
      </c>
      <c r="C202" t="s">
        <v>148</v>
      </c>
      <c r="D202" t="s">
        <v>141</v>
      </c>
      <c r="E202" t="s">
        <v>85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29</v>
      </c>
      <c r="AB202" s="9">
        <v>17.100000000000001</v>
      </c>
      <c r="AC202" s="9">
        <v>0</v>
      </c>
      <c r="AD202" s="9">
        <v>6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</row>
    <row r="203" spans="1:45" ht="15" hidden="1" customHeight="1" outlineLevel="1" x14ac:dyDescent="0.35">
      <c r="A203" t="s">
        <v>12</v>
      </c>
      <c r="B203" t="s">
        <v>14</v>
      </c>
      <c r="C203" t="s">
        <v>148</v>
      </c>
      <c r="D203" t="s">
        <v>141</v>
      </c>
      <c r="E203" t="s">
        <v>103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23.6</v>
      </c>
      <c r="AA203" s="9">
        <v>26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</row>
    <row r="204" spans="1:45" ht="15" hidden="1" customHeight="1" outlineLevel="1" x14ac:dyDescent="0.35">
      <c r="A204" t="s">
        <v>12</v>
      </c>
      <c r="B204" t="s">
        <v>14</v>
      </c>
      <c r="C204" t="s">
        <v>148</v>
      </c>
      <c r="D204" t="s">
        <v>141</v>
      </c>
      <c r="E204" t="s">
        <v>46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12.5</v>
      </c>
      <c r="Z204" s="9">
        <v>31.4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</row>
    <row r="205" spans="1:45" ht="15" hidden="1" customHeight="1" outlineLevel="1" x14ac:dyDescent="0.35">
      <c r="A205" t="s">
        <v>12</v>
      </c>
      <c r="B205" t="s">
        <v>14</v>
      </c>
      <c r="C205" t="s">
        <v>148</v>
      </c>
      <c r="D205" t="s">
        <v>141</v>
      </c>
      <c r="E205" t="s">
        <v>122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12.5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</row>
    <row r="206" spans="1:45" ht="15" customHeight="1" collapsed="1" x14ac:dyDescent="0.35">
      <c r="A206" s="3" t="s">
        <v>12</v>
      </c>
      <c r="B206" s="3" t="s">
        <v>14</v>
      </c>
      <c r="C206" s="3" t="s">
        <v>149</v>
      </c>
      <c r="D206" s="3" t="s">
        <v>76</v>
      </c>
      <c r="E206" s="3" t="s">
        <v>77</v>
      </c>
      <c r="F206" s="7">
        <f t="shared" ref="F206:AS206" si="28">SUM(F207,F208,F209,F210)</f>
        <v>0</v>
      </c>
      <c r="G206" s="7">
        <f t="shared" si="28"/>
        <v>0</v>
      </c>
      <c r="H206" s="7">
        <f t="shared" si="28"/>
        <v>0</v>
      </c>
      <c r="I206" s="7">
        <f t="shared" si="28"/>
        <v>0</v>
      </c>
      <c r="J206" s="7">
        <f t="shared" si="28"/>
        <v>0</v>
      </c>
      <c r="K206" s="7">
        <f t="shared" si="28"/>
        <v>0</v>
      </c>
      <c r="L206" s="7">
        <f t="shared" si="28"/>
        <v>0</v>
      </c>
      <c r="M206" s="7">
        <f t="shared" si="28"/>
        <v>0</v>
      </c>
      <c r="N206" s="7">
        <f t="shared" si="28"/>
        <v>0</v>
      </c>
      <c r="O206" s="7">
        <f t="shared" si="28"/>
        <v>0</v>
      </c>
      <c r="P206" s="7">
        <f t="shared" si="28"/>
        <v>0</v>
      </c>
      <c r="Q206" s="7">
        <f t="shared" si="28"/>
        <v>0</v>
      </c>
      <c r="R206" s="7">
        <f t="shared" si="28"/>
        <v>0</v>
      </c>
      <c r="S206" s="7">
        <f t="shared" si="28"/>
        <v>0</v>
      </c>
      <c r="T206" s="7">
        <f t="shared" si="28"/>
        <v>0</v>
      </c>
      <c r="U206" s="7">
        <f t="shared" si="28"/>
        <v>0</v>
      </c>
      <c r="V206" s="7">
        <f t="shared" si="28"/>
        <v>0</v>
      </c>
      <c r="W206" s="7">
        <f t="shared" si="28"/>
        <v>0</v>
      </c>
      <c r="X206" s="7">
        <f t="shared" si="28"/>
        <v>0</v>
      </c>
      <c r="Y206" s="7">
        <f t="shared" si="28"/>
        <v>9.1999999999999993</v>
      </c>
      <c r="Z206" s="7">
        <f t="shared" si="28"/>
        <v>51.1</v>
      </c>
      <c r="AA206" s="7">
        <f t="shared" si="28"/>
        <v>55</v>
      </c>
      <c r="AB206" s="7">
        <f t="shared" si="28"/>
        <v>55</v>
      </c>
      <c r="AC206" s="7">
        <f t="shared" si="28"/>
        <v>55</v>
      </c>
      <c r="AD206" s="7">
        <f t="shared" si="28"/>
        <v>55</v>
      </c>
      <c r="AE206" s="7">
        <f t="shared" si="28"/>
        <v>0</v>
      </c>
      <c r="AF206" s="7">
        <f t="shared" si="28"/>
        <v>0</v>
      </c>
      <c r="AG206" s="7">
        <f t="shared" si="28"/>
        <v>0</v>
      </c>
      <c r="AH206" s="7">
        <f t="shared" si="28"/>
        <v>0</v>
      </c>
      <c r="AI206" s="7">
        <f t="shared" si="28"/>
        <v>0</v>
      </c>
      <c r="AJ206" s="7">
        <f t="shared" si="28"/>
        <v>0</v>
      </c>
      <c r="AK206" s="7">
        <f t="shared" si="28"/>
        <v>0</v>
      </c>
      <c r="AL206" s="7">
        <f t="shared" si="28"/>
        <v>0</v>
      </c>
      <c r="AM206" s="7">
        <f t="shared" si="28"/>
        <v>0</v>
      </c>
      <c r="AN206" s="7">
        <f t="shared" si="28"/>
        <v>0</v>
      </c>
      <c r="AO206" s="7">
        <f t="shared" si="28"/>
        <v>0</v>
      </c>
      <c r="AP206" s="7">
        <f t="shared" si="28"/>
        <v>0</v>
      </c>
      <c r="AQ206" s="7">
        <f t="shared" si="28"/>
        <v>0</v>
      </c>
      <c r="AR206" s="7">
        <f t="shared" si="28"/>
        <v>0</v>
      </c>
      <c r="AS206" s="7">
        <f t="shared" si="28"/>
        <v>0</v>
      </c>
    </row>
    <row r="207" spans="1:45" ht="15" hidden="1" customHeight="1" outlineLevel="1" x14ac:dyDescent="0.35">
      <c r="A207" t="s">
        <v>12</v>
      </c>
      <c r="B207" t="s">
        <v>14</v>
      </c>
      <c r="C207" t="s">
        <v>149</v>
      </c>
      <c r="D207" t="s">
        <v>141</v>
      </c>
      <c r="E207" t="s">
        <v>85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8.9</v>
      </c>
      <c r="AC207" s="9">
        <v>2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</row>
    <row r="208" spans="1:45" ht="15" hidden="1" customHeight="1" outlineLevel="1" x14ac:dyDescent="0.35">
      <c r="A208" t="s">
        <v>12</v>
      </c>
      <c r="B208" t="s">
        <v>14</v>
      </c>
      <c r="C208" t="s">
        <v>149</v>
      </c>
      <c r="D208" t="s">
        <v>141</v>
      </c>
      <c r="E208" t="s">
        <v>103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55</v>
      </c>
      <c r="AB208" s="9">
        <v>46.1</v>
      </c>
      <c r="AC208" s="9">
        <v>53</v>
      </c>
      <c r="AD208" s="9">
        <v>55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</row>
    <row r="209" spans="1:45" ht="15" hidden="1" customHeight="1" outlineLevel="1" x14ac:dyDescent="0.35">
      <c r="A209" t="s">
        <v>12</v>
      </c>
      <c r="B209" t="s">
        <v>14</v>
      </c>
      <c r="C209" t="s">
        <v>149</v>
      </c>
      <c r="D209" t="s">
        <v>141</v>
      </c>
      <c r="E209" t="s">
        <v>46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1.1000000000000001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</row>
    <row r="210" spans="1:45" ht="15" hidden="1" customHeight="1" outlineLevel="1" x14ac:dyDescent="0.35">
      <c r="A210" t="s">
        <v>12</v>
      </c>
      <c r="B210" t="s">
        <v>14</v>
      </c>
      <c r="C210" t="s">
        <v>149</v>
      </c>
      <c r="D210" t="s">
        <v>141</v>
      </c>
      <c r="E210" t="s">
        <v>99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9.1999999999999993</v>
      </c>
      <c r="Z210" s="9">
        <v>50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</row>
    <row r="211" spans="1:45" ht="15" customHeight="1" collapsed="1" x14ac:dyDescent="0.35">
      <c r="A211" s="3" t="s">
        <v>12</v>
      </c>
      <c r="B211" s="3" t="s">
        <v>14</v>
      </c>
      <c r="C211" s="3" t="s">
        <v>150</v>
      </c>
      <c r="D211" s="3" t="s">
        <v>76</v>
      </c>
      <c r="E211" s="3" t="s">
        <v>77</v>
      </c>
      <c r="F211" s="7">
        <f t="shared" ref="F211:AS211" si="29">SUM(F212)</f>
        <v>0</v>
      </c>
      <c r="G211" s="7">
        <f t="shared" si="29"/>
        <v>0</v>
      </c>
      <c r="H211" s="7">
        <f t="shared" si="29"/>
        <v>0</v>
      </c>
      <c r="I211" s="7">
        <f t="shared" si="29"/>
        <v>0</v>
      </c>
      <c r="J211" s="7">
        <f t="shared" si="29"/>
        <v>0</v>
      </c>
      <c r="K211" s="7">
        <f t="shared" si="29"/>
        <v>0</v>
      </c>
      <c r="L211" s="7">
        <f t="shared" si="29"/>
        <v>0</v>
      </c>
      <c r="M211" s="7">
        <f t="shared" si="29"/>
        <v>0</v>
      </c>
      <c r="N211" s="7">
        <f t="shared" si="29"/>
        <v>0</v>
      </c>
      <c r="O211" s="7">
        <f t="shared" si="29"/>
        <v>0</v>
      </c>
      <c r="P211" s="7">
        <f t="shared" si="29"/>
        <v>0</v>
      </c>
      <c r="Q211" s="7">
        <f t="shared" si="29"/>
        <v>0</v>
      </c>
      <c r="R211" s="7">
        <f t="shared" si="29"/>
        <v>0</v>
      </c>
      <c r="S211" s="7">
        <f t="shared" si="29"/>
        <v>0</v>
      </c>
      <c r="T211" s="7">
        <f t="shared" si="29"/>
        <v>0</v>
      </c>
      <c r="U211" s="7">
        <f t="shared" si="29"/>
        <v>0</v>
      </c>
      <c r="V211" s="7">
        <f t="shared" si="29"/>
        <v>0</v>
      </c>
      <c r="W211" s="7">
        <f t="shared" si="29"/>
        <v>0</v>
      </c>
      <c r="X211" s="7">
        <f t="shared" si="29"/>
        <v>0</v>
      </c>
      <c r="Y211" s="7">
        <f t="shared" si="29"/>
        <v>0</v>
      </c>
      <c r="Z211" s="7">
        <f t="shared" si="29"/>
        <v>0</v>
      </c>
      <c r="AA211" s="7">
        <f t="shared" si="29"/>
        <v>29.5</v>
      </c>
      <c r="AB211" s="7">
        <f t="shared" si="29"/>
        <v>55</v>
      </c>
      <c r="AC211" s="7">
        <f t="shared" si="29"/>
        <v>55</v>
      </c>
      <c r="AD211" s="7">
        <f t="shared" si="29"/>
        <v>0</v>
      </c>
      <c r="AE211" s="7">
        <f t="shared" si="29"/>
        <v>0</v>
      </c>
      <c r="AF211" s="7">
        <f t="shared" si="29"/>
        <v>0</v>
      </c>
      <c r="AG211" s="7">
        <f t="shared" si="29"/>
        <v>0</v>
      </c>
      <c r="AH211" s="7">
        <f t="shared" si="29"/>
        <v>0</v>
      </c>
      <c r="AI211" s="7">
        <f t="shared" si="29"/>
        <v>0</v>
      </c>
      <c r="AJ211" s="7">
        <f t="shared" si="29"/>
        <v>0</v>
      </c>
      <c r="AK211" s="7">
        <f t="shared" si="29"/>
        <v>0</v>
      </c>
      <c r="AL211" s="7">
        <f t="shared" si="29"/>
        <v>0</v>
      </c>
      <c r="AM211" s="7">
        <f t="shared" si="29"/>
        <v>0</v>
      </c>
      <c r="AN211" s="7">
        <f t="shared" si="29"/>
        <v>0</v>
      </c>
      <c r="AO211" s="7">
        <f t="shared" si="29"/>
        <v>0</v>
      </c>
      <c r="AP211" s="7">
        <f t="shared" si="29"/>
        <v>0</v>
      </c>
      <c r="AQ211" s="7">
        <f t="shared" si="29"/>
        <v>0</v>
      </c>
      <c r="AR211" s="7">
        <f t="shared" si="29"/>
        <v>0</v>
      </c>
      <c r="AS211" s="7">
        <f t="shared" si="29"/>
        <v>0</v>
      </c>
    </row>
    <row r="212" spans="1:45" ht="15" hidden="1" customHeight="1" outlineLevel="1" x14ac:dyDescent="0.35">
      <c r="A212" t="s">
        <v>12</v>
      </c>
      <c r="B212" t="s">
        <v>14</v>
      </c>
      <c r="C212" t="s">
        <v>150</v>
      </c>
      <c r="D212" t="s">
        <v>141</v>
      </c>
      <c r="E212" t="s">
        <v>103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29.5</v>
      </c>
      <c r="AB212" s="9">
        <v>55</v>
      </c>
      <c r="AC212" s="9">
        <v>55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</row>
    <row r="213" spans="1:45" ht="15" customHeight="1" collapsed="1" x14ac:dyDescent="0.35">
      <c r="A213" s="3" t="s">
        <v>12</v>
      </c>
      <c r="B213" s="3" t="s">
        <v>14</v>
      </c>
      <c r="C213" s="3" t="s">
        <v>151</v>
      </c>
      <c r="D213" s="3" t="s">
        <v>76</v>
      </c>
      <c r="E213" s="3" t="s">
        <v>77</v>
      </c>
      <c r="F213" s="7">
        <f t="shared" ref="F213:AS213" si="30">SUM(F214,F215,F216)</f>
        <v>0</v>
      </c>
      <c r="G213" s="7">
        <f t="shared" si="30"/>
        <v>0</v>
      </c>
      <c r="H213" s="7">
        <f t="shared" si="30"/>
        <v>0</v>
      </c>
      <c r="I213" s="7">
        <f t="shared" si="30"/>
        <v>0</v>
      </c>
      <c r="J213" s="7">
        <f t="shared" si="30"/>
        <v>0</v>
      </c>
      <c r="K213" s="7">
        <f t="shared" si="30"/>
        <v>0</v>
      </c>
      <c r="L213" s="7">
        <f t="shared" si="30"/>
        <v>0</v>
      </c>
      <c r="M213" s="7">
        <f t="shared" si="30"/>
        <v>0</v>
      </c>
      <c r="N213" s="7">
        <f t="shared" si="30"/>
        <v>0</v>
      </c>
      <c r="O213" s="7">
        <f t="shared" si="30"/>
        <v>0</v>
      </c>
      <c r="P213" s="7">
        <f t="shared" si="30"/>
        <v>0</v>
      </c>
      <c r="Q213" s="7">
        <f t="shared" si="30"/>
        <v>0</v>
      </c>
      <c r="R213" s="7">
        <f t="shared" si="30"/>
        <v>0</v>
      </c>
      <c r="S213" s="7">
        <f t="shared" si="30"/>
        <v>0</v>
      </c>
      <c r="T213" s="7">
        <f t="shared" si="30"/>
        <v>0</v>
      </c>
      <c r="U213" s="7">
        <f t="shared" si="30"/>
        <v>0</v>
      </c>
      <c r="V213" s="7">
        <f t="shared" si="30"/>
        <v>0</v>
      </c>
      <c r="W213" s="7">
        <f t="shared" si="30"/>
        <v>0</v>
      </c>
      <c r="X213" s="7">
        <f t="shared" si="30"/>
        <v>0</v>
      </c>
      <c r="Y213" s="7">
        <f t="shared" si="30"/>
        <v>0</v>
      </c>
      <c r="Z213" s="7">
        <f t="shared" si="30"/>
        <v>0</v>
      </c>
      <c r="AA213" s="7">
        <f t="shared" si="30"/>
        <v>35</v>
      </c>
      <c r="AB213" s="7">
        <f t="shared" si="30"/>
        <v>55</v>
      </c>
      <c r="AC213" s="7">
        <f t="shared" si="30"/>
        <v>32</v>
      </c>
      <c r="AD213" s="7">
        <f t="shared" si="30"/>
        <v>25</v>
      </c>
      <c r="AE213" s="7">
        <f t="shared" si="30"/>
        <v>0</v>
      </c>
      <c r="AF213" s="7">
        <f t="shared" si="30"/>
        <v>0</v>
      </c>
      <c r="AG213" s="7">
        <f t="shared" si="30"/>
        <v>0</v>
      </c>
      <c r="AH213" s="7">
        <f t="shared" si="30"/>
        <v>0</v>
      </c>
      <c r="AI213" s="7">
        <f t="shared" si="30"/>
        <v>0</v>
      </c>
      <c r="AJ213" s="7">
        <f t="shared" si="30"/>
        <v>0</v>
      </c>
      <c r="AK213" s="7">
        <f t="shared" si="30"/>
        <v>0</v>
      </c>
      <c r="AL213" s="7">
        <f t="shared" si="30"/>
        <v>0</v>
      </c>
      <c r="AM213" s="7">
        <f t="shared" si="30"/>
        <v>0</v>
      </c>
      <c r="AN213" s="7">
        <f t="shared" si="30"/>
        <v>0</v>
      </c>
      <c r="AO213" s="7">
        <f t="shared" si="30"/>
        <v>0</v>
      </c>
      <c r="AP213" s="7">
        <f t="shared" si="30"/>
        <v>0</v>
      </c>
      <c r="AQ213" s="7">
        <f t="shared" si="30"/>
        <v>0</v>
      </c>
      <c r="AR213" s="7">
        <f t="shared" si="30"/>
        <v>0</v>
      </c>
      <c r="AS213" s="7">
        <f t="shared" si="30"/>
        <v>0</v>
      </c>
    </row>
    <row r="214" spans="1:45" ht="15" hidden="1" customHeight="1" outlineLevel="1" x14ac:dyDescent="0.35">
      <c r="A214" t="s">
        <v>12</v>
      </c>
      <c r="B214" t="s">
        <v>14</v>
      </c>
      <c r="C214" t="s">
        <v>151</v>
      </c>
      <c r="D214" t="s">
        <v>141</v>
      </c>
      <c r="E214" t="s">
        <v>103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33.9</v>
      </c>
      <c r="AC214" s="9">
        <v>22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</row>
    <row r="215" spans="1:45" ht="15" hidden="1" customHeight="1" outlineLevel="1" x14ac:dyDescent="0.35">
      <c r="A215" t="s">
        <v>12</v>
      </c>
      <c r="B215" t="s">
        <v>14</v>
      </c>
      <c r="C215" t="s">
        <v>151</v>
      </c>
      <c r="D215" t="s">
        <v>141</v>
      </c>
      <c r="E215" t="s">
        <v>46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24</v>
      </c>
      <c r="AB215" s="9">
        <v>21.1</v>
      </c>
      <c r="AC215" s="9">
        <v>0</v>
      </c>
      <c r="AD215" s="9">
        <v>25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</row>
    <row r="216" spans="1:45" ht="15" hidden="1" customHeight="1" outlineLevel="1" x14ac:dyDescent="0.35">
      <c r="A216" t="s">
        <v>12</v>
      </c>
      <c r="B216" t="s">
        <v>14</v>
      </c>
      <c r="C216" t="s">
        <v>151</v>
      </c>
      <c r="D216" t="s">
        <v>141</v>
      </c>
      <c r="E216" t="s">
        <v>99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11</v>
      </c>
      <c r="AB216" s="9">
        <v>0</v>
      </c>
      <c r="AC216" s="9">
        <v>10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</row>
    <row r="217" spans="1:45" ht="15" customHeight="1" collapsed="1" x14ac:dyDescent="0.35">
      <c r="A217" s="3" t="s">
        <v>12</v>
      </c>
      <c r="B217" s="3" t="s">
        <v>14</v>
      </c>
      <c r="C217" s="3" t="s">
        <v>152</v>
      </c>
      <c r="D217" s="3" t="s">
        <v>76</v>
      </c>
      <c r="E217" s="3" t="s">
        <v>77</v>
      </c>
      <c r="F217" s="7">
        <f t="shared" ref="F217:AS217" si="31">SUM(F218,F219)</f>
        <v>0</v>
      </c>
      <c r="G217" s="7">
        <f t="shared" si="31"/>
        <v>0</v>
      </c>
      <c r="H217" s="7">
        <f t="shared" si="31"/>
        <v>0</v>
      </c>
      <c r="I217" s="7">
        <f t="shared" si="31"/>
        <v>0</v>
      </c>
      <c r="J217" s="7">
        <f t="shared" si="31"/>
        <v>0</v>
      </c>
      <c r="K217" s="7">
        <f t="shared" si="31"/>
        <v>0</v>
      </c>
      <c r="L217" s="7">
        <f t="shared" si="31"/>
        <v>0</v>
      </c>
      <c r="M217" s="7">
        <f t="shared" si="31"/>
        <v>0</v>
      </c>
      <c r="N217" s="7">
        <f t="shared" si="31"/>
        <v>0</v>
      </c>
      <c r="O217" s="7">
        <f t="shared" si="31"/>
        <v>0</v>
      </c>
      <c r="P217" s="7">
        <f t="shared" si="31"/>
        <v>0</v>
      </c>
      <c r="Q217" s="7">
        <f t="shared" si="31"/>
        <v>0</v>
      </c>
      <c r="R217" s="7">
        <f t="shared" si="31"/>
        <v>0</v>
      </c>
      <c r="S217" s="7">
        <f t="shared" si="31"/>
        <v>0</v>
      </c>
      <c r="T217" s="7">
        <f t="shared" si="31"/>
        <v>0</v>
      </c>
      <c r="U217" s="7">
        <f t="shared" si="31"/>
        <v>0</v>
      </c>
      <c r="V217" s="7">
        <f t="shared" si="31"/>
        <v>0</v>
      </c>
      <c r="W217" s="7">
        <f t="shared" si="31"/>
        <v>0</v>
      </c>
      <c r="X217" s="7">
        <f t="shared" si="31"/>
        <v>0</v>
      </c>
      <c r="Y217" s="7">
        <f t="shared" si="31"/>
        <v>0</v>
      </c>
      <c r="Z217" s="7">
        <f t="shared" si="31"/>
        <v>0</v>
      </c>
      <c r="AA217" s="7">
        <f t="shared" si="31"/>
        <v>55</v>
      </c>
      <c r="AB217" s="7">
        <f t="shared" si="31"/>
        <v>55</v>
      </c>
      <c r="AC217" s="7">
        <f t="shared" si="31"/>
        <v>34</v>
      </c>
      <c r="AD217" s="7">
        <f t="shared" si="31"/>
        <v>55</v>
      </c>
      <c r="AE217" s="7">
        <f t="shared" si="31"/>
        <v>0</v>
      </c>
      <c r="AF217" s="7">
        <f t="shared" si="31"/>
        <v>0</v>
      </c>
      <c r="AG217" s="7">
        <f t="shared" si="31"/>
        <v>0</v>
      </c>
      <c r="AH217" s="7">
        <f t="shared" si="31"/>
        <v>0</v>
      </c>
      <c r="AI217" s="7">
        <f t="shared" si="31"/>
        <v>0</v>
      </c>
      <c r="AJ217" s="7">
        <f t="shared" si="31"/>
        <v>0</v>
      </c>
      <c r="AK217" s="7">
        <f t="shared" si="31"/>
        <v>0</v>
      </c>
      <c r="AL217" s="7">
        <f t="shared" si="31"/>
        <v>0</v>
      </c>
      <c r="AM217" s="7">
        <f t="shared" si="31"/>
        <v>0</v>
      </c>
      <c r="AN217" s="7">
        <f t="shared" si="31"/>
        <v>0</v>
      </c>
      <c r="AO217" s="7">
        <f t="shared" si="31"/>
        <v>0</v>
      </c>
      <c r="AP217" s="7">
        <f t="shared" si="31"/>
        <v>0</v>
      </c>
      <c r="AQ217" s="7">
        <f t="shared" si="31"/>
        <v>0</v>
      </c>
      <c r="AR217" s="7">
        <f t="shared" si="31"/>
        <v>0</v>
      </c>
      <c r="AS217" s="7">
        <f t="shared" si="31"/>
        <v>0</v>
      </c>
    </row>
    <row r="218" spans="1:45" ht="15" hidden="1" customHeight="1" outlineLevel="1" x14ac:dyDescent="0.35">
      <c r="A218" t="s">
        <v>12</v>
      </c>
      <c r="B218" t="s">
        <v>14</v>
      </c>
      <c r="C218" t="s">
        <v>152</v>
      </c>
      <c r="D218" t="s">
        <v>141</v>
      </c>
      <c r="E218" t="s">
        <v>46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54.9</v>
      </c>
      <c r="AC218" s="9">
        <v>34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</row>
    <row r="219" spans="1:45" ht="15" hidden="1" customHeight="1" outlineLevel="1" x14ac:dyDescent="0.35">
      <c r="A219" t="s">
        <v>12</v>
      </c>
      <c r="B219" t="s">
        <v>14</v>
      </c>
      <c r="C219" t="s">
        <v>152</v>
      </c>
      <c r="D219" t="s">
        <v>141</v>
      </c>
      <c r="E219" t="s">
        <v>99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55</v>
      </c>
      <c r="AB219" s="9">
        <v>0.100000000000001</v>
      </c>
      <c r="AC219" s="9">
        <v>0</v>
      </c>
      <c r="AD219" s="9">
        <v>55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</row>
    <row r="220" spans="1:45" ht="15" customHeight="1" collapsed="1" x14ac:dyDescent="0.35">
      <c r="A220" s="3" t="s">
        <v>12</v>
      </c>
      <c r="B220" s="3" t="s">
        <v>14</v>
      </c>
      <c r="C220" s="3" t="s">
        <v>153</v>
      </c>
      <c r="D220" s="3" t="s">
        <v>76</v>
      </c>
      <c r="E220" s="3" t="s">
        <v>77</v>
      </c>
      <c r="F220" s="7">
        <f t="shared" ref="F220:AS220" si="32">SUM(F221,F222)</f>
        <v>0</v>
      </c>
      <c r="G220" s="7">
        <f t="shared" si="32"/>
        <v>0</v>
      </c>
      <c r="H220" s="7">
        <f t="shared" si="32"/>
        <v>0</v>
      </c>
      <c r="I220" s="7">
        <f t="shared" si="32"/>
        <v>0</v>
      </c>
      <c r="J220" s="7">
        <f t="shared" si="32"/>
        <v>0</v>
      </c>
      <c r="K220" s="7">
        <f t="shared" si="32"/>
        <v>0</v>
      </c>
      <c r="L220" s="7">
        <f t="shared" si="32"/>
        <v>0</v>
      </c>
      <c r="M220" s="7">
        <f t="shared" si="32"/>
        <v>0</v>
      </c>
      <c r="N220" s="7">
        <f t="shared" si="32"/>
        <v>0</v>
      </c>
      <c r="O220" s="7">
        <f t="shared" si="32"/>
        <v>0</v>
      </c>
      <c r="P220" s="7">
        <f t="shared" si="32"/>
        <v>0</v>
      </c>
      <c r="Q220" s="7">
        <f t="shared" si="32"/>
        <v>0</v>
      </c>
      <c r="R220" s="7">
        <f t="shared" si="32"/>
        <v>0</v>
      </c>
      <c r="S220" s="7">
        <f t="shared" si="32"/>
        <v>0</v>
      </c>
      <c r="T220" s="7">
        <f t="shared" si="32"/>
        <v>0</v>
      </c>
      <c r="U220" s="7">
        <f t="shared" si="32"/>
        <v>0</v>
      </c>
      <c r="V220" s="7">
        <f t="shared" si="32"/>
        <v>0</v>
      </c>
      <c r="W220" s="7">
        <f t="shared" si="32"/>
        <v>0</v>
      </c>
      <c r="X220" s="7">
        <f t="shared" si="32"/>
        <v>0</v>
      </c>
      <c r="Y220" s="7">
        <f t="shared" si="32"/>
        <v>0</v>
      </c>
      <c r="Z220" s="7">
        <f t="shared" si="32"/>
        <v>0</v>
      </c>
      <c r="AA220" s="7">
        <f t="shared" si="32"/>
        <v>23.5</v>
      </c>
      <c r="AB220" s="7">
        <f t="shared" si="32"/>
        <v>55</v>
      </c>
      <c r="AC220" s="7">
        <f t="shared" si="32"/>
        <v>44</v>
      </c>
      <c r="AD220" s="7">
        <f t="shared" si="32"/>
        <v>12</v>
      </c>
      <c r="AE220" s="7">
        <f t="shared" si="32"/>
        <v>0</v>
      </c>
      <c r="AF220" s="7">
        <f t="shared" si="32"/>
        <v>0</v>
      </c>
      <c r="AG220" s="7">
        <f t="shared" si="32"/>
        <v>0</v>
      </c>
      <c r="AH220" s="7">
        <f t="shared" si="32"/>
        <v>0</v>
      </c>
      <c r="AI220" s="7">
        <f t="shared" si="32"/>
        <v>0</v>
      </c>
      <c r="AJ220" s="7">
        <f t="shared" si="32"/>
        <v>0</v>
      </c>
      <c r="AK220" s="7">
        <f t="shared" si="32"/>
        <v>0</v>
      </c>
      <c r="AL220" s="7">
        <f t="shared" si="32"/>
        <v>0</v>
      </c>
      <c r="AM220" s="7">
        <f t="shared" si="32"/>
        <v>0</v>
      </c>
      <c r="AN220" s="7">
        <f t="shared" si="32"/>
        <v>0</v>
      </c>
      <c r="AO220" s="7">
        <f t="shared" si="32"/>
        <v>0</v>
      </c>
      <c r="AP220" s="7">
        <f t="shared" si="32"/>
        <v>0</v>
      </c>
      <c r="AQ220" s="7">
        <f t="shared" si="32"/>
        <v>0</v>
      </c>
      <c r="AR220" s="7">
        <f t="shared" si="32"/>
        <v>0</v>
      </c>
      <c r="AS220" s="7">
        <f t="shared" si="32"/>
        <v>0</v>
      </c>
    </row>
    <row r="221" spans="1:45" ht="15" hidden="1" customHeight="1" outlineLevel="1" x14ac:dyDescent="0.35">
      <c r="A221" t="s">
        <v>12</v>
      </c>
      <c r="B221" t="s">
        <v>14</v>
      </c>
      <c r="C221" t="s">
        <v>153</v>
      </c>
      <c r="D221" t="s">
        <v>141</v>
      </c>
      <c r="E221" t="s">
        <v>99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55</v>
      </c>
      <c r="AC221" s="9">
        <v>24</v>
      </c>
      <c r="AD221" s="9">
        <v>5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</row>
    <row r="222" spans="1:45" ht="15" hidden="1" customHeight="1" outlineLevel="1" x14ac:dyDescent="0.35">
      <c r="A222" t="s">
        <v>12</v>
      </c>
      <c r="B222" t="s">
        <v>14</v>
      </c>
      <c r="C222" t="s">
        <v>153</v>
      </c>
      <c r="D222" t="s">
        <v>141</v>
      </c>
      <c r="E222" t="s">
        <v>43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23.5</v>
      </c>
      <c r="AB222" s="9">
        <v>0</v>
      </c>
      <c r="AC222" s="9">
        <v>20</v>
      </c>
      <c r="AD222" s="9">
        <v>7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</row>
    <row r="223" spans="1:45" ht="15" customHeight="1" collapsed="1" x14ac:dyDescent="0.35">
      <c r="A223" s="3" t="s">
        <v>12</v>
      </c>
      <c r="B223" s="3" t="s">
        <v>14</v>
      </c>
      <c r="C223" s="3" t="s">
        <v>154</v>
      </c>
      <c r="D223" s="3" t="s">
        <v>76</v>
      </c>
      <c r="E223" s="3" t="s">
        <v>77</v>
      </c>
      <c r="F223" s="7">
        <f t="shared" ref="F223:AS223" si="33">SUM(F224,F225)</f>
        <v>0</v>
      </c>
      <c r="G223" s="7">
        <f t="shared" si="33"/>
        <v>0</v>
      </c>
      <c r="H223" s="7">
        <f t="shared" si="33"/>
        <v>0</v>
      </c>
      <c r="I223" s="7">
        <f t="shared" si="33"/>
        <v>0</v>
      </c>
      <c r="J223" s="7">
        <f t="shared" si="33"/>
        <v>0</v>
      </c>
      <c r="K223" s="7">
        <f t="shared" si="33"/>
        <v>0</v>
      </c>
      <c r="L223" s="7">
        <f t="shared" si="33"/>
        <v>0</v>
      </c>
      <c r="M223" s="7">
        <f t="shared" si="33"/>
        <v>0</v>
      </c>
      <c r="N223" s="7">
        <f t="shared" si="33"/>
        <v>0</v>
      </c>
      <c r="O223" s="7">
        <f t="shared" si="33"/>
        <v>0</v>
      </c>
      <c r="P223" s="7">
        <f t="shared" si="33"/>
        <v>0</v>
      </c>
      <c r="Q223" s="7">
        <f t="shared" si="33"/>
        <v>0</v>
      </c>
      <c r="R223" s="7">
        <f t="shared" si="33"/>
        <v>0</v>
      </c>
      <c r="S223" s="7">
        <f t="shared" si="33"/>
        <v>0</v>
      </c>
      <c r="T223" s="7">
        <f t="shared" si="33"/>
        <v>0</v>
      </c>
      <c r="U223" s="7">
        <f t="shared" si="33"/>
        <v>0</v>
      </c>
      <c r="V223" s="7">
        <f t="shared" si="33"/>
        <v>0</v>
      </c>
      <c r="W223" s="7">
        <f t="shared" si="33"/>
        <v>0</v>
      </c>
      <c r="X223" s="7">
        <f t="shared" si="33"/>
        <v>0</v>
      </c>
      <c r="Y223" s="7">
        <f t="shared" si="33"/>
        <v>0</v>
      </c>
      <c r="Z223" s="7">
        <f t="shared" si="33"/>
        <v>0</v>
      </c>
      <c r="AA223" s="7">
        <f t="shared" si="33"/>
        <v>0</v>
      </c>
      <c r="AB223" s="7">
        <f t="shared" si="33"/>
        <v>55</v>
      </c>
      <c r="AC223" s="7">
        <f t="shared" si="33"/>
        <v>55</v>
      </c>
      <c r="AD223" s="7">
        <f t="shared" si="33"/>
        <v>8</v>
      </c>
      <c r="AE223" s="7">
        <f t="shared" si="33"/>
        <v>0</v>
      </c>
      <c r="AF223" s="7">
        <f t="shared" si="33"/>
        <v>0</v>
      </c>
      <c r="AG223" s="7">
        <f t="shared" si="33"/>
        <v>0</v>
      </c>
      <c r="AH223" s="7">
        <f t="shared" si="33"/>
        <v>0</v>
      </c>
      <c r="AI223" s="7">
        <f t="shared" si="33"/>
        <v>0</v>
      </c>
      <c r="AJ223" s="7">
        <f t="shared" si="33"/>
        <v>0</v>
      </c>
      <c r="AK223" s="7">
        <f t="shared" si="33"/>
        <v>0</v>
      </c>
      <c r="AL223" s="7">
        <f t="shared" si="33"/>
        <v>0</v>
      </c>
      <c r="AM223" s="7">
        <f t="shared" si="33"/>
        <v>0</v>
      </c>
      <c r="AN223" s="7">
        <f t="shared" si="33"/>
        <v>0</v>
      </c>
      <c r="AO223" s="7">
        <f t="shared" si="33"/>
        <v>0</v>
      </c>
      <c r="AP223" s="7">
        <f t="shared" si="33"/>
        <v>0</v>
      </c>
      <c r="AQ223" s="7">
        <f t="shared" si="33"/>
        <v>0</v>
      </c>
      <c r="AR223" s="7">
        <f t="shared" si="33"/>
        <v>0</v>
      </c>
      <c r="AS223" s="7">
        <f t="shared" si="33"/>
        <v>0</v>
      </c>
    </row>
    <row r="224" spans="1:45" ht="15" hidden="1" customHeight="1" outlineLevel="1" x14ac:dyDescent="0.35">
      <c r="A224" t="s">
        <v>12</v>
      </c>
      <c r="B224" t="s">
        <v>14</v>
      </c>
      <c r="C224" t="s">
        <v>154</v>
      </c>
      <c r="D224" t="s">
        <v>141</v>
      </c>
      <c r="E224" t="s">
        <v>99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41.9</v>
      </c>
      <c r="AC224" s="9">
        <v>55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</row>
    <row r="225" spans="1:45" ht="15" hidden="1" customHeight="1" outlineLevel="1" x14ac:dyDescent="0.35">
      <c r="A225" t="s">
        <v>12</v>
      </c>
      <c r="B225" t="s">
        <v>14</v>
      </c>
      <c r="C225" t="s">
        <v>154</v>
      </c>
      <c r="D225" t="s">
        <v>141</v>
      </c>
      <c r="E225" t="s">
        <v>43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13.1</v>
      </c>
      <c r="AC225" s="9">
        <v>0</v>
      </c>
      <c r="AD225" s="9">
        <v>8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</row>
    <row r="226" spans="1:45" ht="15" customHeight="1" collapsed="1" x14ac:dyDescent="0.35">
      <c r="A226" s="3" t="s">
        <v>12</v>
      </c>
      <c r="B226" s="3" t="s">
        <v>14</v>
      </c>
      <c r="C226" s="3" t="s">
        <v>155</v>
      </c>
      <c r="D226" s="3" t="s">
        <v>76</v>
      </c>
      <c r="E226" s="3" t="s">
        <v>77</v>
      </c>
      <c r="F226" s="7">
        <f t="shared" ref="F226:AS226" si="34">SUM(F227,F228)</f>
        <v>0</v>
      </c>
      <c r="G226" s="7">
        <f t="shared" si="34"/>
        <v>0</v>
      </c>
      <c r="H226" s="7">
        <f t="shared" si="34"/>
        <v>0</v>
      </c>
      <c r="I226" s="7">
        <f t="shared" si="34"/>
        <v>0</v>
      </c>
      <c r="J226" s="7">
        <f t="shared" si="34"/>
        <v>0</v>
      </c>
      <c r="K226" s="7">
        <f t="shared" si="34"/>
        <v>0</v>
      </c>
      <c r="L226" s="7">
        <f t="shared" si="34"/>
        <v>0</v>
      </c>
      <c r="M226" s="7">
        <f t="shared" si="34"/>
        <v>0</v>
      </c>
      <c r="N226" s="7">
        <f t="shared" si="34"/>
        <v>0</v>
      </c>
      <c r="O226" s="7">
        <f t="shared" si="34"/>
        <v>0</v>
      </c>
      <c r="P226" s="7">
        <f t="shared" si="34"/>
        <v>0</v>
      </c>
      <c r="Q226" s="7">
        <f t="shared" si="34"/>
        <v>0</v>
      </c>
      <c r="R226" s="7">
        <f t="shared" si="34"/>
        <v>0</v>
      </c>
      <c r="S226" s="7">
        <f t="shared" si="34"/>
        <v>0</v>
      </c>
      <c r="T226" s="7">
        <f t="shared" si="34"/>
        <v>0</v>
      </c>
      <c r="U226" s="7">
        <f t="shared" si="34"/>
        <v>0</v>
      </c>
      <c r="V226" s="7">
        <f t="shared" si="34"/>
        <v>0</v>
      </c>
      <c r="W226" s="7">
        <f t="shared" si="34"/>
        <v>0</v>
      </c>
      <c r="X226" s="7">
        <f t="shared" si="34"/>
        <v>0</v>
      </c>
      <c r="Y226" s="7">
        <f t="shared" si="34"/>
        <v>0</v>
      </c>
      <c r="Z226" s="7">
        <f t="shared" si="34"/>
        <v>0</v>
      </c>
      <c r="AA226" s="7">
        <f t="shared" si="34"/>
        <v>0</v>
      </c>
      <c r="AB226" s="7">
        <f t="shared" si="34"/>
        <v>55</v>
      </c>
      <c r="AC226" s="7">
        <f t="shared" si="34"/>
        <v>51</v>
      </c>
      <c r="AD226" s="7">
        <f t="shared" si="34"/>
        <v>20</v>
      </c>
      <c r="AE226" s="7">
        <f t="shared" si="34"/>
        <v>0</v>
      </c>
      <c r="AF226" s="7">
        <f t="shared" si="34"/>
        <v>0</v>
      </c>
      <c r="AG226" s="7">
        <f t="shared" si="34"/>
        <v>0</v>
      </c>
      <c r="AH226" s="7">
        <f t="shared" si="34"/>
        <v>0</v>
      </c>
      <c r="AI226" s="7">
        <f t="shared" si="34"/>
        <v>0</v>
      </c>
      <c r="AJ226" s="7">
        <f t="shared" si="34"/>
        <v>0</v>
      </c>
      <c r="AK226" s="7">
        <f t="shared" si="34"/>
        <v>0</v>
      </c>
      <c r="AL226" s="7">
        <f t="shared" si="34"/>
        <v>0</v>
      </c>
      <c r="AM226" s="7">
        <f t="shared" si="34"/>
        <v>0</v>
      </c>
      <c r="AN226" s="7">
        <f t="shared" si="34"/>
        <v>0</v>
      </c>
      <c r="AO226" s="7">
        <f t="shared" si="34"/>
        <v>0</v>
      </c>
      <c r="AP226" s="7">
        <f t="shared" si="34"/>
        <v>0</v>
      </c>
      <c r="AQ226" s="7">
        <f t="shared" si="34"/>
        <v>0</v>
      </c>
      <c r="AR226" s="7">
        <f t="shared" si="34"/>
        <v>0</v>
      </c>
      <c r="AS226" s="7">
        <f t="shared" si="34"/>
        <v>0</v>
      </c>
    </row>
    <row r="227" spans="1:45" ht="15" hidden="1" customHeight="1" outlineLevel="1" x14ac:dyDescent="0.35">
      <c r="A227" t="s">
        <v>12</v>
      </c>
      <c r="B227" t="s">
        <v>14</v>
      </c>
      <c r="C227" t="s">
        <v>155</v>
      </c>
      <c r="D227" t="s">
        <v>141</v>
      </c>
      <c r="E227" t="s">
        <v>43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32.9</v>
      </c>
      <c r="AC227" s="9">
        <v>51</v>
      </c>
      <c r="AD227" s="9">
        <v>20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</row>
    <row r="228" spans="1:45" ht="15" hidden="1" customHeight="1" outlineLevel="1" x14ac:dyDescent="0.35">
      <c r="A228" t="s">
        <v>12</v>
      </c>
      <c r="B228" t="s">
        <v>14</v>
      </c>
      <c r="C228" t="s">
        <v>155</v>
      </c>
      <c r="D228" t="s">
        <v>141</v>
      </c>
      <c r="E228" t="s">
        <v>100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22.1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</row>
    <row r="229" spans="1:45" ht="15" customHeight="1" collapsed="1" x14ac:dyDescent="0.35">
      <c r="A229" s="3" t="s">
        <v>12</v>
      </c>
      <c r="B229" s="3" t="s">
        <v>14</v>
      </c>
      <c r="C229" s="3" t="s">
        <v>156</v>
      </c>
      <c r="D229" s="3" t="s">
        <v>76</v>
      </c>
      <c r="E229" s="3" t="s">
        <v>77</v>
      </c>
      <c r="F229" s="7">
        <f t="shared" ref="F229:AS229" si="35">SUM(F230,F231)</f>
        <v>0</v>
      </c>
      <c r="G229" s="7">
        <f t="shared" si="35"/>
        <v>0</v>
      </c>
      <c r="H229" s="7">
        <f t="shared" si="35"/>
        <v>0</v>
      </c>
      <c r="I229" s="7">
        <f t="shared" si="35"/>
        <v>0</v>
      </c>
      <c r="J229" s="7">
        <f t="shared" si="35"/>
        <v>0</v>
      </c>
      <c r="K229" s="7">
        <f t="shared" si="35"/>
        <v>0</v>
      </c>
      <c r="L229" s="7">
        <f t="shared" si="35"/>
        <v>0</v>
      </c>
      <c r="M229" s="7">
        <f t="shared" si="35"/>
        <v>0</v>
      </c>
      <c r="N229" s="7">
        <f t="shared" si="35"/>
        <v>0</v>
      </c>
      <c r="O229" s="7">
        <f t="shared" si="35"/>
        <v>0</v>
      </c>
      <c r="P229" s="7">
        <f t="shared" si="35"/>
        <v>0</v>
      </c>
      <c r="Q229" s="7">
        <f t="shared" si="35"/>
        <v>0</v>
      </c>
      <c r="R229" s="7">
        <f t="shared" si="35"/>
        <v>0</v>
      </c>
      <c r="S229" s="7">
        <f t="shared" si="35"/>
        <v>0</v>
      </c>
      <c r="T229" s="7">
        <f t="shared" si="35"/>
        <v>0</v>
      </c>
      <c r="U229" s="7">
        <f t="shared" si="35"/>
        <v>0</v>
      </c>
      <c r="V229" s="7">
        <f t="shared" si="35"/>
        <v>0</v>
      </c>
      <c r="W229" s="7">
        <f t="shared" si="35"/>
        <v>0</v>
      </c>
      <c r="X229" s="7">
        <f t="shared" si="35"/>
        <v>0</v>
      </c>
      <c r="Y229" s="7">
        <f t="shared" si="35"/>
        <v>0</v>
      </c>
      <c r="Z229" s="7">
        <f t="shared" si="35"/>
        <v>0</v>
      </c>
      <c r="AA229" s="7">
        <f t="shared" si="35"/>
        <v>0</v>
      </c>
      <c r="AB229" s="7">
        <f t="shared" si="35"/>
        <v>55</v>
      </c>
      <c r="AC229" s="7">
        <f t="shared" si="35"/>
        <v>40</v>
      </c>
      <c r="AD229" s="7">
        <f t="shared" si="35"/>
        <v>12</v>
      </c>
      <c r="AE229" s="7">
        <f t="shared" si="35"/>
        <v>0</v>
      </c>
      <c r="AF229" s="7">
        <f t="shared" si="35"/>
        <v>0</v>
      </c>
      <c r="AG229" s="7">
        <f t="shared" si="35"/>
        <v>0</v>
      </c>
      <c r="AH229" s="7">
        <f t="shared" si="35"/>
        <v>0</v>
      </c>
      <c r="AI229" s="7">
        <f t="shared" si="35"/>
        <v>0</v>
      </c>
      <c r="AJ229" s="7">
        <f t="shared" si="35"/>
        <v>0</v>
      </c>
      <c r="AK229" s="7">
        <f t="shared" si="35"/>
        <v>0</v>
      </c>
      <c r="AL229" s="7">
        <f t="shared" si="35"/>
        <v>0</v>
      </c>
      <c r="AM229" s="7">
        <f t="shared" si="35"/>
        <v>0</v>
      </c>
      <c r="AN229" s="7">
        <f t="shared" si="35"/>
        <v>0</v>
      </c>
      <c r="AO229" s="7">
        <f t="shared" si="35"/>
        <v>0</v>
      </c>
      <c r="AP229" s="7">
        <f t="shared" si="35"/>
        <v>0</v>
      </c>
      <c r="AQ229" s="7">
        <f t="shared" si="35"/>
        <v>0</v>
      </c>
      <c r="AR229" s="7">
        <f t="shared" si="35"/>
        <v>0</v>
      </c>
      <c r="AS229" s="7">
        <f t="shared" si="35"/>
        <v>0</v>
      </c>
    </row>
    <row r="230" spans="1:45" ht="15" hidden="1" customHeight="1" outlineLevel="1" x14ac:dyDescent="0.35">
      <c r="A230" t="s">
        <v>12</v>
      </c>
      <c r="B230" t="s">
        <v>14</v>
      </c>
      <c r="C230" t="s">
        <v>156</v>
      </c>
      <c r="D230" t="s">
        <v>141</v>
      </c>
      <c r="E230" t="s">
        <v>100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22.9</v>
      </c>
      <c r="AC230" s="9">
        <v>40</v>
      </c>
      <c r="AD230" s="9">
        <v>12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</row>
    <row r="231" spans="1:45" ht="15" hidden="1" customHeight="1" outlineLevel="1" x14ac:dyDescent="0.35">
      <c r="A231" t="s">
        <v>12</v>
      </c>
      <c r="B231" t="s">
        <v>14</v>
      </c>
      <c r="C231" t="s">
        <v>156</v>
      </c>
      <c r="D231" t="s">
        <v>141</v>
      </c>
      <c r="E231" t="s">
        <v>105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32.1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</row>
    <row r="232" spans="1:45" ht="15" customHeight="1" collapsed="1" x14ac:dyDescent="0.35">
      <c r="A232" s="3" t="s">
        <v>12</v>
      </c>
      <c r="B232" s="3" t="s">
        <v>14</v>
      </c>
      <c r="C232" s="3" t="s">
        <v>157</v>
      </c>
      <c r="D232" s="3" t="s">
        <v>76</v>
      </c>
      <c r="E232" s="3" t="s">
        <v>77</v>
      </c>
      <c r="F232" s="7">
        <f t="shared" ref="F232:AS232" si="36">SUM(F233)</f>
        <v>0</v>
      </c>
      <c r="G232" s="7">
        <f t="shared" si="36"/>
        <v>0</v>
      </c>
      <c r="H232" s="7">
        <f t="shared" si="36"/>
        <v>0</v>
      </c>
      <c r="I232" s="7">
        <f t="shared" si="36"/>
        <v>0</v>
      </c>
      <c r="J232" s="7">
        <f t="shared" si="36"/>
        <v>0</v>
      </c>
      <c r="K232" s="7">
        <f t="shared" si="36"/>
        <v>0</v>
      </c>
      <c r="L232" s="7">
        <f t="shared" si="36"/>
        <v>0</v>
      </c>
      <c r="M232" s="7">
        <f t="shared" si="36"/>
        <v>0</v>
      </c>
      <c r="N232" s="7">
        <f t="shared" si="36"/>
        <v>0</v>
      </c>
      <c r="O232" s="7">
        <f t="shared" si="36"/>
        <v>0</v>
      </c>
      <c r="P232" s="7">
        <f t="shared" si="36"/>
        <v>0</v>
      </c>
      <c r="Q232" s="7">
        <f t="shared" si="36"/>
        <v>0</v>
      </c>
      <c r="R232" s="7">
        <f t="shared" si="36"/>
        <v>0</v>
      </c>
      <c r="S232" s="7">
        <f t="shared" si="36"/>
        <v>0</v>
      </c>
      <c r="T232" s="7">
        <f t="shared" si="36"/>
        <v>0</v>
      </c>
      <c r="U232" s="7">
        <f t="shared" si="36"/>
        <v>0</v>
      </c>
      <c r="V232" s="7">
        <f t="shared" si="36"/>
        <v>0</v>
      </c>
      <c r="W232" s="7">
        <f t="shared" si="36"/>
        <v>0</v>
      </c>
      <c r="X232" s="7">
        <f t="shared" si="36"/>
        <v>0</v>
      </c>
      <c r="Y232" s="7">
        <f t="shared" si="36"/>
        <v>0</v>
      </c>
      <c r="Z232" s="7">
        <f t="shared" si="36"/>
        <v>0</v>
      </c>
      <c r="AA232" s="7">
        <f t="shared" si="36"/>
        <v>0</v>
      </c>
      <c r="AB232" s="7">
        <f t="shared" si="36"/>
        <v>7.9</v>
      </c>
      <c r="AC232" s="7">
        <f t="shared" si="36"/>
        <v>40</v>
      </c>
      <c r="AD232" s="7">
        <f t="shared" si="36"/>
        <v>29.5</v>
      </c>
      <c r="AE232" s="7">
        <f t="shared" si="36"/>
        <v>0</v>
      </c>
      <c r="AF232" s="7">
        <f t="shared" si="36"/>
        <v>0</v>
      </c>
      <c r="AG232" s="7">
        <f t="shared" si="36"/>
        <v>0</v>
      </c>
      <c r="AH232" s="7">
        <f t="shared" si="36"/>
        <v>0</v>
      </c>
      <c r="AI232" s="7">
        <f t="shared" si="36"/>
        <v>0</v>
      </c>
      <c r="AJ232" s="7">
        <f t="shared" si="36"/>
        <v>0</v>
      </c>
      <c r="AK232" s="7">
        <f t="shared" si="36"/>
        <v>0</v>
      </c>
      <c r="AL232" s="7">
        <f t="shared" si="36"/>
        <v>0</v>
      </c>
      <c r="AM232" s="7">
        <f t="shared" si="36"/>
        <v>0</v>
      </c>
      <c r="AN232" s="7">
        <f t="shared" si="36"/>
        <v>0</v>
      </c>
      <c r="AO232" s="7">
        <f t="shared" si="36"/>
        <v>0</v>
      </c>
      <c r="AP232" s="7">
        <f t="shared" si="36"/>
        <v>0</v>
      </c>
      <c r="AQ232" s="7">
        <f t="shared" si="36"/>
        <v>0</v>
      </c>
      <c r="AR232" s="7">
        <f t="shared" si="36"/>
        <v>0</v>
      </c>
      <c r="AS232" s="7">
        <f t="shared" si="36"/>
        <v>0</v>
      </c>
    </row>
    <row r="233" spans="1:45" ht="15" hidden="1" customHeight="1" outlineLevel="1" x14ac:dyDescent="0.35">
      <c r="A233" t="s">
        <v>12</v>
      </c>
      <c r="B233" t="s">
        <v>14</v>
      </c>
      <c r="C233" t="s">
        <v>157</v>
      </c>
      <c r="D233" t="s">
        <v>141</v>
      </c>
      <c r="E233" t="s">
        <v>105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7.9</v>
      </c>
      <c r="AC233" s="9">
        <v>40</v>
      </c>
      <c r="AD233" s="9">
        <v>29.5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</row>
    <row r="234" spans="1:45" ht="15" customHeight="1" collapsed="1" x14ac:dyDescent="0.35">
      <c r="A234" s="3" t="s">
        <v>12</v>
      </c>
      <c r="B234" s="3" t="s">
        <v>14</v>
      </c>
      <c r="C234" s="3" t="s">
        <v>17</v>
      </c>
      <c r="D234" s="3" t="s">
        <v>76</v>
      </c>
      <c r="E234" s="3" t="s">
        <v>77</v>
      </c>
      <c r="F234" s="7">
        <f t="shared" ref="F234:AS234" si="37">SUM(F235,F236,F237,F238,F239,F240,F241,F242,F243,F244,F245,F246,F247)</f>
        <v>37.230769000000002</v>
      </c>
      <c r="G234" s="7">
        <f t="shared" si="37"/>
        <v>8</v>
      </c>
      <c r="H234" s="7">
        <f t="shared" si="37"/>
        <v>29</v>
      </c>
      <c r="I234" s="7">
        <f t="shared" si="37"/>
        <v>31</v>
      </c>
      <c r="J234" s="7">
        <f t="shared" si="37"/>
        <v>19</v>
      </c>
      <c r="K234" s="7">
        <f t="shared" si="37"/>
        <v>14.5</v>
      </c>
      <c r="L234" s="7">
        <f t="shared" si="37"/>
        <v>36.846153999999999</v>
      </c>
      <c r="M234" s="7">
        <f t="shared" si="37"/>
        <v>40</v>
      </c>
      <c r="N234" s="7">
        <f t="shared" si="37"/>
        <v>40</v>
      </c>
      <c r="O234" s="7">
        <f t="shared" si="37"/>
        <v>26.884615</v>
      </c>
      <c r="P234" s="7">
        <f t="shared" si="37"/>
        <v>39.884614999999997</v>
      </c>
      <c r="Q234" s="7">
        <f t="shared" si="37"/>
        <v>36.5</v>
      </c>
      <c r="R234" s="7">
        <f t="shared" si="37"/>
        <v>9.5</v>
      </c>
      <c r="S234" s="7">
        <f t="shared" si="37"/>
        <v>12.5</v>
      </c>
      <c r="T234" s="7">
        <f t="shared" si="37"/>
        <v>25.884615</v>
      </c>
      <c r="U234" s="7">
        <f t="shared" si="37"/>
        <v>19.5</v>
      </c>
      <c r="V234" s="7">
        <f t="shared" si="37"/>
        <v>0</v>
      </c>
      <c r="W234" s="7">
        <f t="shared" si="37"/>
        <v>0</v>
      </c>
      <c r="X234" s="7">
        <f t="shared" si="37"/>
        <v>27.5</v>
      </c>
      <c r="Y234" s="7">
        <f t="shared" si="37"/>
        <v>55</v>
      </c>
      <c r="Z234" s="7">
        <f t="shared" si="37"/>
        <v>55</v>
      </c>
      <c r="AA234" s="7">
        <f t="shared" si="37"/>
        <v>55</v>
      </c>
      <c r="AB234" s="7">
        <f t="shared" si="37"/>
        <v>55</v>
      </c>
      <c r="AC234" s="7">
        <f t="shared" si="37"/>
        <v>55</v>
      </c>
      <c r="AD234" s="7">
        <f t="shared" si="37"/>
        <v>55</v>
      </c>
      <c r="AE234" s="7">
        <f t="shared" si="37"/>
        <v>35.5</v>
      </c>
      <c r="AF234" s="7">
        <f t="shared" si="37"/>
        <v>4.5</v>
      </c>
      <c r="AG234" s="7">
        <f t="shared" si="37"/>
        <v>4.5</v>
      </c>
      <c r="AH234" s="7">
        <f t="shared" si="37"/>
        <v>4.5</v>
      </c>
      <c r="AI234" s="7">
        <f t="shared" si="37"/>
        <v>0</v>
      </c>
      <c r="AJ234" s="7">
        <f t="shared" si="37"/>
        <v>0</v>
      </c>
      <c r="AK234" s="7">
        <f t="shared" si="37"/>
        <v>0</v>
      </c>
      <c r="AL234" s="7">
        <f t="shared" si="37"/>
        <v>0</v>
      </c>
      <c r="AM234" s="7">
        <f t="shared" si="37"/>
        <v>0</v>
      </c>
      <c r="AN234" s="7">
        <f t="shared" si="37"/>
        <v>0</v>
      </c>
      <c r="AO234" s="7">
        <f t="shared" si="37"/>
        <v>0</v>
      </c>
      <c r="AP234" s="7">
        <f t="shared" si="37"/>
        <v>0</v>
      </c>
      <c r="AQ234" s="7">
        <f t="shared" si="37"/>
        <v>0</v>
      </c>
      <c r="AR234" s="7">
        <f t="shared" si="37"/>
        <v>0</v>
      </c>
      <c r="AS234" s="7">
        <f t="shared" si="37"/>
        <v>0</v>
      </c>
    </row>
    <row r="235" spans="1:45" ht="15" hidden="1" customHeight="1" outlineLevel="1" x14ac:dyDescent="0.35">
      <c r="A235" t="s">
        <v>12</v>
      </c>
      <c r="B235" t="s">
        <v>14</v>
      </c>
      <c r="C235" t="s">
        <v>17</v>
      </c>
      <c r="D235" t="s">
        <v>141</v>
      </c>
      <c r="E235" t="s">
        <v>121</v>
      </c>
      <c r="F235" s="9">
        <v>8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2</v>
      </c>
      <c r="N235" s="9">
        <v>3</v>
      </c>
      <c r="O235" s="9">
        <v>3</v>
      </c>
      <c r="P235" s="9">
        <v>3</v>
      </c>
      <c r="Q235" s="9">
        <v>3</v>
      </c>
      <c r="R235" s="9">
        <v>0</v>
      </c>
      <c r="S235" s="9">
        <v>3</v>
      </c>
      <c r="T235" s="9">
        <v>3</v>
      </c>
      <c r="U235" s="9">
        <v>3</v>
      </c>
      <c r="V235" s="9">
        <v>0</v>
      </c>
      <c r="W235" s="9">
        <v>0</v>
      </c>
      <c r="X235" s="9">
        <v>3</v>
      </c>
      <c r="Y235" s="9">
        <v>3</v>
      </c>
      <c r="Z235" s="9">
        <v>3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</row>
    <row r="236" spans="1:45" ht="15" hidden="1" customHeight="1" outlineLevel="1" x14ac:dyDescent="0.35">
      <c r="A236" t="s">
        <v>12</v>
      </c>
      <c r="B236" t="s">
        <v>14</v>
      </c>
      <c r="C236" t="s">
        <v>17</v>
      </c>
      <c r="D236" t="s">
        <v>141</v>
      </c>
      <c r="E236" t="s">
        <v>108</v>
      </c>
      <c r="F236" s="9">
        <v>0</v>
      </c>
      <c r="G236" s="9">
        <v>5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</row>
    <row r="237" spans="1:45" ht="15" hidden="1" customHeight="1" outlineLevel="1" x14ac:dyDescent="0.35">
      <c r="A237" t="s">
        <v>12</v>
      </c>
      <c r="B237" t="s">
        <v>14</v>
      </c>
      <c r="C237" t="s">
        <v>17</v>
      </c>
      <c r="D237" t="s">
        <v>141</v>
      </c>
      <c r="E237" t="s">
        <v>81</v>
      </c>
      <c r="F237" s="9">
        <v>2.230769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</row>
    <row r="238" spans="1:45" ht="15" hidden="1" customHeight="1" outlineLevel="1" x14ac:dyDescent="0.35">
      <c r="A238" t="s">
        <v>12</v>
      </c>
      <c r="B238" t="s">
        <v>14</v>
      </c>
      <c r="C238" t="s">
        <v>17</v>
      </c>
      <c r="D238" t="s">
        <v>141</v>
      </c>
      <c r="E238" t="s">
        <v>102</v>
      </c>
      <c r="F238" s="9">
        <v>0</v>
      </c>
      <c r="G238" s="9">
        <v>0</v>
      </c>
      <c r="H238" s="9">
        <v>0</v>
      </c>
      <c r="I238" s="9">
        <v>28</v>
      </c>
      <c r="J238" s="9">
        <v>16</v>
      </c>
      <c r="K238" s="9">
        <v>0</v>
      </c>
      <c r="L238" s="9">
        <v>20</v>
      </c>
      <c r="M238" s="9">
        <v>0</v>
      </c>
      <c r="N238" s="9">
        <v>0</v>
      </c>
      <c r="O238" s="9">
        <v>0</v>
      </c>
      <c r="P238" s="9">
        <v>0</v>
      </c>
      <c r="Q238" s="9">
        <v>15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</row>
    <row r="239" spans="1:45" ht="15" hidden="1" customHeight="1" outlineLevel="1" x14ac:dyDescent="0.35">
      <c r="A239" t="s">
        <v>12</v>
      </c>
      <c r="B239" t="s">
        <v>14</v>
      </c>
      <c r="C239" t="s">
        <v>17</v>
      </c>
      <c r="D239" t="s">
        <v>141</v>
      </c>
      <c r="E239" t="s">
        <v>84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8</v>
      </c>
      <c r="N239" s="9">
        <v>7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</row>
    <row r="240" spans="1:45" ht="15" hidden="1" customHeight="1" outlineLevel="1" x14ac:dyDescent="0.35">
      <c r="A240" t="s">
        <v>12</v>
      </c>
      <c r="B240" t="s">
        <v>14</v>
      </c>
      <c r="C240" t="s">
        <v>17</v>
      </c>
      <c r="D240" t="s">
        <v>141</v>
      </c>
      <c r="E240" t="s">
        <v>40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8</v>
      </c>
      <c r="P240" s="9">
        <v>15</v>
      </c>
      <c r="Q240" s="9">
        <v>10</v>
      </c>
      <c r="R240" s="9">
        <v>0</v>
      </c>
      <c r="S240" s="9">
        <v>5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10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</row>
    <row r="241" spans="1:45" ht="15" hidden="1" customHeight="1" outlineLevel="1" x14ac:dyDescent="0.35">
      <c r="A241" t="s">
        <v>12</v>
      </c>
      <c r="B241" t="s">
        <v>14</v>
      </c>
      <c r="C241" t="s">
        <v>17</v>
      </c>
      <c r="D241" t="s">
        <v>141</v>
      </c>
      <c r="E241" t="s">
        <v>85</v>
      </c>
      <c r="F241" s="9">
        <v>0</v>
      </c>
      <c r="G241" s="9">
        <v>0</v>
      </c>
      <c r="H241" s="9">
        <v>24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</row>
    <row r="242" spans="1:45" ht="15" hidden="1" customHeight="1" outlineLevel="1" x14ac:dyDescent="0.35">
      <c r="A242" t="s">
        <v>12</v>
      </c>
      <c r="B242" t="s">
        <v>14</v>
      </c>
      <c r="C242" t="s">
        <v>17</v>
      </c>
      <c r="D242" t="s">
        <v>141</v>
      </c>
      <c r="E242" t="s">
        <v>103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20</v>
      </c>
      <c r="Y242" s="9">
        <v>20.5</v>
      </c>
      <c r="Z242" s="9">
        <v>13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</row>
    <row r="243" spans="1:45" ht="15" hidden="1" customHeight="1" outlineLevel="1" x14ac:dyDescent="0.35">
      <c r="A243" t="s">
        <v>12</v>
      </c>
      <c r="B243" t="s">
        <v>14</v>
      </c>
      <c r="C243" t="s">
        <v>17</v>
      </c>
      <c r="D243" t="s">
        <v>141</v>
      </c>
      <c r="E243" t="s">
        <v>46</v>
      </c>
      <c r="F243" s="9">
        <v>17</v>
      </c>
      <c r="G243" s="9">
        <v>3</v>
      </c>
      <c r="H243" s="9">
        <v>5</v>
      </c>
      <c r="I243" s="9">
        <v>3</v>
      </c>
      <c r="J243" s="9">
        <v>3</v>
      </c>
      <c r="K243" s="9">
        <v>4.5</v>
      </c>
      <c r="L243" s="9">
        <v>4.5</v>
      </c>
      <c r="M243" s="9">
        <v>0</v>
      </c>
      <c r="N243" s="9">
        <v>0</v>
      </c>
      <c r="O243" s="9">
        <v>15.884615</v>
      </c>
      <c r="P243" s="9">
        <v>21.884615</v>
      </c>
      <c r="Q243" s="9">
        <v>8.5</v>
      </c>
      <c r="R243" s="9">
        <v>9.5</v>
      </c>
      <c r="S243" s="9">
        <v>4.5</v>
      </c>
      <c r="T243" s="9">
        <v>18.884615</v>
      </c>
      <c r="U243" s="9">
        <v>16.5</v>
      </c>
      <c r="V243" s="9">
        <v>0</v>
      </c>
      <c r="W243" s="9">
        <v>0</v>
      </c>
      <c r="X243" s="9">
        <v>4.5</v>
      </c>
      <c r="Y243" s="9">
        <v>31.5</v>
      </c>
      <c r="Z243" s="9">
        <v>29</v>
      </c>
      <c r="AA243" s="9">
        <v>45</v>
      </c>
      <c r="AB243" s="9">
        <v>5</v>
      </c>
      <c r="AC243" s="9">
        <v>37.5</v>
      </c>
      <c r="AD243" s="9">
        <v>55</v>
      </c>
      <c r="AE243" s="9">
        <v>25.5</v>
      </c>
      <c r="AF243" s="9">
        <v>4.5</v>
      </c>
      <c r="AG243" s="9">
        <v>4.5</v>
      </c>
      <c r="AH243" s="9">
        <v>4.5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</row>
    <row r="244" spans="1:45" ht="15" hidden="1" customHeight="1" outlineLevel="1" x14ac:dyDescent="0.35">
      <c r="A244" t="s">
        <v>12</v>
      </c>
      <c r="B244" t="s">
        <v>14</v>
      </c>
      <c r="C244" t="s">
        <v>17</v>
      </c>
      <c r="D244" t="s">
        <v>141</v>
      </c>
      <c r="E244" t="s">
        <v>99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2.3461539999999999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</row>
    <row r="245" spans="1:45" ht="15" hidden="1" customHeight="1" outlineLevel="1" x14ac:dyDescent="0.35">
      <c r="A245" t="s">
        <v>12</v>
      </c>
      <c r="B245" t="s">
        <v>14</v>
      </c>
      <c r="C245" t="s">
        <v>17</v>
      </c>
      <c r="D245" t="s">
        <v>141</v>
      </c>
      <c r="E245" t="s">
        <v>111</v>
      </c>
      <c r="F245" s="9">
        <v>10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</row>
    <row r="246" spans="1:45" ht="15" hidden="1" customHeight="1" outlineLevel="1" x14ac:dyDescent="0.35">
      <c r="A246" t="s">
        <v>12</v>
      </c>
      <c r="B246" t="s">
        <v>14</v>
      </c>
      <c r="C246" t="s">
        <v>17</v>
      </c>
      <c r="D246" t="s">
        <v>141</v>
      </c>
      <c r="E246" t="s">
        <v>88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10</v>
      </c>
      <c r="L246" s="9">
        <v>10</v>
      </c>
      <c r="M246" s="9">
        <v>30</v>
      </c>
      <c r="N246" s="9">
        <v>30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</row>
    <row r="247" spans="1:45" ht="15" hidden="1" customHeight="1" outlineLevel="1" x14ac:dyDescent="0.35">
      <c r="A247" t="s">
        <v>12</v>
      </c>
      <c r="B247" t="s">
        <v>14</v>
      </c>
      <c r="C247" t="s">
        <v>17</v>
      </c>
      <c r="D247" t="s">
        <v>141</v>
      </c>
      <c r="E247" t="s">
        <v>122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4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10</v>
      </c>
      <c r="AA247" s="9">
        <v>10</v>
      </c>
      <c r="AB247" s="9">
        <v>50</v>
      </c>
      <c r="AC247" s="9">
        <v>17.5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</row>
    <row r="248" spans="1:45" ht="15" customHeight="1" collapsed="1" x14ac:dyDescent="0.35">
      <c r="A248" s="3" t="s">
        <v>12</v>
      </c>
      <c r="B248" s="3" t="s">
        <v>14</v>
      </c>
      <c r="C248" s="3" t="s">
        <v>123</v>
      </c>
      <c r="D248" s="3" t="s">
        <v>76</v>
      </c>
      <c r="E248" s="3" t="s">
        <v>77</v>
      </c>
      <c r="F248" s="7">
        <f t="shared" ref="F248:AS248" si="38">SUM(F249,F250,F251)</f>
        <v>20</v>
      </c>
      <c r="G248" s="7">
        <f t="shared" si="38"/>
        <v>1.3846150000000002</v>
      </c>
      <c r="H248" s="7">
        <f t="shared" si="38"/>
        <v>1.3846150000000002</v>
      </c>
      <c r="I248" s="7">
        <f t="shared" si="38"/>
        <v>1.3846150000000002</v>
      </c>
      <c r="J248" s="7">
        <f t="shared" si="38"/>
        <v>1.3846150000000002</v>
      </c>
      <c r="K248" s="7">
        <f t="shared" si="38"/>
        <v>1.3846150000000002</v>
      </c>
      <c r="L248" s="7">
        <f t="shared" si="38"/>
        <v>1.3846150000000002</v>
      </c>
      <c r="M248" s="7">
        <f t="shared" si="38"/>
        <v>5.8846150000000002</v>
      </c>
      <c r="N248" s="7">
        <f t="shared" si="38"/>
        <v>5.8846150000000002</v>
      </c>
      <c r="O248" s="7">
        <f t="shared" si="38"/>
        <v>20</v>
      </c>
      <c r="P248" s="7">
        <f t="shared" si="38"/>
        <v>20</v>
      </c>
      <c r="Q248" s="7">
        <f t="shared" si="38"/>
        <v>17.384615</v>
      </c>
      <c r="R248" s="7">
        <f t="shared" si="38"/>
        <v>1.3846150000000002</v>
      </c>
      <c r="S248" s="7">
        <f t="shared" si="38"/>
        <v>1.3846150000000002</v>
      </c>
      <c r="T248" s="7">
        <f t="shared" si="38"/>
        <v>20</v>
      </c>
      <c r="U248" s="7">
        <f t="shared" si="38"/>
        <v>1.3846150000000002</v>
      </c>
      <c r="V248" s="7">
        <f t="shared" si="38"/>
        <v>0.88461500000000004</v>
      </c>
      <c r="W248" s="7">
        <f t="shared" si="38"/>
        <v>0.88461500000000004</v>
      </c>
      <c r="X248" s="7">
        <f t="shared" si="38"/>
        <v>3.5</v>
      </c>
      <c r="Y248" s="7">
        <f t="shared" si="38"/>
        <v>20</v>
      </c>
      <c r="Z248" s="7">
        <f t="shared" si="38"/>
        <v>20</v>
      </c>
      <c r="AA248" s="7">
        <f t="shared" si="38"/>
        <v>20</v>
      </c>
      <c r="AB248" s="7">
        <f t="shared" si="38"/>
        <v>20</v>
      </c>
      <c r="AC248" s="7">
        <f t="shared" si="38"/>
        <v>20</v>
      </c>
      <c r="AD248" s="7">
        <f t="shared" si="38"/>
        <v>20</v>
      </c>
      <c r="AE248" s="7">
        <f t="shared" si="38"/>
        <v>2</v>
      </c>
      <c r="AF248" s="7">
        <f t="shared" si="38"/>
        <v>0</v>
      </c>
      <c r="AG248" s="7">
        <f t="shared" si="38"/>
        <v>0</v>
      </c>
      <c r="AH248" s="7">
        <f t="shared" si="38"/>
        <v>0</v>
      </c>
      <c r="AI248" s="7">
        <f t="shared" si="38"/>
        <v>0</v>
      </c>
      <c r="AJ248" s="7">
        <f t="shared" si="38"/>
        <v>0</v>
      </c>
      <c r="AK248" s="7">
        <f t="shared" si="38"/>
        <v>0</v>
      </c>
      <c r="AL248" s="7">
        <f t="shared" si="38"/>
        <v>0</v>
      </c>
      <c r="AM248" s="7">
        <f t="shared" si="38"/>
        <v>0</v>
      </c>
      <c r="AN248" s="7">
        <f t="shared" si="38"/>
        <v>0</v>
      </c>
      <c r="AO248" s="7">
        <f t="shared" si="38"/>
        <v>0</v>
      </c>
      <c r="AP248" s="7">
        <f t="shared" si="38"/>
        <v>0</v>
      </c>
      <c r="AQ248" s="7">
        <f t="shared" si="38"/>
        <v>0</v>
      </c>
      <c r="AR248" s="7">
        <f t="shared" si="38"/>
        <v>0</v>
      </c>
      <c r="AS248" s="7">
        <f t="shared" si="38"/>
        <v>0</v>
      </c>
    </row>
    <row r="249" spans="1:45" ht="15" hidden="1" customHeight="1" outlineLevel="1" x14ac:dyDescent="0.35">
      <c r="A249" t="s">
        <v>12</v>
      </c>
      <c r="B249" t="s">
        <v>14</v>
      </c>
      <c r="C249" t="s">
        <v>123</v>
      </c>
      <c r="D249" t="s">
        <v>141</v>
      </c>
      <c r="E249" t="s">
        <v>81</v>
      </c>
      <c r="F249" s="9">
        <v>19.5</v>
      </c>
      <c r="G249" s="9">
        <v>0.88461500000000004</v>
      </c>
      <c r="H249" s="9">
        <v>0.88461500000000004</v>
      </c>
      <c r="I249" s="9">
        <v>0.88461500000000004</v>
      </c>
      <c r="J249" s="9">
        <v>0.88461500000000004</v>
      </c>
      <c r="K249" s="9">
        <v>0.88461500000000004</v>
      </c>
      <c r="L249" s="9">
        <v>0.88461500000000004</v>
      </c>
      <c r="M249" s="9">
        <v>0.88461500000000004</v>
      </c>
      <c r="N249" s="9">
        <v>0.88461500000000004</v>
      </c>
      <c r="O249" s="9">
        <v>0.88461500000000004</v>
      </c>
      <c r="P249" s="9">
        <v>0.88461500000000004</v>
      </c>
      <c r="Q249" s="9">
        <v>16.884615</v>
      </c>
      <c r="R249" s="9">
        <v>0.88461500000000004</v>
      </c>
      <c r="S249" s="9">
        <v>0.88461500000000004</v>
      </c>
      <c r="T249" s="9">
        <v>0.88461500000000004</v>
      </c>
      <c r="U249" s="9">
        <v>0.88461500000000004</v>
      </c>
      <c r="V249" s="9">
        <v>0.88461500000000004</v>
      </c>
      <c r="W249" s="9">
        <v>0.88461500000000004</v>
      </c>
      <c r="X249" s="9">
        <v>2</v>
      </c>
      <c r="Y249" s="9">
        <v>2</v>
      </c>
      <c r="Z249" s="9">
        <v>0</v>
      </c>
      <c r="AA249" s="9">
        <v>0</v>
      </c>
      <c r="AB249" s="9">
        <v>0</v>
      </c>
      <c r="AC249" s="9">
        <v>4</v>
      </c>
      <c r="AD249" s="9">
        <v>18</v>
      </c>
      <c r="AE249" s="9">
        <v>2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</row>
    <row r="250" spans="1:45" ht="15" hidden="1" customHeight="1" outlineLevel="1" x14ac:dyDescent="0.35">
      <c r="A250" t="s">
        <v>12</v>
      </c>
      <c r="B250" t="s">
        <v>14</v>
      </c>
      <c r="C250" t="s">
        <v>123</v>
      </c>
      <c r="D250" t="s">
        <v>141</v>
      </c>
      <c r="E250" t="s">
        <v>46</v>
      </c>
      <c r="F250" s="9">
        <v>0.5</v>
      </c>
      <c r="G250" s="9">
        <v>0.5</v>
      </c>
      <c r="H250" s="9">
        <v>0.5</v>
      </c>
      <c r="I250" s="9">
        <v>0.5</v>
      </c>
      <c r="J250" s="9">
        <v>0.5</v>
      </c>
      <c r="K250" s="9">
        <v>0.5</v>
      </c>
      <c r="L250" s="9">
        <v>0.5</v>
      </c>
      <c r="M250" s="9">
        <v>5</v>
      </c>
      <c r="N250" s="9">
        <v>5</v>
      </c>
      <c r="O250" s="9">
        <v>19.115385</v>
      </c>
      <c r="P250" s="9">
        <v>19.115385</v>
      </c>
      <c r="Q250" s="9">
        <v>0.5</v>
      </c>
      <c r="R250" s="9">
        <v>0.5</v>
      </c>
      <c r="S250" s="9">
        <v>0.5</v>
      </c>
      <c r="T250" s="9">
        <v>19.115385</v>
      </c>
      <c r="U250" s="9">
        <v>0.5</v>
      </c>
      <c r="V250" s="9">
        <v>0</v>
      </c>
      <c r="W250" s="9">
        <v>0</v>
      </c>
      <c r="X250" s="9">
        <v>1.5</v>
      </c>
      <c r="Y250" s="9">
        <v>10.5</v>
      </c>
      <c r="Z250" s="9">
        <v>20</v>
      </c>
      <c r="AA250" s="9">
        <v>20</v>
      </c>
      <c r="AB250" s="9">
        <v>20</v>
      </c>
      <c r="AC250" s="9">
        <v>16</v>
      </c>
      <c r="AD250" s="9">
        <v>2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</row>
    <row r="251" spans="1:45" ht="15" hidden="1" customHeight="1" outlineLevel="1" x14ac:dyDescent="0.35">
      <c r="A251" t="s">
        <v>12</v>
      </c>
      <c r="B251" t="s">
        <v>14</v>
      </c>
      <c r="C251" t="s">
        <v>123</v>
      </c>
      <c r="D251" t="s">
        <v>141</v>
      </c>
      <c r="E251" t="s">
        <v>99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7.5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</row>
    <row r="252" spans="1:45" ht="15" customHeight="1" collapsed="1" x14ac:dyDescent="0.35">
      <c r="A252" s="3" t="s">
        <v>12</v>
      </c>
      <c r="B252" s="3" t="s">
        <v>14</v>
      </c>
      <c r="C252" s="3" t="s">
        <v>24</v>
      </c>
      <c r="D252" s="3" t="s">
        <v>76</v>
      </c>
      <c r="E252" s="3" t="s">
        <v>77</v>
      </c>
      <c r="F252" s="7">
        <f t="shared" ref="F252:AS252" si="39">SUM(F253,F254,F255,F256,F257,F258,F259,F260)</f>
        <v>40</v>
      </c>
      <c r="G252" s="7">
        <f t="shared" si="39"/>
        <v>33.346153999999999</v>
      </c>
      <c r="H252" s="7">
        <f t="shared" si="39"/>
        <v>17.346153999999999</v>
      </c>
      <c r="I252" s="7">
        <f t="shared" si="39"/>
        <v>25.346153999999999</v>
      </c>
      <c r="J252" s="7">
        <f t="shared" si="39"/>
        <v>31.346153999999999</v>
      </c>
      <c r="K252" s="7">
        <f t="shared" si="39"/>
        <v>26.346153999999999</v>
      </c>
      <c r="L252" s="7">
        <f t="shared" si="39"/>
        <v>40</v>
      </c>
      <c r="M252" s="7">
        <f t="shared" si="39"/>
        <v>40</v>
      </c>
      <c r="N252" s="7">
        <f t="shared" si="39"/>
        <v>36.346153999999999</v>
      </c>
      <c r="O252" s="7">
        <f t="shared" si="39"/>
        <v>40</v>
      </c>
      <c r="P252" s="7">
        <f t="shared" si="39"/>
        <v>40</v>
      </c>
      <c r="Q252" s="7">
        <f t="shared" si="39"/>
        <v>40</v>
      </c>
      <c r="R252" s="7">
        <f t="shared" si="39"/>
        <v>40</v>
      </c>
      <c r="S252" s="7">
        <f t="shared" si="39"/>
        <v>34.346153999999999</v>
      </c>
      <c r="T252" s="7">
        <f t="shared" si="39"/>
        <v>31.346153999999999</v>
      </c>
      <c r="U252" s="7">
        <f t="shared" si="39"/>
        <v>24.346153999999999</v>
      </c>
      <c r="V252" s="7">
        <f t="shared" si="39"/>
        <v>1.3461540000000001</v>
      </c>
      <c r="W252" s="7">
        <f t="shared" si="39"/>
        <v>1.3461540000000001</v>
      </c>
      <c r="X252" s="7">
        <f t="shared" si="39"/>
        <v>55</v>
      </c>
      <c r="Y252" s="7">
        <f t="shared" si="39"/>
        <v>55</v>
      </c>
      <c r="Z252" s="7">
        <f t="shared" si="39"/>
        <v>55</v>
      </c>
      <c r="AA252" s="7">
        <f t="shared" si="39"/>
        <v>55</v>
      </c>
      <c r="AB252" s="7">
        <f t="shared" si="39"/>
        <v>55</v>
      </c>
      <c r="AC252" s="7">
        <f t="shared" si="39"/>
        <v>55</v>
      </c>
      <c r="AD252" s="7">
        <f t="shared" si="39"/>
        <v>55</v>
      </c>
      <c r="AE252" s="7">
        <f t="shared" si="39"/>
        <v>33.5</v>
      </c>
      <c r="AF252" s="7">
        <f t="shared" si="39"/>
        <v>40</v>
      </c>
      <c r="AG252" s="7">
        <f t="shared" si="39"/>
        <v>40</v>
      </c>
      <c r="AH252" s="7">
        <f t="shared" si="39"/>
        <v>40</v>
      </c>
      <c r="AI252" s="7">
        <f t="shared" si="39"/>
        <v>12</v>
      </c>
      <c r="AJ252" s="7">
        <f t="shared" si="39"/>
        <v>0</v>
      </c>
      <c r="AK252" s="7">
        <f t="shared" si="39"/>
        <v>0</v>
      </c>
      <c r="AL252" s="7">
        <f t="shared" si="39"/>
        <v>0</v>
      </c>
      <c r="AM252" s="7">
        <f t="shared" si="39"/>
        <v>0</v>
      </c>
      <c r="AN252" s="7">
        <f t="shared" si="39"/>
        <v>0</v>
      </c>
      <c r="AO252" s="7">
        <f t="shared" si="39"/>
        <v>0</v>
      </c>
      <c r="AP252" s="7">
        <f t="shared" si="39"/>
        <v>0</v>
      </c>
      <c r="AQ252" s="7">
        <f t="shared" si="39"/>
        <v>0</v>
      </c>
      <c r="AR252" s="7">
        <f t="shared" si="39"/>
        <v>0</v>
      </c>
      <c r="AS252" s="7">
        <f t="shared" si="39"/>
        <v>0</v>
      </c>
    </row>
    <row r="253" spans="1:45" ht="15" hidden="1" customHeight="1" outlineLevel="1" x14ac:dyDescent="0.35">
      <c r="A253" t="s">
        <v>12</v>
      </c>
      <c r="B253" t="s">
        <v>14</v>
      </c>
      <c r="C253" t="s">
        <v>24</v>
      </c>
      <c r="D253" t="s">
        <v>141</v>
      </c>
      <c r="E253" t="s">
        <v>80</v>
      </c>
      <c r="F253" s="9">
        <v>0</v>
      </c>
      <c r="G253" s="9">
        <v>2</v>
      </c>
      <c r="H253" s="9">
        <v>0</v>
      </c>
      <c r="I253" s="9">
        <v>4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5</v>
      </c>
      <c r="U253" s="9">
        <v>6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10</v>
      </c>
      <c r="AF253" s="9">
        <v>20</v>
      </c>
      <c r="AG253" s="9">
        <v>16</v>
      </c>
      <c r="AH253" s="9">
        <v>16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</row>
    <row r="254" spans="1:45" ht="15" hidden="1" customHeight="1" outlineLevel="1" x14ac:dyDescent="0.35">
      <c r="A254" t="s">
        <v>12</v>
      </c>
      <c r="B254" t="s">
        <v>14</v>
      </c>
      <c r="C254" t="s">
        <v>24</v>
      </c>
      <c r="D254" t="s">
        <v>141</v>
      </c>
      <c r="E254" t="s">
        <v>113</v>
      </c>
      <c r="F254" s="9">
        <v>0</v>
      </c>
      <c r="G254" s="9">
        <v>0</v>
      </c>
      <c r="H254" s="9">
        <v>5</v>
      </c>
      <c r="I254" s="9">
        <v>5</v>
      </c>
      <c r="J254" s="9">
        <v>5</v>
      </c>
      <c r="K254" s="9">
        <v>5</v>
      </c>
      <c r="L254" s="9">
        <v>5</v>
      </c>
      <c r="M254" s="9">
        <v>5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20</v>
      </c>
      <c r="AG254" s="9">
        <v>24</v>
      </c>
      <c r="AH254" s="9">
        <v>24</v>
      </c>
      <c r="AI254" s="9">
        <v>12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</row>
    <row r="255" spans="1:45" ht="15" hidden="1" customHeight="1" outlineLevel="1" x14ac:dyDescent="0.35">
      <c r="A255" t="s">
        <v>12</v>
      </c>
      <c r="B255" t="s">
        <v>14</v>
      </c>
      <c r="C255" t="s">
        <v>24</v>
      </c>
      <c r="D255" t="s">
        <v>141</v>
      </c>
      <c r="E255" t="s">
        <v>108</v>
      </c>
      <c r="F255" s="9">
        <v>0</v>
      </c>
      <c r="G255" s="9">
        <v>0</v>
      </c>
      <c r="H255" s="9">
        <v>5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</row>
    <row r="256" spans="1:45" ht="15" hidden="1" customHeight="1" outlineLevel="1" x14ac:dyDescent="0.35">
      <c r="A256" t="s">
        <v>12</v>
      </c>
      <c r="B256" t="s">
        <v>14</v>
      </c>
      <c r="C256" t="s">
        <v>24</v>
      </c>
      <c r="D256" t="s">
        <v>141</v>
      </c>
      <c r="E256" t="s">
        <v>81</v>
      </c>
      <c r="F256" s="9">
        <v>2.5</v>
      </c>
      <c r="G256" s="9">
        <v>1.3461540000000001</v>
      </c>
      <c r="H256" s="9">
        <v>1.3461540000000001</v>
      </c>
      <c r="I256" s="9">
        <v>1.3461540000000001</v>
      </c>
      <c r="J256" s="9">
        <v>1.3461540000000001</v>
      </c>
      <c r="K256" s="9">
        <v>1.3461540000000001</v>
      </c>
      <c r="L256" s="9">
        <v>1.3461540000000001</v>
      </c>
      <c r="M256" s="9">
        <v>0</v>
      </c>
      <c r="N256" s="9">
        <v>1.3461540000000001</v>
      </c>
      <c r="O256" s="9">
        <v>1.3461540000000001</v>
      </c>
      <c r="P256" s="9">
        <v>1.3461540000000001</v>
      </c>
      <c r="Q256" s="9">
        <v>1.3461540000000001</v>
      </c>
      <c r="R256" s="9">
        <v>1.3461540000000001</v>
      </c>
      <c r="S256" s="9">
        <v>1.3461540000000001</v>
      </c>
      <c r="T256" s="9">
        <v>1.3461540000000001</v>
      </c>
      <c r="U256" s="9">
        <v>1.3461540000000001</v>
      </c>
      <c r="V256" s="9">
        <v>1.3461540000000001</v>
      </c>
      <c r="W256" s="9">
        <v>1.3461540000000001</v>
      </c>
      <c r="X256" s="9">
        <v>2.5</v>
      </c>
      <c r="Y256" s="9">
        <v>2.5</v>
      </c>
      <c r="Z256" s="9">
        <v>0</v>
      </c>
      <c r="AA256" s="9">
        <v>0</v>
      </c>
      <c r="AB256" s="9">
        <v>0</v>
      </c>
      <c r="AC256" s="9">
        <v>0</v>
      </c>
      <c r="AD256" s="9">
        <v>5</v>
      </c>
      <c r="AE256" s="9">
        <v>3.5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</row>
    <row r="257" spans="1:45" ht="15" hidden="1" customHeight="1" outlineLevel="1" x14ac:dyDescent="0.35">
      <c r="A257" t="s">
        <v>12</v>
      </c>
      <c r="B257" t="s">
        <v>14</v>
      </c>
      <c r="C257" t="s">
        <v>24</v>
      </c>
      <c r="D257" t="s">
        <v>141</v>
      </c>
      <c r="E257" t="s">
        <v>84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5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</row>
    <row r="258" spans="1:45" ht="15" hidden="1" customHeight="1" outlineLevel="1" x14ac:dyDescent="0.35">
      <c r="A258" t="s">
        <v>12</v>
      </c>
      <c r="B258" t="s">
        <v>14</v>
      </c>
      <c r="C258" t="s">
        <v>24</v>
      </c>
      <c r="D258" t="s">
        <v>141</v>
      </c>
      <c r="E258" t="s">
        <v>40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5</v>
      </c>
      <c r="AD258" s="9">
        <v>20</v>
      </c>
      <c r="AE258" s="9">
        <v>20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</row>
    <row r="259" spans="1:45" ht="15" hidden="1" customHeight="1" outlineLevel="1" x14ac:dyDescent="0.35">
      <c r="A259" t="s">
        <v>12</v>
      </c>
      <c r="B259" t="s">
        <v>14</v>
      </c>
      <c r="C259" t="s">
        <v>24</v>
      </c>
      <c r="D259" t="s">
        <v>141</v>
      </c>
      <c r="E259" t="s">
        <v>103</v>
      </c>
      <c r="F259" s="9">
        <v>37.5</v>
      </c>
      <c r="G259" s="9">
        <v>30</v>
      </c>
      <c r="H259" s="9">
        <v>6</v>
      </c>
      <c r="I259" s="9">
        <v>15</v>
      </c>
      <c r="J259" s="9">
        <v>25</v>
      </c>
      <c r="K259" s="9">
        <v>20</v>
      </c>
      <c r="L259" s="9">
        <v>33.653846000000001</v>
      </c>
      <c r="M259" s="9">
        <v>35</v>
      </c>
      <c r="N259" s="9">
        <v>30</v>
      </c>
      <c r="O259" s="9">
        <v>38.653846000000001</v>
      </c>
      <c r="P259" s="9">
        <v>38.653846000000001</v>
      </c>
      <c r="Q259" s="9">
        <v>38.653846000000001</v>
      </c>
      <c r="R259" s="9">
        <v>38.653846000000001</v>
      </c>
      <c r="S259" s="9">
        <v>30</v>
      </c>
      <c r="T259" s="9">
        <v>20</v>
      </c>
      <c r="U259" s="9">
        <v>10</v>
      </c>
      <c r="V259" s="9">
        <v>0</v>
      </c>
      <c r="W259" s="9">
        <v>0</v>
      </c>
      <c r="X259" s="9">
        <v>52.5</v>
      </c>
      <c r="Y259" s="9">
        <v>52.5</v>
      </c>
      <c r="Z259" s="9">
        <v>55</v>
      </c>
      <c r="AA259" s="9">
        <v>55</v>
      </c>
      <c r="AB259" s="9">
        <v>55</v>
      </c>
      <c r="AC259" s="9">
        <v>50</v>
      </c>
      <c r="AD259" s="9">
        <v>30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</row>
    <row r="260" spans="1:45" ht="15" hidden="1" customHeight="1" outlineLevel="1" x14ac:dyDescent="0.35">
      <c r="A260" t="s">
        <v>12</v>
      </c>
      <c r="B260" t="s">
        <v>14</v>
      </c>
      <c r="C260" t="s">
        <v>24</v>
      </c>
      <c r="D260" t="s">
        <v>141</v>
      </c>
      <c r="E260" t="s">
        <v>111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3</v>
      </c>
      <c r="T260" s="9">
        <v>5</v>
      </c>
      <c r="U260" s="9">
        <v>7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</row>
    <row r="261" spans="1:45" ht="15" customHeight="1" collapsed="1" x14ac:dyDescent="0.35">
      <c r="A261" s="3" t="s">
        <v>12</v>
      </c>
      <c r="B261" s="3" t="s">
        <v>14</v>
      </c>
      <c r="C261" s="3" t="s">
        <v>27</v>
      </c>
      <c r="D261" s="3" t="s">
        <v>76</v>
      </c>
      <c r="E261" s="3" t="s">
        <v>77</v>
      </c>
      <c r="F261" s="7">
        <f t="shared" ref="F261:AS261" si="40">SUM(F262,F263,F264,F265,F266,F267,F268,F269,F270)</f>
        <v>40</v>
      </c>
      <c r="G261" s="7">
        <f t="shared" si="40"/>
        <v>25.821429000000002</v>
      </c>
      <c r="H261" s="7">
        <f t="shared" si="40"/>
        <v>14.821429</v>
      </c>
      <c r="I261" s="7">
        <f t="shared" si="40"/>
        <v>11</v>
      </c>
      <c r="J261" s="7">
        <f t="shared" si="40"/>
        <v>13</v>
      </c>
      <c r="K261" s="7">
        <f t="shared" si="40"/>
        <v>20</v>
      </c>
      <c r="L261" s="7">
        <f t="shared" si="40"/>
        <v>40</v>
      </c>
      <c r="M261" s="7">
        <f t="shared" si="40"/>
        <v>28</v>
      </c>
      <c r="N261" s="7">
        <f t="shared" si="40"/>
        <v>24</v>
      </c>
      <c r="O261" s="7">
        <f t="shared" si="40"/>
        <v>19</v>
      </c>
      <c r="P261" s="7">
        <f t="shared" si="40"/>
        <v>35</v>
      </c>
      <c r="Q261" s="7">
        <f t="shared" si="40"/>
        <v>40</v>
      </c>
      <c r="R261" s="7">
        <f t="shared" si="40"/>
        <v>40</v>
      </c>
      <c r="S261" s="7">
        <f t="shared" si="40"/>
        <v>40</v>
      </c>
      <c r="T261" s="7">
        <f t="shared" si="40"/>
        <v>31</v>
      </c>
      <c r="U261" s="7">
        <f t="shared" si="40"/>
        <v>36</v>
      </c>
      <c r="V261" s="7">
        <f t="shared" si="40"/>
        <v>9.8214290000000002</v>
      </c>
      <c r="W261" s="7">
        <f t="shared" si="40"/>
        <v>4.8214290000000002</v>
      </c>
      <c r="X261" s="7">
        <f t="shared" si="40"/>
        <v>30</v>
      </c>
      <c r="Y261" s="7">
        <f t="shared" si="40"/>
        <v>55</v>
      </c>
      <c r="Z261" s="7">
        <f t="shared" si="40"/>
        <v>55</v>
      </c>
      <c r="AA261" s="7">
        <f t="shared" si="40"/>
        <v>55</v>
      </c>
      <c r="AB261" s="7">
        <f t="shared" si="40"/>
        <v>55</v>
      </c>
      <c r="AC261" s="7">
        <f t="shared" si="40"/>
        <v>55</v>
      </c>
      <c r="AD261" s="7">
        <f t="shared" si="40"/>
        <v>55</v>
      </c>
      <c r="AE261" s="7">
        <f t="shared" si="40"/>
        <v>50</v>
      </c>
      <c r="AF261" s="7">
        <f t="shared" si="40"/>
        <v>0</v>
      </c>
      <c r="AG261" s="7">
        <f t="shared" si="40"/>
        <v>0</v>
      </c>
      <c r="AH261" s="7">
        <f t="shared" si="40"/>
        <v>0</v>
      </c>
      <c r="AI261" s="7">
        <f t="shared" si="40"/>
        <v>0</v>
      </c>
      <c r="AJ261" s="7">
        <f t="shared" si="40"/>
        <v>0</v>
      </c>
      <c r="AK261" s="7">
        <f t="shared" si="40"/>
        <v>0</v>
      </c>
      <c r="AL261" s="7">
        <f t="shared" si="40"/>
        <v>0</v>
      </c>
      <c r="AM261" s="7">
        <f t="shared" si="40"/>
        <v>0</v>
      </c>
      <c r="AN261" s="7">
        <f t="shared" si="40"/>
        <v>0</v>
      </c>
      <c r="AO261" s="7">
        <f t="shared" si="40"/>
        <v>0</v>
      </c>
      <c r="AP261" s="7">
        <f t="shared" si="40"/>
        <v>0</v>
      </c>
      <c r="AQ261" s="7">
        <f t="shared" si="40"/>
        <v>0</v>
      </c>
      <c r="AR261" s="7">
        <f t="shared" si="40"/>
        <v>0</v>
      </c>
      <c r="AS261" s="7">
        <f t="shared" si="40"/>
        <v>0</v>
      </c>
    </row>
    <row r="262" spans="1:45" ht="15" hidden="1" customHeight="1" outlineLevel="1" x14ac:dyDescent="0.35">
      <c r="A262" t="s">
        <v>12</v>
      </c>
      <c r="B262" t="s">
        <v>14</v>
      </c>
      <c r="C262" t="s">
        <v>27</v>
      </c>
      <c r="D262" t="s">
        <v>141</v>
      </c>
      <c r="E262" t="s">
        <v>81</v>
      </c>
      <c r="F262" s="9">
        <v>0</v>
      </c>
      <c r="G262" s="9">
        <v>1</v>
      </c>
      <c r="H262" s="9">
        <v>6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5.5</v>
      </c>
      <c r="AE262" s="9">
        <v>2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</row>
    <row r="263" spans="1:45" ht="15" hidden="1" customHeight="1" outlineLevel="1" x14ac:dyDescent="0.35">
      <c r="A263" t="s">
        <v>12</v>
      </c>
      <c r="B263" t="s">
        <v>14</v>
      </c>
      <c r="C263" t="s">
        <v>27</v>
      </c>
      <c r="D263" t="s">
        <v>141</v>
      </c>
      <c r="E263" t="s">
        <v>94</v>
      </c>
      <c r="F263" s="9">
        <v>4.8214290000000002</v>
      </c>
      <c r="G263" s="9">
        <v>4.8214290000000002</v>
      </c>
      <c r="H263" s="9">
        <v>4.8214290000000002</v>
      </c>
      <c r="I263" s="9">
        <v>6</v>
      </c>
      <c r="J263" s="9">
        <v>6</v>
      </c>
      <c r="K263" s="9">
        <v>6</v>
      </c>
      <c r="L263" s="9">
        <v>6</v>
      </c>
      <c r="M263" s="9">
        <v>6</v>
      </c>
      <c r="N263" s="9">
        <v>6</v>
      </c>
      <c r="O263" s="9">
        <v>6</v>
      </c>
      <c r="P263" s="9">
        <v>6</v>
      </c>
      <c r="Q263" s="9">
        <v>0</v>
      </c>
      <c r="R263" s="9">
        <v>0</v>
      </c>
      <c r="S263" s="9">
        <v>6</v>
      </c>
      <c r="T263" s="9">
        <v>6</v>
      </c>
      <c r="U263" s="9">
        <v>6</v>
      </c>
      <c r="V263" s="9">
        <v>4.8214290000000002</v>
      </c>
      <c r="W263" s="9">
        <v>4.8214290000000002</v>
      </c>
      <c r="X263" s="9">
        <v>8</v>
      </c>
      <c r="Y263" s="9">
        <v>8</v>
      </c>
      <c r="Z263" s="9">
        <v>8</v>
      </c>
      <c r="AA263" s="9">
        <v>3</v>
      </c>
      <c r="AB263" s="9">
        <v>8</v>
      </c>
      <c r="AC263" s="9">
        <v>8</v>
      </c>
      <c r="AD263" s="9">
        <v>8</v>
      </c>
      <c r="AE263" s="9">
        <v>8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</row>
    <row r="264" spans="1:45" ht="15" hidden="1" customHeight="1" outlineLevel="1" x14ac:dyDescent="0.35">
      <c r="A264" t="s">
        <v>12</v>
      </c>
      <c r="B264" t="s">
        <v>14</v>
      </c>
      <c r="C264" t="s">
        <v>27</v>
      </c>
      <c r="D264" t="s">
        <v>141</v>
      </c>
      <c r="E264" t="s">
        <v>102</v>
      </c>
      <c r="F264" s="9">
        <v>0</v>
      </c>
      <c r="G264" s="9">
        <v>20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</row>
    <row r="265" spans="1:45" ht="15" hidden="1" customHeight="1" outlineLevel="1" x14ac:dyDescent="0.35">
      <c r="A265" t="s">
        <v>12</v>
      </c>
      <c r="B265" t="s">
        <v>14</v>
      </c>
      <c r="C265" t="s">
        <v>27</v>
      </c>
      <c r="D265" t="s">
        <v>141</v>
      </c>
      <c r="E265" t="s">
        <v>95</v>
      </c>
      <c r="F265" s="9">
        <v>0</v>
      </c>
      <c r="G265" s="9">
        <v>0</v>
      </c>
      <c r="H265" s="9">
        <v>0</v>
      </c>
      <c r="I265" s="9">
        <v>5</v>
      </c>
      <c r="J265" s="9">
        <v>7</v>
      </c>
      <c r="K265" s="9">
        <v>14</v>
      </c>
      <c r="L265" s="9">
        <v>5</v>
      </c>
      <c r="M265" s="9">
        <v>0</v>
      </c>
      <c r="N265" s="9">
        <v>0</v>
      </c>
      <c r="O265" s="9">
        <v>4</v>
      </c>
      <c r="P265" s="9">
        <v>29</v>
      </c>
      <c r="Q265" s="9">
        <v>40</v>
      </c>
      <c r="R265" s="9">
        <v>40</v>
      </c>
      <c r="S265" s="9">
        <v>24</v>
      </c>
      <c r="T265" s="9">
        <v>25</v>
      </c>
      <c r="U265" s="9">
        <v>5</v>
      </c>
      <c r="V265" s="9">
        <v>5</v>
      </c>
      <c r="W265" s="9">
        <v>0</v>
      </c>
      <c r="X265" s="9">
        <v>22</v>
      </c>
      <c r="Y265" s="9">
        <v>47</v>
      </c>
      <c r="Z265" s="9">
        <v>43</v>
      </c>
      <c r="AA265" s="9">
        <v>52</v>
      </c>
      <c r="AB265" s="9">
        <v>45</v>
      </c>
      <c r="AC265" s="9">
        <v>27</v>
      </c>
      <c r="AD265" s="9">
        <v>19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</row>
    <row r="266" spans="1:45" ht="15" hidden="1" customHeight="1" outlineLevel="1" x14ac:dyDescent="0.35">
      <c r="A266" t="s">
        <v>12</v>
      </c>
      <c r="B266" t="s">
        <v>14</v>
      </c>
      <c r="C266" t="s">
        <v>27</v>
      </c>
      <c r="D266" t="s">
        <v>141</v>
      </c>
      <c r="E266" t="s">
        <v>84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22</v>
      </c>
      <c r="N266" s="9">
        <v>18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</row>
    <row r="267" spans="1:45" ht="15" hidden="1" customHeight="1" outlineLevel="1" x14ac:dyDescent="0.35">
      <c r="A267" t="s">
        <v>12</v>
      </c>
      <c r="B267" t="s">
        <v>14</v>
      </c>
      <c r="C267" t="s">
        <v>27</v>
      </c>
      <c r="D267" t="s">
        <v>141</v>
      </c>
      <c r="E267" t="s">
        <v>40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10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2</v>
      </c>
      <c r="AC267" s="9">
        <v>13</v>
      </c>
      <c r="AD267" s="9">
        <v>15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</row>
    <row r="268" spans="1:45" ht="15" hidden="1" customHeight="1" outlineLevel="1" x14ac:dyDescent="0.35">
      <c r="A268" t="s">
        <v>12</v>
      </c>
      <c r="B268" t="s">
        <v>14</v>
      </c>
      <c r="C268" t="s">
        <v>27</v>
      </c>
      <c r="D268" t="s">
        <v>141</v>
      </c>
      <c r="E268" t="s">
        <v>85</v>
      </c>
      <c r="F268" s="9">
        <v>13.178571</v>
      </c>
      <c r="G268" s="9">
        <v>0</v>
      </c>
      <c r="H268" s="9">
        <v>4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</row>
    <row r="269" spans="1:45" ht="15" hidden="1" customHeight="1" outlineLevel="1" x14ac:dyDescent="0.35">
      <c r="A269" t="s">
        <v>12</v>
      </c>
      <c r="B269" t="s">
        <v>14</v>
      </c>
      <c r="C269" t="s">
        <v>27</v>
      </c>
      <c r="D269" t="s">
        <v>141</v>
      </c>
      <c r="E269" t="s">
        <v>103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6.3461540000000003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4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</row>
    <row r="270" spans="1:45" ht="15" hidden="1" customHeight="1" outlineLevel="1" x14ac:dyDescent="0.35">
      <c r="A270" t="s">
        <v>12</v>
      </c>
      <c r="B270" t="s">
        <v>14</v>
      </c>
      <c r="C270" t="s">
        <v>27</v>
      </c>
      <c r="D270" t="s">
        <v>141</v>
      </c>
      <c r="E270" t="s">
        <v>99</v>
      </c>
      <c r="F270" s="9">
        <v>22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22.653846000000001</v>
      </c>
      <c r="M270" s="9">
        <v>0</v>
      </c>
      <c r="N270" s="9">
        <v>0</v>
      </c>
      <c r="O270" s="9">
        <v>9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25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7</v>
      </c>
      <c r="AD270" s="9">
        <v>7.5</v>
      </c>
      <c r="AE270" s="9">
        <v>40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</row>
    <row r="271" spans="1:45" ht="15" customHeight="1" collapsed="1" x14ac:dyDescent="0.35">
      <c r="A271" s="3" t="s">
        <v>12</v>
      </c>
      <c r="B271" s="3" t="s">
        <v>14</v>
      </c>
      <c r="C271" s="3" t="s">
        <v>21</v>
      </c>
      <c r="D271" s="3" t="s">
        <v>76</v>
      </c>
      <c r="E271" s="3" t="s">
        <v>77</v>
      </c>
      <c r="F271" s="7">
        <f t="shared" ref="F271:AS271" si="41">SUM(F272,F273,F274,F275,F276,F277,F278,F279)</f>
        <v>40</v>
      </c>
      <c r="G271" s="7">
        <f t="shared" si="41"/>
        <v>40</v>
      </c>
      <c r="H271" s="7">
        <f t="shared" si="41"/>
        <v>40</v>
      </c>
      <c r="I271" s="7">
        <f t="shared" si="41"/>
        <v>20</v>
      </c>
      <c r="J271" s="7">
        <f t="shared" si="41"/>
        <v>34</v>
      </c>
      <c r="K271" s="7">
        <f t="shared" si="41"/>
        <v>40</v>
      </c>
      <c r="L271" s="7">
        <f t="shared" si="41"/>
        <v>40</v>
      </c>
      <c r="M271" s="7">
        <f t="shared" si="41"/>
        <v>36</v>
      </c>
      <c r="N271" s="7">
        <f t="shared" si="41"/>
        <v>40</v>
      </c>
      <c r="O271" s="7">
        <f t="shared" si="41"/>
        <v>22</v>
      </c>
      <c r="P271" s="7">
        <f t="shared" si="41"/>
        <v>31</v>
      </c>
      <c r="Q271" s="7">
        <f t="shared" si="41"/>
        <v>40</v>
      </c>
      <c r="R271" s="7">
        <f t="shared" si="41"/>
        <v>40</v>
      </c>
      <c r="S271" s="7">
        <f t="shared" si="41"/>
        <v>40</v>
      </c>
      <c r="T271" s="7">
        <f t="shared" si="41"/>
        <v>22</v>
      </c>
      <c r="U271" s="7">
        <f t="shared" si="41"/>
        <v>37</v>
      </c>
      <c r="V271" s="7">
        <f t="shared" si="41"/>
        <v>17</v>
      </c>
      <c r="W271" s="7">
        <f t="shared" si="41"/>
        <v>15</v>
      </c>
      <c r="X271" s="7">
        <f t="shared" si="41"/>
        <v>25.5</v>
      </c>
      <c r="Y271" s="7">
        <f t="shared" si="41"/>
        <v>55</v>
      </c>
      <c r="Z271" s="7">
        <f t="shared" si="41"/>
        <v>55</v>
      </c>
      <c r="AA271" s="7">
        <f t="shared" si="41"/>
        <v>55</v>
      </c>
      <c r="AB271" s="7">
        <f t="shared" si="41"/>
        <v>55</v>
      </c>
      <c r="AC271" s="7">
        <f t="shared" si="41"/>
        <v>55</v>
      </c>
      <c r="AD271" s="7">
        <f t="shared" si="41"/>
        <v>55</v>
      </c>
      <c r="AE271" s="7">
        <f t="shared" si="41"/>
        <v>52</v>
      </c>
      <c r="AF271" s="7">
        <f t="shared" si="41"/>
        <v>0</v>
      </c>
      <c r="AG271" s="7">
        <f t="shared" si="41"/>
        <v>0</v>
      </c>
      <c r="AH271" s="7">
        <f t="shared" si="41"/>
        <v>0</v>
      </c>
      <c r="AI271" s="7">
        <f t="shared" si="41"/>
        <v>0</v>
      </c>
      <c r="AJ271" s="7">
        <f t="shared" si="41"/>
        <v>0</v>
      </c>
      <c r="AK271" s="7">
        <f t="shared" si="41"/>
        <v>0</v>
      </c>
      <c r="AL271" s="7">
        <f t="shared" si="41"/>
        <v>0</v>
      </c>
      <c r="AM271" s="7">
        <f t="shared" si="41"/>
        <v>0</v>
      </c>
      <c r="AN271" s="7">
        <f t="shared" si="41"/>
        <v>0</v>
      </c>
      <c r="AO271" s="7">
        <f t="shared" si="41"/>
        <v>0</v>
      </c>
      <c r="AP271" s="7">
        <f t="shared" si="41"/>
        <v>0</v>
      </c>
      <c r="AQ271" s="7">
        <f t="shared" si="41"/>
        <v>0</v>
      </c>
      <c r="AR271" s="7">
        <f t="shared" si="41"/>
        <v>0</v>
      </c>
      <c r="AS271" s="7">
        <f t="shared" si="41"/>
        <v>0</v>
      </c>
    </row>
    <row r="272" spans="1:45" ht="15" hidden="1" customHeight="1" outlineLevel="1" x14ac:dyDescent="0.35">
      <c r="A272" t="s">
        <v>12</v>
      </c>
      <c r="B272" t="s">
        <v>14</v>
      </c>
      <c r="C272" t="s">
        <v>21</v>
      </c>
      <c r="D272" t="s">
        <v>141</v>
      </c>
      <c r="E272" t="s">
        <v>84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5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</row>
    <row r="273" spans="1:45" ht="15" hidden="1" customHeight="1" outlineLevel="1" x14ac:dyDescent="0.35">
      <c r="A273" t="s">
        <v>12</v>
      </c>
      <c r="B273" t="s">
        <v>14</v>
      </c>
      <c r="C273" t="s">
        <v>21</v>
      </c>
      <c r="D273" t="s">
        <v>141</v>
      </c>
      <c r="E273" t="s">
        <v>40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10.5</v>
      </c>
      <c r="AC273" s="9">
        <v>15</v>
      </c>
      <c r="AD273" s="9">
        <v>25</v>
      </c>
      <c r="AE273" s="9">
        <v>10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</row>
    <row r="274" spans="1:45" ht="15" hidden="1" customHeight="1" outlineLevel="1" x14ac:dyDescent="0.35">
      <c r="A274" t="s">
        <v>12</v>
      </c>
      <c r="B274" t="s">
        <v>14</v>
      </c>
      <c r="C274" t="s">
        <v>21</v>
      </c>
      <c r="D274" t="s">
        <v>141</v>
      </c>
      <c r="E274" t="s">
        <v>85</v>
      </c>
      <c r="F274" s="9">
        <v>19</v>
      </c>
      <c r="G274" s="9">
        <v>40</v>
      </c>
      <c r="H274" s="9">
        <v>40</v>
      </c>
      <c r="I274" s="9">
        <v>10</v>
      </c>
      <c r="J274" s="9">
        <v>24</v>
      </c>
      <c r="K274" s="9">
        <v>30</v>
      </c>
      <c r="L274" s="9">
        <v>35</v>
      </c>
      <c r="M274" s="9">
        <v>14</v>
      </c>
      <c r="N274" s="9">
        <v>32</v>
      </c>
      <c r="O274" s="9">
        <v>12</v>
      </c>
      <c r="P274" s="9">
        <v>2</v>
      </c>
      <c r="Q274" s="9">
        <v>20</v>
      </c>
      <c r="R274" s="9">
        <v>40</v>
      </c>
      <c r="S274" s="9">
        <v>40</v>
      </c>
      <c r="T274" s="9">
        <v>2</v>
      </c>
      <c r="U274" s="9">
        <v>17</v>
      </c>
      <c r="V274" s="9">
        <v>2</v>
      </c>
      <c r="W274" s="9">
        <v>0</v>
      </c>
      <c r="X274" s="9">
        <v>25.5</v>
      </c>
      <c r="Y274" s="9">
        <v>34.5</v>
      </c>
      <c r="Z274" s="9">
        <v>23.5</v>
      </c>
      <c r="AA274" s="9">
        <v>35.5</v>
      </c>
      <c r="AB274" s="9">
        <v>44.5</v>
      </c>
      <c r="AC274" s="9">
        <v>30.5</v>
      </c>
      <c r="AD274" s="9">
        <v>15.5</v>
      </c>
      <c r="AE274" s="9">
        <v>4.5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</row>
    <row r="275" spans="1:45" ht="15" hidden="1" customHeight="1" outlineLevel="1" x14ac:dyDescent="0.35">
      <c r="A275" t="s">
        <v>12</v>
      </c>
      <c r="B275" t="s">
        <v>14</v>
      </c>
      <c r="C275" t="s">
        <v>21</v>
      </c>
      <c r="D275" t="s">
        <v>141</v>
      </c>
      <c r="E275" t="s">
        <v>103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8.5</v>
      </c>
      <c r="Z275" s="9">
        <v>4.5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</row>
    <row r="276" spans="1:45" ht="15" hidden="1" customHeight="1" outlineLevel="1" x14ac:dyDescent="0.35">
      <c r="A276" t="s">
        <v>12</v>
      </c>
      <c r="B276" t="s">
        <v>14</v>
      </c>
      <c r="C276" t="s">
        <v>21</v>
      </c>
      <c r="D276" t="s">
        <v>141</v>
      </c>
      <c r="E276" t="s">
        <v>99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12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</row>
    <row r="277" spans="1:45" ht="15" hidden="1" customHeight="1" outlineLevel="1" x14ac:dyDescent="0.35">
      <c r="A277" t="s">
        <v>12</v>
      </c>
      <c r="B277" t="s">
        <v>14</v>
      </c>
      <c r="C277" t="s">
        <v>21</v>
      </c>
      <c r="D277" t="s">
        <v>141</v>
      </c>
      <c r="E277" t="s">
        <v>43</v>
      </c>
      <c r="F277" s="9">
        <v>21</v>
      </c>
      <c r="G277" s="9">
        <v>0</v>
      </c>
      <c r="H277" s="9">
        <v>0</v>
      </c>
      <c r="I277" s="9">
        <v>10</v>
      </c>
      <c r="J277" s="9">
        <v>10</v>
      </c>
      <c r="K277" s="9">
        <v>10</v>
      </c>
      <c r="L277" s="9">
        <v>5</v>
      </c>
      <c r="M277" s="9">
        <v>5</v>
      </c>
      <c r="N277" s="9">
        <v>4</v>
      </c>
      <c r="O277" s="9">
        <v>10</v>
      </c>
      <c r="P277" s="9">
        <v>29</v>
      </c>
      <c r="Q277" s="9">
        <v>20</v>
      </c>
      <c r="R277" s="9">
        <v>0</v>
      </c>
      <c r="S277" s="9">
        <v>0</v>
      </c>
      <c r="T277" s="9">
        <v>20</v>
      </c>
      <c r="U277" s="9">
        <v>20</v>
      </c>
      <c r="V277" s="9">
        <v>15</v>
      </c>
      <c r="W277" s="9">
        <v>15</v>
      </c>
      <c r="X277" s="9">
        <v>0</v>
      </c>
      <c r="Y277" s="9">
        <v>0</v>
      </c>
      <c r="Z277" s="9">
        <v>27</v>
      </c>
      <c r="AA277" s="9">
        <v>11.5</v>
      </c>
      <c r="AB277" s="9">
        <v>0</v>
      </c>
      <c r="AC277" s="9">
        <v>9.5</v>
      </c>
      <c r="AD277" s="9">
        <v>14.5</v>
      </c>
      <c r="AE277" s="9">
        <v>37.5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</row>
    <row r="278" spans="1:45" ht="15" hidden="1" customHeight="1" outlineLevel="1" x14ac:dyDescent="0.35">
      <c r="A278" t="s">
        <v>12</v>
      </c>
      <c r="B278" t="s">
        <v>14</v>
      </c>
      <c r="C278" t="s">
        <v>21</v>
      </c>
      <c r="D278" t="s">
        <v>141</v>
      </c>
      <c r="E278" t="s">
        <v>88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12</v>
      </c>
      <c r="N278" s="9">
        <v>4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</row>
    <row r="279" spans="1:45" ht="15" hidden="1" customHeight="1" outlineLevel="1" x14ac:dyDescent="0.35">
      <c r="A279" t="s">
        <v>12</v>
      </c>
      <c r="B279" t="s">
        <v>14</v>
      </c>
      <c r="C279" t="s">
        <v>21</v>
      </c>
      <c r="D279" t="s">
        <v>141</v>
      </c>
      <c r="E279" t="s">
        <v>105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8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</row>
    <row r="280" spans="1:45" ht="15" customHeight="1" collapsed="1" x14ac:dyDescent="0.35">
      <c r="A280" s="3" t="s">
        <v>29</v>
      </c>
      <c r="B280" s="3" t="s">
        <v>14</v>
      </c>
      <c r="C280" s="3" t="s">
        <v>32</v>
      </c>
      <c r="D280" s="3" t="s">
        <v>76</v>
      </c>
      <c r="E280" s="3" t="s">
        <v>77</v>
      </c>
      <c r="F280" s="7">
        <f t="shared" ref="F280:AS280" si="42">SUM(F281,F282)</f>
        <v>20</v>
      </c>
      <c r="G280" s="7">
        <f t="shared" si="42"/>
        <v>18</v>
      </c>
      <c r="H280" s="7">
        <f t="shared" si="42"/>
        <v>18</v>
      </c>
      <c r="I280" s="7">
        <f t="shared" si="42"/>
        <v>18</v>
      </c>
      <c r="J280" s="7">
        <f t="shared" si="42"/>
        <v>25</v>
      </c>
      <c r="K280" s="7">
        <f t="shared" si="42"/>
        <v>35</v>
      </c>
      <c r="L280" s="7">
        <f t="shared" si="42"/>
        <v>40</v>
      </c>
      <c r="M280" s="7">
        <f t="shared" si="42"/>
        <v>40</v>
      </c>
      <c r="N280" s="7">
        <f t="shared" si="42"/>
        <v>40</v>
      </c>
      <c r="O280" s="7">
        <f t="shared" si="42"/>
        <v>15</v>
      </c>
      <c r="P280" s="7">
        <f t="shared" si="42"/>
        <v>15</v>
      </c>
      <c r="Q280" s="7">
        <f t="shared" si="42"/>
        <v>15</v>
      </c>
      <c r="R280" s="7">
        <f t="shared" si="42"/>
        <v>15</v>
      </c>
      <c r="S280" s="7">
        <f t="shared" si="42"/>
        <v>5</v>
      </c>
      <c r="T280" s="7">
        <f t="shared" si="42"/>
        <v>5</v>
      </c>
      <c r="U280" s="7">
        <f t="shared" si="42"/>
        <v>5</v>
      </c>
      <c r="V280" s="7">
        <f t="shared" si="42"/>
        <v>0</v>
      </c>
      <c r="W280" s="7">
        <f t="shared" si="42"/>
        <v>0</v>
      </c>
      <c r="X280" s="7">
        <f t="shared" si="42"/>
        <v>30</v>
      </c>
      <c r="Y280" s="7">
        <f t="shared" si="42"/>
        <v>40</v>
      </c>
      <c r="Z280" s="7">
        <f t="shared" si="42"/>
        <v>55</v>
      </c>
      <c r="AA280" s="7">
        <f t="shared" si="42"/>
        <v>55</v>
      </c>
      <c r="AB280" s="7">
        <f t="shared" si="42"/>
        <v>55</v>
      </c>
      <c r="AC280" s="7">
        <f t="shared" si="42"/>
        <v>55</v>
      </c>
      <c r="AD280" s="7">
        <f t="shared" si="42"/>
        <v>50</v>
      </c>
      <c r="AE280" s="7">
        <f t="shared" si="42"/>
        <v>25</v>
      </c>
      <c r="AF280" s="7">
        <f t="shared" si="42"/>
        <v>25</v>
      </c>
      <c r="AG280" s="7">
        <f t="shared" si="42"/>
        <v>25</v>
      </c>
      <c r="AH280" s="7">
        <f t="shared" si="42"/>
        <v>25</v>
      </c>
      <c r="AI280" s="7">
        <f t="shared" si="42"/>
        <v>25</v>
      </c>
      <c r="AJ280" s="7">
        <f t="shared" si="42"/>
        <v>25</v>
      </c>
      <c r="AK280" s="7">
        <f t="shared" si="42"/>
        <v>25</v>
      </c>
      <c r="AL280" s="7">
        <f t="shared" si="42"/>
        <v>25</v>
      </c>
      <c r="AM280" s="7">
        <f t="shared" si="42"/>
        <v>10</v>
      </c>
      <c r="AN280" s="7">
        <f t="shared" si="42"/>
        <v>10</v>
      </c>
      <c r="AO280" s="7">
        <f t="shared" si="42"/>
        <v>5</v>
      </c>
      <c r="AP280" s="7">
        <f t="shared" si="42"/>
        <v>0</v>
      </c>
      <c r="AQ280" s="7">
        <f t="shared" si="42"/>
        <v>0</v>
      </c>
      <c r="AR280" s="7">
        <f t="shared" si="42"/>
        <v>0</v>
      </c>
      <c r="AS280" s="7">
        <f t="shared" si="42"/>
        <v>0</v>
      </c>
    </row>
    <row r="281" spans="1:45" ht="15" hidden="1" customHeight="1" outlineLevel="1" x14ac:dyDescent="0.35">
      <c r="A281" t="s">
        <v>29</v>
      </c>
      <c r="B281" t="s">
        <v>14</v>
      </c>
      <c r="C281" t="s">
        <v>32</v>
      </c>
      <c r="D281" t="s">
        <v>141</v>
      </c>
      <c r="E281" t="s">
        <v>91</v>
      </c>
      <c r="F281" s="9">
        <v>10</v>
      </c>
      <c r="G281" s="9">
        <v>10</v>
      </c>
      <c r="H281" s="9">
        <v>10</v>
      </c>
      <c r="I281" s="9">
        <v>10</v>
      </c>
      <c r="J281" s="9">
        <v>20</v>
      </c>
      <c r="K281" s="9">
        <v>30</v>
      </c>
      <c r="L281" s="9">
        <v>30</v>
      </c>
      <c r="M281" s="9">
        <v>20</v>
      </c>
      <c r="N281" s="9">
        <v>20</v>
      </c>
      <c r="O281" s="9">
        <v>10</v>
      </c>
      <c r="P281" s="9">
        <v>10</v>
      </c>
      <c r="Q281" s="9">
        <v>10</v>
      </c>
      <c r="R281" s="9">
        <v>10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5</v>
      </c>
      <c r="AF281" s="9">
        <v>25</v>
      </c>
      <c r="AG281" s="9">
        <v>25</v>
      </c>
      <c r="AH281" s="9">
        <v>25</v>
      </c>
      <c r="AI281" s="9">
        <v>25</v>
      </c>
      <c r="AJ281" s="9">
        <v>25</v>
      </c>
      <c r="AK281" s="9">
        <v>25</v>
      </c>
      <c r="AL281" s="9">
        <v>25</v>
      </c>
      <c r="AM281" s="9">
        <v>10</v>
      </c>
      <c r="AN281" s="9">
        <v>10</v>
      </c>
      <c r="AO281" s="9">
        <v>5</v>
      </c>
      <c r="AP281" s="9">
        <v>0</v>
      </c>
      <c r="AQ281" s="9">
        <v>0</v>
      </c>
      <c r="AR281" s="9">
        <v>0</v>
      </c>
      <c r="AS281" s="9">
        <v>0</v>
      </c>
    </row>
    <row r="282" spans="1:45" ht="15" hidden="1" customHeight="1" outlineLevel="1" x14ac:dyDescent="0.35">
      <c r="A282" t="s">
        <v>29</v>
      </c>
      <c r="B282" t="s">
        <v>14</v>
      </c>
      <c r="C282" t="s">
        <v>32</v>
      </c>
      <c r="D282" t="s">
        <v>141</v>
      </c>
      <c r="E282" t="s">
        <v>92</v>
      </c>
      <c r="F282" s="9">
        <v>10</v>
      </c>
      <c r="G282" s="9">
        <v>8</v>
      </c>
      <c r="H282" s="9">
        <v>8</v>
      </c>
      <c r="I282" s="9">
        <v>8</v>
      </c>
      <c r="J282" s="9">
        <v>5</v>
      </c>
      <c r="K282" s="9">
        <v>5</v>
      </c>
      <c r="L282" s="9">
        <v>10</v>
      </c>
      <c r="M282" s="9">
        <v>20</v>
      </c>
      <c r="N282" s="9">
        <v>20</v>
      </c>
      <c r="O282" s="9">
        <v>5</v>
      </c>
      <c r="P282" s="9">
        <v>5</v>
      </c>
      <c r="Q282" s="9">
        <v>5</v>
      </c>
      <c r="R282" s="9">
        <v>5</v>
      </c>
      <c r="S282" s="9">
        <v>5</v>
      </c>
      <c r="T282" s="9">
        <v>5</v>
      </c>
      <c r="U282" s="9">
        <v>5</v>
      </c>
      <c r="V282" s="9">
        <v>0</v>
      </c>
      <c r="W282" s="9">
        <v>0</v>
      </c>
      <c r="X282" s="9">
        <v>30</v>
      </c>
      <c r="Y282" s="9">
        <v>40</v>
      </c>
      <c r="Z282" s="9">
        <v>55</v>
      </c>
      <c r="AA282" s="9">
        <v>55</v>
      </c>
      <c r="AB282" s="9">
        <v>55</v>
      </c>
      <c r="AC282" s="9">
        <v>55</v>
      </c>
      <c r="AD282" s="9">
        <v>50</v>
      </c>
      <c r="AE282" s="9">
        <v>20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</row>
    <row r="283" spans="1:45" ht="15" customHeight="1" collapsed="1" x14ac:dyDescent="0.35">
      <c r="A283" s="3" t="s">
        <v>12</v>
      </c>
      <c r="B283" s="3" t="s">
        <v>14</v>
      </c>
      <c r="C283" s="3" t="s">
        <v>30</v>
      </c>
      <c r="D283" s="3" t="s">
        <v>76</v>
      </c>
      <c r="E283" s="3" t="s">
        <v>77</v>
      </c>
      <c r="F283" s="7">
        <f t="shared" ref="F283:AS283" si="43">SUM(F284,F285,F286,F287,F288,F289,F290,F291)</f>
        <v>40</v>
      </c>
      <c r="G283" s="7">
        <f t="shared" si="43"/>
        <v>40</v>
      </c>
      <c r="H283" s="7">
        <f t="shared" si="43"/>
        <v>40</v>
      </c>
      <c r="I283" s="7">
        <f t="shared" si="43"/>
        <v>19</v>
      </c>
      <c r="J283" s="7">
        <f t="shared" si="43"/>
        <v>17</v>
      </c>
      <c r="K283" s="7">
        <f t="shared" si="43"/>
        <v>26</v>
      </c>
      <c r="L283" s="7">
        <f t="shared" si="43"/>
        <v>40</v>
      </c>
      <c r="M283" s="7">
        <f t="shared" si="43"/>
        <v>31</v>
      </c>
      <c r="N283" s="7">
        <f t="shared" si="43"/>
        <v>19</v>
      </c>
      <c r="O283" s="7">
        <f t="shared" si="43"/>
        <v>14</v>
      </c>
      <c r="P283" s="7">
        <f t="shared" si="43"/>
        <v>22</v>
      </c>
      <c r="Q283" s="7">
        <f t="shared" si="43"/>
        <v>40</v>
      </c>
      <c r="R283" s="7">
        <f t="shared" si="43"/>
        <v>28</v>
      </c>
      <c r="S283" s="7">
        <f t="shared" si="43"/>
        <v>40</v>
      </c>
      <c r="T283" s="7">
        <f t="shared" si="43"/>
        <v>27.5</v>
      </c>
      <c r="U283" s="7">
        <f t="shared" si="43"/>
        <v>22.5</v>
      </c>
      <c r="V283" s="7">
        <f t="shared" si="43"/>
        <v>4</v>
      </c>
      <c r="W283" s="7">
        <f t="shared" si="43"/>
        <v>0</v>
      </c>
      <c r="X283" s="7">
        <f t="shared" si="43"/>
        <v>55</v>
      </c>
      <c r="Y283" s="7">
        <f t="shared" si="43"/>
        <v>55</v>
      </c>
      <c r="Z283" s="7">
        <f t="shared" si="43"/>
        <v>55</v>
      </c>
      <c r="AA283" s="7">
        <f t="shared" si="43"/>
        <v>55</v>
      </c>
      <c r="AB283" s="7">
        <f t="shared" si="43"/>
        <v>0</v>
      </c>
      <c r="AC283" s="7">
        <f t="shared" si="43"/>
        <v>0</v>
      </c>
      <c r="AD283" s="7">
        <f t="shared" si="43"/>
        <v>55</v>
      </c>
      <c r="AE283" s="7">
        <f t="shared" si="43"/>
        <v>37</v>
      </c>
      <c r="AF283" s="7">
        <f t="shared" si="43"/>
        <v>30</v>
      </c>
      <c r="AG283" s="7">
        <f t="shared" si="43"/>
        <v>30</v>
      </c>
      <c r="AH283" s="7">
        <f t="shared" si="43"/>
        <v>30</v>
      </c>
      <c r="AI283" s="7">
        <f t="shared" si="43"/>
        <v>0</v>
      </c>
      <c r="AJ283" s="7">
        <f t="shared" si="43"/>
        <v>0</v>
      </c>
      <c r="AK283" s="7">
        <f t="shared" si="43"/>
        <v>0</v>
      </c>
      <c r="AL283" s="7">
        <f t="shared" si="43"/>
        <v>0</v>
      </c>
      <c r="AM283" s="7">
        <f t="shared" si="43"/>
        <v>0</v>
      </c>
      <c r="AN283" s="7">
        <f t="shared" si="43"/>
        <v>0</v>
      </c>
      <c r="AO283" s="7">
        <f t="shared" si="43"/>
        <v>0</v>
      </c>
      <c r="AP283" s="7">
        <f t="shared" si="43"/>
        <v>0</v>
      </c>
      <c r="AQ283" s="7">
        <f t="shared" si="43"/>
        <v>0</v>
      </c>
      <c r="AR283" s="7">
        <f t="shared" si="43"/>
        <v>0</v>
      </c>
      <c r="AS283" s="7">
        <f t="shared" si="43"/>
        <v>0</v>
      </c>
    </row>
    <row r="284" spans="1:45" ht="15" hidden="1" customHeight="1" outlineLevel="1" x14ac:dyDescent="0.35">
      <c r="A284" t="s">
        <v>12</v>
      </c>
      <c r="B284" t="s">
        <v>14</v>
      </c>
      <c r="C284" t="s">
        <v>30</v>
      </c>
      <c r="D284" t="s">
        <v>141</v>
      </c>
      <c r="E284" t="s">
        <v>81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7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</row>
    <row r="285" spans="1:45" ht="15" hidden="1" customHeight="1" outlineLevel="1" x14ac:dyDescent="0.35">
      <c r="A285" t="s">
        <v>12</v>
      </c>
      <c r="B285" t="s">
        <v>14</v>
      </c>
      <c r="C285" t="s">
        <v>30</v>
      </c>
      <c r="D285" t="s">
        <v>141</v>
      </c>
      <c r="E285" t="s">
        <v>94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5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</row>
    <row r="286" spans="1:45" ht="15" hidden="1" customHeight="1" outlineLevel="1" x14ac:dyDescent="0.35">
      <c r="A286" t="s">
        <v>12</v>
      </c>
      <c r="B286" t="s">
        <v>14</v>
      </c>
      <c r="C286" t="s">
        <v>30</v>
      </c>
      <c r="D286" t="s">
        <v>141</v>
      </c>
      <c r="E286" t="s">
        <v>95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8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</row>
    <row r="287" spans="1:45" ht="15" hidden="1" customHeight="1" outlineLevel="1" x14ac:dyDescent="0.35">
      <c r="A287" t="s">
        <v>12</v>
      </c>
      <c r="B287" t="s">
        <v>14</v>
      </c>
      <c r="C287" t="s">
        <v>30</v>
      </c>
      <c r="D287" t="s">
        <v>141</v>
      </c>
      <c r="E287" t="s">
        <v>85</v>
      </c>
      <c r="F287" s="9">
        <v>19</v>
      </c>
      <c r="G287" s="9">
        <v>23</v>
      </c>
      <c r="H287" s="9">
        <v>20</v>
      </c>
      <c r="I287" s="9">
        <v>2</v>
      </c>
      <c r="J287" s="9">
        <v>2</v>
      </c>
      <c r="K287" s="9">
        <v>11</v>
      </c>
      <c r="L287" s="9">
        <v>40</v>
      </c>
      <c r="M287" s="9">
        <v>16</v>
      </c>
      <c r="N287" s="9">
        <v>4</v>
      </c>
      <c r="O287" s="9">
        <v>4</v>
      </c>
      <c r="P287" s="9">
        <v>4</v>
      </c>
      <c r="Q287" s="9">
        <v>30</v>
      </c>
      <c r="R287" s="9">
        <v>28</v>
      </c>
      <c r="S287" s="9">
        <v>30</v>
      </c>
      <c r="T287" s="9">
        <v>27.5</v>
      </c>
      <c r="U287" s="9">
        <v>19.5</v>
      </c>
      <c r="V287" s="9">
        <v>4</v>
      </c>
      <c r="W287" s="9">
        <v>0</v>
      </c>
      <c r="X287" s="9">
        <v>15</v>
      </c>
      <c r="Y287" s="9">
        <v>40</v>
      </c>
      <c r="Z287" s="9">
        <v>40</v>
      </c>
      <c r="AA287" s="9">
        <v>4</v>
      </c>
      <c r="AB287" s="9">
        <v>0</v>
      </c>
      <c r="AC287" s="9">
        <v>0</v>
      </c>
      <c r="AD287" s="9">
        <v>10</v>
      </c>
      <c r="AE287" s="9">
        <v>2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</row>
    <row r="288" spans="1:45" ht="15" hidden="1" customHeight="1" outlineLevel="1" x14ac:dyDescent="0.35">
      <c r="A288" t="s">
        <v>12</v>
      </c>
      <c r="B288" t="s">
        <v>14</v>
      </c>
      <c r="C288" t="s">
        <v>30</v>
      </c>
      <c r="D288" t="s">
        <v>141</v>
      </c>
      <c r="E288" t="s">
        <v>99</v>
      </c>
      <c r="F288" s="9">
        <v>19</v>
      </c>
      <c r="G288" s="9">
        <v>12</v>
      </c>
      <c r="H288" s="9">
        <v>10</v>
      </c>
      <c r="I288" s="9">
        <v>7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11</v>
      </c>
      <c r="Q288" s="9">
        <v>7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40</v>
      </c>
      <c r="Y288" s="9">
        <v>7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</row>
    <row r="289" spans="1:45" ht="15" hidden="1" customHeight="1" outlineLevel="1" x14ac:dyDescent="0.35">
      <c r="A289" t="s">
        <v>12</v>
      </c>
      <c r="B289" t="s">
        <v>14</v>
      </c>
      <c r="C289" t="s">
        <v>30</v>
      </c>
      <c r="D289" t="s">
        <v>141</v>
      </c>
      <c r="E289" t="s">
        <v>43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10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4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</row>
    <row r="290" spans="1:45" ht="15" hidden="1" customHeight="1" outlineLevel="1" x14ac:dyDescent="0.35">
      <c r="A290" t="s">
        <v>12</v>
      </c>
      <c r="B290" t="s">
        <v>14</v>
      </c>
      <c r="C290" t="s">
        <v>30</v>
      </c>
      <c r="D290" t="s">
        <v>141</v>
      </c>
      <c r="E290" t="s">
        <v>100</v>
      </c>
      <c r="F290" s="9">
        <v>2</v>
      </c>
      <c r="G290" s="9">
        <v>5</v>
      </c>
      <c r="H290" s="9">
        <v>10</v>
      </c>
      <c r="I290" s="9">
        <v>10</v>
      </c>
      <c r="J290" s="9">
        <v>15</v>
      </c>
      <c r="K290" s="9">
        <v>15</v>
      </c>
      <c r="L290" s="9">
        <v>0</v>
      </c>
      <c r="M290" s="9">
        <v>15</v>
      </c>
      <c r="N290" s="9">
        <v>15</v>
      </c>
      <c r="O290" s="9">
        <v>10</v>
      </c>
      <c r="P290" s="9">
        <v>7</v>
      </c>
      <c r="Q290" s="9">
        <v>3</v>
      </c>
      <c r="R290" s="9">
        <v>0</v>
      </c>
      <c r="S290" s="9">
        <v>0</v>
      </c>
      <c r="T290" s="9">
        <v>0</v>
      </c>
      <c r="U290" s="9">
        <v>3</v>
      </c>
      <c r="V290" s="9">
        <v>0</v>
      </c>
      <c r="W290" s="9">
        <v>0</v>
      </c>
      <c r="X290" s="9">
        <v>0</v>
      </c>
      <c r="Y290" s="9">
        <v>0</v>
      </c>
      <c r="Z290" s="9">
        <v>15</v>
      </c>
      <c r="AA290" s="9">
        <v>35</v>
      </c>
      <c r="AB290" s="9">
        <v>0</v>
      </c>
      <c r="AC290" s="9">
        <v>0</v>
      </c>
      <c r="AD290" s="9">
        <v>45</v>
      </c>
      <c r="AE290" s="9">
        <v>35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</row>
    <row r="291" spans="1:45" ht="15" hidden="1" customHeight="1" outlineLevel="1" x14ac:dyDescent="0.35">
      <c r="A291" t="s">
        <v>12</v>
      </c>
      <c r="B291" t="s">
        <v>14</v>
      </c>
      <c r="C291" t="s">
        <v>30</v>
      </c>
      <c r="D291" t="s">
        <v>141</v>
      </c>
      <c r="E291" t="s">
        <v>114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30</v>
      </c>
      <c r="AG291" s="9">
        <v>30</v>
      </c>
      <c r="AH291" s="9">
        <v>30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</row>
    <row r="292" spans="1:45" ht="15" customHeight="1" collapsed="1" x14ac:dyDescent="0.35">
      <c r="A292" s="3" t="s">
        <v>12</v>
      </c>
      <c r="B292" s="3" t="s">
        <v>14</v>
      </c>
      <c r="C292" s="3" t="s">
        <v>158</v>
      </c>
      <c r="D292" s="3" t="s">
        <v>76</v>
      </c>
      <c r="E292" s="3" t="s">
        <v>77</v>
      </c>
      <c r="F292" s="7">
        <f t="shared" ref="F292:AS292" si="44">SUM(F293)</f>
        <v>0</v>
      </c>
      <c r="G292" s="7">
        <f t="shared" si="44"/>
        <v>0</v>
      </c>
      <c r="H292" s="7">
        <f t="shared" si="44"/>
        <v>0</v>
      </c>
      <c r="I292" s="7">
        <f t="shared" si="44"/>
        <v>0</v>
      </c>
      <c r="J292" s="7">
        <f t="shared" si="44"/>
        <v>0</v>
      </c>
      <c r="K292" s="7">
        <f t="shared" si="44"/>
        <v>0</v>
      </c>
      <c r="L292" s="7">
        <f t="shared" si="44"/>
        <v>0</v>
      </c>
      <c r="M292" s="7">
        <f t="shared" si="44"/>
        <v>0</v>
      </c>
      <c r="N292" s="7">
        <f t="shared" si="44"/>
        <v>0</v>
      </c>
      <c r="O292" s="7">
        <f t="shared" si="44"/>
        <v>0</v>
      </c>
      <c r="P292" s="7">
        <f t="shared" si="44"/>
        <v>0</v>
      </c>
      <c r="Q292" s="7">
        <f t="shared" si="44"/>
        <v>0</v>
      </c>
      <c r="R292" s="7">
        <f t="shared" si="44"/>
        <v>0</v>
      </c>
      <c r="S292" s="7">
        <f t="shared" si="44"/>
        <v>0</v>
      </c>
      <c r="T292" s="7">
        <f t="shared" si="44"/>
        <v>0</v>
      </c>
      <c r="U292" s="7">
        <f t="shared" si="44"/>
        <v>0</v>
      </c>
      <c r="V292" s="7">
        <f t="shared" si="44"/>
        <v>0</v>
      </c>
      <c r="W292" s="7">
        <f t="shared" si="44"/>
        <v>0</v>
      </c>
      <c r="X292" s="7">
        <f t="shared" si="44"/>
        <v>0</v>
      </c>
      <c r="Y292" s="7">
        <f t="shared" si="44"/>
        <v>0</v>
      </c>
      <c r="Z292" s="7">
        <f t="shared" si="44"/>
        <v>0</v>
      </c>
      <c r="AA292" s="7">
        <f t="shared" si="44"/>
        <v>3</v>
      </c>
      <c r="AB292" s="7">
        <f t="shared" si="44"/>
        <v>0</v>
      </c>
      <c r="AC292" s="7">
        <f t="shared" si="44"/>
        <v>0</v>
      </c>
      <c r="AD292" s="7">
        <f t="shared" si="44"/>
        <v>0</v>
      </c>
      <c r="AE292" s="7">
        <f t="shared" si="44"/>
        <v>0</v>
      </c>
      <c r="AF292" s="7">
        <f t="shared" si="44"/>
        <v>0</v>
      </c>
      <c r="AG292" s="7">
        <f t="shared" si="44"/>
        <v>0</v>
      </c>
      <c r="AH292" s="7">
        <f t="shared" si="44"/>
        <v>0</v>
      </c>
      <c r="AI292" s="7">
        <f t="shared" si="44"/>
        <v>0</v>
      </c>
      <c r="AJ292" s="7">
        <f t="shared" si="44"/>
        <v>0</v>
      </c>
      <c r="AK292" s="7">
        <f t="shared" si="44"/>
        <v>0</v>
      </c>
      <c r="AL292" s="7">
        <f t="shared" si="44"/>
        <v>0</v>
      </c>
      <c r="AM292" s="7">
        <f t="shared" si="44"/>
        <v>0</v>
      </c>
      <c r="AN292" s="7">
        <f t="shared" si="44"/>
        <v>0</v>
      </c>
      <c r="AO292" s="7">
        <f t="shared" si="44"/>
        <v>0</v>
      </c>
      <c r="AP292" s="7">
        <f t="shared" si="44"/>
        <v>0</v>
      </c>
      <c r="AQ292" s="7">
        <f t="shared" si="44"/>
        <v>0</v>
      </c>
      <c r="AR292" s="7">
        <f t="shared" si="44"/>
        <v>0</v>
      </c>
      <c r="AS292" s="7">
        <f t="shared" si="44"/>
        <v>0</v>
      </c>
    </row>
    <row r="293" spans="1:45" ht="15" hidden="1" customHeight="1" outlineLevel="1" x14ac:dyDescent="0.35">
      <c r="A293" t="s">
        <v>12</v>
      </c>
      <c r="B293" t="s">
        <v>14</v>
      </c>
      <c r="C293" t="s">
        <v>158</v>
      </c>
      <c r="D293" t="s">
        <v>141</v>
      </c>
      <c r="E293" t="s">
        <v>121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3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</row>
    <row r="294" spans="1:45" ht="15" customHeight="1" collapsed="1" x14ac:dyDescent="0.35">
      <c r="A294" s="3" t="s">
        <v>12</v>
      </c>
      <c r="B294" s="3" t="s">
        <v>14</v>
      </c>
      <c r="C294" s="3" t="s">
        <v>126</v>
      </c>
      <c r="D294" s="3" t="s">
        <v>76</v>
      </c>
      <c r="E294" s="3" t="s">
        <v>77</v>
      </c>
      <c r="F294" s="7">
        <f t="shared" ref="F294:AS294" si="45">SUM(F295)</f>
        <v>8</v>
      </c>
      <c r="G294" s="7">
        <f t="shared" si="45"/>
        <v>0</v>
      </c>
      <c r="H294" s="7">
        <f t="shared" si="45"/>
        <v>0</v>
      </c>
      <c r="I294" s="7">
        <f t="shared" si="45"/>
        <v>0</v>
      </c>
      <c r="J294" s="7">
        <f t="shared" si="45"/>
        <v>0</v>
      </c>
      <c r="K294" s="7">
        <f t="shared" si="45"/>
        <v>0</v>
      </c>
      <c r="L294" s="7">
        <f t="shared" si="45"/>
        <v>0</v>
      </c>
      <c r="M294" s="7">
        <f t="shared" si="45"/>
        <v>0</v>
      </c>
      <c r="N294" s="7">
        <f t="shared" si="45"/>
        <v>0</v>
      </c>
      <c r="O294" s="7">
        <f t="shared" si="45"/>
        <v>0</v>
      </c>
      <c r="P294" s="7">
        <f t="shared" si="45"/>
        <v>0</v>
      </c>
      <c r="Q294" s="7">
        <f t="shared" si="45"/>
        <v>0</v>
      </c>
      <c r="R294" s="7">
        <f t="shared" si="45"/>
        <v>0</v>
      </c>
      <c r="S294" s="7">
        <f t="shared" si="45"/>
        <v>0</v>
      </c>
      <c r="T294" s="7">
        <f t="shared" si="45"/>
        <v>0</v>
      </c>
      <c r="U294" s="7">
        <f t="shared" si="45"/>
        <v>0</v>
      </c>
      <c r="V294" s="7">
        <f t="shared" si="45"/>
        <v>0</v>
      </c>
      <c r="W294" s="7">
        <f t="shared" si="45"/>
        <v>0</v>
      </c>
      <c r="X294" s="7">
        <f t="shared" si="45"/>
        <v>0</v>
      </c>
      <c r="Y294" s="7">
        <f t="shared" si="45"/>
        <v>0</v>
      </c>
      <c r="Z294" s="7">
        <f t="shared" si="45"/>
        <v>0</v>
      </c>
      <c r="AA294" s="7">
        <f t="shared" si="45"/>
        <v>0</v>
      </c>
      <c r="AB294" s="7">
        <f t="shared" si="45"/>
        <v>0</v>
      </c>
      <c r="AC294" s="7">
        <f t="shared" si="45"/>
        <v>0</v>
      </c>
      <c r="AD294" s="7">
        <f t="shared" si="45"/>
        <v>0</v>
      </c>
      <c r="AE294" s="7">
        <f t="shared" si="45"/>
        <v>0</v>
      </c>
      <c r="AF294" s="7">
        <f t="shared" si="45"/>
        <v>0</v>
      </c>
      <c r="AG294" s="7">
        <f t="shared" si="45"/>
        <v>0</v>
      </c>
      <c r="AH294" s="7">
        <f t="shared" si="45"/>
        <v>0</v>
      </c>
      <c r="AI294" s="7">
        <f t="shared" si="45"/>
        <v>0</v>
      </c>
      <c r="AJ294" s="7">
        <f t="shared" si="45"/>
        <v>0</v>
      </c>
      <c r="AK294" s="7">
        <f t="shared" si="45"/>
        <v>0</v>
      </c>
      <c r="AL294" s="7">
        <f t="shared" si="45"/>
        <v>0</v>
      </c>
      <c r="AM294" s="7">
        <f t="shared" si="45"/>
        <v>0</v>
      </c>
      <c r="AN294" s="7">
        <f t="shared" si="45"/>
        <v>0</v>
      </c>
      <c r="AO294" s="7">
        <f t="shared" si="45"/>
        <v>0</v>
      </c>
      <c r="AP294" s="7">
        <f t="shared" si="45"/>
        <v>0</v>
      </c>
      <c r="AQ294" s="7">
        <f t="shared" si="45"/>
        <v>0</v>
      </c>
      <c r="AR294" s="7">
        <f t="shared" si="45"/>
        <v>0</v>
      </c>
      <c r="AS294" s="7">
        <f t="shared" si="45"/>
        <v>0</v>
      </c>
    </row>
    <row r="295" spans="1:45" ht="15" hidden="1" customHeight="1" outlineLevel="1" x14ac:dyDescent="0.35">
      <c r="A295" t="s">
        <v>12</v>
      </c>
      <c r="B295" t="s">
        <v>14</v>
      </c>
      <c r="C295" t="s">
        <v>126</v>
      </c>
      <c r="D295" t="s">
        <v>141</v>
      </c>
      <c r="E295" t="s">
        <v>107</v>
      </c>
      <c r="F295" s="9">
        <v>8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</row>
    <row r="296" spans="1:45" ht="15" customHeight="1" collapsed="1" x14ac:dyDescent="0.35">
      <c r="A296" s="3" t="s">
        <v>12</v>
      </c>
      <c r="B296" s="3" t="s">
        <v>14</v>
      </c>
      <c r="C296" s="3" t="s">
        <v>127</v>
      </c>
      <c r="D296" s="3" t="s">
        <v>76</v>
      </c>
      <c r="E296" s="3" t="s">
        <v>77</v>
      </c>
      <c r="F296" s="7">
        <f t="shared" ref="F296:AS296" si="46">SUM(F297)</f>
        <v>0</v>
      </c>
      <c r="G296" s="7">
        <f t="shared" si="46"/>
        <v>0</v>
      </c>
      <c r="H296" s="7">
        <f t="shared" si="46"/>
        <v>0</v>
      </c>
      <c r="I296" s="7">
        <f t="shared" si="46"/>
        <v>0</v>
      </c>
      <c r="J296" s="7">
        <f t="shared" si="46"/>
        <v>0</v>
      </c>
      <c r="K296" s="7">
        <f t="shared" si="46"/>
        <v>0</v>
      </c>
      <c r="L296" s="7">
        <f t="shared" si="46"/>
        <v>0</v>
      </c>
      <c r="M296" s="7">
        <f t="shared" si="46"/>
        <v>0</v>
      </c>
      <c r="N296" s="7">
        <f t="shared" si="46"/>
        <v>0</v>
      </c>
      <c r="O296" s="7">
        <f t="shared" si="46"/>
        <v>0</v>
      </c>
      <c r="P296" s="7">
        <f t="shared" si="46"/>
        <v>0</v>
      </c>
      <c r="Q296" s="7">
        <f t="shared" si="46"/>
        <v>0</v>
      </c>
      <c r="R296" s="7">
        <f t="shared" si="46"/>
        <v>0</v>
      </c>
      <c r="S296" s="7">
        <f t="shared" si="46"/>
        <v>0</v>
      </c>
      <c r="T296" s="7">
        <f t="shared" si="46"/>
        <v>0</v>
      </c>
      <c r="U296" s="7">
        <f t="shared" si="46"/>
        <v>0</v>
      </c>
      <c r="V296" s="7">
        <f t="shared" si="46"/>
        <v>0</v>
      </c>
      <c r="W296" s="7">
        <f t="shared" si="46"/>
        <v>0</v>
      </c>
      <c r="X296" s="7">
        <f t="shared" si="46"/>
        <v>0</v>
      </c>
      <c r="Y296" s="7">
        <f t="shared" si="46"/>
        <v>0</v>
      </c>
      <c r="Z296" s="7">
        <f t="shared" si="46"/>
        <v>0</v>
      </c>
      <c r="AA296" s="7">
        <f t="shared" si="46"/>
        <v>0</v>
      </c>
      <c r="AB296" s="7">
        <f t="shared" si="46"/>
        <v>30</v>
      </c>
      <c r="AC296" s="7">
        <f t="shared" si="46"/>
        <v>14</v>
      </c>
      <c r="AD296" s="7">
        <f t="shared" si="46"/>
        <v>8</v>
      </c>
      <c r="AE296" s="7">
        <f t="shared" si="46"/>
        <v>0</v>
      </c>
      <c r="AF296" s="7">
        <f t="shared" si="46"/>
        <v>0</v>
      </c>
      <c r="AG296" s="7">
        <f t="shared" si="46"/>
        <v>0</v>
      </c>
      <c r="AH296" s="7">
        <f t="shared" si="46"/>
        <v>0</v>
      </c>
      <c r="AI296" s="7">
        <f t="shared" si="46"/>
        <v>0</v>
      </c>
      <c r="AJ296" s="7">
        <f t="shared" si="46"/>
        <v>0</v>
      </c>
      <c r="AK296" s="7">
        <f t="shared" si="46"/>
        <v>0</v>
      </c>
      <c r="AL296" s="7">
        <f t="shared" si="46"/>
        <v>0</v>
      </c>
      <c r="AM296" s="7">
        <f t="shared" si="46"/>
        <v>0</v>
      </c>
      <c r="AN296" s="7">
        <f t="shared" si="46"/>
        <v>0</v>
      </c>
      <c r="AO296" s="7">
        <f t="shared" si="46"/>
        <v>0</v>
      </c>
      <c r="AP296" s="7">
        <f t="shared" si="46"/>
        <v>0</v>
      </c>
      <c r="AQ296" s="7">
        <f t="shared" si="46"/>
        <v>0</v>
      </c>
      <c r="AR296" s="7">
        <f t="shared" si="46"/>
        <v>0</v>
      </c>
      <c r="AS296" s="7">
        <f t="shared" si="46"/>
        <v>0</v>
      </c>
    </row>
    <row r="297" spans="1:45" ht="15" hidden="1" customHeight="1" outlineLevel="1" x14ac:dyDescent="0.35">
      <c r="A297" t="s">
        <v>12</v>
      </c>
      <c r="B297" t="s">
        <v>14</v>
      </c>
      <c r="C297" t="s">
        <v>127</v>
      </c>
      <c r="D297" t="s">
        <v>141</v>
      </c>
      <c r="E297" t="s">
        <v>40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30</v>
      </c>
      <c r="AC297" s="9">
        <v>14</v>
      </c>
      <c r="AD297" s="9">
        <v>8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</row>
    <row r="298" spans="1:45" ht="15" customHeight="1" collapsed="1" x14ac:dyDescent="0.35">
      <c r="A298" s="3" t="s">
        <v>12</v>
      </c>
      <c r="B298" s="3" t="s">
        <v>14</v>
      </c>
      <c r="C298" s="3" t="s">
        <v>128</v>
      </c>
      <c r="D298" s="3" t="s">
        <v>76</v>
      </c>
      <c r="E298" s="3" t="s">
        <v>77</v>
      </c>
      <c r="F298" s="7">
        <f t="shared" ref="F298:AS298" si="47">SUM(F299)</f>
        <v>2</v>
      </c>
      <c r="G298" s="7">
        <f t="shared" si="47"/>
        <v>0</v>
      </c>
      <c r="H298" s="7">
        <f t="shared" si="47"/>
        <v>0</v>
      </c>
      <c r="I298" s="7">
        <f t="shared" si="47"/>
        <v>4</v>
      </c>
      <c r="J298" s="7">
        <f t="shared" si="47"/>
        <v>3</v>
      </c>
      <c r="K298" s="7">
        <f t="shared" si="47"/>
        <v>0.9</v>
      </c>
      <c r="L298" s="7">
        <f t="shared" si="47"/>
        <v>0</v>
      </c>
      <c r="M298" s="7">
        <f t="shared" si="47"/>
        <v>0</v>
      </c>
      <c r="N298" s="7">
        <f t="shared" si="47"/>
        <v>0</v>
      </c>
      <c r="O298" s="7">
        <f t="shared" si="47"/>
        <v>0</v>
      </c>
      <c r="P298" s="7">
        <f t="shared" si="47"/>
        <v>0</v>
      </c>
      <c r="Q298" s="7">
        <f t="shared" si="47"/>
        <v>0</v>
      </c>
      <c r="R298" s="7">
        <f t="shared" si="47"/>
        <v>0</v>
      </c>
      <c r="S298" s="7">
        <f t="shared" si="47"/>
        <v>0</v>
      </c>
      <c r="T298" s="7">
        <f t="shared" si="47"/>
        <v>1</v>
      </c>
      <c r="U298" s="7">
        <f t="shared" si="47"/>
        <v>1</v>
      </c>
      <c r="V298" s="7">
        <f t="shared" si="47"/>
        <v>0</v>
      </c>
      <c r="W298" s="7">
        <f t="shared" si="47"/>
        <v>0</v>
      </c>
      <c r="X298" s="7">
        <f t="shared" si="47"/>
        <v>0</v>
      </c>
      <c r="Y298" s="7">
        <f t="shared" si="47"/>
        <v>0</v>
      </c>
      <c r="Z298" s="7">
        <f t="shared" si="47"/>
        <v>0</v>
      </c>
      <c r="AA298" s="7">
        <f t="shared" si="47"/>
        <v>0</v>
      </c>
      <c r="AB298" s="7">
        <f t="shared" si="47"/>
        <v>0</v>
      </c>
      <c r="AC298" s="7">
        <f t="shared" si="47"/>
        <v>0</v>
      </c>
      <c r="AD298" s="7">
        <f t="shared" si="47"/>
        <v>0</v>
      </c>
      <c r="AE298" s="7">
        <f t="shared" si="47"/>
        <v>0</v>
      </c>
      <c r="AF298" s="7">
        <f t="shared" si="47"/>
        <v>0</v>
      </c>
      <c r="AG298" s="7">
        <f t="shared" si="47"/>
        <v>0</v>
      </c>
      <c r="AH298" s="7">
        <f t="shared" si="47"/>
        <v>0</v>
      </c>
      <c r="AI298" s="7">
        <f t="shared" si="47"/>
        <v>0</v>
      </c>
      <c r="AJ298" s="7">
        <f t="shared" si="47"/>
        <v>0</v>
      </c>
      <c r="AK298" s="7">
        <f t="shared" si="47"/>
        <v>0</v>
      </c>
      <c r="AL298" s="7">
        <f t="shared" si="47"/>
        <v>0</v>
      </c>
      <c r="AM298" s="7">
        <f t="shared" si="47"/>
        <v>0</v>
      </c>
      <c r="AN298" s="7">
        <f t="shared" si="47"/>
        <v>0</v>
      </c>
      <c r="AO298" s="7">
        <f t="shared" si="47"/>
        <v>0</v>
      </c>
      <c r="AP298" s="7">
        <f t="shared" si="47"/>
        <v>0</v>
      </c>
      <c r="AQ298" s="7">
        <f t="shared" si="47"/>
        <v>0</v>
      </c>
      <c r="AR298" s="7">
        <f t="shared" si="47"/>
        <v>0</v>
      </c>
      <c r="AS298" s="7">
        <f t="shared" si="47"/>
        <v>0</v>
      </c>
    </row>
    <row r="299" spans="1:45" ht="15" hidden="1" customHeight="1" outlineLevel="1" x14ac:dyDescent="0.35">
      <c r="A299" t="s">
        <v>12</v>
      </c>
      <c r="B299" t="s">
        <v>14</v>
      </c>
      <c r="C299" t="s">
        <v>128</v>
      </c>
      <c r="D299" t="s">
        <v>141</v>
      </c>
      <c r="E299" t="s">
        <v>108</v>
      </c>
      <c r="F299" s="9">
        <v>2</v>
      </c>
      <c r="G299" s="9">
        <v>0</v>
      </c>
      <c r="H299" s="9">
        <v>0</v>
      </c>
      <c r="I299" s="9">
        <v>4</v>
      </c>
      <c r="J299" s="9">
        <v>3</v>
      </c>
      <c r="K299" s="9">
        <v>0.9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1</v>
      </c>
      <c r="U299" s="9">
        <v>1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</row>
    <row r="300" spans="1:45" ht="15" customHeight="1" collapsed="1" x14ac:dyDescent="0.35">
      <c r="A300" s="3" t="s">
        <v>12</v>
      </c>
      <c r="B300" s="3" t="s">
        <v>14</v>
      </c>
      <c r="C300" s="3" t="s">
        <v>159</v>
      </c>
      <c r="D300" s="3" t="s">
        <v>76</v>
      </c>
      <c r="E300" s="3" t="s">
        <v>77</v>
      </c>
      <c r="F300" s="7">
        <f t="shared" ref="F300:AS300" si="48">SUM(F301)</f>
        <v>0</v>
      </c>
      <c r="G300" s="7">
        <f t="shared" si="48"/>
        <v>0</v>
      </c>
      <c r="H300" s="7">
        <f t="shared" si="48"/>
        <v>0</v>
      </c>
      <c r="I300" s="7">
        <f t="shared" si="48"/>
        <v>0</v>
      </c>
      <c r="J300" s="7">
        <f t="shared" si="48"/>
        <v>0</v>
      </c>
      <c r="K300" s="7">
        <f t="shared" si="48"/>
        <v>0</v>
      </c>
      <c r="L300" s="7">
        <f t="shared" si="48"/>
        <v>0</v>
      </c>
      <c r="M300" s="7">
        <f t="shared" si="48"/>
        <v>0</v>
      </c>
      <c r="N300" s="7">
        <f t="shared" si="48"/>
        <v>0</v>
      </c>
      <c r="O300" s="7">
        <f t="shared" si="48"/>
        <v>0</v>
      </c>
      <c r="P300" s="7">
        <f t="shared" si="48"/>
        <v>0</v>
      </c>
      <c r="Q300" s="7">
        <f t="shared" si="48"/>
        <v>0</v>
      </c>
      <c r="R300" s="7">
        <f t="shared" si="48"/>
        <v>0</v>
      </c>
      <c r="S300" s="7">
        <f t="shared" si="48"/>
        <v>0</v>
      </c>
      <c r="T300" s="7">
        <f t="shared" si="48"/>
        <v>0</v>
      </c>
      <c r="U300" s="7">
        <f t="shared" si="48"/>
        <v>0</v>
      </c>
      <c r="V300" s="7">
        <f t="shared" si="48"/>
        <v>0</v>
      </c>
      <c r="W300" s="7">
        <f t="shared" si="48"/>
        <v>0</v>
      </c>
      <c r="X300" s="7">
        <f t="shared" si="48"/>
        <v>0</v>
      </c>
      <c r="Y300" s="7">
        <f t="shared" si="48"/>
        <v>0</v>
      </c>
      <c r="Z300" s="7">
        <f t="shared" si="48"/>
        <v>0</v>
      </c>
      <c r="AA300" s="7">
        <f t="shared" si="48"/>
        <v>0</v>
      </c>
      <c r="AB300" s="7">
        <f t="shared" si="48"/>
        <v>0</v>
      </c>
      <c r="AC300" s="7">
        <f t="shared" si="48"/>
        <v>6</v>
      </c>
      <c r="AD300" s="7">
        <f t="shared" si="48"/>
        <v>12</v>
      </c>
      <c r="AE300" s="7">
        <f t="shared" si="48"/>
        <v>0</v>
      </c>
      <c r="AF300" s="7">
        <f t="shared" si="48"/>
        <v>0</v>
      </c>
      <c r="AG300" s="7">
        <f t="shared" si="48"/>
        <v>0</v>
      </c>
      <c r="AH300" s="7">
        <f t="shared" si="48"/>
        <v>0</v>
      </c>
      <c r="AI300" s="7">
        <f t="shared" si="48"/>
        <v>0</v>
      </c>
      <c r="AJ300" s="7">
        <f t="shared" si="48"/>
        <v>0</v>
      </c>
      <c r="AK300" s="7">
        <f t="shared" si="48"/>
        <v>0</v>
      </c>
      <c r="AL300" s="7">
        <f t="shared" si="48"/>
        <v>0</v>
      </c>
      <c r="AM300" s="7">
        <f t="shared" si="48"/>
        <v>0</v>
      </c>
      <c r="AN300" s="7">
        <f t="shared" si="48"/>
        <v>0</v>
      </c>
      <c r="AO300" s="7">
        <f t="shared" si="48"/>
        <v>0</v>
      </c>
      <c r="AP300" s="7">
        <f t="shared" si="48"/>
        <v>0</v>
      </c>
      <c r="AQ300" s="7">
        <f t="shared" si="48"/>
        <v>0</v>
      </c>
      <c r="AR300" s="7">
        <f t="shared" si="48"/>
        <v>0</v>
      </c>
      <c r="AS300" s="7">
        <f t="shared" si="48"/>
        <v>0</v>
      </c>
    </row>
    <row r="301" spans="1:45" ht="15" hidden="1" customHeight="1" outlineLevel="1" x14ac:dyDescent="0.35">
      <c r="A301" t="s">
        <v>12</v>
      </c>
      <c r="B301" t="s">
        <v>14</v>
      </c>
      <c r="C301" t="s">
        <v>159</v>
      </c>
      <c r="D301" t="s">
        <v>141</v>
      </c>
      <c r="E301" t="s">
        <v>81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6</v>
      </c>
      <c r="AD301" s="9">
        <v>12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</row>
    <row r="302" spans="1:45" ht="15" customHeight="1" collapsed="1" x14ac:dyDescent="0.35">
      <c r="A302" s="3" t="s">
        <v>12</v>
      </c>
      <c r="B302" s="3" t="s">
        <v>14</v>
      </c>
      <c r="C302" s="3" t="s">
        <v>160</v>
      </c>
      <c r="D302" s="3" t="s">
        <v>76</v>
      </c>
      <c r="E302" s="3" t="s">
        <v>77</v>
      </c>
      <c r="F302" s="7">
        <f t="shared" ref="F302:AS302" si="49">SUM(F303)</f>
        <v>0</v>
      </c>
      <c r="G302" s="7">
        <f t="shared" si="49"/>
        <v>0</v>
      </c>
      <c r="H302" s="7">
        <f t="shared" si="49"/>
        <v>0</v>
      </c>
      <c r="I302" s="7">
        <f t="shared" si="49"/>
        <v>0</v>
      </c>
      <c r="J302" s="7">
        <f t="shared" si="49"/>
        <v>0</v>
      </c>
      <c r="K302" s="7">
        <f t="shared" si="49"/>
        <v>0</v>
      </c>
      <c r="L302" s="7">
        <f t="shared" si="49"/>
        <v>0</v>
      </c>
      <c r="M302" s="7">
        <f t="shared" si="49"/>
        <v>0</v>
      </c>
      <c r="N302" s="7">
        <f t="shared" si="49"/>
        <v>0</v>
      </c>
      <c r="O302" s="7">
        <f t="shared" si="49"/>
        <v>0</v>
      </c>
      <c r="P302" s="7">
        <f t="shared" si="49"/>
        <v>0</v>
      </c>
      <c r="Q302" s="7">
        <f t="shared" si="49"/>
        <v>6</v>
      </c>
      <c r="R302" s="7">
        <f t="shared" si="49"/>
        <v>0</v>
      </c>
      <c r="S302" s="7">
        <f t="shared" si="49"/>
        <v>0</v>
      </c>
      <c r="T302" s="7">
        <f t="shared" si="49"/>
        <v>0</v>
      </c>
      <c r="U302" s="7">
        <f t="shared" si="49"/>
        <v>0</v>
      </c>
      <c r="V302" s="7">
        <f t="shared" si="49"/>
        <v>0</v>
      </c>
      <c r="W302" s="7">
        <f t="shared" si="49"/>
        <v>0</v>
      </c>
      <c r="X302" s="7">
        <f t="shared" si="49"/>
        <v>0</v>
      </c>
      <c r="Y302" s="7">
        <f t="shared" si="49"/>
        <v>0</v>
      </c>
      <c r="Z302" s="7">
        <f t="shared" si="49"/>
        <v>0</v>
      </c>
      <c r="AA302" s="7">
        <f t="shared" si="49"/>
        <v>0</v>
      </c>
      <c r="AB302" s="7">
        <f t="shared" si="49"/>
        <v>0</v>
      </c>
      <c r="AC302" s="7">
        <f t="shared" si="49"/>
        <v>0</v>
      </c>
      <c r="AD302" s="7">
        <f t="shared" si="49"/>
        <v>0</v>
      </c>
      <c r="AE302" s="7">
        <f t="shared" si="49"/>
        <v>0</v>
      </c>
      <c r="AF302" s="7">
        <f t="shared" si="49"/>
        <v>0</v>
      </c>
      <c r="AG302" s="7">
        <f t="shared" si="49"/>
        <v>0</v>
      </c>
      <c r="AH302" s="7">
        <f t="shared" si="49"/>
        <v>0</v>
      </c>
      <c r="AI302" s="7">
        <f t="shared" si="49"/>
        <v>0</v>
      </c>
      <c r="AJ302" s="7">
        <f t="shared" si="49"/>
        <v>0</v>
      </c>
      <c r="AK302" s="7">
        <f t="shared" si="49"/>
        <v>0</v>
      </c>
      <c r="AL302" s="7">
        <f t="shared" si="49"/>
        <v>0</v>
      </c>
      <c r="AM302" s="7">
        <f t="shared" si="49"/>
        <v>0</v>
      </c>
      <c r="AN302" s="7">
        <f t="shared" si="49"/>
        <v>0</v>
      </c>
      <c r="AO302" s="7">
        <f t="shared" si="49"/>
        <v>0</v>
      </c>
      <c r="AP302" s="7">
        <f t="shared" si="49"/>
        <v>0</v>
      </c>
      <c r="AQ302" s="7">
        <f t="shared" si="49"/>
        <v>0</v>
      </c>
      <c r="AR302" s="7">
        <f t="shared" si="49"/>
        <v>0</v>
      </c>
      <c r="AS302" s="7">
        <f t="shared" si="49"/>
        <v>0</v>
      </c>
    </row>
    <row r="303" spans="1:45" ht="15" hidden="1" customHeight="1" outlineLevel="1" x14ac:dyDescent="0.35">
      <c r="A303" t="s">
        <v>12</v>
      </c>
      <c r="B303" t="s">
        <v>14</v>
      </c>
      <c r="C303" t="s">
        <v>160</v>
      </c>
      <c r="D303" t="s">
        <v>141</v>
      </c>
      <c r="E303" t="s">
        <v>94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6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</row>
    <row r="304" spans="1:45" ht="15" customHeight="1" collapsed="1" x14ac:dyDescent="0.35">
      <c r="A304" s="3" t="s">
        <v>12</v>
      </c>
      <c r="B304" s="3" t="s">
        <v>14</v>
      </c>
      <c r="C304" s="3" t="s">
        <v>129</v>
      </c>
      <c r="D304" s="3" t="s">
        <v>76</v>
      </c>
      <c r="E304" s="3" t="s">
        <v>77</v>
      </c>
      <c r="F304" s="7">
        <f t="shared" ref="F304:AS304" si="50">SUM(F305)</f>
        <v>0</v>
      </c>
      <c r="G304" s="7">
        <f t="shared" si="50"/>
        <v>0</v>
      </c>
      <c r="H304" s="7">
        <f t="shared" si="50"/>
        <v>19</v>
      </c>
      <c r="I304" s="7">
        <f t="shared" si="50"/>
        <v>0</v>
      </c>
      <c r="J304" s="7">
        <f t="shared" si="50"/>
        <v>0</v>
      </c>
      <c r="K304" s="7">
        <f t="shared" si="50"/>
        <v>0</v>
      </c>
      <c r="L304" s="7">
        <f t="shared" si="50"/>
        <v>0</v>
      </c>
      <c r="M304" s="7">
        <f t="shared" si="50"/>
        <v>3.1</v>
      </c>
      <c r="N304" s="7">
        <f t="shared" si="50"/>
        <v>0</v>
      </c>
      <c r="O304" s="7">
        <f t="shared" si="50"/>
        <v>13.4</v>
      </c>
      <c r="P304" s="7">
        <f t="shared" si="50"/>
        <v>15</v>
      </c>
      <c r="Q304" s="7">
        <f t="shared" si="50"/>
        <v>0</v>
      </c>
      <c r="R304" s="7">
        <f t="shared" si="50"/>
        <v>0</v>
      </c>
      <c r="S304" s="7">
        <f t="shared" si="50"/>
        <v>10</v>
      </c>
      <c r="T304" s="7">
        <f t="shared" si="50"/>
        <v>15</v>
      </c>
      <c r="U304" s="7">
        <f t="shared" si="50"/>
        <v>10</v>
      </c>
      <c r="V304" s="7">
        <f t="shared" si="50"/>
        <v>0</v>
      </c>
      <c r="W304" s="7">
        <f t="shared" si="50"/>
        <v>0</v>
      </c>
      <c r="X304" s="7">
        <f t="shared" si="50"/>
        <v>30.7</v>
      </c>
      <c r="Y304" s="7">
        <f t="shared" si="50"/>
        <v>0</v>
      </c>
      <c r="Z304" s="7">
        <f t="shared" si="50"/>
        <v>0</v>
      </c>
      <c r="AA304" s="7">
        <f t="shared" si="50"/>
        <v>0</v>
      </c>
      <c r="AB304" s="7">
        <f t="shared" si="50"/>
        <v>0</v>
      </c>
      <c r="AC304" s="7">
        <f t="shared" si="50"/>
        <v>0</v>
      </c>
      <c r="AD304" s="7">
        <f t="shared" si="50"/>
        <v>0</v>
      </c>
      <c r="AE304" s="7">
        <f t="shared" si="50"/>
        <v>0</v>
      </c>
      <c r="AF304" s="7">
        <f t="shared" si="50"/>
        <v>0</v>
      </c>
      <c r="AG304" s="7">
        <f t="shared" si="50"/>
        <v>0</v>
      </c>
      <c r="AH304" s="7">
        <f t="shared" si="50"/>
        <v>0</v>
      </c>
      <c r="AI304" s="7">
        <f t="shared" si="50"/>
        <v>0</v>
      </c>
      <c r="AJ304" s="7">
        <f t="shared" si="50"/>
        <v>0</v>
      </c>
      <c r="AK304" s="7">
        <f t="shared" si="50"/>
        <v>0</v>
      </c>
      <c r="AL304" s="7">
        <f t="shared" si="50"/>
        <v>0</v>
      </c>
      <c r="AM304" s="7">
        <f t="shared" si="50"/>
        <v>0</v>
      </c>
      <c r="AN304" s="7">
        <f t="shared" si="50"/>
        <v>0</v>
      </c>
      <c r="AO304" s="7">
        <f t="shared" si="50"/>
        <v>0</v>
      </c>
      <c r="AP304" s="7">
        <f t="shared" si="50"/>
        <v>0</v>
      </c>
      <c r="AQ304" s="7">
        <f t="shared" si="50"/>
        <v>0</v>
      </c>
      <c r="AR304" s="7">
        <f t="shared" si="50"/>
        <v>0</v>
      </c>
      <c r="AS304" s="7">
        <f t="shared" si="50"/>
        <v>0</v>
      </c>
    </row>
    <row r="305" spans="1:45" ht="15" hidden="1" customHeight="1" outlineLevel="1" x14ac:dyDescent="0.35">
      <c r="A305" t="s">
        <v>12</v>
      </c>
      <c r="B305" t="s">
        <v>14</v>
      </c>
      <c r="C305" t="s">
        <v>129</v>
      </c>
      <c r="D305" t="s">
        <v>141</v>
      </c>
      <c r="E305" t="s">
        <v>102</v>
      </c>
      <c r="F305" s="9">
        <v>0</v>
      </c>
      <c r="G305" s="9">
        <v>0</v>
      </c>
      <c r="H305" s="9">
        <v>19</v>
      </c>
      <c r="I305" s="9">
        <v>0</v>
      </c>
      <c r="J305" s="9">
        <v>0</v>
      </c>
      <c r="K305" s="9">
        <v>0</v>
      </c>
      <c r="L305" s="9">
        <v>0</v>
      </c>
      <c r="M305" s="9">
        <v>3.1</v>
      </c>
      <c r="N305" s="9">
        <v>0</v>
      </c>
      <c r="O305" s="9">
        <v>13.4</v>
      </c>
      <c r="P305" s="9">
        <v>15</v>
      </c>
      <c r="Q305" s="9">
        <v>0</v>
      </c>
      <c r="R305" s="9">
        <v>0</v>
      </c>
      <c r="S305" s="9">
        <v>10</v>
      </c>
      <c r="T305" s="9">
        <v>15</v>
      </c>
      <c r="U305" s="9">
        <v>10</v>
      </c>
      <c r="V305" s="9">
        <v>0</v>
      </c>
      <c r="W305" s="9">
        <v>0</v>
      </c>
      <c r="X305" s="9">
        <v>30.7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</row>
    <row r="306" spans="1:45" ht="15" customHeight="1" collapsed="1" x14ac:dyDescent="0.35">
      <c r="A306" s="3" t="s">
        <v>12</v>
      </c>
      <c r="B306" s="3" t="s">
        <v>14</v>
      </c>
      <c r="C306" s="3" t="s">
        <v>161</v>
      </c>
      <c r="D306" s="3" t="s">
        <v>76</v>
      </c>
      <c r="E306" s="3" t="s">
        <v>77</v>
      </c>
      <c r="F306" s="7">
        <f t="shared" ref="F306:AS306" si="51">SUM(F307)</f>
        <v>2.5</v>
      </c>
      <c r="G306" s="7">
        <f t="shared" si="51"/>
        <v>0</v>
      </c>
      <c r="H306" s="7">
        <f t="shared" si="51"/>
        <v>0</v>
      </c>
      <c r="I306" s="7">
        <f t="shared" si="51"/>
        <v>0</v>
      </c>
      <c r="J306" s="7">
        <f t="shared" si="51"/>
        <v>0</v>
      </c>
      <c r="K306" s="7">
        <f t="shared" si="51"/>
        <v>0</v>
      </c>
      <c r="L306" s="7">
        <f t="shared" si="51"/>
        <v>0</v>
      </c>
      <c r="M306" s="7">
        <f t="shared" si="51"/>
        <v>0</v>
      </c>
      <c r="N306" s="7">
        <f t="shared" si="51"/>
        <v>0</v>
      </c>
      <c r="O306" s="7">
        <f t="shared" si="51"/>
        <v>0</v>
      </c>
      <c r="P306" s="7">
        <f t="shared" si="51"/>
        <v>0</v>
      </c>
      <c r="Q306" s="7">
        <f t="shared" si="51"/>
        <v>0</v>
      </c>
      <c r="R306" s="7">
        <f t="shared" si="51"/>
        <v>0</v>
      </c>
      <c r="S306" s="7">
        <f t="shared" si="51"/>
        <v>0</v>
      </c>
      <c r="T306" s="7">
        <f t="shared" si="51"/>
        <v>0</v>
      </c>
      <c r="U306" s="7">
        <f t="shared" si="51"/>
        <v>0</v>
      </c>
      <c r="V306" s="7">
        <f t="shared" si="51"/>
        <v>0</v>
      </c>
      <c r="W306" s="7">
        <f t="shared" si="51"/>
        <v>0</v>
      </c>
      <c r="X306" s="7">
        <f t="shared" si="51"/>
        <v>0</v>
      </c>
      <c r="Y306" s="7">
        <f t="shared" si="51"/>
        <v>0</v>
      </c>
      <c r="Z306" s="7">
        <f t="shared" si="51"/>
        <v>0</v>
      </c>
      <c r="AA306" s="7">
        <f t="shared" si="51"/>
        <v>0</v>
      </c>
      <c r="AB306" s="7">
        <f t="shared" si="51"/>
        <v>0</v>
      </c>
      <c r="AC306" s="7">
        <f t="shared" si="51"/>
        <v>0</v>
      </c>
      <c r="AD306" s="7">
        <f t="shared" si="51"/>
        <v>0</v>
      </c>
      <c r="AE306" s="7">
        <f t="shared" si="51"/>
        <v>0</v>
      </c>
      <c r="AF306" s="7">
        <f t="shared" si="51"/>
        <v>0</v>
      </c>
      <c r="AG306" s="7">
        <f t="shared" si="51"/>
        <v>0</v>
      </c>
      <c r="AH306" s="7">
        <f t="shared" si="51"/>
        <v>0</v>
      </c>
      <c r="AI306" s="7">
        <f t="shared" si="51"/>
        <v>0</v>
      </c>
      <c r="AJ306" s="7">
        <f t="shared" si="51"/>
        <v>0</v>
      </c>
      <c r="AK306" s="7">
        <f t="shared" si="51"/>
        <v>0</v>
      </c>
      <c r="AL306" s="7">
        <f t="shared" si="51"/>
        <v>0</v>
      </c>
      <c r="AM306" s="7">
        <f t="shared" si="51"/>
        <v>0</v>
      </c>
      <c r="AN306" s="7">
        <f t="shared" si="51"/>
        <v>0</v>
      </c>
      <c r="AO306" s="7">
        <f t="shared" si="51"/>
        <v>0</v>
      </c>
      <c r="AP306" s="7">
        <f t="shared" si="51"/>
        <v>0</v>
      </c>
      <c r="AQ306" s="7">
        <f t="shared" si="51"/>
        <v>0</v>
      </c>
      <c r="AR306" s="7">
        <f t="shared" si="51"/>
        <v>0</v>
      </c>
      <c r="AS306" s="7">
        <f t="shared" si="51"/>
        <v>0</v>
      </c>
    </row>
    <row r="307" spans="1:45" ht="15" hidden="1" customHeight="1" outlineLevel="1" x14ac:dyDescent="0.35">
      <c r="A307" t="s">
        <v>12</v>
      </c>
      <c r="B307" t="s">
        <v>14</v>
      </c>
      <c r="C307" t="s">
        <v>161</v>
      </c>
      <c r="D307" t="s">
        <v>141</v>
      </c>
      <c r="E307" t="s">
        <v>97</v>
      </c>
      <c r="F307" s="9">
        <v>2.5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</row>
    <row r="308" spans="1:45" ht="15" customHeight="1" collapsed="1" x14ac:dyDescent="0.35">
      <c r="A308" s="3" t="s">
        <v>12</v>
      </c>
      <c r="B308" s="3" t="s">
        <v>14</v>
      </c>
      <c r="C308" s="3" t="s">
        <v>130</v>
      </c>
      <c r="D308" s="3" t="s">
        <v>76</v>
      </c>
      <c r="E308" s="3" t="s">
        <v>77</v>
      </c>
      <c r="F308" s="7">
        <f t="shared" ref="F308:AS308" si="52">SUM(F309)</f>
        <v>8.8214290000000002</v>
      </c>
      <c r="G308" s="7">
        <f t="shared" si="52"/>
        <v>12</v>
      </c>
      <c r="H308" s="7">
        <f t="shared" si="52"/>
        <v>0</v>
      </c>
      <c r="I308" s="7">
        <f t="shared" si="52"/>
        <v>0</v>
      </c>
      <c r="J308" s="7">
        <f t="shared" si="52"/>
        <v>0</v>
      </c>
      <c r="K308" s="7">
        <f t="shared" si="52"/>
        <v>0</v>
      </c>
      <c r="L308" s="7">
        <f t="shared" si="52"/>
        <v>19</v>
      </c>
      <c r="M308" s="7">
        <f t="shared" si="52"/>
        <v>0</v>
      </c>
      <c r="N308" s="7">
        <f t="shared" si="52"/>
        <v>0</v>
      </c>
      <c r="O308" s="7">
        <f t="shared" si="52"/>
        <v>0</v>
      </c>
      <c r="P308" s="7">
        <f t="shared" si="52"/>
        <v>0</v>
      </c>
      <c r="Q308" s="7">
        <f t="shared" si="52"/>
        <v>1</v>
      </c>
      <c r="R308" s="7">
        <f t="shared" si="52"/>
        <v>0</v>
      </c>
      <c r="S308" s="7">
        <f t="shared" si="52"/>
        <v>1</v>
      </c>
      <c r="T308" s="7">
        <f t="shared" si="52"/>
        <v>0</v>
      </c>
      <c r="U308" s="7">
        <f t="shared" si="52"/>
        <v>0</v>
      </c>
      <c r="V308" s="7">
        <f t="shared" si="52"/>
        <v>0</v>
      </c>
      <c r="W308" s="7">
        <f t="shared" si="52"/>
        <v>0</v>
      </c>
      <c r="X308" s="7">
        <f t="shared" si="52"/>
        <v>0</v>
      </c>
      <c r="Y308" s="7">
        <f t="shared" si="52"/>
        <v>0</v>
      </c>
      <c r="Z308" s="7">
        <f t="shared" si="52"/>
        <v>0</v>
      </c>
      <c r="AA308" s="7">
        <f t="shared" si="52"/>
        <v>0</v>
      </c>
      <c r="AB308" s="7">
        <f t="shared" si="52"/>
        <v>0</v>
      </c>
      <c r="AC308" s="7">
        <f t="shared" si="52"/>
        <v>0</v>
      </c>
      <c r="AD308" s="7">
        <f t="shared" si="52"/>
        <v>0</v>
      </c>
      <c r="AE308" s="7">
        <f t="shared" si="52"/>
        <v>0</v>
      </c>
      <c r="AF308" s="7">
        <f t="shared" si="52"/>
        <v>0</v>
      </c>
      <c r="AG308" s="7">
        <f t="shared" si="52"/>
        <v>0</v>
      </c>
      <c r="AH308" s="7">
        <f t="shared" si="52"/>
        <v>0</v>
      </c>
      <c r="AI308" s="7">
        <f t="shared" si="52"/>
        <v>0</v>
      </c>
      <c r="AJ308" s="7">
        <f t="shared" si="52"/>
        <v>0</v>
      </c>
      <c r="AK308" s="7">
        <f t="shared" si="52"/>
        <v>0</v>
      </c>
      <c r="AL308" s="7">
        <f t="shared" si="52"/>
        <v>0</v>
      </c>
      <c r="AM308" s="7">
        <f t="shared" si="52"/>
        <v>0</v>
      </c>
      <c r="AN308" s="7">
        <f t="shared" si="52"/>
        <v>0</v>
      </c>
      <c r="AO308" s="7">
        <f t="shared" si="52"/>
        <v>0</v>
      </c>
      <c r="AP308" s="7">
        <f t="shared" si="52"/>
        <v>0</v>
      </c>
      <c r="AQ308" s="7">
        <f t="shared" si="52"/>
        <v>0</v>
      </c>
      <c r="AR308" s="7">
        <f t="shared" si="52"/>
        <v>0</v>
      </c>
      <c r="AS308" s="7">
        <f t="shared" si="52"/>
        <v>0</v>
      </c>
    </row>
    <row r="309" spans="1:45" ht="15" hidden="1" customHeight="1" outlineLevel="1" x14ac:dyDescent="0.35">
      <c r="A309" t="s">
        <v>12</v>
      </c>
      <c r="B309" t="s">
        <v>14</v>
      </c>
      <c r="C309" t="s">
        <v>130</v>
      </c>
      <c r="D309" t="s">
        <v>141</v>
      </c>
      <c r="E309" t="s">
        <v>85</v>
      </c>
      <c r="F309" s="9">
        <v>8.8214290000000002</v>
      </c>
      <c r="G309" s="9">
        <v>12</v>
      </c>
      <c r="H309" s="9">
        <v>0</v>
      </c>
      <c r="I309" s="9">
        <v>0</v>
      </c>
      <c r="J309" s="9">
        <v>0</v>
      </c>
      <c r="K309" s="9">
        <v>0</v>
      </c>
      <c r="L309" s="9">
        <v>19</v>
      </c>
      <c r="M309" s="9">
        <v>0</v>
      </c>
      <c r="N309" s="9">
        <v>0</v>
      </c>
      <c r="O309" s="9">
        <v>0</v>
      </c>
      <c r="P309" s="9">
        <v>0</v>
      </c>
      <c r="Q309" s="9">
        <v>1</v>
      </c>
      <c r="R309" s="9">
        <v>0</v>
      </c>
      <c r="S309" s="9">
        <v>1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</row>
    <row r="310" spans="1:45" ht="15" customHeight="1" collapsed="1" x14ac:dyDescent="0.35">
      <c r="A310" s="3" t="s">
        <v>12</v>
      </c>
      <c r="B310" s="3" t="s">
        <v>14</v>
      </c>
      <c r="C310" s="3" t="s">
        <v>162</v>
      </c>
      <c r="D310" s="3" t="s">
        <v>76</v>
      </c>
      <c r="E310" s="3" t="s">
        <v>77</v>
      </c>
      <c r="F310" s="7">
        <f t="shared" ref="F310:AS310" si="53">SUM(F311)</f>
        <v>0</v>
      </c>
      <c r="G310" s="7">
        <f t="shared" si="53"/>
        <v>0</v>
      </c>
      <c r="H310" s="7">
        <f t="shared" si="53"/>
        <v>0</v>
      </c>
      <c r="I310" s="7">
        <f t="shared" si="53"/>
        <v>0</v>
      </c>
      <c r="J310" s="7">
        <f t="shared" si="53"/>
        <v>0</v>
      </c>
      <c r="K310" s="7">
        <f t="shared" si="53"/>
        <v>0</v>
      </c>
      <c r="L310" s="7">
        <f t="shared" si="53"/>
        <v>0</v>
      </c>
      <c r="M310" s="7">
        <f t="shared" si="53"/>
        <v>15</v>
      </c>
      <c r="N310" s="7">
        <f t="shared" si="53"/>
        <v>0</v>
      </c>
      <c r="O310" s="7">
        <f t="shared" si="53"/>
        <v>6.3461540000000003</v>
      </c>
      <c r="P310" s="7">
        <f t="shared" si="53"/>
        <v>11.346154</v>
      </c>
      <c r="Q310" s="7">
        <f t="shared" si="53"/>
        <v>11.346154</v>
      </c>
      <c r="R310" s="7">
        <f t="shared" si="53"/>
        <v>1.3461540000000001</v>
      </c>
      <c r="S310" s="7">
        <f t="shared" si="53"/>
        <v>0</v>
      </c>
      <c r="T310" s="7">
        <f t="shared" si="53"/>
        <v>0</v>
      </c>
      <c r="U310" s="7">
        <f t="shared" si="53"/>
        <v>0</v>
      </c>
      <c r="V310" s="7">
        <f t="shared" si="53"/>
        <v>0</v>
      </c>
      <c r="W310" s="7">
        <f t="shared" si="53"/>
        <v>0</v>
      </c>
      <c r="X310" s="7">
        <f t="shared" si="53"/>
        <v>17.5</v>
      </c>
      <c r="Y310" s="7">
        <f t="shared" si="53"/>
        <v>42.5</v>
      </c>
      <c r="Z310" s="7">
        <f t="shared" si="53"/>
        <v>5</v>
      </c>
      <c r="AA310" s="7">
        <f t="shared" si="53"/>
        <v>10</v>
      </c>
      <c r="AB310" s="7">
        <f t="shared" si="53"/>
        <v>0</v>
      </c>
      <c r="AC310" s="7">
        <f t="shared" si="53"/>
        <v>0</v>
      </c>
      <c r="AD310" s="7">
        <f t="shared" si="53"/>
        <v>0</v>
      </c>
      <c r="AE310" s="7">
        <f t="shared" si="53"/>
        <v>0</v>
      </c>
      <c r="AF310" s="7">
        <f t="shared" si="53"/>
        <v>0</v>
      </c>
      <c r="AG310" s="7">
        <f t="shared" si="53"/>
        <v>0</v>
      </c>
      <c r="AH310" s="7">
        <f t="shared" si="53"/>
        <v>0</v>
      </c>
      <c r="AI310" s="7">
        <f t="shared" si="53"/>
        <v>0</v>
      </c>
      <c r="AJ310" s="7">
        <f t="shared" si="53"/>
        <v>0</v>
      </c>
      <c r="AK310" s="7">
        <f t="shared" si="53"/>
        <v>0</v>
      </c>
      <c r="AL310" s="7">
        <f t="shared" si="53"/>
        <v>0</v>
      </c>
      <c r="AM310" s="7">
        <f t="shared" si="53"/>
        <v>0</v>
      </c>
      <c r="AN310" s="7">
        <f t="shared" si="53"/>
        <v>0</v>
      </c>
      <c r="AO310" s="7">
        <f t="shared" si="53"/>
        <v>0</v>
      </c>
      <c r="AP310" s="7">
        <f t="shared" si="53"/>
        <v>0</v>
      </c>
      <c r="AQ310" s="7">
        <f t="shared" si="53"/>
        <v>0</v>
      </c>
      <c r="AR310" s="7">
        <f t="shared" si="53"/>
        <v>0</v>
      </c>
      <c r="AS310" s="7">
        <f t="shared" si="53"/>
        <v>0</v>
      </c>
    </row>
    <row r="311" spans="1:45" ht="15" hidden="1" customHeight="1" outlineLevel="1" x14ac:dyDescent="0.35">
      <c r="A311" t="s">
        <v>12</v>
      </c>
      <c r="B311" t="s">
        <v>14</v>
      </c>
      <c r="C311" t="s">
        <v>162</v>
      </c>
      <c r="D311" t="s">
        <v>141</v>
      </c>
      <c r="E311" t="s">
        <v>103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15</v>
      </c>
      <c r="N311" s="9">
        <v>0</v>
      </c>
      <c r="O311" s="9">
        <v>6.3461540000000003</v>
      </c>
      <c r="P311" s="9">
        <v>11.346154</v>
      </c>
      <c r="Q311" s="9">
        <v>11.346154</v>
      </c>
      <c r="R311" s="9">
        <v>1.3461540000000001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17.5</v>
      </c>
      <c r="Y311" s="9">
        <v>42.5</v>
      </c>
      <c r="Z311" s="9">
        <v>5</v>
      </c>
      <c r="AA311" s="9">
        <v>10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</row>
    <row r="312" spans="1:45" ht="15" customHeight="1" collapsed="1" x14ac:dyDescent="0.35">
      <c r="A312" s="3" t="s">
        <v>12</v>
      </c>
      <c r="B312" s="3" t="s">
        <v>14</v>
      </c>
      <c r="C312" s="3" t="s">
        <v>131</v>
      </c>
      <c r="D312" s="3" t="s">
        <v>76</v>
      </c>
      <c r="E312" s="3" t="s">
        <v>77</v>
      </c>
      <c r="F312" s="7">
        <f t="shared" ref="F312:AS312" si="54">SUM(F313)</f>
        <v>0</v>
      </c>
      <c r="G312" s="7">
        <f t="shared" si="54"/>
        <v>0</v>
      </c>
      <c r="H312" s="7">
        <f t="shared" si="54"/>
        <v>0</v>
      </c>
      <c r="I312" s="7">
        <f t="shared" si="54"/>
        <v>0</v>
      </c>
      <c r="J312" s="7">
        <f t="shared" si="54"/>
        <v>0</v>
      </c>
      <c r="K312" s="7">
        <f t="shared" si="54"/>
        <v>0</v>
      </c>
      <c r="L312" s="7">
        <f t="shared" si="54"/>
        <v>0</v>
      </c>
      <c r="M312" s="7">
        <f t="shared" si="54"/>
        <v>0</v>
      </c>
      <c r="N312" s="7">
        <f t="shared" si="54"/>
        <v>0</v>
      </c>
      <c r="O312" s="7">
        <f t="shared" si="54"/>
        <v>0</v>
      </c>
      <c r="P312" s="7">
        <f t="shared" si="54"/>
        <v>0</v>
      </c>
      <c r="Q312" s="7">
        <f t="shared" si="54"/>
        <v>0</v>
      </c>
      <c r="R312" s="7">
        <f t="shared" si="54"/>
        <v>0</v>
      </c>
      <c r="S312" s="7">
        <f t="shared" si="54"/>
        <v>0</v>
      </c>
      <c r="T312" s="7">
        <f t="shared" si="54"/>
        <v>0</v>
      </c>
      <c r="U312" s="7">
        <f t="shared" si="54"/>
        <v>0</v>
      </c>
      <c r="V312" s="7">
        <f t="shared" si="54"/>
        <v>0</v>
      </c>
      <c r="W312" s="7">
        <f t="shared" si="54"/>
        <v>0</v>
      </c>
      <c r="X312" s="7">
        <f t="shared" si="54"/>
        <v>0</v>
      </c>
      <c r="Y312" s="7">
        <f t="shared" si="54"/>
        <v>0</v>
      </c>
      <c r="Z312" s="7">
        <f t="shared" si="54"/>
        <v>0</v>
      </c>
      <c r="AA312" s="7">
        <f t="shared" si="54"/>
        <v>0</v>
      </c>
      <c r="AB312" s="7">
        <f t="shared" si="54"/>
        <v>25</v>
      </c>
      <c r="AC312" s="7">
        <f t="shared" si="54"/>
        <v>30</v>
      </c>
      <c r="AD312" s="7">
        <f t="shared" si="54"/>
        <v>21</v>
      </c>
      <c r="AE312" s="7">
        <f t="shared" si="54"/>
        <v>0</v>
      </c>
      <c r="AF312" s="7">
        <f t="shared" si="54"/>
        <v>0</v>
      </c>
      <c r="AG312" s="7">
        <f t="shared" si="54"/>
        <v>0</v>
      </c>
      <c r="AH312" s="7">
        <f t="shared" si="54"/>
        <v>0</v>
      </c>
      <c r="AI312" s="7">
        <f t="shared" si="54"/>
        <v>0</v>
      </c>
      <c r="AJ312" s="7">
        <f t="shared" si="54"/>
        <v>0</v>
      </c>
      <c r="AK312" s="7">
        <f t="shared" si="54"/>
        <v>0</v>
      </c>
      <c r="AL312" s="7">
        <f t="shared" si="54"/>
        <v>0</v>
      </c>
      <c r="AM312" s="7">
        <f t="shared" si="54"/>
        <v>0</v>
      </c>
      <c r="AN312" s="7">
        <f t="shared" si="54"/>
        <v>0</v>
      </c>
      <c r="AO312" s="7">
        <f t="shared" si="54"/>
        <v>0</v>
      </c>
      <c r="AP312" s="7">
        <f t="shared" si="54"/>
        <v>0</v>
      </c>
      <c r="AQ312" s="7">
        <f t="shared" si="54"/>
        <v>0</v>
      </c>
      <c r="AR312" s="7">
        <f t="shared" si="54"/>
        <v>0</v>
      </c>
      <c r="AS312" s="7">
        <f t="shared" si="54"/>
        <v>0</v>
      </c>
    </row>
    <row r="313" spans="1:45" ht="15" hidden="1" customHeight="1" outlineLevel="1" x14ac:dyDescent="0.35">
      <c r="A313" t="s">
        <v>12</v>
      </c>
      <c r="B313" t="s">
        <v>14</v>
      </c>
      <c r="C313" t="s">
        <v>131</v>
      </c>
      <c r="D313" t="s">
        <v>141</v>
      </c>
      <c r="E313" t="s">
        <v>100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25</v>
      </c>
      <c r="AC313" s="9">
        <v>30</v>
      </c>
      <c r="AD313" s="9">
        <v>21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</row>
    <row r="314" spans="1:45" ht="15" customHeight="1" collapsed="1" x14ac:dyDescent="0.35">
      <c r="A314" s="3" t="s">
        <v>12</v>
      </c>
      <c r="B314" s="3" t="s">
        <v>14</v>
      </c>
      <c r="C314" s="3" t="s">
        <v>132</v>
      </c>
      <c r="D314" s="3" t="s">
        <v>76</v>
      </c>
      <c r="E314" s="3" t="s">
        <v>77</v>
      </c>
      <c r="F314" s="7">
        <f t="shared" ref="F314:AS314" si="55">SUM(F315)</f>
        <v>0</v>
      </c>
      <c r="G314" s="7">
        <f t="shared" si="55"/>
        <v>0</v>
      </c>
      <c r="H314" s="7">
        <f t="shared" si="55"/>
        <v>0</v>
      </c>
      <c r="I314" s="7">
        <f t="shared" si="55"/>
        <v>0</v>
      </c>
      <c r="J314" s="7">
        <f t="shared" si="55"/>
        <v>0</v>
      </c>
      <c r="K314" s="7">
        <f t="shared" si="55"/>
        <v>0</v>
      </c>
      <c r="L314" s="7">
        <f t="shared" si="55"/>
        <v>0</v>
      </c>
      <c r="M314" s="7">
        <f t="shared" si="55"/>
        <v>0</v>
      </c>
      <c r="N314" s="7">
        <f t="shared" si="55"/>
        <v>0</v>
      </c>
      <c r="O314" s="7">
        <f t="shared" si="55"/>
        <v>0</v>
      </c>
      <c r="P314" s="7">
        <f t="shared" si="55"/>
        <v>0</v>
      </c>
      <c r="Q314" s="7">
        <f t="shared" si="55"/>
        <v>0</v>
      </c>
      <c r="R314" s="7">
        <f t="shared" si="55"/>
        <v>0</v>
      </c>
      <c r="S314" s="7">
        <f t="shared" si="55"/>
        <v>0</v>
      </c>
      <c r="T314" s="7">
        <f t="shared" si="55"/>
        <v>0</v>
      </c>
      <c r="U314" s="7">
        <f t="shared" si="55"/>
        <v>0</v>
      </c>
      <c r="V314" s="7">
        <f t="shared" si="55"/>
        <v>0</v>
      </c>
      <c r="W314" s="7">
        <f t="shared" si="55"/>
        <v>0</v>
      </c>
      <c r="X314" s="7">
        <f t="shared" si="55"/>
        <v>0</v>
      </c>
      <c r="Y314" s="7">
        <f t="shared" si="55"/>
        <v>0</v>
      </c>
      <c r="Z314" s="7">
        <f t="shared" si="55"/>
        <v>50</v>
      </c>
      <c r="AA314" s="7">
        <f t="shared" si="55"/>
        <v>0</v>
      </c>
      <c r="AB314" s="7">
        <f t="shared" si="55"/>
        <v>0</v>
      </c>
      <c r="AC314" s="7">
        <f t="shared" si="55"/>
        <v>0</v>
      </c>
      <c r="AD314" s="7">
        <f t="shared" si="55"/>
        <v>0</v>
      </c>
      <c r="AE314" s="7">
        <f t="shared" si="55"/>
        <v>0</v>
      </c>
      <c r="AF314" s="7">
        <f t="shared" si="55"/>
        <v>0</v>
      </c>
      <c r="AG314" s="7">
        <f t="shared" si="55"/>
        <v>0</v>
      </c>
      <c r="AH314" s="7">
        <f t="shared" si="55"/>
        <v>0</v>
      </c>
      <c r="AI314" s="7">
        <f t="shared" si="55"/>
        <v>0</v>
      </c>
      <c r="AJ314" s="7">
        <f t="shared" si="55"/>
        <v>0</v>
      </c>
      <c r="AK314" s="7">
        <f t="shared" si="55"/>
        <v>0</v>
      </c>
      <c r="AL314" s="7">
        <f t="shared" si="55"/>
        <v>0</v>
      </c>
      <c r="AM314" s="7">
        <f t="shared" si="55"/>
        <v>0</v>
      </c>
      <c r="AN314" s="7">
        <f t="shared" si="55"/>
        <v>0</v>
      </c>
      <c r="AO314" s="7">
        <f t="shared" si="55"/>
        <v>0</v>
      </c>
      <c r="AP314" s="7">
        <f t="shared" si="55"/>
        <v>0</v>
      </c>
      <c r="AQ314" s="7">
        <f t="shared" si="55"/>
        <v>0</v>
      </c>
      <c r="AR314" s="7">
        <f t="shared" si="55"/>
        <v>0</v>
      </c>
      <c r="AS314" s="7">
        <f t="shared" si="55"/>
        <v>0</v>
      </c>
    </row>
    <row r="315" spans="1:45" ht="15" hidden="1" customHeight="1" outlineLevel="1" x14ac:dyDescent="0.35">
      <c r="A315" t="s">
        <v>12</v>
      </c>
      <c r="B315" t="s">
        <v>14</v>
      </c>
      <c r="C315" t="s">
        <v>132</v>
      </c>
      <c r="D315" t="s">
        <v>141</v>
      </c>
      <c r="E315" t="s">
        <v>103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50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</row>
    <row r="316" spans="1:45" ht="15" customHeight="1" collapsed="1" x14ac:dyDescent="0.35">
      <c r="A316" s="3" t="s">
        <v>12</v>
      </c>
      <c r="B316" s="3" t="s">
        <v>14</v>
      </c>
      <c r="C316" s="3" t="s">
        <v>163</v>
      </c>
      <c r="D316" s="3" t="s">
        <v>76</v>
      </c>
      <c r="E316" s="3" t="s">
        <v>77</v>
      </c>
      <c r="F316" s="7">
        <f t="shared" ref="F316:AS316" si="56">SUM(F317)</f>
        <v>9</v>
      </c>
      <c r="G316" s="7">
        <f t="shared" si="56"/>
        <v>0</v>
      </c>
      <c r="H316" s="7">
        <f t="shared" si="56"/>
        <v>0</v>
      </c>
      <c r="I316" s="7">
        <f t="shared" si="56"/>
        <v>0</v>
      </c>
      <c r="J316" s="7">
        <f t="shared" si="56"/>
        <v>0</v>
      </c>
      <c r="K316" s="7">
        <f t="shared" si="56"/>
        <v>0</v>
      </c>
      <c r="L316" s="7">
        <f t="shared" si="56"/>
        <v>0</v>
      </c>
      <c r="M316" s="7">
        <f t="shared" si="56"/>
        <v>0</v>
      </c>
      <c r="N316" s="7">
        <f t="shared" si="56"/>
        <v>0</v>
      </c>
      <c r="O316" s="7">
        <f t="shared" si="56"/>
        <v>0</v>
      </c>
      <c r="P316" s="7">
        <f t="shared" si="56"/>
        <v>3</v>
      </c>
      <c r="Q316" s="7">
        <f t="shared" si="56"/>
        <v>5</v>
      </c>
      <c r="R316" s="7">
        <f t="shared" si="56"/>
        <v>0</v>
      </c>
      <c r="S316" s="7">
        <f t="shared" si="56"/>
        <v>0</v>
      </c>
      <c r="T316" s="7">
        <f t="shared" si="56"/>
        <v>0</v>
      </c>
      <c r="U316" s="7">
        <f t="shared" si="56"/>
        <v>0</v>
      </c>
      <c r="V316" s="7">
        <f t="shared" si="56"/>
        <v>0</v>
      </c>
      <c r="W316" s="7">
        <f t="shared" si="56"/>
        <v>0</v>
      </c>
      <c r="X316" s="7">
        <f t="shared" si="56"/>
        <v>0</v>
      </c>
      <c r="Y316" s="7">
        <f t="shared" si="56"/>
        <v>0</v>
      </c>
      <c r="Z316" s="7">
        <f t="shared" si="56"/>
        <v>0</v>
      </c>
      <c r="AA316" s="7">
        <f t="shared" si="56"/>
        <v>0</v>
      </c>
      <c r="AB316" s="7">
        <f t="shared" si="56"/>
        <v>0</v>
      </c>
      <c r="AC316" s="7">
        <f t="shared" si="56"/>
        <v>0</v>
      </c>
      <c r="AD316" s="7">
        <f t="shared" si="56"/>
        <v>0</v>
      </c>
      <c r="AE316" s="7">
        <f t="shared" si="56"/>
        <v>0</v>
      </c>
      <c r="AF316" s="7">
        <f t="shared" si="56"/>
        <v>0</v>
      </c>
      <c r="AG316" s="7">
        <f t="shared" si="56"/>
        <v>0</v>
      </c>
      <c r="AH316" s="7">
        <f t="shared" si="56"/>
        <v>0</v>
      </c>
      <c r="AI316" s="7">
        <f t="shared" si="56"/>
        <v>0</v>
      </c>
      <c r="AJ316" s="7">
        <f t="shared" si="56"/>
        <v>0</v>
      </c>
      <c r="AK316" s="7">
        <f t="shared" si="56"/>
        <v>0</v>
      </c>
      <c r="AL316" s="7">
        <f t="shared" si="56"/>
        <v>0</v>
      </c>
      <c r="AM316" s="7">
        <f t="shared" si="56"/>
        <v>0</v>
      </c>
      <c r="AN316" s="7">
        <f t="shared" si="56"/>
        <v>0</v>
      </c>
      <c r="AO316" s="7">
        <f t="shared" si="56"/>
        <v>0</v>
      </c>
      <c r="AP316" s="7">
        <f t="shared" si="56"/>
        <v>0</v>
      </c>
      <c r="AQ316" s="7">
        <f t="shared" si="56"/>
        <v>0</v>
      </c>
      <c r="AR316" s="7">
        <f t="shared" si="56"/>
        <v>0</v>
      </c>
      <c r="AS316" s="7">
        <f t="shared" si="56"/>
        <v>0</v>
      </c>
    </row>
    <row r="317" spans="1:45" ht="15" hidden="1" customHeight="1" outlineLevel="1" x14ac:dyDescent="0.35">
      <c r="A317" t="s">
        <v>12</v>
      </c>
      <c r="B317" t="s">
        <v>14</v>
      </c>
      <c r="C317" t="s">
        <v>163</v>
      </c>
      <c r="D317" t="s">
        <v>141</v>
      </c>
      <c r="E317" t="s">
        <v>98</v>
      </c>
      <c r="F317" s="9">
        <v>9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3</v>
      </c>
      <c r="Q317" s="9">
        <v>5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</row>
    <row r="318" spans="1:45" ht="15" customHeight="1" collapsed="1" x14ac:dyDescent="0.35">
      <c r="A318" s="3" t="s">
        <v>12</v>
      </c>
      <c r="B318" s="3" t="s">
        <v>14</v>
      </c>
      <c r="C318" s="3" t="s">
        <v>135</v>
      </c>
      <c r="D318" s="3" t="s">
        <v>76</v>
      </c>
      <c r="E318" s="3" t="s">
        <v>77</v>
      </c>
      <c r="F318" s="7">
        <f t="shared" ref="F318:AS318" si="57">SUM(F319)</f>
        <v>4</v>
      </c>
      <c r="G318" s="7">
        <f t="shared" si="57"/>
        <v>0</v>
      </c>
      <c r="H318" s="7">
        <f t="shared" si="57"/>
        <v>13</v>
      </c>
      <c r="I318" s="7">
        <f t="shared" si="57"/>
        <v>0</v>
      </c>
      <c r="J318" s="7">
        <f t="shared" si="57"/>
        <v>0</v>
      </c>
      <c r="K318" s="7">
        <f t="shared" si="57"/>
        <v>0</v>
      </c>
      <c r="L318" s="7">
        <f t="shared" si="57"/>
        <v>0</v>
      </c>
      <c r="M318" s="7">
        <f t="shared" si="57"/>
        <v>0</v>
      </c>
      <c r="N318" s="7">
        <f t="shared" si="57"/>
        <v>0</v>
      </c>
      <c r="O318" s="7">
        <f t="shared" si="57"/>
        <v>0</v>
      </c>
      <c r="P318" s="7">
        <f t="shared" si="57"/>
        <v>0</v>
      </c>
      <c r="Q318" s="7">
        <f t="shared" si="57"/>
        <v>1</v>
      </c>
      <c r="R318" s="7">
        <f t="shared" si="57"/>
        <v>0</v>
      </c>
      <c r="S318" s="7">
        <f t="shared" si="57"/>
        <v>0</v>
      </c>
      <c r="T318" s="7">
        <f t="shared" si="57"/>
        <v>0</v>
      </c>
      <c r="U318" s="7">
        <f t="shared" si="57"/>
        <v>0</v>
      </c>
      <c r="V318" s="7">
        <f t="shared" si="57"/>
        <v>0</v>
      </c>
      <c r="W318" s="7">
        <f t="shared" si="57"/>
        <v>0</v>
      </c>
      <c r="X318" s="7">
        <f t="shared" si="57"/>
        <v>0</v>
      </c>
      <c r="Y318" s="7">
        <f t="shared" si="57"/>
        <v>0</v>
      </c>
      <c r="Z318" s="7">
        <f t="shared" si="57"/>
        <v>0</v>
      </c>
      <c r="AA318" s="7">
        <f t="shared" si="57"/>
        <v>0</v>
      </c>
      <c r="AB318" s="7">
        <f t="shared" si="57"/>
        <v>0</v>
      </c>
      <c r="AC318" s="7">
        <f t="shared" si="57"/>
        <v>1.5</v>
      </c>
      <c r="AD318" s="7">
        <f t="shared" si="57"/>
        <v>3.5</v>
      </c>
      <c r="AE318" s="7">
        <f t="shared" si="57"/>
        <v>0</v>
      </c>
      <c r="AF318" s="7">
        <f t="shared" si="57"/>
        <v>0</v>
      </c>
      <c r="AG318" s="7">
        <f t="shared" si="57"/>
        <v>0</v>
      </c>
      <c r="AH318" s="7">
        <f t="shared" si="57"/>
        <v>0</v>
      </c>
      <c r="AI318" s="7">
        <f t="shared" si="57"/>
        <v>0</v>
      </c>
      <c r="AJ318" s="7">
        <f t="shared" si="57"/>
        <v>0</v>
      </c>
      <c r="AK318" s="7">
        <f t="shared" si="57"/>
        <v>0</v>
      </c>
      <c r="AL318" s="7">
        <f t="shared" si="57"/>
        <v>0</v>
      </c>
      <c r="AM318" s="7">
        <f t="shared" si="57"/>
        <v>0</v>
      </c>
      <c r="AN318" s="7">
        <f t="shared" si="57"/>
        <v>0</v>
      </c>
      <c r="AO318" s="7">
        <f t="shared" si="57"/>
        <v>0</v>
      </c>
      <c r="AP318" s="7">
        <f t="shared" si="57"/>
        <v>0</v>
      </c>
      <c r="AQ318" s="7">
        <f t="shared" si="57"/>
        <v>0</v>
      </c>
      <c r="AR318" s="7">
        <f t="shared" si="57"/>
        <v>0</v>
      </c>
      <c r="AS318" s="7">
        <f t="shared" si="57"/>
        <v>0</v>
      </c>
    </row>
    <row r="319" spans="1:45" ht="15" hidden="1" customHeight="1" outlineLevel="1" x14ac:dyDescent="0.35">
      <c r="A319" t="s">
        <v>12</v>
      </c>
      <c r="B319" t="s">
        <v>14</v>
      </c>
      <c r="C319" t="s">
        <v>135</v>
      </c>
      <c r="D319" t="s">
        <v>141</v>
      </c>
      <c r="E319" t="s">
        <v>43</v>
      </c>
      <c r="F319" s="9">
        <v>4</v>
      </c>
      <c r="G319" s="9">
        <v>0</v>
      </c>
      <c r="H319" s="9">
        <v>13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1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1.5</v>
      </c>
      <c r="AD319" s="9">
        <v>3.5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</row>
    <row r="320" spans="1:45" ht="15" customHeight="1" collapsed="1" x14ac:dyDescent="0.35">
      <c r="A320" s="3" t="s">
        <v>12</v>
      </c>
      <c r="B320" s="3" t="s">
        <v>14</v>
      </c>
      <c r="C320" s="3" t="s">
        <v>164</v>
      </c>
      <c r="D320" s="3" t="s">
        <v>76</v>
      </c>
      <c r="E320" s="3" t="s">
        <v>77</v>
      </c>
      <c r="F320" s="7">
        <f t="shared" ref="F320:AS320" si="58">SUM(F321)</f>
        <v>4</v>
      </c>
      <c r="G320" s="7">
        <f t="shared" si="58"/>
        <v>0</v>
      </c>
      <c r="H320" s="7">
        <f t="shared" si="58"/>
        <v>0</v>
      </c>
      <c r="I320" s="7">
        <f t="shared" si="58"/>
        <v>0</v>
      </c>
      <c r="J320" s="7">
        <f t="shared" si="58"/>
        <v>0</v>
      </c>
      <c r="K320" s="7">
        <f t="shared" si="58"/>
        <v>0</v>
      </c>
      <c r="L320" s="7">
        <f t="shared" si="58"/>
        <v>0</v>
      </c>
      <c r="M320" s="7">
        <f t="shared" si="58"/>
        <v>0</v>
      </c>
      <c r="N320" s="7">
        <f t="shared" si="58"/>
        <v>0</v>
      </c>
      <c r="O320" s="7">
        <f t="shared" si="58"/>
        <v>0</v>
      </c>
      <c r="P320" s="7">
        <f t="shared" si="58"/>
        <v>0</v>
      </c>
      <c r="Q320" s="7">
        <f t="shared" si="58"/>
        <v>0</v>
      </c>
      <c r="R320" s="7">
        <f t="shared" si="58"/>
        <v>0</v>
      </c>
      <c r="S320" s="7">
        <f t="shared" si="58"/>
        <v>0</v>
      </c>
      <c r="T320" s="7">
        <f t="shared" si="58"/>
        <v>0</v>
      </c>
      <c r="U320" s="7">
        <f t="shared" si="58"/>
        <v>0</v>
      </c>
      <c r="V320" s="7">
        <f t="shared" si="58"/>
        <v>0</v>
      </c>
      <c r="W320" s="7">
        <f t="shared" si="58"/>
        <v>0</v>
      </c>
      <c r="X320" s="7">
        <f t="shared" si="58"/>
        <v>0</v>
      </c>
      <c r="Y320" s="7">
        <f t="shared" si="58"/>
        <v>0</v>
      </c>
      <c r="Z320" s="7">
        <f t="shared" si="58"/>
        <v>0</v>
      </c>
      <c r="AA320" s="7">
        <f t="shared" si="58"/>
        <v>0</v>
      </c>
      <c r="AB320" s="7">
        <f t="shared" si="58"/>
        <v>0</v>
      </c>
      <c r="AC320" s="7">
        <f t="shared" si="58"/>
        <v>0</v>
      </c>
      <c r="AD320" s="7">
        <f t="shared" si="58"/>
        <v>0</v>
      </c>
      <c r="AE320" s="7">
        <f t="shared" si="58"/>
        <v>0</v>
      </c>
      <c r="AF320" s="7">
        <f t="shared" si="58"/>
        <v>0</v>
      </c>
      <c r="AG320" s="7">
        <f t="shared" si="58"/>
        <v>0</v>
      </c>
      <c r="AH320" s="7">
        <f t="shared" si="58"/>
        <v>0</v>
      </c>
      <c r="AI320" s="7">
        <f t="shared" si="58"/>
        <v>0</v>
      </c>
      <c r="AJ320" s="7">
        <f t="shared" si="58"/>
        <v>0</v>
      </c>
      <c r="AK320" s="7">
        <f t="shared" si="58"/>
        <v>0</v>
      </c>
      <c r="AL320" s="7">
        <f t="shared" si="58"/>
        <v>0</v>
      </c>
      <c r="AM320" s="7">
        <f t="shared" si="58"/>
        <v>0</v>
      </c>
      <c r="AN320" s="7">
        <f t="shared" si="58"/>
        <v>0</v>
      </c>
      <c r="AO320" s="7">
        <f t="shared" si="58"/>
        <v>0</v>
      </c>
      <c r="AP320" s="7">
        <f t="shared" si="58"/>
        <v>0</v>
      </c>
      <c r="AQ320" s="7">
        <f t="shared" si="58"/>
        <v>0</v>
      </c>
      <c r="AR320" s="7">
        <f t="shared" si="58"/>
        <v>0</v>
      </c>
      <c r="AS320" s="7">
        <f t="shared" si="58"/>
        <v>0</v>
      </c>
    </row>
    <row r="321" spans="1:45" ht="15" hidden="1" customHeight="1" outlineLevel="1" x14ac:dyDescent="0.35">
      <c r="A321" t="s">
        <v>12</v>
      </c>
      <c r="B321" t="s">
        <v>14</v>
      </c>
      <c r="C321" t="s">
        <v>164</v>
      </c>
      <c r="D321" t="s">
        <v>141</v>
      </c>
      <c r="E321" t="s">
        <v>112</v>
      </c>
      <c r="F321" s="9">
        <v>4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</row>
    <row r="322" spans="1:45" ht="15" customHeight="1" collapsed="1" x14ac:dyDescent="0.35">
      <c r="A322" s="3" t="s">
        <v>12</v>
      </c>
      <c r="B322" s="3" t="s">
        <v>14</v>
      </c>
      <c r="C322" s="3" t="s">
        <v>165</v>
      </c>
      <c r="D322" s="3" t="s">
        <v>76</v>
      </c>
      <c r="E322" s="3" t="s">
        <v>77</v>
      </c>
      <c r="F322" s="7">
        <f t="shared" ref="F322:AS322" si="59">SUM(F323)</f>
        <v>0</v>
      </c>
      <c r="G322" s="7">
        <f t="shared" si="59"/>
        <v>0</v>
      </c>
      <c r="H322" s="7">
        <f t="shared" si="59"/>
        <v>0</v>
      </c>
      <c r="I322" s="7">
        <f t="shared" si="59"/>
        <v>0</v>
      </c>
      <c r="J322" s="7">
        <f t="shared" si="59"/>
        <v>0</v>
      </c>
      <c r="K322" s="7">
        <f t="shared" si="59"/>
        <v>0</v>
      </c>
      <c r="L322" s="7">
        <f t="shared" si="59"/>
        <v>0</v>
      </c>
      <c r="M322" s="7">
        <f t="shared" si="59"/>
        <v>0</v>
      </c>
      <c r="N322" s="7">
        <f t="shared" si="59"/>
        <v>0</v>
      </c>
      <c r="O322" s="7">
        <f t="shared" si="59"/>
        <v>0</v>
      </c>
      <c r="P322" s="7">
        <f t="shared" si="59"/>
        <v>0</v>
      </c>
      <c r="Q322" s="7">
        <f t="shared" si="59"/>
        <v>0</v>
      </c>
      <c r="R322" s="7">
        <f t="shared" si="59"/>
        <v>0</v>
      </c>
      <c r="S322" s="7">
        <f t="shared" si="59"/>
        <v>0</v>
      </c>
      <c r="T322" s="7">
        <f t="shared" si="59"/>
        <v>0</v>
      </c>
      <c r="U322" s="7">
        <f t="shared" si="59"/>
        <v>0</v>
      </c>
      <c r="V322" s="7">
        <f t="shared" si="59"/>
        <v>0</v>
      </c>
      <c r="W322" s="7">
        <f t="shared" si="59"/>
        <v>0</v>
      </c>
      <c r="X322" s="7">
        <f t="shared" si="59"/>
        <v>0</v>
      </c>
      <c r="Y322" s="7">
        <f t="shared" si="59"/>
        <v>0</v>
      </c>
      <c r="Z322" s="7">
        <f t="shared" si="59"/>
        <v>0</v>
      </c>
      <c r="AA322" s="7">
        <f t="shared" si="59"/>
        <v>10</v>
      </c>
      <c r="AB322" s="7">
        <f t="shared" si="59"/>
        <v>0</v>
      </c>
      <c r="AC322" s="7">
        <f t="shared" si="59"/>
        <v>0</v>
      </c>
      <c r="AD322" s="7">
        <f t="shared" si="59"/>
        <v>0</v>
      </c>
      <c r="AE322" s="7">
        <f t="shared" si="59"/>
        <v>0</v>
      </c>
      <c r="AF322" s="7">
        <f t="shared" si="59"/>
        <v>0</v>
      </c>
      <c r="AG322" s="7">
        <f t="shared" si="59"/>
        <v>0</v>
      </c>
      <c r="AH322" s="7">
        <f t="shared" si="59"/>
        <v>0</v>
      </c>
      <c r="AI322" s="7">
        <f t="shared" si="59"/>
        <v>0</v>
      </c>
      <c r="AJ322" s="7">
        <f t="shared" si="59"/>
        <v>0</v>
      </c>
      <c r="AK322" s="7">
        <f t="shared" si="59"/>
        <v>0</v>
      </c>
      <c r="AL322" s="7">
        <f t="shared" si="59"/>
        <v>0</v>
      </c>
      <c r="AM322" s="7">
        <f t="shared" si="59"/>
        <v>0</v>
      </c>
      <c r="AN322" s="7">
        <f t="shared" si="59"/>
        <v>0</v>
      </c>
      <c r="AO322" s="7">
        <f t="shared" si="59"/>
        <v>0</v>
      </c>
      <c r="AP322" s="7">
        <f t="shared" si="59"/>
        <v>0</v>
      </c>
      <c r="AQ322" s="7">
        <f t="shared" si="59"/>
        <v>0</v>
      </c>
      <c r="AR322" s="7">
        <f t="shared" si="59"/>
        <v>0</v>
      </c>
      <c r="AS322" s="7">
        <f t="shared" si="59"/>
        <v>0</v>
      </c>
    </row>
    <row r="323" spans="1:45" ht="15" hidden="1" customHeight="1" outlineLevel="1" x14ac:dyDescent="0.35">
      <c r="A323" t="s">
        <v>12</v>
      </c>
      <c r="B323" t="s">
        <v>14</v>
      </c>
      <c r="C323" t="s">
        <v>165</v>
      </c>
      <c r="D323" t="s">
        <v>141</v>
      </c>
      <c r="E323" t="s">
        <v>122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10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</row>
    <row r="324" spans="1:45" ht="15" customHeight="1" collapsed="1" x14ac:dyDescent="0.35">
      <c r="A324" s="3" t="s">
        <v>12</v>
      </c>
      <c r="B324" s="3" t="s">
        <v>14</v>
      </c>
      <c r="C324" s="3" t="s">
        <v>104</v>
      </c>
      <c r="D324" s="3" t="s">
        <v>76</v>
      </c>
      <c r="E324" s="3" t="s">
        <v>77</v>
      </c>
      <c r="F324" s="7">
        <f t="shared" ref="F324:AS324" si="60">SUM(F325)</f>
        <v>0</v>
      </c>
      <c r="G324" s="7">
        <f t="shared" si="60"/>
        <v>0</v>
      </c>
      <c r="H324" s="7">
        <f t="shared" si="60"/>
        <v>0</v>
      </c>
      <c r="I324" s="7">
        <f t="shared" si="60"/>
        <v>0</v>
      </c>
      <c r="J324" s="7">
        <f t="shared" si="60"/>
        <v>0</v>
      </c>
      <c r="K324" s="7">
        <f t="shared" si="60"/>
        <v>0</v>
      </c>
      <c r="L324" s="7">
        <f t="shared" si="60"/>
        <v>0</v>
      </c>
      <c r="M324" s="7">
        <f t="shared" si="60"/>
        <v>0</v>
      </c>
      <c r="N324" s="7">
        <f t="shared" si="60"/>
        <v>0</v>
      </c>
      <c r="O324" s="7">
        <f t="shared" si="60"/>
        <v>0</v>
      </c>
      <c r="P324" s="7">
        <f t="shared" si="60"/>
        <v>0</v>
      </c>
      <c r="Q324" s="7">
        <f t="shared" si="60"/>
        <v>0</v>
      </c>
      <c r="R324" s="7">
        <f t="shared" si="60"/>
        <v>0</v>
      </c>
      <c r="S324" s="7">
        <f t="shared" si="60"/>
        <v>0</v>
      </c>
      <c r="T324" s="7">
        <f t="shared" si="60"/>
        <v>0</v>
      </c>
      <c r="U324" s="7">
        <f t="shared" si="60"/>
        <v>0</v>
      </c>
      <c r="V324" s="7">
        <f t="shared" si="60"/>
        <v>0</v>
      </c>
      <c r="W324" s="7">
        <f t="shared" si="60"/>
        <v>0</v>
      </c>
      <c r="X324" s="7">
        <f t="shared" si="60"/>
        <v>0</v>
      </c>
      <c r="Y324" s="7">
        <f t="shared" si="60"/>
        <v>0</v>
      </c>
      <c r="Z324" s="7">
        <f t="shared" si="60"/>
        <v>0</v>
      </c>
      <c r="AA324" s="7">
        <f t="shared" si="60"/>
        <v>32</v>
      </c>
      <c r="AB324" s="7">
        <f t="shared" si="60"/>
        <v>0</v>
      </c>
      <c r="AC324" s="7">
        <f t="shared" si="60"/>
        <v>0</v>
      </c>
      <c r="AD324" s="7">
        <f t="shared" si="60"/>
        <v>10.5</v>
      </c>
      <c r="AE324" s="7">
        <f t="shared" si="60"/>
        <v>0</v>
      </c>
      <c r="AF324" s="7">
        <f t="shared" si="60"/>
        <v>0</v>
      </c>
      <c r="AG324" s="7">
        <f t="shared" si="60"/>
        <v>0</v>
      </c>
      <c r="AH324" s="7">
        <f t="shared" si="60"/>
        <v>0</v>
      </c>
      <c r="AI324" s="7">
        <f t="shared" si="60"/>
        <v>0</v>
      </c>
      <c r="AJ324" s="7">
        <f t="shared" si="60"/>
        <v>0</v>
      </c>
      <c r="AK324" s="7">
        <f t="shared" si="60"/>
        <v>0</v>
      </c>
      <c r="AL324" s="7">
        <f t="shared" si="60"/>
        <v>0</v>
      </c>
      <c r="AM324" s="7">
        <f t="shared" si="60"/>
        <v>0</v>
      </c>
      <c r="AN324" s="7">
        <f t="shared" si="60"/>
        <v>0</v>
      </c>
      <c r="AO324" s="7">
        <f t="shared" si="60"/>
        <v>0</v>
      </c>
      <c r="AP324" s="7">
        <f t="shared" si="60"/>
        <v>0</v>
      </c>
      <c r="AQ324" s="7">
        <f t="shared" si="60"/>
        <v>0</v>
      </c>
      <c r="AR324" s="7">
        <f t="shared" si="60"/>
        <v>0</v>
      </c>
      <c r="AS324" s="7">
        <f t="shared" si="60"/>
        <v>0</v>
      </c>
    </row>
    <row r="325" spans="1:45" ht="15" hidden="1" customHeight="1" outlineLevel="1" x14ac:dyDescent="0.35">
      <c r="A325" t="s">
        <v>12</v>
      </c>
      <c r="B325" t="s">
        <v>14</v>
      </c>
      <c r="C325" t="s">
        <v>104</v>
      </c>
      <c r="D325" t="s">
        <v>141</v>
      </c>
      <c r="E325" t="s">
        <v>105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32</v>
      </c>
      <c r="AB325" s="9">
        <v>0</v>
      </c>
      <c r="AC325" s="9">
        <v>0</v>
      </c>
      <c r="AD325" s="9">
        <v>10.5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</row>
    <row r="326" spans="1:45" ht="15" customHeight="1" collapsed="1" x14ac:dyDescent="0.35">
      <c r="A326" s="3" t="s">
        <v>12</v>
      </c>
      <c r="B326" s="3" t="s">
        <v>14</v>
      </c>
      <c r="C326" s="3" t="s">
        <v>139</v>
      </c>
      <c r="D326" s="3" t="s">
        <v>76</v>
      </c>
      <c r="E326" s="3" t="s">
        <v>77</v>
      </c>
      <c r="F326" s="7">
        <f t="shared" ref="F326:AS326" si="61">SUM(F327)</f>
        <v>0</v>
      </c>
      <c r="G326" s="7">
        <f t="shared" si="61"/>
        <v>0</v>
      </c>
      <c r="H326" s="7">
        <f t="shared" si="61"/>
        <v>0</v>
      </c>
      <c r="I326" s="7">
        <f t="shared" si="61"/>
        <v>0</v>
      </c>
      <c r="J326" s="7">
        <f t="shared" si="61"/>
        <v>0</v>
      </c>
      <c r="K326" s="7">
        <f t="shared" si="61"/>
        <v>0</v>
      </c>
      <c r="L326" s="7">
        <f t="shared" si="61"/>
        <v>0</v>
      </c>
      <c r="M326" s="7">
        <f t="shared" si="61"/>
        <v>0</v>
      </c>
      <c r="N326" s="7">
        <f t="shared" si="61"/>
        <v>0</v>
      </c>
      <c r="O326" s="7">
        <f t="shared" si="61"/>
        <v>0</v>
      </c>
      <c r="P326" s="7">
        <f t="shared" si="61"/>
        <v>0</v>
      </c>
      <c r="Q326" s="7">
        <f t="shared" si="61"/>
        <v>0</v>
      </c>
      <c r="R326" s="7">
        <f t="shared" si="61"/>
        <v>0</v>
      </c>
      <c r="S326" s="7">
        <f t="shared" si="61"/>
        <v>0</v>
      </c>
      <c r="T326" s="7">
        <f t="shared" si="61"/>
        <v>0</v>
      </c>
      <c r="U326" s="7">
        <f t="shared" si="61"/>
        <v>0</v>
      </c>
      <c r="V326" s="7">
        <f t="shared" si="61"/>
        <v>0</v>
      </c>
      <c r="W326" s="7">
        <f t="shared" si="61"/>
        <v>0</v>
      </c>
      <c r="X326" s="7">
        <f t="shared" si="61"/>
        <v>0</v>
      </c>
      <c r="Y326" s="7">
        <f t="shared" si="61"/>
        <v>12.5</v>
      </c>
      <c r="Z326" s="7">
        <f t="shared" si="61"/>
        <v>0</v>
      </c>
      <c r="AA326" s="7">
        <f t="shared" si="61"/>
        <v>0</v>
      </c>
      <c r="AB326" s="7">
        <f t="shared" si="61"/>
        <v>0</v>
      </c>
      <c r="AC326" s="7">
        <f t="shared" si="61"/>
        <v>3.5</v>
      </c>
      <c r="AD326" s="7">
        <f t="shared" si="61"/>
        <v>0</v>
      </c>
      <c r="AE326" s="7">
        <f t="shared" si="61"/>
        <v>0</v>
      </c>
      <c r="AF326" s="7">
        <f t="shared" si="61"/>
        <v>0</v>
      </c>
      <c r="AG326" s="7">
        <f t="shared" si="61"/>
        <v>0</v>
      </c>
      <c r="AH326" s="7">
        <f t="shared" si="61"/>
        <v>0</v>
      </c>
      <c r="AI326" s="7">
        <f t="shared" si="61"/>
        <v>0</v>
      </c>
      <c r="AJ326" s="7">
        <f t="shared" si="61"/>
        <v>0</v>
      </c>
      <c r="AK326" s="7">
        <f t="shared" si="61"/>
        <v>0</v>
      </c>
      <c r="AL326" s="7">
        <f t="shared" si="61"/>
        <v>0</v>
      </c>
      <c r="AM326" s="7">
        <f t="shared" si="61"/>
        <v>0</v>
      </c>
      <c r="AN326" s="7">
        <f t="shared" si="61"/>
        <v>0</v>
      </c>
      <c r="AO326" s="7">
        <f t="shared" si="61"/>
        <v>0</v>
      </c>
      <c r="AP326" s="7">
        <f t="shared" si="61"/>
        <v>0</v>
      </c>
      <c r="AQ326" s="7">
        <f t="shared" si="61"/>
        <v>0</v>
      </c>
      <c r="AR326" s="7">
        <f t="shared" si="61"/>
        <v>0</v>
      </c>
      <c r="AS326" s="7">
        <f t="shared" si="61"/>
        <v>0</v>
      </c>
    </row>
    <row r="327" spans="1:45" ht="15" hidden="1" customHeight="1" outlineLevel="1" x14ac:dyDescent="0.35">
      <c r="A327" t="s">
        <v>12</v>
      </c>
      <c r="B327" t="s">
        <v>14</v>
      </c>
      <c r="C327" t="s">
        <v>139</v>
      </c>
      <c r="D327" t="s">
        <v>141</v>
      </c>
      <c r="E327" t="s">
        <v>99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12.5</v>
      </c>
      <c r="Z327" s="9">
        <v>0</v>
      </c>
      <c r="AA327" s="9">
        <v>0</v>
      </c>
      <c r="AB327" s="9">
        <v>0</v>
      </c>
      <c r="AC327" s="9">
        <v>3.5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</row>
  </sheetData>
  <autoFilter ref="A1:AS1" xr:uid="{00000000-0009-0000-0000-000002000000}"/>
  <conditionalFormatting sqref="F2">
    <cfRule type="cellIs" dxfId="3440" priority="2" operator="greaterThan">
      <formula>40</formula>
    </cfRule>
    <cfRule type="cellIs" dxfId="3439" priority="3" operator="greaterThan">
      <formula>45</formula>
    </cfRule>
  </conditionalFormatting>
  <conditionalFormatting sqref="F4">
    <cfRule type="cellIs" dxfId="3438" priority="82" operator="greaterThan">
      <formula>40</formula>
    </cfRule>
    <cfRule type="cellIs" dxfId="3437" priority="83" operator="greaterThan">
      <formula>45</formula>
    </cfRule>
  </conditionalFormatting>
  <conditionalFormatting sqref="F13">
    <cfRule type="cellIs" dxfId="3436" priority="162" operator="greaterThan">
      <formula>40</formula>
    </cfRule>
    <cfRule type="cellIs" dxfId="3435" priority="163" operator="greaterThan">
      <formula>45</formula>
    </cfRule>
  </conditionalFormatting>
  <conditionalFormatting sqref="F23">
    <cfRule type="cellIs" dxfId="3434" priority="243" operator="greaterThan">
      <formula>45</formula>
    </cfRule>
    <cfRule type="cellIs" dxfId="3433" priority="242" operator="greaterThan">
      <formula>40</formula>
    </cfRule>
  </conditionalFormatting>
  <conditionalFormatting sqref="F33">
    <cfRule type="cellIs" dxfId="3432" priority="323" operator="greaterThan">
      <formula>45</formula>
    </cfRule>
    <cfRule type="cellIs" dxfId="3431" priority="322" operator="greaterThan">
      <formula>40</formula>
    </cfRule>
  </conditionalFormatting>
  <conditionalFormatting sqref="F48">
    <cfRule type="cellIs" dxfId="3430" priority="402" operator="greaterThan">
      <formula>40</formula>
    </cfRule>
    <cfRule type="cellIs" dxfId="3429" priority="403" operator="greaterThan">
      <formula>45</formula>
    </cfRule>
  </conditionalFormatting>
  <conditionalFormatting sqref="F52">
    <cfRule type="cellIs" dxfId="3428" priority="483" operator="greaterThan">
      <formula>45</formula>
    </cfRule>
    <cfRule type="cellIs" dxfId="3427" priority="482" operator="greaterThan">
      <formula>40</formula>
    </cfRule>
  </conditionalFormatting>
  <conditionalFormatting sqref="F61">
    <cfRule type="cellIs" dxfId="3426" priority="562" operator="greaterThan">
      <formula>40</formula>
    </cfRule>
    <cfRule type="cellIs" dxfId="3425" priority="563" operator="greaterThan">
      <formula>45</formula>
    </cfRule>
  </conditionalFormatting>
  <conditionalFormatting sqref="F74">
    <cfRule type="cellIs" dxfId="3424" priority="642" operator="greaterThan">
      <formula>40</formula>
    </cfRule>
    <cfRule type="cellIs" dxfId="3423" priority="643" operator="greaterThan">
      <formula>45</formula>
    </cfRule>
  </conditionalFormatting>
  <conditionalFormatting sqref="F76">
    <cfRule type="cellIs" dxfId="3422" priority="722" operator="greaterThan">
      <formula>40</formula>
    </cfRule>
    <cfRule type="cellIs" dxfId="3421" priority="723" operator="greaterThan">
      <formula>45</formula>
    </cfRule>
  </conditionalFormatting>
  <conditionalFormatting sqref="F86">
    <cfRule type="cellIs" dxfId="3420" priority="803" operator="greaterThan">
      <formula>45</formula>
    </cfRule>
    <cfRule type="cellIs" dxfId="3419" priority="802" operator="greaterThan">
      <formula>40</formula>
    </cfRule>
  </conditionalFormatting>
  <conditionalFormatting sqref="F96">
    <cfRule type="cellIs" dxfId="3418" priority="882" operator="greaterThan">
      <formula>40</formula>
    </cfRule>
    <cfRule type="cellIs" dxfId="3417" priority="883" operator="greaterThan">
      <formula>45</formula>
    </cfRule>
  </conditionalFormatting>
  <conditionalFormatting sqref="F101">
    <cfRule type="cellIs" dxfId="3416" priority="963" operator="greaterThan">
      <formula>45</formula>
    </cfRule>
  </conditionalFormatting>
  <conditionalFormatting sqref="F110">
    <cfRule type="cellIs" dxfId="3415" priority="1043" operator="greaterThan">
      <formula>45</formula>
    </cfRule>
  </conditionalFormatting>
  <conditionalFormatting sqref="F117">
    <cfRule type="cellIs" dxfId="3414" priority="1123" operator="greaterThan">
      <formula>45</formula>
    </cfRule>
  </conditionalFormatting>
  <conditionalFormatting sqref="F124">
    <cfRule type="cellIs" dxfId="3413" priority="1203" operator="greaterThan">
      <formula>45</formula>
    </cfRule>
  </conditionalFormatting>
  <conditionalFormatting sqref="F128">
    <cfRule type="cellIs" dxfId="3412" priority="1283" operator="greaterThan">
      <formula>45</formula>
    </cfRule>
  </conditionalFormatting>
  <conditionalFormatting sqref="F133">
    <cfRule type="cellIs" dxfId="3411" priority="1363" operator="greaterThan">
      <formula>45</formula>
    </cfRule>
  </conditionalFormatting>
  <conditionalFormatting sqref="F136">
    <cfRule type="cellIs" dxfId="3410" priority="1443" operator="greaterThan">
      <formula>45</formula>
    </cfRule>
  </conditionalFormatting>
  <conditionalFormatting sqref="F143">
    <cfRule type="cellIs" dxfId="3409" priority="1523" operator="greaterThan">
      <formula>45</formula>
    </cfRule>
  </conditionalFormatting>
  <conditionalFormatting sqref="F157">
    <cfRule type="cellIs" dxfId="3408" priority="1603" operator="greaterThan">
      <formula>45</formula>
    </cfRule>
  </conditionalFormatting>
  <conditionalFormatting sqref="F160">
    <cfRule type="cellIs" dxfId="3407" priority="1683" operator="greaterThan">
      <formula>45</formula>
    </cfRule>
  </conditionalFormatting>
  <conditionalFormatting sqref="F170">
    <cfRule type="cellIs" dxfId="3406" priority="1763" operator="greaterThan">
      <formula>45</formula>
    </cfRule>
  </conditionalFormatting>
  <conditionalFormatting sqref="F182">
    <cfRule type="cellIs" dxfId="3405" priority="1843" operator="greaterThan">
      <formula>45</formula>
    </cfRule>
  </conditionalFormatting>
  <conditionalFormatting sqref="F185">
    <cfRule type="cellIs" dxfId="3404" priority="1923" operator="greaterThan">
      <formula>45</formula>
    </cfRule>
  </conditionalFormatting>
  <conditionalFormatting sqref="F188">
    <cfRule type="cellIs" dxfId="3403" priority="2003" operator="greaterThan">
      <formula>45</formula>
    </cfRule>
  </conditionalFormatting>
  <conditionalFormatting sqref="F194">
    <cfRule type="cellIs" dxfId="3402" priority="2083" operator="greaterThan">
      <formula>45</formula>
    </cfRule>
  </conditionalFormatting>
  <conditionalFormatting sqref="F198">
    <cfRule type="cellIs" dxfId="3401" priority="2163" operator="greaterThan">
      <formula>45</formula>
    </cfRule>
  </conditionalFormatting>
  <conditionalFormatting sqref="F206">
    <cfRule type="cellIs" dxfId="3400" priority="2243" operator="greaterThan">
      <formula>45</formula>
    </cfRule>
  </conditionalFormatting>
  <conditionalFormatting sqref="F211">
    <cfRule type="cellIs" dxfId="3399" priority="2323" operator="greaterThan">
      <formula>45</formula>
    </cfRule>
  </conditionalFormatting>
  <conditionalFormatting sqref="F213">
    <cfRule type="cellIs" dxfId="3398" priority="2403" operator="greaterThan">
      <formula>45</formula>
    </cfRule>
  </conditionalFormatting>
  <conditionalFormatting sqref="F217">
    <cfRule type="cellIs" dxfId="3397" priority="2483" operator="greaterThan">
      <formula>45</formula>
    </cfRule>
  </conditionalFormatting>
  <conditionalFormatting sqref="F220">
    <cfRule type="cellIs" dxfId="3396" priority="2563" operator="greaterThan">
      <formula>45</formula>
    </cfRule>
  </conditionalFormatting>
  <conditionalFormatting sqref="F223">
    <cfRule type="cellIs" dxfId="3395" priority="2643" operator="greaterThan">
      <formula>45</formula>
    </cfRule>
  </conditionalFormatting>
  <conditionalFormatting sqref="F226">
    <cfRule type="cellIs" dxfId="3394" priority="2723" operator="greaterThan">
      <formula>45</formula>
    </cfRule>
  </conditionalFormatting>
  <conditionalFormatting sqref="F229">
    <cfRule type="cellIs" dxfId="3393" priority="2803" operator="greaterThan">
      <formula>45</formula>
    </cfRule>
  </conditionalFormatting>
  <conditionalFormatting sqref="F232">
    <cfRule type="cellIs" dxfId="3392" priority="2883" operator="greaterThan">
      <formula>45</formula>
    </cfRule>
  </conditionalFormatting>
  <conditionalFormatting sqref="F234">
    <cfRule type="cellIs" dxfId="3391" priority="2963" operator="greaterThan">
      <formula>45</formula>
    </cfRule>
  </conditionalFormatting>
  <conditionalFormatting sqref="F248">
    <cfRule type="cellIs" dxfId="3390" priority="3043" operator="greaterThan">
      <formula>45</formula>
    </cfRule>
  </conditionalFormatting>
  <conditionalFormatting sqref="F252">
    <cfRule type="cellIs" dxfId="3389" priority="3123" operator="greaterThan">
      <formula>45</formula>
    </cfRule>
  </conditionalFormatting>
  <conditionalFormatting sqref="F261">
    <cfRule type="cellIs" dxfId="3388" priority="3203" operator="greaterThan">
      <formula>45</formula>
    </cfRule>
  </conditionalFormatting>
  <conditionalFormatting sqref="F271">
    <cfRule type="cellIs" dxfId="3387" priority="3283" operator="greaterThan">
      <formula>45</formula>
    </cfRule>
  </conditionalFormatting>
  <conditionalFormatting sqref="F280">
    <cfRule type="cellIs" dxfId="3386" priority="3363" operator="greaterThan">
      <formula>45</formula>
    </cfRule>
  </conditionalFormatting>
  <conditionalFormatting sqref="F283">
    <cfRule type="cellIs" dxfId="3385" priority="3443" operator="greaterThan">
      <formula>45</formula>
    </cfRule>
  </conditionalFormatting>
  <conditionalFormatting sqref="F292">
    <cfRule type="cellIs" dxfId="3384" priority="3523" operator="greaterThan">
      <formula>45</formula>
    </cfRule>
  </conditionalFormatting>
  <conditionalFormatting sqref="F294">
    <cfRule type="cellIs" dxfId="3383" priority="3603" operator="greaterThan">
      <formula>45</formula>
    </cfRule>
  </conditionalFormatting>
  <conditionalFormatting sqref="F296">
    <cfRule type="cellIs" dxfId="3382" priority="3683" operator="greaterThan">
      <formula>45</formula>
    </cfRule>
  </conditionalFormatting>
  <conditionalFormatting sqref="F298">
    <cfRule type="cellIs" dxfId="3381" priority="3763" operator="greaterThan">
      <formula>45</formula>
    </cfRule>
  </conditionalFormatting>
  <conditionalFormatting sqref="F300">
    <cfRule type="cellIs" dxfId="3380" priority="3843" operator="greaterThan">
      <formula>45</formula>
    </cfRule>
  </conditionalFormatting>
  <conditionalFormatting sqref="F302">
    <cfRule type="cellIs" dxfId="3379" priority="3923" operator="greaterThan">
      <formula>45</formula>
    </cfRule>
  </conditionalFormatting>
  <conditionalFormatting sqref="F304">
    <cfRule type="cellIs" dxfId="3378" priority="4003" operator="greaterThan">
      <formula>45</formula>
    </cfRule>
  </conditionalFormatting>
  <conditionalFormatting sqref="F306">
    <cfRule type="cellIs" dxfId="3377" priority="4083" operator="greaterThan">
      <formula>45</formula>
    </cfRule>
  </conditionalFormatting>
  <conditionalFormatting sqref="F308">
    <cfRule type="cellIs" dxfId="3376" priority="4163" operator="greaterThan">
      <formula>45</formula>
    </cfRule>
  </conditionalFormatting>
  <conditionalFormatting sqref="F310">
    <cfRule type="cellIs" dxfId="3375" priority="4243" operator="greaterThan">
      <formula>45</formula>
    </cfRule>
  </conditionalFormatting>
  <conditionalFormatting sqref="F312">
    <cfRule type="cellIs" dxfId="3374" priority="4323" operator="greaterThan">
      <formula>45</formula>
    </cfRule>
  </conditionalFormatting>
  <conditionalFormatting sqref="F314">
    <cfRule type="cellIs" dxfId="3373" priority="4403" operator="greaterThan">
      <formula>45</formula>
    </cfRule>
  </conditionalFormatting>
  <conditionalFormatting sqref="F316">
    <cfRule type="cellIs" dxfId="3372" priority="4483" operator="greaterThan">
      <formula>45</formula>
    </cfRule>
  </conditionalFormatting>
  <conditionalFormatting sqref="F318">
    <cfRule type="cellIs" dxfId="3371" priority="4563" operator="greaterThan">
      <formula>45</formula>
    </cfRule>
  </conditionalFormatting>
  <conditionalFormatting sqref="F320">
    <cfRule type="cellIs" dxfId="3370" priority="4643" operator="greaterThan">
      <formula>45</formula>
    </cfRule>
  </conditionalFormatting>
  <conditionalFormatting sqref="F322">
    <cfRule type="cellIs" dxfId="3369" priority="4723" operator="greaterThan">
      <formula>45</formula>
    </cfRule>
  </conditionalFormatting>
  <conditionalFormatting sqref="F324">
    <cfRule type="cellIs" dxfId="3368" priority="4803" operator="greaterThan">
      <formula>45</formula>
    </cfRule>
  </conditionalFormatting>
  <conditionalFormatting sqref="F326">
    <cfRule type="cellIs" dxfId="3367" priority="4883" operator="greaterThan">
      <formula>45</formula>
    </cfRule>
  </conditionalFormatting>
  <conditionalFormatting sqref="F101:W101">
    <cfRule type="cellIs" dxfId="3366" priority="962" operator="greaterThan">
      <formula>40</formula>
    </cfRule>
  </conditionalFormatting>
  <conditionalFormatting sqref="F110:W110">
    <cfRule type="cellIs" dxfId="3365" priority="1042" operator="greaterThan">
      <formula>40</formula>
    </cfRule>
  </conditionalFormatting>
  <conditionalFormatting sqref="F117:W117">
    <cfRule type="cellIs" dxfId="3364" priority="1122" operator="greaterThan">
      <formula>40</formula>
    </cfRule>
  </conditionalFormatting>
  <conditionalFormatting sqref="F124:W124">
    <cfRule type="cellIs" dxfId="3363" priority="1202" operator="greaterThan">
      <formula>40</formula>
    </cfRule>
  </conditionalFormatting>
  <conditionalFormatting sqref="F128:W128">
    <cfRule type="cellIs" dxfId="3362" priority="1282" operator="greaterThan">
      <formula>40</formula>
    </cfRule>
  </conditionalFormatting>
  <conditionalFormatting sqref="F133:W133">
    <cfRule type="cellIs" dxfId="3361" priority="1362" operator="greaterThan">
      <formula>40</formula>
    </cfRule>
  </conditionalFormatting>
  <conditionalFormatting sqref="F136:W136">
    <cfRule type="cellIs" dxfId="3360" priority="1442" operator="greaterThan">
      <formula>40</formula>
    </cfRule>
  </conditionalFormatting>
  <conditionalFormatting sqref="F143:W143">
    <cfRule type="cellIs" dxfId="3359" priority="1522" operator="greaterThan">
      <formula>40</formula>
    </cfRule>
  </conditionalFormatting>
  <conditionalFormatting sqref="F157:W157">
    <cfRule type="cellIs" dxfId="3358" priority="1602" operator="greaterThan">
      <formula>40</formula>
    </cfRule>
  </conditionalFormatting>
  <conditionalFormatting sqref="F160:W160">
    <cfRule type="cellIs" dxfId="3357" priority="1682" operator="greaterThan">
      <formula>40</formula>
    </cfRule>
  </conditionalFormatting>
  <conditionalFormatting sqref="F170:W170">
    <cfRule type="cellIs" dxfId="3356" priority="1762" operator="greaterThan">
      <formula>40</formula>
    </cfRule>
  </conditionalFormatting>
  <conditionalFormatting sqref="F182:W182">
    <cfRule type="cellIs" dxfId="3355" priority="1842" operator="greaterThan">
      <formula>40</formula>
    </cfRule>
  </conditionalFormatting>
  <conditionalFormatting sqref="F185:W185">
    <cfRule type="cellIs" dxfId="3354" priority="1922" operator="greaterThan">
      <formula>40</formula>
    </cfRule>
  </conditionalFormatting>
  <conditionalFormatting sqref="F188:W188">
    <cfRule type="cellIs" dxfId="3353" priority="2002" operator="greaterThan">
      <formula>40</formula>
    </cfRule>
  </conditionalFormatting>
  <conditionalFormatting sqref="F194:W194">
    <cfRule type="cellIs" dxfId="3352" priority="2082" operator="greaterThan">
      <formula>40</formula>
    </cfRule>
  </conditionalFormatting>
  <conditionalFormatting sqref="F198:W198">
    <cfRule type="cellIs" dxfId="3351" priority="2162" operator="greaterThan">
      <formula>40</formula>
    </cfRule>
  </conditionalFormatting>
  <conditionalFormatting sqref="F206:W206">
    <cfRule type="cellIs" dxfId="3350" priority="2242" operator="greaterThan">
      <formula>40</formula>
    </cfRule>
  </conditionalFormatting>
  <conditionalFormatting sqref="F211:W211">
    <cfRule type="cellIs" dxfId="3349" priority="2322" operator="greaterThan">
      <formula>40</formula>
    </cfRule>
  </conditionalFormatting>
  <conditionalFormatting sqref="F213:W213">
    <cfRule type="cellIs" dxfId="3348" priority="2402" operator="greaterThan">
      <formula>40</formula>
    </cfRule>
  </conditionalFormatting>
  <conditionalFormatting sqref="F217:W217">
    <cfRule type="cellIs" dxfId="3347" priority="2482" operator="greaterThan">
      <formula>40</formula>
    </cfRule>
  </conditionalFormatting>
  <conditionalFormatting sqref="F220:W220">
    <cfRule type="cellIs" dxfId="3346" priority="2562" operator="greaterThan">
      <formula>40</formula>
    </cfRule>
  </conditionalFormatting>
  <conditionalFormatting sqref="F223:W223">
    <cfRule type="cellIs" dxfId="3345" priority="2642" operator="greaterThan">
      <formula>40</formula>
    </cfRule>
  </conditionalFormatting>
  <conditionalFormatting sqref="F226:W226">
    <cfRule type="cellIs" dxfId="3344" priority="2722" operator="greaterThan">
      <formula>40</formula>
    </cfRule>
  </conditionalFormatting>
  <conditionalFormatting sqref="F229:W229">
    <cfRule type="cellIs" dxfId="3343" priority="2802" operator="greaterThan">
      <formula>40</formula>
    </cfRule>
  </conditionalFormatting>
  <conditionalFormatting sqref="F232:W232">
    <cfRule type="cellIs" dxfId="3342" priority="2882" operator="greaterThan">
      <formula>40</formula>
    </cfRule>
  </conditionalFormatting>
  <conditionalFormatting sqref="F234:W234">
    <cfRule type="cellIs" dxfId="3341" priority="2962" operator="greaterThan">
      <formula>40</formula>
    </cfRule>
  </conditionalFormatting>
  <conditionalFormatting sqref="F248:W248">
    <cfRule type="cellIs" dxfId="3340" priority="3042" operator="greaterThan">
      <formula>40</formula>
    </cfRule>
  </conditionalFormatting>
  <conditionalFormatting sqref="F252:W252">
    <cfRule type="cellIs" dxfId="3339" priority="3122" operator="greaterThan">
      <formula>40</formula>
    </cfRule>
  </conditionalFormatting>
  <conditionalFormatting sqref="F261:W261">
    <cfRule type="cellIs" dxfId="3338" priority="3202" operator="greaterThan">
      <formula>40</formula>
    </cfRule>
  </conditionalFormatting>
  <conditionalFormatting sqref="F271:W271">
    <cfRule type="cellIs" dxfId="3337" priority="3282" operator="greaterThan">
      <formula>40</formula>
    </cfRule>
  </conditionalFormatting>
  <conditionalFormatting sqref="F280:W280">
    <cfRule type="cellIs" dxfId="3336" priority="3362" operator="greaterThan">
      <formula>40</formula>
    </cfRule>
  </conditionalFormatting>
  <conditionalFormatting sqref="F283:W283">
    <cfRule type="cellIs" dxfId="3335" priority="3442" operator="greaterThan">
      <formula>40</formula>
    </cfRule>
  </conditionalFormatting>
  <conditionalFormatting sqref="F292:W292">
    <cfRule type="cellIs" dxfId="3334" priority="3522" operator="greaterThan">
      <formula>40</formula>
    </cfRule>
  </conditionalFormatting>
  <conditionalFormatting sqref="F294:W294">
    <cfRule type="cellIs" dxfId="3333" priority="3602" operator="greaterThan">
      <formula>40</formula>
    </cfRule>
  </conditionalFormatting>
  <conditionalFormatting sqref="F296:W296">
    <cfRule type="cellIs" dxfId="3332" priority="3682" operator="greaterThan">
      <formula>40</formula>
    </cfRule>
  </conditionalFormatting>
  <conditionalFormatting sqref="F298:W298">
    <cfRule type="cellIs" dxfId="3331" priority="3762" operator="greaterThan">
      <formula>40</formula>
    </cfRule>
  </conditionalFormatting>
  <conditionalFormatting sqref="F300:W300">
    <cfRule type="cellIs" dxfId="3330" priority="3842" operator="greaterThan">
      <formula>40</formula>
    </cfRule>
  </conditionalFormatting>
  <conditionalFormatting sqref="F302:W302">
    <cfRule type="cellIs" dxfId="3329" priority="3922" operator="greaterThan">
      <formula>40</formula>
    </cfRule>
  </conditionalFormatting>
  <conditionalFormatting sqref="F304:W304">
    <cfRule type="cellIs" dxfId="3328" priority="4002" operator="greaterThan">
      <formula>40</formula>
    </cfRule>
  </conditionalFormatting>
  <conditionalFormatting sqref="F306:W306">
    <cfRule type="cellIs" dxfId="3327" priority="4082" operator="greaterThan">
      <formula>40</formula>
    </cfRule>
  </conditionalFormatting>
  <conditionalFormatting sqref="F308:W308">
    <cfRule type="cellIs" dxfId="3326" priority="4162" operator="greaterThan">
      <formula>40</formula>
    </cfRule>
  </conditionalFormatting>
  <conditionalFormatting sqref="F310:W310">
    <cfRule type="cellIs" dxfId="3325" priority="4242" operator="greaterThan">
      <formula>40</formula>
    </cfRule>
  </conditionalFormatting>
  <conditionalFormatting sqref="F312:W312">
    <cfRule type="cellIs" dxfId="3324" priority="4322" operator="greaterThan">
      <formula>40</formula>
    </cfRule>
  </conditionalFormatting>
  <conditionalFormatting sqref="F314:W314">
    <cfRule type="cellIs" dxfId="3323" priority="4402" operator="greaterThan">
      <formula>40</formula>
    </cfRule>
  </conditionalFormatting>
  <conditionalFormatting sqref="F316:W316">
    <cfRule type="cellIs" dxfId="3322" priority="4482" operator="greaterThan">
      <formula>40</formula>
    </cfRule>
  </conditionalFormatting>
  <conditionalFormatting sqref="F318:W318">
    <cfRule type="cellIs" dxfId="3321" priority="4562" operator="greaterThan">
      <formula>40</formula>
    </cfRule>
  </conditionalFormatting>
  <conditionalFormatting sqref="F320:W320">
    <cfRule type="cellIs" dxfId="3320" priority="4642" operator="greaterThan">
      <formula>40</formula>
    </cfRule>
  </conditionalFormatting>
  <conditionalFormatting sqref="F322:W322">
    <cfRule type="cellIs" dxfId="3319" priority="4722" operator="greaterThan">
      <formula>40</formula>
    </cfRule>
  </conditionalFormatting>
  <conditionalFormatting sqref="F324:W324">
    <cfRule type="cellIs" dxfId="3318" priority="4802" operator="greaterThan">
      <formula>40</formula>
    </cfRule>
  </conditionalFormatting>
  <conditionalFormatting sqref="F326:W326">
    <cfRule type="cellIs" dxfId="3317" priority="4882" operator="greaterThan">
      <formula>40</formula>
    </cfRule>
  </conditionalFormatting>
  <conditionalFormatting sqref="G2">
    <cfRule type="cellIs" dxfId="3316" priority="4" operator="greaterThan">
      <formula>40</formula>
    </cfRule>
    <cfRule type="cellIs" dxfId="3315" priority="5" operator="greaterThan">
      <formula>45</formula>
    </cfRule>
  </conditionalFormatting>
  <conditionalFormatting sqref="G4">
    <cfRule type="cellIs" dxfId="3314" priority="85" operator="greaterThan">
      <formula>45</formula>
    </cfRule>
    <cfRule type="cellIs" dxfId="3313" priority="84" operator="greaterThan">
      <formula>40</formula>
    </cfRule>
  </conditionalFormatting>
  <conditionalFormatting sqref="G13">
    <cfRule type="cellIs" dxfId="3312" priority="164" operator="greaterThan">
      <formula>40</formula>
    </cfRule>
    <cfRule type="cellIs" dxfId="3311" priority="165" operator="greaterThan">
      <formula>45</formula>
    </cfRule>
  </conditionalFormatting>
  <conditionalFormatting sqref="G23">
    <cfRule type="cellIs" dxfId="3310" priority="244" operator="greaterThan">
      <formula>40</formula>
    </cfRule>
    <cfRule type="cellIs" dxfId="3309" priority="245" operator="greaterThan">
      <formula>45</formula>
    </cfRule>
  </conditionalFormatting>
  <conditionalFormatting sqref="G33">
    <cfRule type="cellIs" dxfId="3308" priority="324" operator="greaterThan">
      <formula>40</formula>
    </cfRule>
    <cfRule type="cellIs" dxfId="3307" priority="325" operator="greaterThan">
      <formula>45</formula>
    </cfRule>
  </conditionalFormatting>
  <conditionalFormatting sqref="G48">
    <cfRule type="cellIs" dxfId="3306" priority="404" operator="greaterThan">
      <formula>40</formula>
    </cfRule>
    <cfRule type="cellIs" dxfId="3305" priority="405" operator="greaterThan">
      <formula>45</formula>
    </cfRule>
  </conditionalFormatting>
  <conditionalFormatting sqref="G52">
    <cfRule type="cellIs" dxfId="3304" priority="485" operator="greaterThan">
      <formula>45</formula>
    </cfRule>
    <cfRule type="cellIs" dxfId="3303" priority="484" operator="greaterThan">
      <formula>40</formula>
    </cfRule>
  </conditionalFormatting>
  <conditionalFormatting sqref="G61">
    <cfRule type="cellIs" dxfId="3302" priority="564" operator="greaterThan">
      <formula>40</formula>
    </cfRule>
    <cfRule type="cellIs" dxfId="3301" priority="565" operator="greaterThan">
      <formula>45</formula>
    </cfRule>
  </conditionalFormatting>
  <conditionalFormatting sqref="G74">
    <cfRule type="cellIs" dxfId="3300" priority="645" operator="greaterThan">
      <formula>45</formula>
    </cfRule>
    <cfRule type="cellIs" dxfId="3299" priority="644" operator="greaterThan">
      <formula>40</formula>
    </cfRule>
  </conditionalFormatting>
  <conditionalFormatting sqref="G76">
    <cfRule type="cellIs" dxfId="3298" priority="725" operator="greaterThan">
      <formula>45</formula>
    </cfRule>
    <cfRule type="cellIs" dxfId="3297" priority="724" operator="greaterThan">
      <formula>40</formula>
    </cfRule>
  </conditionalFormatting>
  <conditionalFormatting sqref="G86">
    <cfRule type="cellIs" dxfId="3296" priority="805" operator="greaterThan">
      <formula>45</formula>
    </cfRule>
    <cfRule type="cellIs" dxfId="3295" priority="804" operator="greaterThan">
      <formula>40</formula>
    </cfRule>
  </conditionalFormatting>
  <conditionalFormatting sqref="G96">
    <cfRule type="cellIs" dxfId="3294" priority="885" operator="greaterThan">
      <formula>45</formula>
    </cfRule>
    <cfRule type="cellIs" dxfId="3293" priority="884" operator="greaterThan">
      <formula>40</formula>
    </cfRule>
  </conditionalFormatting>
  <conditionalFormatting sqref="G101">
    <cfRule type="cellIs" dxfId="3292" priority="965" operator="greaterThan">
      <formula>45</formula>
    </cfRule>
  </conditionalFormatting>
  <conditionalFormatting sqref="G110">
    <cfRule type="cellIs" dxfId="3291" priority="1045" operator="greaterThan">
      <formula>45</formula>
    </cfRule>
  </conditionalFormatting>
  <conditionalFormatting sqref="G117">
    <cfRule type="cellIs" dxfId="3290" priority="1125" operator="greaterThan">
      <formula>45</formula>
    </cfRule>
  </conditionalFormatting>
  <conditionalFormatting sqref="G124">
    <cfRule type="cellIs" dxfId="3289" priority="1205" operator="greaterThan">
      <formula>45</formula>
    </cfRule>
  </conditionalFormatting>
  <conditionalFormatting sqref="G128">
    <cfRule type="cellIs" dxfId="3288" priority="1285" operator="greaterThan">
      <formula>45</formula>
    </cfRule>
  </conditionalFormatting>
  <conditionalFormatting sqref="G133">
    <cfRule type="cellIs" dxfId="3287" priority="1365" operator="greaterThan">
      <formula>45</formula>
    </cfRule>
  </conditionalFormatting>
  <conditionalFormatting sqref="G136">
    <cfRule type="cellIs" dxfId="3286" priority="1445" operator="greaterThan">
      <formula>45</formula>
    </cfRule>
  </conditionalFormatting>
  <conditionalFormatting sqref="G143">
    <cfRule type="cellIs" dxfId="3285" priority="1525" operator="greaterThan">
      <formula>45</formula>
    </cfRule>
  </conditionalFormatting>
  <conditionalFormatting sqref="G157">
    <cfRule type="cellIs" dxfId="3284" priority="1605" operator="greaterThan">
      <formula>45</formula>
    </cfRule>
  </conditionalFormatting>
  <conditionalFormatting sqref="G160">
    <cfRule type="cellIs" dxfId="3283" priority="1685" operator="greaterThan">
      <formula>45</formula>
    </cfRule>
  </conditionalFormatting>
  <conditionalFormatting sqref="G170">
    <cfRule type="cellIs" dxfId="3282" priority="1765" operator="greaterThan">
      <formula>45</formula>
    </cfRule>
  </conditionalFormatting>
  <conditionalFormatting sqref="G182">
    <cfRule type="cellIs" dxfId="3281" priority="1845" operator="greaterThan">
      <formula>45</formula>
    </cfRule>
  </conditionalFormatting>
  <conditionalFormatting sqref="G185">
    <cfRule type="cellIs" dxfId="3280" priority="1925" operator="greaterThan">
      <formula>45</formula>
    </cfRule>
  </conditionalFormatting>
  <conditionalFormatting sqref="G188">
    <cfRule type="cellIs" dxfId="3279" priority="2005" operator="greaterThan">
      <formula>45</formula>
    </cfRule>
  </conditionalFormatting>
  <conditionalFormatting sqref="G194">
    <cfRule type="cellIs" dxfId="3278" priority="2085" operator="greaterThan">
      <formula>45</formula>
    </cfRule>
  </conditionalFormatting>
  <conditionalFormatting sqref="G198">
    <cfRule type="cellIs" dxfId="3277" priority="2165" operator="greaterThan">
      <formula>45</formula>
    </cfRule>
  </conditionalFormatting>
  <conditionalFormatting sqref="G206">
    <cfRule type="cellIs" dxfId="3276" priority="2245" operator="greaterThan">
      <formula>45</formula>
    </cfRule>
  </conditionalFormatting>
  <conditionalFormatting sqref="G211">
    <cfRule type="cellIs" dxfId="3275" priority="2325" operator="greaterThan">
      <formula>45</formula>
    </cfRule>
  </conditionalFormatting>
  <conditionalFormatting sqref="G213">
    <cfRule type="cellIs" dxfId="3274" priority="2405" operator="greaterThan">
      <formula>45</formula>
    </cfRule>
  </conditionalFormatting>
  <conditionalFormatting sqref="G217">
    <cfRule type="cellIs" dxfId="3273" priority="2485" operator="greaterThan">
      <formula>45</formula>
    </cfRule>
  </conditionalFormatting>
  <conditionalFormatting sqref="G220">
    <cfRule type="cellIs" dxfId="3272" priority="2565" operator="greaterThan">
      <formula>45</formula>
    </cfRule>
  </conditionalFormatting>
  <conditionalFormatting sqref="G223">
    <cfRule type="cellIs" dxfId="3271" priority="2645" operator="greaterThan">
      <formula>45</formula>
    </cfRule>
  </conditionalFormatting>
  <conditionalFormatting sqref="G226">
    <cfRule type="cellIs" dxfId="3270" priority="2725" operator="greaterThan">
      <formula>45</formula>
    </cfRule>
  </conditionalFormatting>
  <conditionalFormatting sqref="G229">
    <cfRule type="cellIs" dxfId="3269" priority="2805" operator="greaterThan">
      <formula>45</formula>
    </cfRule>
  </conditionalFormatting>
  <conditionalFormatting sqref="G232">
    <cfRule type="cellIs" dxfId="3268" priority="2885" operator="greaterThan">
      <formula>45</formula>
    </cfRule>
  </conditionalFormatting>
  <conditionalFormatting sqref="G234">
    <cfRule type="cellIs" dxfId="3267" priority="2965" operator="greaterThan">
      <formula>45</formula>
    </cfRule>
  </conditionalFormatting>
  <conditionalFormatting sqref="G248">
    <cfRule type="cellIs" dxfId="3266" priority="3045" operator="greaterThan">
      <formula>45</formula>
    </cfRule>
  </conditionalFormatting>
  <conditionalFormatting sqref="G252">
    <cfRule type="cellIs" dxfId="3265" priority="3125" operator="greaterThan">
      <formula>45</formula>
    </cfRule>
  </conditionalFormatting>
  <conditionalFormatting sqref="G261">
    <cfRule type="cellIs" dxfId="3264" priority="3205" operator="greaterThan">
      <formula>45</formula>
    </cfRule>
  </conditionalFormatting>
  <conditionalFormatting sqref="G271">
    <cfRule type="cellIs" dxfId="3263" priority="3285" operator="greaterThan">
      <formula>45</formula>
    </cfRule>
  </conditionalFormatting>
  <conditionalFormatting sqref="G280">
    <cfRule type="cellIs" dxfId="3262" priority="3365" operator="greaterThan">
      <formula>45</formula>
    </cfRule>
  </conditionalFormatting>
  <conditionalFormatting sqref="G283">
    <cfRule type="cellIs" dxfId="3261" priority="3445" operator="greaterThan">
      <formula>45</formula>
    </cfRule>
  </conditionalFormatting>
  <conditionalFormatting sqref="G292">
    <cfRule type="cellIs" dxfId="3260" priority="3525" operator="greaterThan">
      <formula>45</formula>
    </cfRule>
  </conditionalFormatting>
  <conditionalFormatting sqref="G294">
    <cfRule type="cellIs" dxfId="3259" priority="3605" operator="greaterThan">
      <formula>45</formula>
    </cfRule>
  </conditionalFormatting>
  <conditionalFormatting sqref="G296">
    <cfRule type="cellIs" dxfId="3258" priority="3685" operator="greaterThan">
      <formula>45</formula>
    </cfRule>
  </conditionalFormatting>
  <conditionalFormatting sqref="G298">
    <cfRule type="cellIs" dxfId="3257" priority="3765" operator="greaterThan">
      <formula>45</formula>
    </cfRule>
  </conditionalFormatting>
  <conditionalFormatting sqref="G300">
    <cfRule type="cellIs" dxfId="3256" priority="3845" operator="greaterThan">
      <formula>45</formula>
    </cfRule>
  </conditionalFormatting>
  <conditionalFormatting sqref="G302">
    <cfRule type="cellIs" dxfId="3255" priority="3925" operator="greaterThan">
      <formula>45</formula>
    </cfRule>
  </conditionalFormatting>
  <conditionalFormatting sqref="G304">
    <cfRule type="cellIs" dxfId="3254" priority="4005" operator="greaterThan">
      <formula>45</formula>
    </cfRule>
  </conditionalFormatting>
  <conditionalFormatting sqref="G306">
    <cfRule type="cellIs" dxfId="3253" priority="4085" operator="greaterThan">
      <formula>45</formula>
    </cfRule>
  </conditionalFormatting>
  <conditionalFormatting sqref="G308">
    <cfRule type="cellIs" dxfId="3252" priority="4165" operator="greaterThan">
      <formula>45</formula>
    </cfRule>
  </conditionalFormatting>
  <conditionalFormatting sqref="G310">
    <cfRule type="cellIs" dxfId="3251" priority="4245" operator="greaterThan">
      <formula>45</formula>
    </cfRule>
  </conditionalFormatting>
  <conditionalFormatting sqref="G312">
    <cfRule type="cellIs" dxfId="3250" priority="4325" operator="greaterThan">
      <formula>45</formula>
    </cfRule>
  </conditionalFormatting>
  <conditionalFormatting sqref="G314">
    <cfRule type="cellIs" dxfId="3249" priority="4405" operator="greaterThan">
      <formula>45</formula>
    </cfRule>
  </conditionalFormatting>
  <conditionalFormatting sqref="G316">
    <cfRule type="cellIs" dxfId="3248" priority="4485" operator="greaterThan">
      <formula>45</formula>
    </cfRule>
  </conditionalFormatting>
  <conditionalFormatting sqref="G318">
    <cfRule type="cellIs" dxfId="3247" priority="4565" operator="greaterThan">
      <formula>45</formula>
    </cfRule>
  </conditionalFormatting>
  <conditionalFormatting sqref="G320">
    <cfRule type="cellIs" dxfId="3246" priority="4645" operator="greaterThan">
      <formula>45</formula>
    </cfRule>
  </conditionalFormatting>
  <conditionalFormatting sqref="G322">
    <cfRule type="cellIs" dxfId="3245" priority="4725" operator="greaterThan">
      <formula>45</formula>
    </cfRule>
  </conditionalFormatting>
  <conditionalFormatting sqref="G324">
    <cfRule type="cellIs" dxfId="3244" priority="4805" operator="greaterThan">
      <formula>45</formula>
    </cfRule>
  </conditionalFormatting>
  <conditionalFormatting sqref="G326">
    <cfRule type="cellIs" dxfId="3243" priority="4885" operator="greaterThan">
      <formula>45</formula>
    </cfRule>
  </conditionalFormatting>
  <conditionalFormatting sqref="H2">
    <cfRule type="cellIs" dxfId="3242" priority="7" operator="greaterThan">
      <formula>45</formula>
    </cfRule>
    <cfRule type="cellIs" dxfId="3241" priority="6" operator="greaterThan">
      <formula>40</formula>
    </cfRule>
  </conditionalFormatting>
  <conditionalFormatting sqref="H4">
    <cfRule type="cellIs" dxfId="3240" priority="86" operator="greaterThan">
      <formula>40</formula>
    </cfRule>
    <cfRule type="cellIs" dxfId="3239" priority="87" operator="greaterThan">
      <formula>45</formula>
    </cfRule>
  </conditionalFormatting>
  <conditionalFormatting sqref="H13">
    <cfRule type="cellIs" dxfId="3238" priority="167" operator="greaterThan">
      <formula>45</formula>
    </cfRule>
    <cfRule type="cellIs" dxfId="3237" priority="166" operator="greaterThan">
      <formula>40</formula>
    </cfRule>
  </conditionalFormatting>
  <conditionalFormatting sqref="H23">
    <cfRule type="cellIs" dxfId="3236" priority="246" operator="greaterThan">
      <formula>40</formula>
    </cfRule>
    <cfRule type="cellIs" dxfId="3235" priority="247" operator="greaterThan">
      <formula>45</formula>
    </cfRule>
  </conditionalFormatting>
  <conditionalFormatting sqref="H33">
    <cfRule type="cellIs" dxfId="3234" priority="327" operator="greaterThan">
      <formula>45</formula>
    </cfRule>
    <cfRule type="cellIs" dxfId="3233" priority="326" operator="greaterThan">
      <formula>40</formula>
    </cfRule>
  </conditionalFormatting>
  <conditionalFormatting sqref="H48">
    <cfRule type="cellIs" dxfId="3232" priority="406" operator="greaterThan">
      <formula>40</formula>
    </cfRule>
    <cfRule type="cellIs" dxfId="3231" priority="407" operator="greaterThan">
      <formula>45</formula>
    </cfRule>
  </conditionalFormatting>
  <conditionalFormatting sqref="H52">
    <cfRule type="cellIs" dxfId="3230" priority="487" operator="greaterThan">
      <formula>45</formula>
    </cfRule>
    <cfRule type="cellIs" dxfId="3229" priority="486" operator="greaterThan">
      <formula>40</formula>
    </cfRule>
  </conditionalFormatting>
  <conditionalFormatting sqref="H61">
    <cfRule type="cellIs" dxfId="3228" priority="566" operator="greaterThan">
      <formula>40</formula>
    </cfRule>
    <cfRule type="cellIs" dxfId="3227" priority="567" operator="greaterThan">
      <formula>45</formula>
    </cfRule>
  </conditionalFormatting>
  <conditionalFormatting sqref="H74">
    <cfRule type="cellIs" dxfId="3226" priority="646" operator="greaterThan">
      <formula>40</formula>
    </cfRule>
    <cfRule type="cellIs" dxfId="3225" priority="647" operator="greaterThan">
      <formula>45</formula>
    </cfRule>
  </conditionalFormatting>
  <conditionalFormatting sqref="H76">
    <cfRule type="cellIs" dxfId="3224" priority="726" operator="greaterThan">
      <formula>40</formula>
    </cfRule>
    <cfRule type="cellIs" dxfId="3223" priority="727" operator="greaterThan">
      <formula>45</formula>
    </cfRule>
  </conditionalFormatting>
  <conditionalFormatting sqref="H86">
    <cfRule type="cellIs" dxfId="3222" priority="806" operator="greaterThan">
      <formula>40</formula>
    </cfRule>
    <cfRule type="cellIs" dxfId="3221" priority="807" operator="greaterThan">
      <formula>45</formula>
    </cfRule>
  </conditionalFormatting>
  <conditionalFormatting sqref="H96">
    <cfRule type="cellIs" dxfId="3220" priority="886" operator="greaterThan">
      <formula>40</formula>
    </cfRule>
    <cfRule type="cellIs" dxfId="3219" priority="887" operator="greaterThan">
      <formula>45</formula>
    </cfRule>
  </conditionalFormatting>
  <conditionalFormatting sqref="H101">
    <cfRule type="cellIs" dxfId="3218" priority="967" operator="greaterThan">
      <formula>45</formula>
    </cfRule>
  </conditionalFormatting>
  <conditionalFormatting sqref="H110">
    <cfRule type="cellIs" dxfId="3217" priority="1047" operator="greaterThan">
      <formula>45</formula>
    </cfRule>
  </conditionalFormatting>
  <conditionalFormatting sqref="H117">
    <cfRule type="cellIs" dxfId="3216" priority="1127" operator="greaterThan">
      <formula>45</formula>
    </cfRule>
  </conditionalFormatting>
  <conditionalFormatting sqref="H124">
    <cfRule type="cellIs" dxfId="3215" priority="1207" operator="greaterThan">
      <formula>45</formula>
    </cfRule>
  </conditionalFormatting>
  <conditionalFormatting sqref="H128">
    <cfRule type="cellIs" dxfId="3214" priority="1287" operator="greaterThan">
      <formula>45</formula>
    </cfRule>
  </conditionalFormatting>
  <conditionalFormatting sqref="H133">
    <cfRule type="cellIs" dxfId="3213" priority="1367" operator="greaterThan">
      <formula>45</formula>
    </cfRule>
  </conditionalFormatting>
  <conditionalFormatting sqref="H136">
    <cfRule type="cellIs" dxfId="3212" priority="1447" operator="greaterThan">
      <formula>45</formula>
    </cfRule>
  </conditionalFormatting>
  <conditionalFormatting sqref="H143">
    <cfRule type="cellIs" dxfId="3211" priority="1527" operator="greaterThan">
      <formula>45</formula>
    </cfRule>
  </conditionalFormatting>
  <conditionalFormatting sqref="H157">
    <cfRule type="cellIs" dxfId="3210" priority="1607" operator="greaterThan">
      <formula>45</formula>
    </cfRule>
  </conditionalFormatting>
  <conditionalFormatting sqref="H160">
    <cfRule type="cellIs" dxfId="3209" priority="1687" operator="greaterThan">
      <formula>45</formula>
    </cfRule>
  </conditionalFormatting>
  <conditionalFormatting sqref="H170">
    <cfRule type="cellIs" dxfId="3208" priority="1767" operator="greaterThan">
      <formula>45</formula>
    </cfRule>
  </conditionalFormatting>
  <conditionalFormatting sqref="H182">
    <cfRule type="cellIs" dxfId="3207" priority="1847" operator="greaterThan">
      <formula>45</formula>
    </cfRule>
  </conditionalFormatting>
  <conditionalFormatting sqref="H185">
    <cfRule type="cellIs" dxfId="3206" priority="1927" operator="greaterThan">
      <formula>45</formula>
    </cfRule>
  </conditionalFormatting>
  <conditionalFormatting sqref="H188">
    <cfRule type="cellIs" dxfId="3205" priority="2007" operator="greaterThan">
      <formula>45</formula>
    </cfRule>
  </conditionalFormatting>
  <conditionalFormatting sqref="H194">
    <cfRule type="cellIs" dxfId="3204" priority="2087" operator="greaterThan">
      <formula>45</formula>
    </cfRule>
  </conditionalFormatting>
  <conditionalFormatting sqref="H198">
    <cfRule type="cellIs" dxfId="3203" priority="2167" operator="greaterThan">
      <formula>45</formula>
    </cfRule>
  </conditionalFormatting>
  <conditionalFormatting sqref="H206">
    <cfRule type="cellIs" dxfId="3202" priority="2247" operator="greaterThan">
      <formula>45</formula>
    </cfRule>
  </conditionalFormatting>
  <conditionalFormatting sqref="H211">
    <cfRule type="cellIs" dxfId="3201" priority="2327" operator="greaterThan">
      <formula>45</formula>
    </cfRule>
  </conditionalFormatting>
  <conditionalFormatting sqref="H213">
    <cfRule type="cellIs" dxfId="3200" priority="2407" operator="greaterThan">
      <formula>45</formula>
    </cfRule>
  </conditionalFormatting>
  <conditionalFormatting sqref="H217">
    <cfRule type="cellIs" dxfId="3199" priority="2487" operator="greaterThan">
      <formula>45</formula>
    </cfRule>
  </conditionalFormatting>
  <conditionalFormatting sqref="H220">
    <cfRule type="cellIs" dxfId="3198" priority="2567" operator="greaterThan">
      <formula>45</formula>
    </cfRule>
  </conditionalFormatting>
  <conditionalFormatting sqref="H223">
    <cfRule type="cellIs" dxfId="3197" priority="2647" operator="greaterThan">
      <formula>45</formula>
    </cfRule>
  </conditionalFormatting>
  <conditionalFormatting sqref="H226">
    <cfRule type="cellIs" dxfId="3196" priority="2727" operator="greaterThan">
      <formula>45</formula>
    </cfRule>
  </conditionalFormatting>
  <conditionalFormatting sqref="H229">
    <cfRule type="cellIs" dxfId="3195" priority="2807" operator="greaterThan">
      <formula>45</formula>
    </cfRule>
  </conditionalFormatting>
  <conditionalFormatting sqref="H232">
    <cfRule type="cellIs" dxfId="3194" priority="2887" operator="greaterThan">
      <formula>45</formula>
    </cfRule>
  </conditionalFormatting>
  <conditionalFormatting sqref="H234">
    <cfRule type="cellIs" dxfId="3193" priority="2967" operator="greaterThan">
      <formula>45</formula>
    </cfRule>
  </conditionalFormatting>
  <conditionalFormatting sqref="H248">
    <cfRule type="cellIs" dxfId="3192" priority="3047" operator="greaterThan">
      <formula>45</formula>
    </cfRule>
  </conditionalFormatting>
  <conditionalFormatting sqref="H252">
    <cfRule type="cellIs" dxfId="3191" priority="3127" operator="greaterThan">
      <formula>45</formula>
    </cfRule>
  </conditionalFormatting>
  <conditionalFormatting sqref="H261">
    <cfRule type="cellIs" dxfId="3190" priority="3207" operator="greaterThan">
      <formula>45</formula>
    </cfRule>
  </conditionalFormatting>
  <conditionalFormatting sqref="H271">
    <cfRule type="cellIs" dxfId="3189" priority="3287" operator="greaterThan">
      <formula>45</formula>
    </cfRule>
  </conditionalFormatting>
  <conditionalFormatting sqref="H280">
    <cfRule type="cellIs" dxfId="3188" priority="3367" operator="greaterThan">
      <formula>45</formula>
    </cfRule>
  </conditionalFormatting>
  <conditionalFormatting sqref="H283">
    <cfRule type="cellIs" dxfId="3187" priority="3447" operator="greaterThan">
      <formula>45</formula>
    </cfRule>
  </conditionalFormatting>
  <conditionalFormatting sqref="H292">
    <cfRule type="cellIs" dxfId="3186" priority="3527" operator="greaterThan">
      <formula>45</formula>
    </cfRule>
  </conditionalFormatting>
  <conditionalFormatting sqref="H294">
    <cfRule type="cellIs" dxfId="3185" priority="3607" operator="greaterThan">
      <formula>45</formula>
    </cfRule>
  </conditionalFormatting>
  <conditionalFormatting sqref="H296">
    <cfRule type="cellIs" dxfId="3184" priority="3687" operator="greaterThan">
      <formula>45</formula>
    </cfRule>
  </conditionalFormatting>
  <conditionalFormatting sqref="H298">
    <cfRule type="cellIs" dxfId="3183" priority="3767" operator="greaterThan">
      <formula>45</formula>
    </cfRule>
  </conditionalFormatting>
  <conditionalFormatting sqref="H300">
    <cfRule type="cellIs" dxfId="3182" priority="3847" operator="greaterThan">
      <formula>45</formula>
    </cfRule>
  </conditionalFormatting>
  <conditionalFormatting sqref="H302">
    <cfRule type="cellIs" dxfId="3181" priority="3927" operator="greaterThan">
      <formula>45</formula>
    </cfRule>
  </conditionalFormatting>
  <conditionalFormatting sqref="H304">
    <cfRule type="cellIs" dxfId="3180" priority="4007" operator="greaterThan">
      <formula>45</formula>
    </cfRule>
  </conditionalFormatting>
  <conditionalFormatting sqref="H306">
    <cfRule type="cellIs" dxfId="3179" priority="4087" operator="greaterThan">
      <formula>45</formula>
    </cfRule>
  </conditionalFormatting>
  <conditionalFormatting sqref="H308">
    <cfRule type="cellIs" dxfId="3178" priority="4167" operator="greaterThan">
      <formula>45</formula>
    </cfRule>
  </conditionalFormatting>
  <conditionalFormatting sqref="H310">
    <cfRule type="cellIs" dxfId="3177" priority="4247" operator="greaterThan">
      <formula>45</formula>
    </cfRule>
  </conditionalFormatting>
  <conditionalFormatting sqref="H312">
    <cfRule type="cellIs" dxfId="3176" priority="4327" operator="greaterThan">
      <formula>45</formula>
    </cfRule>
  </conditionalFormatting>
  <conditionalFormatting sqref="H314">
    <cfRule type="cellIs" dxfId="3175" priority="4407" operator="greaterThan">
      <formula>45</formula>
    </cfRule>
  </conditionalFormatting>
  <conditionalFormatting sqref="H316">
    <cfRule type="cellIs" dxfId="3174" priority="4487" operator="greaterThan">
      <formula>45</formula>
    </cfRule>
  </conditionalFormatting>
  <conditionalFormatting sqref="H318">
    <cfRule type="cellIs" dxfId="3173" priority="4567" operator="greaterThan">
      <formula>45</formula>
    </cfRule>
  </conditionalFormatting>
  <conditionalFormatting sqref="H320">
    <cfRule type="cellIs" dxfId="3172" priority="4647" operator="greaterThan">
      <formula>45</formula>
    </cfRule>
  </conditionalFormatting>
  <conditionalFormatting sqref="H322">
    <cfRule type="cellIs" dxfId="3171" priority="4727" operator="greaterThan">
      <formula>45</formula>
    </cfRule>
  </conditionalFormatting>
  <conditionalFormatting sqref="H324">
    <cfRule type="cellIs" dxfId="3170" priority="4807" operator="greaterThan">
      <formula>45</formula>
    </cfRule>
  </conditionalFormatting>
  <conditionalFormatting sqref="H326">
    <cfRule type="cellIs" dxfId="3169" priority="4887" operator="greaterThan">
      <formula>45</formula>
    </cfRule>
  </conditionalFormatting>
  <conditionalFormatting sqref="I2">
    <cfRule type="cellIs" dxfId="3168" priority="9" operator="greaterThan">
      <formula>45</formula>
    </cfRule>
    <cfRule type="cellIs" dxfId="3167" priority="8" operator="greaterThan">
      <formula>40</formula>
    </cfRule>
  </conditionalFormatting>
  <conditionalFormatting sqref="I4">
    <cfRule type="cellIs" dxfId="3166" priority="89" operator="greaterThan">
      <formula>45</formula>
    </cfRule>
    <cfRule type="cellIs" dxfId="3165" priority="88" operator="greaterThan">
      <formula>40</formula>
    </cfRule>
  </conditionalFormatting>
  <conditionalFormatting sqref="I13">
    <cfRule type="cellIs" dxfId="3164" priority="168" operator="greaterThan">
      <formula>40</formula>
    </cfRule>
    <cfRule type="cellIs" dxfId="3163" priority="169" operator="greaterThan">
      <formula>45</formula>
    </cfRule>
  </conditionalFormatting>
  <conditionalFormatting sqref="I23">
    <cfRule type="cellIs" dxfId="3162" priority="248" operator="greaterThan">
      <formula>40</formula>
    </cfRule>
    <cfRule type="cellIs" dxfId="3161" priority="249" operator="greaterThan">
      <formula>45</formula>
    </cfRule>
  </conditionalFormatting>
  <conditionalFormatting sqref="I33">
    <cfRule type="cellIs" dxfId="3160" priority="328" operator="greaterThan">
      <formula>40</formula>
    </cfRule>
    <cfRule type="cellIs" dxfId="3159" priority="329" operator="greaterThan">
      <formula>45</formula>
    </cfRule>
  </conditionalFormatting>
  <conditionalFormatting sqref="I48">
    <cfRule type="cellIs" dxfId="3158" priority="408" operator="greaterThan">
      <formula>40</formula>
    </cfRule>
    <cfRule type="cellIs" dxfId="3157" priority="409" operator="greaterThan">
      <formula>45</formula>
    </cfRule>
  </conditionalFormatting>
  <conditionalFormatting sqref="I52">
    <cfRule type="cellIs" dxfId="3156" priority="488" operator="greaterThan">
      <formula>40</formula>
    </cfRule>
    <cfRule type="cellIs" dxfId="3155" priority="489" operator="greaterThan">
      <formula>45</formula>
    </cfRule>
  </conditionalFormatting>
  <conditionalFormatting sqref="I61">
    <cfRule type="cellIs" dxfId="3154" priority="568" operator="greaterThan">
      <formula>40</formula>
    </cfRule>
    <cfRule type="cellIs" dxfId="3153" priority="569" operator="greaterThan">
      <formula>45</formula>
    </cfRule>
  </conditionalFormatting>
  <conditionalFormatting sqref="I74">
    <cfRule type="cellIs" dxfId="3152" priority="649" operator="greaterThan">
      <formula>45</formula>
    </cfRule>
    <cfRule type="cellIs" dxfId="3151" priority="648" operator="greaterThan">
      <formula>40</formula>
    </cfRule>
  </conditionalFormatting>
  <conditionalFormatting sqref="I76">
    <cfRule type="cellIs" dxfId="3150" priority="728" operator="greaterThan">
      <formula>40</formula>
    </cfRule>
    <cfRule type="cellIs" dxfId="3149" priority="729" operator="greaterThan">
      <formula>45</formula>
    </cfRule>
  </conditionalFormatting>
  <conditionalFormatting sqref="I86">
    <cfRule type="cellIs" dxfId="3148" priority="809" operator="greaterThan">
      <formula>45</formula>
    </cfRule>
    <cfRule type="cellIs" dxfId="3147" priority="808" operator="greaterThan">
      <formula>40</formula>
    </cfRule>
  </conditionalFormatting>
  <conditionalFormatting sqref="I96">
    <cfRule type="cellIs" dxfId="3146" priority="889" operator="greaterThan">
      <formula>45</formula>
    </cfRule>
    <cfRule type="cellIs" dxfId="3145" priority="888" operator="greaterThan">
      <formula>40</formula>
    </cfRule>
  </conditionalFormatting>
  <conditionalFormatting sqref="I101">
    <cfRule type="cellIs" dxfId="3144" priority="969" operator="greaterThan">
      <formula>45</formula>
    </cfRule>
  </conditionalFormatting>
  <conditionalFormatting sqref="I110">
    <cfRule type="cellIs" dxfId="3143" priority="1049" operator="greaterThan">
      <formula>45</formula>
    </cfRule>
  </conditionalFormatting>
  <conditionalFormatting sqref="I117">
    <cfRule type="cellIs" dxfId="3142" priority="1129" operator="greaterThan">
      <formula>45</formula>
    </cfRule>
  </conditionalFormatting>
  <conditionalFormatting sqref="I124">
    <cfRule type="cellIs" dxfId="3141" priority="1209" operator="greaterThan">
      <formula>45</formula>
    </cfRule>
  </conditionalFormatting>
  <conditionalFormatting sqref="I128">
    <cfRule type="cellIs" dxfId="3140" priority="1289" operator="greaterThan">
      <formula>45</formula>
    </cfRule>
  </conditionalFormatting>
  <conditionalFormatting sqref="I133">
    <cfRule type="cellIs" dxfId="3139" priority="1369" operator="greaterThan">
      <formula>45</formula>
    </cfRule>
  </conditionalFormatting>
  <conditionalFormatting sqref="I136">
    <cfRule type="cellIs" dxfId="3138" priority="1449" operator="greaterThan">
      <formula>45</formula>
    </cfRule>
  </conditionalFormatting>
  <conditionalFormatting sqref="I143">
    <cfRule type="cellIs" dxfId="3137" priority="1529" operator="greaterThan">
      <formula>45</formula>
    </cfRule>
  </conditionalFormatting>
  <conditionalFormatting sqref="I157">
    <cfRule type="cellIs" dxfId="3136" priority="1609" operator="greaterThan">
      <formula>45</formula>
    </cfRule>
  </conditionalFormatting>
  <conditionalFormatting sqref="I160">
    <cfRule type="cellIs" dxfId="3135" priority="1689" operator="greaterThan">
      <formula>45</formula>
    </cfRule>
  </conditionalFormatting>
  <conditionalFormatting sqref="I170">
    <cfRule type="cellIs" dxfId="3134" priority="1769" operator="greaterThan">
      <formula>45</formula>
    </cfRule>
  </conditionalFormatting>
  <conditionalFormatting sqref="I182">
    <cfRule type="cellIs" dxfId="3133" priority="1849" operator="greaterThan">
      <formula>45</formula>
    </cfRule>
  </conditionalFormatting>
  <conditionalFormatting sqref="I185">
    <cfRule type="cellIs" dxfId="3132" priority="1929" operator="greaterThan">
      <formula>45</formula>
    </cfRule>
  </conditionalFormatting>
  <conditionalFormatting sqref="I188">
    <cfRule type="cellIs" dxfId="3131" priority="2009" operator="greaterThan">
      <formula>45</formula>
    </cfRule>
  </conditionalFormatting>
  <conditionalFormatting sqref="I194">
    <cfRule type="cellIs" dxfId="3130" priority="2089" operator="greaterThan">
      <formula>45</formula>
    </cfRule>
  </conditionalFormatting>
  <conditionalFormatting sqref="I198">
    <cfRule type="cellIs" dxfId="3129" priority="2169" operator="greaterThan">
      <formula>45</formula>
    </cfRule>
  </conditionalFormatting>
  <conditionalFormatting sqref="I206">
    <cfRule type="cellIs" dxfId="3128" priority="2249" operator="greaterThan">
      <formula>45</formula>
    </cfRule>
  </conditionalFormatting>
  <conditionalFormatting sqref="I211">
    <cfRule type="cellIs" dxfId="3127" priority="2329" operator="greaterThan">
      <formula>45</formula>
    </cfRule>
  </conditionalFormatting>
  <conditionalFormatting sqref="I213">
    <cfRule type="cellIs" dxfId="3126" priority="2409" operator="greaterThan">
      <formula>45</formula>
    </cfRule>
  </conditionalFormatting>
  <conditionalFormatting sqref="I217">
    <cfRule type="cellIs" dxfId="3125" priority="2489" operator="greaterThan">
      <formula>45</formula>
    </cfRule>
  </conditionalFormatting>
  <conditionalFormatting sqref="I220">
    <cfRule type="cellIs" dxfId="3124" priority="2569" operator="greaterThan">
      <formula>45</formula>
    </cfRule>
  </conditionalFormatting>
  <conditionalFormatting sqref="I223">
    <cfRule type="cellIs" dxfId="3123" priority="2649" operator="greaterThan">
      <formula>45</formula>
    </cfRule>
  </conditionalFormatting>
  <conditionalFormatting sqref="I226">
    <cfRule type="cellIs" dxfId="3122" priority="2729" operator="greaterThan">
      <formula>45</formula>
    </cfRule>
  </conditionalFormatting>
  <conditionalFormatting sqref="I229">
    <cfRule type="cellIs" dxfId="3121" priority="2809" operator="greaterThan">
      <formula>45</formula>
    </cfRule>
  </conditionalFormatting>
  <conditionalFormatting sqref="I232">
    <cfRule type="cellIs" dxfId="3120" priority="2889" operator="greaterThan">
      <formula>45</formula>
    </cfRule>
  </conditionalFormatting>
  <conditionalFormatting sqref="I234">
    <cfRule type="cellIs" dxfId="3119" priority="2969" operator="greaterThan">
      <formula>45</formula>
    </cfRule>
  </conditionalFormatting>
  <conditionalFormatting sqref="I248">
    <cfRule type="cellIs" dxfId="3118" priority="3049" operator="greaterThan">
      <formula>45</formula>
    </cfRule>
  </conditionalFormatting>
  <conditionalFormatting sqref="I252">
    <cfRule type="cellIs" dxfId="3117" priority="3129" operator="greaterThan">
      <formula>45</formula>
    </cfRule>
  </conditionalFormatting>
  <conditionalFormatting sqref="I261">
    <cfRule type="cellIs" dxfId="3116" priority="3209" operator="greaterThan">
      <formula>45</formula>
    </cfRule>
  </conditionalFormatting>
  <conditionalFormatting sqref="I271">
    <cfRule type="cellIs" dxfId="3115" priority="3289" operator="greaterThan">
      <formula>45</formula>
    </cfRule>
  </conditionalFormatting>
  <conditionalFormatting sqref="I280">
    <cfRule type="cellIs" dxfId="3114" priority="3369" operator="greaterThan">
      <formula>45</formula>
    </cfRule>
  </conditionalFormatting>
  <conditionalFormatting sqref="I283">
    <cfRule type="cellIs" dxfId="3113" priority="3449" operator="greaterThan">
      <formula>45</formula>
    </cfRule>
  </conditionalFormatting>
  <conditionalFormatting sqref="I292">
    <cfRule type="cellIs" dxfId="3112" priority="3529" operator="greaterThan">
      <formula>45</formula>
    </cfRule>
  </conditionalFormatting>
  <conditionalFormatting sqref="I294">
    <cfRule type="cellIs" dxfId="3111" priority="3609" operator="greaterThan">
      <formula>45</formula>
    </cfRule>
  </conditionalFormatting>
  <conditionalFormatting sqref="I296">
    <cfRule type="cellIs" dxfId="3110" priority="3689" operator="greaterThan">
      <formula>45</formula>
    </cfRule>
  </conditionalFormatting>
  <conditionalFormatting sqref="I298">
    <cfRule type="cellIs" dxfId="3109" priority="3769" operator="greaterThan">
      <formula>45</formula>
    </cfRule>
  </conditionalFormatting>
  <conditionalFormatting sqref="I300">
    <cfRule type="cellIs" dxfId="3108" priority="3849" operator="greaterThan">
      <formula>45</formula>
    </cfRule>
  </conditionalFormatting>
  <conditionalFormatting sqref="I302">
    <cfRule type="cellIs" dxfId="3107" priority="3929" operator="greaterThan">
      <formula>45</formula>
    </cfRule>
  </conditionalFormatting>
  <conditionalFormatting sqref="I304">
    <cfRule type="cellIs" dxfId="3106" priority="4009" operator="greaterThan">
      <formula>45</formula>
    </cfRule>
  </conditionalFormatting>
  <conditionalFormatting sqref="I306">
    <cfRule type="cellIs" dxfId="3105" priority="4089" operator="greaterThan">
      <formula>45</formula>
    </cfRule>
  </conditionalFormatting>
  <conditionalFormatting sqref="I308">
    <cfRule type="cellIs" dxfId="3104" priority="4169" operator="greaterThan">
      <formula>45</formula>
    </cfRule>
  </conditionalFormatting>
  <conditionalFormatting sqref="I310">
    <cfRule type="cellIs" dxfId="3103" priority="4249" operator="greaterThan">
      <formula>45</formula>
    </cfRule>
  </conditionalFormatting>
  <conditionalFormatting sqref="I312">
    <cfRule type="cellIs" dxfId="3102" priority="4329" operator="greaterThan">
      <formula>45</formula>
    </cfRule>
  </conditionalFormatting>
  <conditionalFormatting sqref="I314">
    <cfRule type="cellIs" dxfId="3101" priority="4409" operator="greaterThan">
      <formula>45</formula>
    </cfRule>
  </conditionalFormatting>
  <conditionalFormatting sqref="I316">
    <cfRule type="cellIs" dxfId="3100" priority="4489" operator="greaterThan">
      <formula>45</formula>
    </cfRule>
  </conditionalFormatting>
  <conditionalFormatting sqref="I318">
    <cfRule type="cellIs" dxfId="3099" priority="4569" operator="greaterThan">
      <formula>45</formula>
    </cfRule>
  </conditionalFormatting>
  <conditionalFormatting sqref="I320">
    <cfRule type="cellIs" dxfId="3098" priority="4649" operator="greaterThan">
      <formula>45</formula>
    </cfRule>
  </conditionalFormatting>
  <conditionalFormatting sqref="I322">
    <cfRule type="cellIs" dxfId="3097" priority="4729" operator="greaterThan">
      <formula>45</formula>
    </cfRule>
  </conditionalFormatting>
  <conditionalFormatting sqref="I324">
    <cfRule type="cellIs" dxfId="3096" priority="4809" operator="greaterThan">
      <formula>45</formula>
    </cfRule>
  </conditionalFormatting>
  <conditionalFormatting sqref="I326">
    <cfRule type="cellIs" dxfId="3095" priority="4889" operator="greaterThan">
      <formula>45</formula>
    </cfRule>
  </conditionalFormatting>
  <conditionalFormatting sqref="J2">
    <cfRule type="cellIs" dxfId="3094" priority="10" operator="greaterThan">
      <formula>40</formula>
    </cfRule>
    <cfRule type="cellIs" dxfId="3093" priority="11" operator="greaterThan">
      <formula>45</formula>
    </cfRule>
  </conditionalFormatting>
  <conditionalFormatting sqref="J4">
    <cfRule type="cellIs" dxfId="3092" priority="90" operator="greaterThan">
      <formula>40</formula>
    </cfRule>
    <cfRule type="cellIs" dxfId="3091" priority="91" operator="greaterThan">
      <formula>45</formula>
    </cfRule>
  </conditionalFormatting>
  <conditionalFormatting sqref="J13">
    <cfRule type="cellIs" dxfId="3090" priority="171" operator="greaterThan">
      <formula>45</formula>
    </cfRule>
    <cfRule type="cellIs" dxfId="3089" priority="170" operator="greaterThan">
      <formula>40</formula>
    </cfRule>
  </conditionalFormatting>
  <conditionalFormatting sqref="J23">
    <cfRule type="cellIs" dxfId="3088" priority="250" operator="greaterThan">
      <formula>40</formula>
    </cfRule>
    <cfRule type="cellIs" dxfId="3087" priority="251" operator="greaterThan">
      <formula>45</formula>
    </cfRule>
  </conditionalFormatting>
  <conditionalFormatting sqref="J33">
    <cfRule type="cellIs" dxfId="3086" priority="331" operator="greaterThan">
      <formula>45</formula>
    </cfRule>
    <cfRule type="cellIs" dxfId="3085" priority="330" operator="greaterThan">
      <formula>40</formula>
    </cfRule>
  </conditionalFormatting>
  <conditionalFormatting sqref="J48">
    <cfRule type="cellIs" dxfId="3084" priority="411" operator="greaterThan">
      <formula>45</formula>
    </cfRule>
    <cfRule type="cellIs" dxfId="3083" priority="410" operator="greaterThan">
      <formula>40</formula>
    </cfRule>
  </conditionalFormatting>
  <conditionalFormatting sqref="J52">
    <cfRule type="cellIs" dxfId="3082" priority="490" operator="greaterThan">
      <formula>40</formula>
    </cfRule>
    <cfRule type="cellIs" dxfId="3081" priority="491" operator="greaterThan">
      <formula>45</formula>
    </cfRule>
  </conditionalFormatting>
  <conditionalFormatting sqref="J61">
    <cfRule type="cellIs" dxfId="3080" priority="570" operator="greaterThan">
      <formula>40</formula>
    </cfRule>
    <cfRule type="cellIs" dxfId="3079" priority="571" operator="greaterThan">
      <formula>45</formula>
    </cfRule>
  </conditionalFormatting>
  <conditionalFormatting sqref="J74">
    <cfRule type="cellIs" dxfId="3078" priority="651" operator="greaterThan">
      <formula>45</formula>
    </cfRule>
    <cfRule type="cellIs" dxfId="3077" priority="650" operator="greaterThan">
      <formula>40</formula>
    </cfRule>
  </conditionalFormatting>
  <conditionalFormatting sqref="J76">
    <cfRule type="cellIs" dxfId="3076" priority="730" operator="greaterThan">
      <formula>40</formula>
    </cfRule>
    <cfRule type="cellIs" dxfId="3075" priority="731" operator="greaterThan">
      <formula>45</formula>
    </cfRule>
  </conditionalFormatting>
  <conditionalFormatting sqref="J86">
    <cfRule type="cellIs" dxfId="3074" priority="810" operator="greaterThan">
      <formula>40</formula>
    </cfRule>
    <cfRule type="cellIs" dxfId="3073" priority="811" operator="greaterThan">
      <formula>45</formula>
    </cfRule>
  </conditionalFormatting>
  <conditionalFormatting sqref="J96">
    <cfRule type="cellIs" dxfId="3072" priority="890" operator="greaterThan">
      <formula>40</formula>
    </cfRule>
    <cfRule type="cellIs" dxfId="3071" priority="891" operator="greaterThan">
      <formula>45</formula>
    </cfRule>
  </conditionalFormatting>
  <conditionalFormatting sqref="J101">
    <cfRule type="cellIs" dxfId="3070" priority="971" operator="greaterThan">
      <formula>45</formula>
    </cfRule>
  </conditionalFormatting>
  <conditionalFormatting sqref="J110">
    <cfRule type="cellIs" dxfId="3069" priority="1051" operator="greaterThan">
      <formula>45</formula>
    </cfRule>
  </conditionalFormatting>
  <conditionalFormatting sqref="J117">
    <cfRule type="cellIs" dxfId="3068" priority="1131" operator="greaterThan">
      <formula>45</formula>
    </cfRule>
  </conditionalFormatting>
  <conditionalFormatting sqref="J124">
    <cfRule type="cellIs" dxfId="3067" priority="1211" operator="greaterThan">
      <formula>45</formula>
    </cfRule>
  </conditionalFormatting>
  <conditionalFormatting sqref="J128">
    <cfRule type="cellIs" dxfId="3066" priority="1291" operator="greaterThan">
      <formula>45</formula>
    </cfRule>
  </conditionalFormatting>
  <conditionalFormatting sqref="J133">
    <cfRule type="cellIs" dxfId="3065" priority="1371" operator="greaterThan">
      <formula>45</formula>
    </cfRule>
  </conditionalFormatting>
  <conditionalFormatting sqref="J136">
    <cfRule type="cellIs" dxfId="3064" priority="1451" operator="greaterThan">
      <formula>45</formula>
    </cfRule>
  </conditionalFormatting>
  <conditionalFormatting sqref="J143">
    <cfRule type="cellIs" dxfId="3063" priority="1531" operator="greaterThan">
      <formula>45</formula>
    </cfRule>
  </conditionalFormatting>
  <conditionalFormatting sqref="J157">
    <cfRule type="cellIs" dxfId="3062" priority="1611" operator="greaterThan">
      <formula>45</formula>
    </cfRule>
  </conditionalFormatting>
  <conditionalFormatting sqref="J160">
    <cfRule type="cellIs" dxfId="3061" priority="1691" operator="greaterThan">
      <formula>45</formula>
    </cfRule>
  </conditionalFormatting>
  <conditionalFormatting sqref="J170">
    <cfRule type="cellIs" dxfId="3060" priority="1771" operator="greaterThan">
      <formula>45</formula>
    </cfRule>
  </conditionalFormatting>
  <conditionalFormatting sqref="J182">
    <cfRule type="cellIs" dxfId="3059" priority="1851" operator="greaterThan">
      <formula>45</formula>
    </cfRule>
  </conditionalFormatting>
  <conditionalFormatting sqref="J185">
    <cfRule type="cellIs" dxfId="3058" priority="1931" operator="greaterThan">
      <formula>45</formula>
    </cfRule>
  </conditionalFormatting>
  <conditionalFormatting sqref="J188">
    <cfRule type="cellIs" dxfId="3057" priority="2011" operator="greaterThan">
      <formula>45</formula>
    </cfRule>
  </conditionalFormatting>
  <conditionalFormatting sqref="J194">
    <cfRule type="cellIs" dxfId="3056" priority="2091" operator="greaterThan">
      <formula>45</formula>
    </cfRule>
  </conditionalFormatting>
  <conditionalFormatting sqref="J198">
    <cfRule type="cellIs" dxfId="3055" priority="2171" operator="greaterThan">
      <formula>45</formula>
    </cfRule>
  </conditionalFormatting>
  <conditionalFormatting sqref="J206">
    <cfRule type="cellIs" dxfId="3054" priority="2251" operator="greaterThan">
      <formula>45</formula>
    </cfRule>
  </conditionalFormatting>
  <conditionalFormatting sqref="J211">
    <cfRule type="cellIs" dxfId="3053" priority="2331" operator="greaterThan">
      <formula>45</formula>
    </cfRule>
  </conditionalFormatting>
  <conditionalFormatting sqref="J213">
    <cfRule type="cellIs" dxfId="3052" priority="2411" operator="greaterThan">
      <formula>45</formula>
    </cfRule>
  </conditionalFormatting>
  <conditionalFormatting sqref="J217">
    <cfRule type="cellIs" dxfId="3051" priority="2491" operator="greaterThan">
      <formula>45</formula>
    </cfRule>
  </conditionalFormatting>
  <conditionalFormatting sqref="J220">
    <cfRule type="cellIs" dxfId="3050" priority="2571" operator="greaterThan">
      <formula>45</formula>
    </cfRule>
  </conditionalFormatting>
  <conditionalFormatting sqref="J223">
    <cfRule type="cellIs" dxfId="3049" priority="2651" operator="greaterThan">
      <formula>45</formula>
    </cfRule>
  </conditionalFormatting>
  <conditionalFormatting sqref="J226">
    <cfRule type="cellIs" dxfId="3048" priority="2731" operator="greaterThan">
      <formula>45</formula>
    </cfRule>
  </conditionalFormatting>
  <conditionalFormatting sqref="J229">
    <cfRule type="cellIs" dxfId="3047" priority="2811" operator="greaterThan">
      <formula>45</formula>
    </cfRule>
  </conditionalFormatting>
  <conditionalFormatting sqref="J232">
    <cfRule type="cellIs" dxfId="3046" priority="2891" operator="greaterThan">
      <formula>45</formula>
    </cfRule>
  </conditionalFormatting>
  <conditionalFormatting sqref="J234">
    <cfRule type="cellIs" dxfId="3045" priority="2971" operator="greaterThan">
      <formula>45</formula>
    </cfRule>
  </conditionalFormatting>
  <conditionalFormatting sqref="J248">
    <cfRule type="cellIs" dxfId="3044" priority="3051" operator="greaterThan">
      <formula>45</formula>
    </cfRule>
  </conditionalFormatting>
  <conditionalFormatting sqref="J252">
    <cfRule type="cellIs" dxfId="3043" priority="3131" operator="greaterThan">
      <formula>45</formula>
    </cfRule>
  </conditionalFormatting>
  <conditionalFormatting sqref="J261">
    <cfRule type="cellIs" dxfId="3042" priority="3211" operator="greaterThan">
      <formula>45</formula>
    </cfRule>
  </conditionalFormatting>
  <conditionalFormatting sqref="J271">
    <cfRule type="cellIs" dxfId="3041" priority="3291" operator="greaterThan">
      <formula>45</formula>
    </cfRule>
  </conditionalFormatting>
  <conditionalFormatting sqref="J280">
    <cfRule type="cellIs" dxfId="3040" priority="3371" operator="greaterThan">
      <formula>45</formula>
    </cfRule>
  </conditionalFormatting>
  <conditionalFormatting sqref="J283">
    <cfRule type="cellIs" dxfId="3039" priority="3451" operator="greaterThan">
      <formula>45</formula>
    </cfRule>
  </conditionalFormatting>
  <conditionalFormatting sqref="J292">
    <cfRule type="cellIs" dxfId="3038" priority="3531" operator="greaterThan">
      <formula>45</formula>
    </cfRule>
  </conditionalFormatting>
  <conditionalFormatting sqref="J294">
    <cfRule type="cellIs" dxfId="3037" priority="3611" operator="greaterThan">
      <formula>45</formula>
    </cfRule>
  </conditionalFormatting>
  <conditionalFormatting sqref="J296">
    <cfRule type="cellIs" dxfId="3036" priority="3691" operator="greaterThan">
      <formula>45</formula>
    </cfRule>
  </conditionalFormatting>
  <conditionalFormatting sqref="J298">
    <cfRule type="cellIs" dxfId="3035" priority="3771" operator="greaterThan">
      <formula>45</formula>
    </cfRule>
  </conditionalFormatting>
  <conditionalFormatting sqref="J300">
    <cfRule type="cellIs" dxfId="3034" priority="3851" operator="greaterThan">
      <formula>45</formula>
    </cfRule>
  </conditionalFormatting>
  <conditionalFormatting sqref="J302">
    <cfRule type="cellIs" dxfId="3033" priority="3931" operator="greaterThan">
      <formula>45</formula>
    </cfRule>
  </conditionalFormatting>
  <conditionalFormatting sqref="J304">
    <cfRule type="cellIs" dxfId="3032" priority="4011" operator="greaterThan">
      <formula>45</formula>
    </cfRule>
  </conditionalFormatting>
  <conditionalFormatting sqref="J306">
    <cfRule type="cellIs" dxfId="3031" priority="4091" operator="greaterThan">
      <formula>45</formula>
    </cfRule>
  </conditionalFormatting>
  <conditionalFormatting sqref="J308">
    <cfRule type="cellIs" dxfId="3030" priority="4171" operator="greaterThan">
      <formula>45</formula>
    </cfRule>
  </conditionalFormatting>
  <conditionalFormatting sqref="J310">
    <cfRule type="cellIs" dxfId="3029" priority="4251" operator="greaterThan">
      <formula>45</formula>
    </cfRule>
  </conditionalFormatting>
  <conditionalFormatting sqref="J312">
    <cfRule type="cellIs" dxfId="3028" priority="4331" operator="greaterThan">
      <formula>45</formula>
    </cfRule>
  </conditionalFormatting>
  <conditionalFormatting sqref="J314">
    <cfRule type="cellIs" dxfId="3027" priority="4411" operator="greaterThan">
      <formula>45</formula>
    </cfRule>
  </conditionalFormatting>
  <conditionalFormatting sqref="J316">
    <cfRule type="cellIs" dxfId="3026" priority="4491" operator="greaterThan">
      <formula>45</formula>
    </cfRule>
  </conditionalFormatting>
  <conditionalFormatting sqref="J318">
    <cfRule type="cellIs" dxfId="3025" priority="4571" operator="greaterThan">
      <formula>45</formula>
    </cfRule>
  </conditionalFormatting>
  <conditionalFormatting sqref="J320">
    <cfRule type="cellIs" dxfId="3024" priority="4651" operator="greaterThan">
      <formula>45</formula>
    </cfRule>
  </conditionalFormatting>
  <conditionalFormatting sqref="J322">
    <cfRule type="cellIs" dxfId="3023" priority="4731" operator="greaterThan">
      <formula>45</formula>
    </cfRule>
  </conditionalFormatting>
  <conditionalFormatting sqref="J324">
    <cfRule type="cellIs" dxfId="3022" priority="4811" operator="greaterThan">
      <formula>45</formula>
    </cfRule>
  </conditionalFormatting>
  <conditionalFormatting sqref="J326">
    <cfRule type="cellIs" dxfId="3021" priority="4891" operator="greaterThan">
      <formula>45</formula>
    </cfRule>
  </conditionalFormatting>
  <conditionalFormatting sqref="K2">
    <cfRule type="cellIs" dxfId="3020" priority="13" operator="greaterThan">
      <formula>45</formula>
    </cfRule>
    <cfRule type="cellIs" dxfId="3019" priority="12" operator="greaterThan">
      <formula>40</formula>
    </cfRule>
  </conditionalFormatting>
  <conditionalFormatting sqref="K4">
    <cfRule type="cellIs" dxfId="3018" priority="92" operator="greaterThan">
      <formula>40</formula>
    </cfRule>
    <cfRule type="cellIs" dxfId="3017" priority="93" operator="greaterThan">
      <formula>45</formula>
    </cfRule>
  </conditionalFormatting>
  <conditionalFormatting sqref="K13">
    <cfRule type="cellIs" dxfId="3016" priority="173" operator="greaterThan">
      <formula>45</formula>
    </cfRule>
    <cfRule type="cellIs" dxfId="3015" priority="172" operator="greaterThan">
      <formula>40</formula>
    </cfRule>
  </conditionalFormatting>
  <conditionalFormatting sqref="K23">
    <cfRule type="cellIs" dxfId="3014" priority="252" operator="greaterThan">
      <formula>40</formula>
    </cfRule>
    <cfRule type="cellIs" dxfId="3013" priority="253" operator="greaterThan">
      <formula>45</formula>
    </cfRule>
  </conditionalFormatting>
  <conditionalFormatting sqref="K33">
    <cfRule type="cellIs" dxfId="3012" priority="333" operator="greaterThan">
      <formula>45</formula>
    </cfRule>
    <cfRule type="cellIs" dxfId="3011" priority="332" operator="greaterThan">
      <formula>40</formula>
    </cfRule>
  </conditionalFormatting>
  <conditionalFormatting sqref="K48">
    <cfRule type="cellIs" dxfId="3010" priority="413" operator="greaterThan">
      <formula>45</formula>
    </cfRule>
    <cfRule type="cellIs" dxfId="3009" priority="412" operator="greaterThan">
      <formula>40</formula>
    </cfRule>
  </conditionalFormatting>
  <conditionalFormatting sqref="K52">
    <cfRule type="cellIs" dxfId="3008" priority="492" operator="greaterThan">
      <formula>40</formula>
    </cfRule>
    <cfRule type="cellIs" dxfId="3007" priority="493" operator="greaterThan">
      <formula>45</formula>
    </cfRule>
  </conditionalFormatting>
  <conditionalFormatting sqref="K61">
    <cfRule type="cellIs" dxfId="3006" priority="573" operator="greaterThan">
      <formula>45</formula>
    </cfRule>
    <cfRule type="cellIs" dxfId="3005" priority="572" operator="greaterThan">
      <formula>40</formula>
    </cfRule>
  </conditionalFormatting>
  <conditionalFormatting sqref="K74">
    <cfRule type="cellIs" dxfId="3004" priority="652" operator="greaterThan">
      <formula>40</formula>
    </cfRule>
    <cfRule type="cellIs" dxfId="3003" priority="653" operator="greaterThan">
      <formula>45</formula>
    </cfRule>
  </conditionalFormatting>
  <conditionalFormatting sqref="K76">
    <cfRule type="cellIs" dxfId="3002" priority="733" operator="greaterThan">
      <formula>45</formula>
    </cfRule>
    <cfRule type="cellIs" dxfId="3001" priority="732" operator="greaterThan">
      <formula>40</formula>
    </cfRule>
  </conditionalFormatting>
  <conditionalFormatting sqref="K86">
    <cfRule type="cellIs" dxfId="3000" priority="813" operator="greaterThan">
      <formula>45</formula>
    </cfRule>
    <cfRule type="cellIs" dxfId="2999" priority="812" operator="greaterThan">
      <formula>40</formula>
    </cfRule>
  </conditionalFormatting>
  <conditionalFormatting sqref="K96">
    <cfRule type="cellIs" dxfId="2998" priority="893" operator="greaterThan">
      <formula>45</formula>
    </cfRule>
    <cfRule type="cellIs" dxfId="2997" priority="892" operator="greaterThan">
      <formula>40</formula>
    </cfRule>
  </conditionalFormatting>
  <conditionalFormatting sqref="K101">
    <cfRule type="cellIs" dxfId="2996" priority="973" operator="greaterThan">
      <formula>45</formula>
    </cfRule>
  </conditionalFormatting>
  <conditionalFormatting sqref="K110">
    <cfRule type="cellIs" dxfId="2995" priority="1053" operator="greaterThan">
      <formula>45</formula>
    </cfRule>
  </conditionalFormatting>
  <conditionalFormatting sqref="K117">
    <cfRule type="cellIs" dxfId="2994" priority="1133" operator="greaterThan">
      <formula>45</formula>
    </cfRule>
  </conditionalFormatting>
  <conditionalFormatting sqref="K124">
    <cfRule type="cellIs" dxfId="2993" priority="1213" operator="greaterThan">
      <formula>45</formula>
    </cfRule>
  </conditionalFormatting>
  <conditionalFormatting sqref="K128">
    <cfRule type="cellIs" dxfId="2992" priority="1293" operator="greaterThan">
      <formula>45</formula>
    </cfRule>
  </conditionalFormatting>
  <conditionalFormatting sqref="K133">
    <cfRule type="cellIs" dxfId="2991" priority="1373" operator="greaterThan">
      <formula>45</formula>
    </cfRule>
  </conditionalFormatting>
  <conditionalFormatting sqref="K136">
    <cfRule type="cellIs" dxfId="2990" priority="1453" operator="greaterThan">
      <formula>45</formula>
    </cfRule>
  </conditionalFormatting>
  <conditionalFormatting sqref="K143">
    <cfRule type="cellIs" dxfId="2989" priority="1533" operator="greaterThan">
      <formula>45</formula>
    </cfRule>
  </conditionalFormatting>
  <conditionalFormatting sqref="K157">
    <cfRule type="cellIs" dxfId="2988" priority="1613" operator="greaterThan">
      <formula>45</formula>
    </cfRule>
  </conditionalFormatting>
  <conditionalFormatting sqref="K160">
    <cfRule type="cellIs" dxfId="2987" priority="1693" operator="greaterThan">
      <formula>45</formula>
    </cfRule>
  </conditionalFormatting>
  <conditionalFormatting sqref="K170">
    <cfRule type="cellIs" dxfId="2986" priority="1773" operator="greaterThan">
      <formula>45</formula>
    </cfRule>
  </conditionalFormatting>
  <conditionalFormatting sqref="K182">
    <cfRule type="cellIs" dxfId="2985" priority="1853" operator="greaterThan">
      <formula>45</formula>
    </cfRule>
  </conditionalFormatting>
  <conditionalFormatting sqref="K185">
    <cfRule type="cellIs" dxfId="2984" priority="1933" operator="greaterThan">
      <formula>45</formula>
    </cfRule>
  </conditionalFormatting>
  <conditionalFormatting sqref="K188">
    <cfRule type="cellIs" dxfId="2983" priority="2013" operator="greaterThan">
      <formula>45</formula>
    </cfRule>
  </conditionalFormatting>
  <conditionalFormatting sqref="K194">
    <cfRule type="cellIs" dxfId="2982" priority="2093" operator="greaterThan">
      <formula>45</formula>
    </cfRule>
  </conditionalFormatting>
  <conditionalFormatting sqref="K198">
    <cfRule type="cellIs" dxfId="2981" priority="2173" operator="greaterThan">
      <formula>45</formula>
    </cfRule>
  </conditionalFormatting>
  <conditionalFormatting sqref="K206">
    <cfRule type="cellIs" dxfId="2980" priority="2253" operator="greaterThan">
      <formula>45</formula>
    </cfRule>
  </conditionalFormatting>
  <conditionalFormatting sqref="K211">
    <cfRule type="cellIs" dxfId="2979" priority="2333" operator="greaterThan">
      <formula>45</formula>
    </cfRule>
  </conditionalFormatting>
  <conditionalFormatting sqref="K213">
    <cfRule type="cellIs" dxfId="2978" priority="2413" operator="greaterThan">
      <formula>45</formula>
    </cfRule>
  </conditionalFormatting>
  <conditionalFormatting sqref="K217">
    <cfRule type="cellIs" dxfId="2977" priority="2493" operator="greaterThan">
      <formula>45</formula>
    </cfRule>
  </conditionalFormatting>
  <conditionalFormatting sqref="K220">
    <cfRule type="cellIs" dxfId="2976" priority="2573" operator="greaterThan">
      <formula>45</formula>
    </cfRule>
  </conditionalFormatting>
  <conditionalFormatting sqref="K223">
    <cfRule type="cellIs" dxfId="2975" priority="2653" operator="greaterThan">
      <formula>45</formula>
    </cfRule>
  </conditionalFormatting>
  <conditionalFormatting sqref="K226">
    <cfRule type="cellIs" dxfId="2974" priority="2733" operator="greaterThan">
      <formula>45</formula>
    </cfRule>
  </conditionalFormatting>
  <conditionalFormatting sqref="K229">
    <cfRule type="cellIs" dxfId="2973" priority="2813" operator="greaterThan">
      <formula>45</formula>
    </cfRule>
  </conditionalFormatting>
  <conditionalFormatting sqref="K232">
    <cfRule type="cellIs" dxfId="2972" priority="2893" operator="greaterThan">
      <formula>45</formula>
    </cfRule>
  </conditionalFormatting>
  <conditionalFormatting sqref="K234">
    <cfRule type="cellIs" dxfId="2971" priority="2973" operator="greaterThan">
      <formula>45</formula>
    </cfRule>
  </conditionalFormatting>
  <conditionalFormatting sqref="K248">
    <cfRule type="cellIs" dxfId="2970" priority="3053" operator="greaterThan">
      <formula>45</formula>
    </cfRule>
  </conditionalFormatting>
  <conditionalFormatting sqref="K252">
    <cfRule type="cellIs" dxfId="2969" priority="3133" operator="greaterThan">
      <formula>45</formula>
    </cfRule>
  </conditionalFormatting>
  <conditionalFormatting sqref="K261">
    <cfRule type="cellIs" dxfId="2968" priority="3213" operator="greaterThan">
      <formula>45</formula>
    </cfRule>
  </conditionalFormatting>
  <conditionalFormatting sqref="K271">
    <cfRule type="cellIs" dxfId="2967" priority="3293" operator="greaterThan">
      <formula>45</formula>
    </cfRule>
  </conditionalFormatting>
  <conditionalFormatting sqref="K280">
    <cfRule type="cellIs" dxfId="2966" priority="3373" operator="greaterThan">
      <formula>45</formula>
    </cfRule>
  </conditionalFormatting>
  <conditionalFormatting sqref="K283">
    <cfRule type="cellIs" dxfId="2965" priority="3453" operator="greaterThan">
      <formula>45</formula>
    </cfRule>
  </conditionalFormatting>
  <conditionalFormatting sqref="K292">
    <cfRule type="cellIs" dxfId="2964" priority="3533" operator="greaterThan">
      <formula>45</formula>
    </cfRule>
  </conditionalFormatting>
  <conditionalFormatting sqref="K294">
    <cfRule type="cellIs" dxfId="2963" priority="3613" operator="greaterThan">
      <formula>45</formula>
    </cfRule>
  </conditionalFormatting>
  <conditionalFormatting sqref="K296">
    <cfRule type="cellIs" dxfId="2962" priority="3693" operator="greaterThan">
      <formula>45</formula>
    </cfRule>
  </conditionalFormatting>
  <conditionalFormatting sqref="K298">
    <cfRule type="cellIs" dxfId="2961" priority="3773" operator="greaterThan">
      <formula>45</formula>
    </cfRule>
  </conditionalFormatting>
  <conditionalFormatting sqref="K300">
    <cfRule type="cellIs" dxfId="2960" priority="3853" operator="greaterThan">
      <formula>45</formula>
    </cfRule>
  </conditionalFormatting>
  <conditionalFormatting sqref="K302">
    <cfRule type="cellIs" dxfId="2959" priority="3933" operator="greaterThan">
      <formula>45</formula>
    </cfRule>
  </conditionalFormatting>
  <conditionalFormatting sqref="K304">
    <cfRule type="cellIs" dxfId="2958" priority="4013" operator="greaterThan">
      <formula>45</formula>
    </cfRule>
  </conditionalFormatting>
  <conditionalFormatting sqref="K306">
    <cfRule type="cellIs" dxfId="2957" priority="4093" operator="greaterThan">
      <formula>45</formula>
    </cfRule>
  </conditionalFormatting>
  <conditionalFormatting sqref="K308">
    <cfRule type="cellIs" dxfId="2956" priority="4173" operator="greaterThan">
      <formula>45</formula>
    </cfRule>
  </conditionalFormatting>
  <conditionalFormatting sqref="K310">
    <cfRule type="cellIs" dxfId="2955" priority="4253" operator="greaterThan">
      <formula>45</formula>
    </cfRule>
  </conditionalFormatting>
  <conditionalFormatting sqref="K312">
    <cfRule type="cellIs" dxfId="2954" priority="4333" operator="greaterThan">
      <formula>45</formula>
    </cfRule>
  </conditionalFormatting>
  <conditionalFormatting sqref="K314">
    <cfRule type="cellIs" dxfId="2953" priority="4413" operator="greaterThan">
      <formula>45</formula>
    </cfRule>
  </conditionalFormatting>
  <conditionalFormatting sqref="K316">
    <cfRule type="cellIs" dxfId="2952" priority="4493" operator="greaterThan">
      <formula>45</formula>
    </cfRule>
  </conditionalFormatting>
  <conditionalFormatting sqref="K318">
    <cfRule type="cellIs" dxfId="2951" priority="4573" operator="greaterThan">
      <formula>45</formula>
    </cfRule>
  </conditionalFormatting>
  <conditionalFormatting sqref="K320">
    <cfRule type="cellIs" dxfId="2950" priority="4653" operator="greaterThan">
      <formula>45</formula>
    </cfRule>
  </conditionalFormatting>
  <conditionalFormatting sqref="K322">
    <cfRule type="cellIs" dxfId="2949" priority="4733" operator="greaterThan">
      <formula>45</formula>
    </cfRule>
  </conditionalFormatting>
  <conditionalFormatting sqref="K324">
    <cfRule type="cellIs" dxfId="2948" priority="4813" operator="greaterThan">
      <formula>45</formula>
    </cfRule>
  </conditionalFormatting>
  <conditionalFormatting sqref="K326">
    <cfRule type="cellIs" dxfId="2947" priority="4893" operator="greaterThan">
      <formula>45</formula>
    </cfRule>
  </conditionalFormatting>
  <conditionalFormatting sqref="L2">
    <cfRule type="cellIs" dxfId="2946" priority="14" operator="greaterThan">
      <formula>40</formula>
    </cfRule>
    <cfRule type="cellIs" dxfId="2945" priority="15" operator="greaterThan">
      <formula>45</formula>
    </cfRule>
  </conditionalFormatting>
  <conditionalFormatting sqref="L4">
    <cfRule type="cellIs" dxfId="2944" priority="94" operator="greaterThan">
      <formula>40</formula>
    </cfRule>
    <cfRule type="cellIs" dxfId="2943" priority="95" operator="greaterThan">
      <formula>45</formula>
    </cfRule>
  </conditionalFormatting>
  <conditionalFormatting sqref="L13">
    <cfRule type="cellIs" dxfId="2942" priority="175" operator="greaterThan">
      <formula>45</formula>
    </cfRule>
    <cfRule type="cellIs" dxfId="2941" priority="174" operator="greaterThan">
      <formula>40</formula>
    </cfRule>
  </conditionalFormatting>
  <conditionalFormatting sqref="L23">
    <cfRule type="cellIs" dxfId="2940" priority="254" operator="greaterThan">
      <formula>40</formula>
    </cfRule>
    <cfRule type="cellIs" dxfId="2939" priority="255" operator="greaterThan">
      <formula>45</formula>
    </cfRule>
  </conditionalFormatting>
  <conditionalFormatting sqref="L33">
    <cfRule type="cellIs" dxfId="2938" priority="334" operator="greaterThan">
      <formula>40</formula>
    </cfRule>
    <cfRule type="cellIs" dxfId="2937" priority="335" operator="greaterThan">
      <formula>45</formula>
    </cfRule>
  </conditionalFormatting>
  <conditionalFormatting sqref="L48">
    <cfRule type="cellIs" dxfId="2936" priority="414" operator="greaterThan">
      <formula>40</formula>
    </cfRule>
    <cfRule type="cellIs" dxfId="2935" priority="415" operator="greaterThan">
      <formula>45</formula>
    </cfRule>
  </conditionalFormatting>
  <conditionalFormatting sqref="L52">
    <cfRule type="cellIs" dxfId="2934" priority="494" operator="greaterThan">
      <formula>40</formula>
    </cfRule>
    <cfRule type="cellIs" dxfId="2933" priority="495" operator="greaterThan">
      <formula>45</formula>
    </cfRule>
  </conditionalFormatting>
  <conditionalFormatting sqref="L61">
    <cfRule type="cellIs" dxfId="2932" priority="574" operator="greaterThan">
      <formula>40</formula>
    </cfRule>
    <cfRule type="cellIs" dxfId="2931" priority="575" operator="greaterThan">
      <formula>45</formula>
    </cfRule>
  </conditionalFormatting>
  <conditionalFormatting sqref="L74">
    <cfRule type="cellIs" dxfId="2930" priority="654" operator="greaterThan">
      <formula>40</formula>
    </cfRule>
    <cfRule type="cellIs" dxfId="2929" priority="655" operator="greaterThan">
      <formula>45</formula>
    </cfRule>
  </conditionalFormatting>
  <conditionalFormatting sqref="L76">
    <cfRule type="cellIs" dxfId="2928" priority="735" operator="greaterThan">
      <formula>45</formula>
    </cfRule>
    <cfRule type="cellIs" dxfId="2927" priority="734" operator="greaterThan">
      <formula>40</formula>
    </cfRule>
  </conditionalFormatting>
  <conditionalFormatting sqref="L86">
    <cfRule type="cellIs" dxfId="2926" priority="815" operator="greaterThan">
      <formula>45</formula>
    </cfRule>
    <cfRule type="cellIs" dxfId="2925" priority="814" operator="greaterThan">
      <formula>40</formula>
    </cfRule>
  </conditionalFormatting>
  <conditionalFormatting sqref="L96">
    <cfRule type="cellIs" dxfId="2924" priority="895" operator="greaterThan">
      <formula>45</formula>
    </cfRule>
    <cfRule type="cellIs" dxfId="2923" priority="894" operator="greaterThan">
      <formula>40</formula>
    </cfRule>
  </conditionalFormatting>
  <conditionalFormatting sqref="L101">
    <cfRule type="cellIs" dxfId="2922" priority="975" operator="greaterThan">
      <formula>45</formula>
    </cfRule>
  </conditionalFormatting>
  <conditionalFormatting sqref="L110">
    <cfRule type="cellIs" dxfId="2921" priority="1055" operator="greaterThan">
      <formula>45</formula>
    </cfRule>
  </conditionalFormatting>
  <conditionalFormatting sqref="L117">
    <cfRule type="cellIs" dxfId="2920" priority="1135" operator="greaterThan">
      <formula>45</formula>
    </cfRule>
  </conditionalFormatting>
  <conditionalFormatting sqref="L124">
    <cfRule type="cellIs" dxfId="2919" priority="1215" operator="greaterThan">
      <formula>45</formula>
    </cfRule>
  </conditionalFormatting>
  <conditionalFormatting sqref="L128">
    <cfRule type="cellIs" dxfId="2918" priority="1295" operator="greaterThan">
      <formula>45</formula>
    </cfRule>
  </conditionalFormatting>
  <conditionalFormatting sqref="L133">
    <cfRule type="cellIs" dxfId="2917" priority="1375" operator="greaterThan">
      <formula>45</formula>
    </cfRule>
  </conditionalFormatting>
  <conditionalFormatting sqref="L136">
    <cfRule type="cellIs" dxfId="2916" priority="1455" operator="greaterThan">
      <formula>45</formula>
    </cfRule>
  </conditionalFormatting>
  <conditionalFormatting sqref="L143">
    <cfRule type="cellIs" dxfId="2915" priority="1535" operator="greaterThan">
      <formula>45</formula>
    </cfRule>
  </conditionalFormatting>
  <conditionalFormatting sqref="L157">
    <cfRule type="cellIs" dxfId="2914" priority="1615" operator="greaterThan">
      <formula>45</formula>
    </cfRule>
  </conditionalFormatting>
  <conditionalFormatting sqref="L160">
    <cfRule type="cellIs" dxfId="2913" priority="1695" operator="greaterThan">
      <formula>45</formula>
    </cfRule>
  </conditionalFormatting>
  <conditionalFormatting sqref="L170">
    <cfRule type="cellIs" dxfId="2912" priority="1775" operator="greaterThan">
      <formula>45</formula>
    </cfRule>
  </conditionalFormatting>
  <conditionalFormatting sqref="L182">
    <cfRule type="cellIs" dxfId="2911" priority="1855" operator="greaterThan">
      <formula>45</formula>
    </cfRule>
  </conditionalFormatting>
  <conditionalFormatting sqref="L185">
    <cfRule type="cellIs" dxfId="2910" priority="1935" operator="greaterThan">
      <formula>45</formula>
    </cfRule>
  </conditionalFormatting>
  <conditionalFormatting sqref="L188">
    <cfRule type="cellIs" dxfId="2909" priority="2015" operator="greaterThan">
      <formula>45</formula>
    </cfRule>
  </conditionalFormatting>
  <conditionalFormatting sqref="L194">
    <cfRule type="cellIs" dxfId="2908" priority="2095" operator="greaterThan">
      <formula>45</formula>
    </cfRule>
  </conditionalFormatting>
  <conditionalFormatting sqref="L198">
    <cfRule type="cellIs" dxfId="2907" priority="2175" operator="greaterThan">
      <formula>45</formula>
    </cfRule>
  </conditionalFormatting>
  <conditionalFormatting sqref="L206">
    <cfRule type="cellIs" dxfId="2906" priority="2255" operator="greaterThan">
      <formula>45</formula>
    </cfRule>
  </conditionalFormatting>
  <conditionalFormatting sqref="L211">
    <cfRule type="cellIs" dxfId="2905" priority="2335" operator="greaterThan">
      <formula>45</formula>
    </cfRule>
  </conditionalFormatting>
  <conditionalFormatting sqref="L213">
    <cfRule type="cellIs" dxfId="2904" priority="2415" operator="greaterThan">
      <formula>45</formula>
    </cfRule>
  </conditionalFormatting>
  <conditionalFormatting sqref="L217">
    <cfRule type="cellIs" dxfId="2903" priority="2495" operator="greaterThan">
      <formula>45</formula>
    </cfRule>
  </conditionalFormatting>
  <conditionalFormatting sqref="L220">
    <cfRule type="cellIs" dxfId="2902" priority="2575" operator="greaterThan">
      <formula>45</formula>
    </cfRule>
  </conditionalFormatting>
  <conditionalFormatting sqref="L223">
    <cfRule type="cellIs" dxfId="2901" priority="2655" operator="greaterThan">
      <formula>45</formula>
    </cfRule>
  </conditionalFormatting>
  <conditionalFormatting sqref="L226">
    <cfRule type="cellIs" dxfId="2900" priority="2735" operator="greaterThan">
      <formula>45</formula>
    </cfRule>
  </conditionalFormatting>
  <conditionalFormatting sqref="L229">
    <cfRule type="cellIs" dxfId="2899" priority="2815" operator="greaterThan">
      <formula>45</formula>
    </cfRule>
  </conditionalFormatting>
  <conditionalFormatting sqref="L232">
    <cfRule type="cellIs" dxfId="2898" priority="2895" operator="greaterThan">
      <formula>45</formula>
    </cfRule>
  </conditionalFormatting>
  <conditionalFormatting sqref="L234">
    <cfRule type="cellIs" dxfId="2897" priority="2975" operator="greaterThan">
      <formula>45</formula>
    </cfRule>
  </conditionalFormatting>
  <conditionalFormatting sqref="L248">
    <cfRule type="cellIs" dxfId="2896" priority="3055" operator="greaterThan">
      <formula>45</formula>
    </cfRule>
  </conditionalFormatting>
  <conditionalFormatting sqref="L252">
    <cfRule type="cellIs" dxfId="2895" priority="3135" operator="greaterThan">
      <formula>45</formula>
    </cfRule>
  </conditionalFormatting>
  <conditionalFormatting sqref="L261">
    <cfRule type="cellIs" dxfId="2894" priority="3215" operator="greaterThan">
      <formula>45</formula>
    </cfRule>
  </conditionalFormatting>
  <conditionalFormatting sqref="L271">
    <cfRule type="cellIs" dxfId="2893" priority="3295" operator="greaterThan">
      <formula>45</formula>
    </cfRule>
  </conditionalFormatting>
  <conditionalFormatting sqref="L280">
    <cfRule type="cellIs" dxfId="2892" priority="3375" operator="greaterThan">
      <formula>45</formula>
    </cfRule>
  </conditionalFormatting>
  <conditionalFormatting sqref="L283">
    <cfRule type="cellIs" dxfId="2891" priority="3455" operator="greaterThan">
      <formula>45</formula>
    </cfRule>
  </conditionalFormatting>
  <conditionalFormatting sqref="L292">
    <cfRule type="cellIs" dxfId="2890" priority="3535" operator="greaterThan">
      <formula>45</formula>
    </cfRule>
  </conditionalFormatting>
  <conditionalFormatting sqref="L294">
    <cfRule type="cellIs" dxfId="2889" priority="3615" operator="greaterThan">
      <formula>45</formula>
    </cfRule>
  </conditionalFormatting>
  <conditionalFormatting sqref="L296">
    <cfRule type="cellIs" dxfId="2888" priority="3695" operator="greaterThan">
      <formula>45</formula>
    </cfRule>
  </conditionalFormatting>
  <conditionalFormatting sqref="L298">
    <cfRule type="cellIs" dxfId="2887" priority="3775" operator="greaterThan">
      <formula>45</formula>
    </cfRule>
  </conditionalFormatting>
  <conditionalFormatting sqref="L300">
    <cfRule type="cellIs" dxfId="2886" priority="3855" operator="greaterThan">
      <formula>45</formula>
    </cfRule>
  </conditionalFormatting>
  <conditionalFormatting sqref="L302">
    <cfRule type="cellIs" dxfId="2885" priority="3935" operator="greaterThan">
      <formula>45</formula>
    </cfRule>
  </conditionalFormatting>
  <conditionalFormatting sqref="L304">
    <cfRule type="cellIs" dxfId="2884" priority="4015" operator="greaterThan">
      <formula>45</formula>
    </cfRule>
  </conditionalFormatting>
  <conditionalFormatting sqref="L306">
    <cfRule type="cellIs" dxfId="2883" priority="4095" operator="greaterThan">
      <formula>45</formula>
    </cfRule>
  </conditionalFormatting>
  <conditionalFormatting sqref="L308">
    <cfRule type="cellIs" dxfId="2882" priority="4175" operator="greaterThan">
      <formula>45</formula>
    </cfRule>
  </conditionalFormatting>
  <conditionalFormatting sqref="L310">
    <cfRule type="cellIs" dxfId="2881" priority="4255" operator="greaterThan">
      <formula>45</formula>
    </cfRule>
  </conditionalFormatting>
  <conditionalFormatting sqref="L312">
    <cfRule type="cellIs" dxfId="2880" priority="4335" operator="greaterThan">
      <formula>45</formula>
    </cfRule>
  </conditionalFormatting>
  <conditionalFormatting sqref="L314">
    <cfRule type="cellIs" dxfId="2879" priority="4415" operator="greaterThan">
      <formula>45</formula>
    </cfRule>
  </conditionalFormatting>
  <conditionalFormatting sqref="L316">
    <cfRule type="cellIs" dxfId="2878" priority="4495" operator="greaterThan">
      <formula>45</formula>
    </cfRule>
  </conditionalFormatting>
  <conditionalFormatting sqref="L318">
    <cfRule type="cellIs" dxfId="2877" priority="4575" operator="greaterThan">
      <formula>45</formula>
    </cfRule>
  </conditionalFormatting>
  <conditionalFormatting sqref="L320">
    <cfRule type="cellIs" dxfId="2876" priority="4655" operator="greaterThan">
      <formula>45</formula>
    </cfRule>
  </conditionalFormatting>
  <conditionalFormatting sqref="L322">
    <cfRule type="cellIs" dxfId="2875" priority="4735" operator="greaterThan">
      <formula>45</formula>
    </cfRule>
  </conditionalFormatting>
  <conditionalFormatting sqref="L324">
    <cfRule type="cellIs" dxfId="2874" priority="4815" operator="greaterThan">
      <formula>45</formula>
    </cfRule>
  </conditionalFormatting>
  <conditionalFormatting sqref="L326">
    <cfRule type="cellIs" dxfId="2873" priority="4895" operator="greaterThan">
      <formula>45</formula>
    </cfRule>
  </conditionalFormatting>
  <conditionalFormatting sqref="M2">
    <cfRule type="cellIs" dxfId="2872" priority="16" operator="greaterThan">
      <formula>40</formula>
    </cfRule>
    <cfRule type="cellIs" dxfId="2871" priority="17" operator="greaterThan">
      <formula>45</formula>
    </cfRule>
  </conditionalFormatting>
  <conditionalFormatting sqref="M4">
    <cfRule type="cellIs" dxfId="2870" priority="96" operator="greaterThan">
      <formula>40</formula>
    </cfRule>
    <cfRule type="cellIs" dxfId="2869" priority="97" operator="greaterThan">
      <formula>45</formula>
    </cfRule>
  </conditionalFormatting>
  <conditionalFormatting sqref="M13">
    <cfRule type="cellIs" dxfId="2868" priority="176" operator="greaterThan">
      <formula>40</formula>
    </cfRule>
    <cfRule type="cellIs" dxfId="2867" priority="177" operator="greaterThan">
      <formula>45</formula>
    </cfRule>
  </conditionalFormatting>
  <conditionalFormatting sqref="M23">
    <cfRule type="cellIs" dxfId="2866" priority="256" operator="greaterThan">
      <formula>40</formula>
    </cfRule>
    <cfRule type="cellIs" dxfId="2865" priority="257" operator="greaterThan">
      <formula>45</formula>
    </cfRule>
  </conditionalFormatting>
  <conditionalFormatting sqref="M33">
    <cfRule type="cellIs" dxfId="2864" priority="336" operator="greaterThan">
      <formula>40</formula>
    </cfRule>
    <cfRule type="cellIs" dxfId="2863" priority="337" operator="greaterThan">
      <formula>45</formula>
    </cfRule>
  </conditionalFormatting>
  <conditionalFormatting sqref="M48">
    <cfRule type="cellIs" dxfId="2862" priority="417" operator="greaterThan">
      <formula>45</formula>
    </cfRule>
    <cfRule type="cellIs" dxfId="2861" priority="416" operator="greaterThan">
      <formula>40</formula>
    </cfRule>
  </conditionalFormatting>
  <conditionalFormatting sqref="M52">
    <cfRule type="cellIs" dxfId="2860" priority="497" operator="greaterThan">
      <formula>45</formula>
    </cfRule>
    <cfRule type="cellIs" dxfId="2859" priority="496" operator="greaterThan">
      <formula>40</formula>
    </cfRule>
  </conditionalFormatting>
  <conditionalFormatting sqref="M61">
    <cfRule type="cellIs" dxfId="2858" priority="577" operator="greaterThan">
      <formula>45</formula>
    </cfRule>
    <cfRule type="cellIs" dxfId="2857" priority="576" operator="greaterThan">
      <formula>40</formula>
    </cfRule>
  </conditionalFormatting>
  <conditionalFormatting sqref="M74">
    <cfRule type="cellIs" dxfId="2856" priority="657" operator="greaterThan">
      <formula>45</formula>
    </cfRule>
    <cfRule type="cellIs" dxfId="2855" priority="656" operator="greaterThan">
      <formula>40</formula>
    </cfRule>
  </conditionalFormatting>
  <conditionalFormatting sqref="M76">
    <cfRule type="cellIs" dxfId="2854" priority="737" operator="greaterThan">
      <formula>45</formula>
    </cfRule>
    <cfRule type="cellIs" dxfId="2853" priority="736" operator="greaterThan">
      <formula>40</formula>
    </cfRule>
  </conditionalFormatting>
  <conditionalFormatting sqref="M86">
    <cfRule type="cellIs" dxfId="2852" priority="817" operator="greaterThan">
      <formula>45</formula>
    </cfRule>
    <cfRule type="cellIs" dxfId="2851" priority="816" operator="greaterThan">
      <formula>40</formula>
    </cfRule>
  </conditionalFormatting>
  <conditionalFormatting sqref="M96">
    <cfRule type="cellIs" dxfId="2850" priority="896" operator="greaterThan">
      <formula>40</formula>
    </cfRule>
    <cfRule type="cellIs" dxfId="2849" priority="897" operator="greaterThan">
      <formula>45</formula>
    </cfRule>
  </conditionalFormatting>
  <conditionalFormatting sqref="M101">
    <cfRule type="cellIs" dxfId="2848" priority="977" operator="greaterThan">
      <formula>45</formula>
    </cfRule>
  </conditionalFormatting>
  <conditionalFormatting sqref="M110">
    <cfRule type="cellIs" dxfId="2847" priority="1057" operator="greaterThan">
      <formula>45</formula>
    </cfRule>
  </conditionalFormatting>
  <conditionalFormatting sqref="M117">
    <cfRule type="cellIs" dxfId="2846" priority="1137" operator="greaterThan">
      <formula>45</formula>
    </cfRule>
  </conditionalFormatting>
  <conditionalFormatting sqref="M124">
    <cfRule type="cellIs" dxfId="2845" priority="1217" operator="greaterThan">
      <formula>45</formula>
    </cfRule>
  </conditionalFormatting>
  <conditionalFormatting sqref="M128">
    <cfRule type="cellIs" dxfId="2844" priority="1297" operator="greaterThan">
      <formula>45</formula>
    </cfRule>
  </conditionalFormatting>
  <conditionalFormatting sqref="M133">
    <cfRule type="cellIs" dxfId="2843" priority="1377" operator="greaterThan">
      <formula>45</formula>
    </cfRule>
  </conditionalFormatting>
  <conditionalFormatting sqref="M136">
    <cfRule type="cellIs" dxfId="2842" priority="1457" operator="greaterThan">
      <formula>45</formula>
    </cfRule>
  </conditionalFormatting>
  <conditionalFormatting sqref="M143">
    <cfRule type="cellIs" dxfId="2841" priority="1537" operator="greaterThan">
      <formula>45</formula>
    </cfRule>
  </conditionalFormatting>
  <conditionalFormatting sqref="M157">
    <cfRule type="cellIs" dxfId="2840" priority="1617" operator="greaterThan">
      <formula>45</formula>
    </cfRule>
  </conditionalFormatting>
  <conditionalFormatting sqref="M160">
    <cfRule type="cellIs" dxfId="2839" priority="1697" operator="greaterThan">
      <formula>45</formula>
    </cfRule>
  </conditionalFormatting>
  <conditionalFormatting sqref="M170">
    <cfRule type="cellIs" dxfId="2838" priority="1777" operator="greaterThan">
      <formula>45</formula>
    </cfRule>
  </conditionalFormatting>
  <conditionalFormatting sqref="M182">
    <cfRule type="cellIs" dxfId="2837" priority="1857" operator="greaterThan">
      <formula>45</formula>
    </cfRule>
  </conditionalFormatting>
  <conditionalFormatting sqref="M185">
    <cfRule type="cellIs" dxfId="2836" priority="1937" operator="greaterThan">
      <formula>45</formula>
    </cfRule>
  </conditionalFormatting>
  <conditionalFormatting sqref="M188">
    <cfRule type="cellIs" dxfId="2835" priority="2017" operator="greaterThan">
      <formula>45</formula>
    </cfRule>
  </conditionalFormatting>
  <conditionalFormatting sqref="M194">
    <cfRule type="cellIs" dxfId="2834" priority="2097" operator="greaterThan">
      <formula>45</formula>
    </cfRule>
  </conditionalFormatting>
  <conditionalFormatting sqref="M198">
    <cfRule type="cellIs" dxfId="2833" priority="2177" operator="greaterThan">
      <formula>45</formula>
    </cfRule>
  </conditionalFormatting>
  <conditionalFormatting sqref="M206">
    <cfRule type="cellIs" dxfId="2832" priority="2257" operator="greaterThan">
      <formula>45</formula>
    </cfRule>
  </conditionalFormatting>
  <conditionalFormatting sqref="M211">
    <cfRule type="cellIs" dxfId="2831" priority="2337" operator="greaterThan">
      <formula>45</formula>
    </cfRule>
  </conditionalFormatting>
  <conditionalFormatting sqref="M213">
    <cfRule type="cellIs" dxfId="2830" priority="2417" operator="greaterThan">
      <formula>45</formula>
    </cfRule>
  </conditionalFormatting>
  <conditionalFormatting sqref="M217">
    <cfRule type="cellIs" dxfId="2829" priority="2497" operator="greaterThan">
      <formula>45</formula>
    </cfRule>
  </conditionalFormatting>
  <conditionalFormatting sqref="M220">
    <cfRule type="cellIs" dxfId="2828" priority="2577" operator="greaterThan">
      <formula>45</formula>
    </cfRule>
  </conditionalFormatting>
  <conditionalFormatting sqref="M223">
    <cfRule type="cellIs" dxfId="2827" priority="2657" operator="greaterThan">
      <formula>45</formula>
    </cfRule>
  </conditionalFormatting>
  <conditionalFormatting sqref="M226">
    <cfRule type="cellIs" dxfId="2826" priority="2737" operator="greaterThan">
      <formula>45</formula>
    </cfRule>
  </conditionalFormatting>
  <conditionalFormatting sqref="M229">
    <cfRule type="cellIs" dxfId="2825" priority="2817" operator="greaterThan">
      <formula>45</formula>
    </cfRule>
  </conditionalFormatting>
  <conditionalFormatting sqref="M232">
    <cfRule type="cellIs" dxfId="2824" priority="2897" operator="greaterThan">
      <formula>45</formula>
    </cfRule>
  </conditionalFormatting>
  <conditionalFormatting sqref="M234">
    <cfRule type="cellIs" dxfId="2823" priority="2977" operator="greaterThan">
      <formula>45</formula>
    </cfRule>
  </conditionalFormatting>
  <conditionalFormatting sqref="M248">
    <cfRule type="cellIs" dxfId="2822" priority="3057" operator="greaterThan">
      <formula>45</formula>
    </cfRule>
  </conditionalFormatting>
  <conditionalFormatting sqref="M252">
    <cfRule type="cellIs" dxfId="2821" priority="3137" operator="greaterThan">
      <formula>45</formula>
    </cfRule>
  </conditionalFormatting>
  <conditionalFormatting sqref="M261">
    <cfRule type="cellIs" dxfId="2820" priority="3217" operator="greaterThan">
      <formula>45</formula>
    </cfRule>
  </conditionalFormatting>
  <conditionalFormatting sqref="M271">
    <cfRule type="cellIs" dxfId="2819" priority="3297" operator="greaterThan">
      <formula>45</formula>
    </cfRule>
  </conditionalFormatting>
  <conditionalFormatting sqref="M280">
    <cfRule type="cellIs" dxfId="2818" priority="3377" operator="greaterThan">
      <formula>45</formula>
    </cfRule>
  </conditionalFormatting>
  <conditionalFormatting sqref="M283">
    <cfRule type="cellIs" dxfId="2817" priority="3457" operator="greaterThan">
      <formula>45</formula>
    </cfRule>
  </conditionalFormatting>
  <conditionalFormatting sqref="M292">
    <cfRule type="cellIs" dxfId="2816" priority="3537" operator="greaterThan">
      <formula>45</formula>
    </cfRule>
  </conditionalFormatting>
  <conditionalFormatting sqref="M294">
    <cfRule type="cellIs" dxfId="2815" priority="3617" operator="greaterThan">
      <formula>45</formula>
    </cfRule>
  </conditionalFormatting>
  <conditionalFormatting sqref="M296">
    <cfRule type="cellIs" dxfId="2814" priority="3697" operator="greaterThan">
      <formula>45</formula>
    </cfRule>
  </conditionalFormatting>
  <conditionalFormatting sqref="M298">
    <cfRule type="cellIs" dxfId="2813" priority="3777" operator="greaterThan">
      <formula>45</formula>
    </cfRule>
  </conditionalFormatting>
  <conditionalFormatting sqref="M300">
    <cfRule type="cellIs" dxfId="2812" priority="3857" operator="greaterThan">
      <formula>45</formula>
    </cfRule>
  </conditionalFormatting>
  <conditionalFormatting sqref="M302">
    <cfRule type="cellIs" dxfId="2811" priority="3937" operator="greaterThan">
      <formula>45</formula>
    </cfRule>
  </conditionalFormatting>
  <conditionalFormatting sqref="M304">
    <cfRule type="cellIs" dxfId="2810" priority="4017" operator="greaterThan">
      <formula>45</formula>
    </cfRule>
  </conditionalFormatting>
  <conditionalFormatting sqref="M306">
    <cfRule type="cellIs" dxfId="2809" priority="4097" operator="greaterThan">
      <formula>45</formula>
    </cfRule>
  </conditionalFormatting>
  <conditionalFormatting sqref="M308">
    <cfRule type="cellIs" dxfId="2808" priority="4177" operator="greaterThan">
      <formula>45</formula>
    </cfRule>
  </conditionalFormatting>
  <conditionalFormatting sqref="M310">
    <cfRule type="cellIs" dxfId="2807" priority="4257" operator="greaterThan">
      <formula>45</formula>
    </cfRule>
  </conditionalFormatting>
  <conditionalFormatting sqref="M312">
    <cfRule type="cellIs" dxfId="2806" priority="4337" operator="greaterThan">
      <formula>45</formula>
    </cfRule>
  </conditionalFormatting>
  <conditionalFormatting sqref="M314">
    <cfRule type="cellIs" dxfId="2805" priority="4417" operator="greaterThan">
      <formula>45</formula>
    </cfRule>
  </conditionalFormatting>
  <conditionalFormatting sqref="M316">
    <cfRule type="cellIs" dxfId="2804" priority="4497" operator="greaterThan">
      <formula>45</formula>
    </cfRule>
  </conditionalFormatting>
  <conditionalFormatting sqref="M318">
    <cfRule type="cellIs" dxfId="2803" priority="4577" operator="greaterThan">
      <formula>45</formula>
    </cfRule>
  </conditionalFormatting>
  <conditionalFormatting sqref="M320">
    <cfRule type="cellIs" dxfId="2802" priority="4657" operator="greaterThan">
      <formula>45</formula>
    </cfRule>
  </conditionalFormatting>
  <conditionalFormatting sqref="M322">
    <cfRule type="cellIs" dxfId="2801" priority="4737" operator="greaterThan">
      <formula>45</formula>
    </cfRule>
  </conditionalFormatting>
  <conditionalFormatting sqref="M324">
    <cfRule type="cellIs" dxfId="2800" priority="4817" operator="greaterThan">
      <formula>45</formula>
    </cfRule>
  </conditionalFormatting>
  <conditionalFormatting sqref="M326">
    <cfRule type="cellIs" dxfId="2799" priority="4897" operator="greaterThan">
      <formula>45</formula>
    </cfRule>
  </conditionalFormatting>
  <conditionalFormatting sqref="N2">
    <cfRule type="cellIs" dxfId="2798" priority="18" operator="greaterThan">
      <formula>40</formula>
    </cfRule>
    <cfRule type="cellIs" dxfId="2797" priority="19" operator="greaterThan">
      <formula>45</formula>
    </cfRule>
  </conditionalFormatting>
  <conditionalFormatting sqref="N4">
    <cfRule type="cellIs" dxfId="2796" priority="98" operator="greaterThan">
      <formula>40</formula>
    </cfRule>
    <cfRule type="cellIs" dxfId="2795" priority="99" operator="greaterThan">
      <formula>45</formula>
    </cfRule>
  </conditionalFormatting>
  <conditionalFormatting sqref="N13">
    <cfRule type="cellIs" dxfId="2794" priority="178" operator="greaterThan">
      <formula>40</formula>
    </cfRule>
    <cfRule type="cellIs" dxfId="2793" priority="179" operator="greaterThan">
      <formula>45</formula>
    </cfRule>
  </conditionalFormatting>
  <conditionalFormatting sqref="N23">
    <cfRule type="cellIs" dxfId="2792" priority="258" operator="greaterThan">
      <formula>40</formula>
    </cfRule>
    <cfRule type="cellIs" dxfId="2791" priority="259" operator="greaterThan">
      <formula>45</formula>
    </cfRule>
  </conditionalFormatting>
  <conditionalFormatting sqref="N33">
    <cfRule type="cellIs" dxfId="2790" priority="338" operator="greaterThan">
      <formula>40</formula>
    </cfRule>
    <cfRule type="cellIs" dxfId="2789" priority="339" operator="greaterThan">
      <formula>45</formula>
    </cfRule>
  </conditionalFormatting>
  <conditionalFormatting sqref="N48">
    <cfRule type="cellIs" dxfId="2788" priority="419" operator="greaterThan">
      <formula>45</formula>
    </cfRule>
    <cfRule type="cellIs" dxfId="2787" priority="418" operator="greaterThan">
      <formula>40</formula>
    </cfRule>
  </conditionalFormatting>
  <conditionalFormatting sqref="N52">
    <cfRule type="cellIs" dxfId="2786" priority="499" operator="greaterThan">
      <formula>45</formula>
    </cfRule>
    <cfRule type="cellIs" dxfId="2785" priority="498" operator="greaterThan">
      <formula>40</formula>
    </cfRule>
  </conditionalFormatting>
  <conditionalFormatting sqref="N61">
    <cfRule type="cellIs" dxfId="2784" priority="579" operator="greaterThan">
      <formula>45</formula>
    </cfRule>
    <cfRule type="cellIs" dxfId="2783" priority="578" operator="greaterThan">
      <formula>40</formula>
    </cfRule>
  </conditionalFormatting>
  <conditionalFormatting sqref="N74">
    <cfRule type="cellIs" dxfId="2782" priority="658" operator="greaterThan">
      <formula>40</formula>
    </cfRule>
    <cfRule type="cellIs" dxfId="2781" priority="659" operator="greaterThan">
      <formula>45</formula>
    </cfRule>
  </conditionalFormatting>
  <conditionalFormatting sqref="N76">
    <cfRule type="cellIs" dxfId="2780" priority="739" operator="greaterThan">
      <formula>45</formula>
    </cfRule>
    <cfRule type="cellIs" dxfId="2779" priority="738" operator="greaterThan">
      <formula>40</formula>
    </cfRule>
  </conditionalFormatting>
  <conditionalFormatting sqref="N86">
    <cfRule type="cellIs" dxfId="2778" priority="819" operator="greaterThan">
      <formula>45</formula>
    </cfRule>
    <cfRule type="cellIs" dxfId="2777" priority="818" operator="greaterThan">
      <formula>40</formula>
    </cfRule>
  </conditionalFormatting>
  <conditionalFormatting sqref="N96">
    <cfRule type="cellIs" dxfId="2776" priority="899" operator="greaterThan">
      <formula>45</formula>
    </cfRule>
    <cfRule type="cellIs" dxfId="2775" priority="898" operator="greaterThan">
      <formula>40</formula>
    </cfRule>
  </conditionalFormatting>
  <conditionalFormatting sqref="N101">
    <cfRule type="cellIs" dxfId="2774" priority="979" operator="greaterThan">
      <formula>45</formula>
    </cfRule>
  </conditionalFormatting>
  <conditionalFormatting sqref="N110">
    <cfRule type="cellIs" dxfId="2773" priority="1059" operator="greaterThan">
      <formula>45</formula>
    </cfRule>
  </conditionalFormatting>
  <conditionalFormatting sqref="N117">
    <cfRule type="cellIs" dxfId="2772" priority="1139" operator="greaterThan">
      <formula>45</formula>
    </cfRule>
  </conditionalFormatting>
  <conditionalFormatting sqref="N124">
    <cfRule type="cellIs" dxfId="2771" priority="1219" operator="greaterThan">
      <formula>45</formula>
    </cfRule>
  </conditionalFormatting>
  <conditionalFormatting sqref="N128">
    <cfRule type="cellIs" dxfId="2770" priority="1299" operator="greaterThan">
      <formula>45</formula>
    </cfRule>
  </conditionalFormatting>
  <conditionalFormatting sqref="N133">
    <cfRule type="cellIs" dxfId="2769" priority="1379" operator="greaterThan">
      <formula>45</formula>
    </cfRule>
  </conditionalFormatting>
  <conditionalFormatting sqref="N136">
    <cfRule type="cellIs" dxfId="2768" priority="1459" operator="greaterThan">
      <formula>45</formula>
    </cfRule>
  </conditionalFormatting>
  <conditionalFormatting sqref="N143">
    <cfRule type="cellIs" dxfId="2767" priority="1539" operator="greaterThan">
      <formula>45</formula>
    </cfRule>
  </conditionalFormatting>
  <conditionalFormatting sqref="N157">
    <cfRule type="cellIs" dxfId="2766" priority="1619" operator="greaterThan">
      <formula>45</formula>
    </cfRule>
  </conditionalFormatting>
  <conditionalFormatting sqref="N160">
    <cfRule type="cellIs" dxfId="2765" priority="1699" operator="greaterThan">
      <formula>45</formula>
    </cfRule>
  </conditionalFormatting>
  <conditionalFormatting sqref="N170">
    <cfRule type="cellIs" dxfId="2764" priority="1779" operator="greaterThan">
      <formula>45</formula>
    </cfRule>
  </conditionalFormatting>
  <conditionalFormatting sqref="N182">
    <cfRule type="cellIs" dxfId="2763" priority="1859" operator="greaterThan">
      <formula>45</formula>
    </cfRule>
  </conditionalFormatting>
  <conditionalFormatting sqref="N185">
    <cfRule type="cellIs" dxfId="2762" priority="1939" operator="greaterThan">
      <formula>45</formula>
    </cfRule>
  </conditionalFormatting>
  <conditionalFormatting sqref="N188">
    <cfRule type="cellIs" dxfId="2761" priority="2019" operator="greaterThan">
      <formula>45</formula>
    </cfRule>
  </conditionalFormatting>
  <conditionalFormatting sqref="N194">
    <cfRule type="cellIs" dxfId="2760" priority="2099" operator="greaterThan">
      <formula>45</formula>
    </cfRule>
  </conditionalFormatting>
  <conditionalFormatting sqref="N198">
    <cfRule type="cellIs" dxfId="2759" priority="2179" operator="greaterThan">
      <formula>45</formula>
    </cfRule>
  </conditionalFormatting>
  <conditionalFormatting sqref="N206">
    <cfRule type="cellIs" dxfId="2758" priority="2259" operator="greaterThan">
      <formula>45</formula>
    </cfRule>
  </conditionalFormatting>
  <conditionalFormatting sqref="N211">
    <cfRule type="cellIs" dxfId="2757" priority="2339" operator="greaterThan">
      <formula>45</formula>
    </cfRule>
  </conditionalFormatting>
  <conditionalFormatting sqref="N213">
    <cfRule type="cellIs" dxfId="2756" priority="2419" operator="greaterThan">
      <formula>45</formula>
    </cfRule>
  </conditionalFormatting>
  <conditionalFormatting sqref="N217">
    <cfRule type="cellIs" dxfId="2755" priority="2499" operator="greaterThan">
      <formula>45</formula>
    </cfRule>
  </conditionalFormatting>
  <conditionalFormatting sqref="N220">
    <cfRule type="cellIs" dxfId="2754" priority="2579" operator="greaterThan">
      <formula>45</formula>
    </cfRule>
  </conditionalFormatting>
  <conditionalFormatting sqref="N223">
    <cfRule type="cellIs" dxfId="2753" priority="2659" operator="greaterThan">
      <formula>45</formula>
    </cfRule>
  </conditionalFormatting>
  <conditionalFormatting sqref="N226">
    <cfRule type="cellIs" dxfId="2752" priority="2739" operator="greaterThan">
      <formula>45</formula>
    </cfRule>
  </conditionalFormatting>
  <conditionalFormatting sqref="N229">
    <cfRule type="cellIs" dxfId="2751" priority="2819" operator="greaterThan">
      <formula>45</formula>
    </cfRule>
  </conditionalFormatting>
  <conditionalFormatting sqref="N232">
    <cfRule type="cellIs" dxfId="2750" priority="2899" operator="greaterThan">
      <formula>45</formula>
    </cfRule>
  </conditionalFormatting>
  <conditionalFormatting sqref="N234">
    <cfRule type="cellIs" dxfId="2749" priority="2979" operator="greaterThan">
      <formula>45</formula>
    </cfRule>
  </conditionalFormatting>
  <conditionalFormatting sqref="N248">
    <cfRule type="cellIs" dxfId="2748" priority="3059" operator="greaterThan">
      <formula>45</formula>
    </cfRule>
  </conditionalFormatting>
  <conditionalFormatting sqref="N252">
    <cfRule type="cellIs" dxfId="2747" priority="3139" operator="greaterThan">
      <formula>45</formula>
    </cfRule>
  </conditionalFormatting>
  <conditionalFormatting sqref="N261">
    <cfRule type="cellIs" dxfId="2746" priority="3219" operator="greaterThan">
      <formula>45</formula>
    </cfRule>
  </conditionalFormatting>
  <conditionalFormatting sqref="N271">
    <cfRule type="cellIs" dxfId="2745" priority="3299" operator="greaterThan">
      <formula>45</formula>
    </cfRule>
  </conditionalFormatting>
  <conditionalFormatting sqref="N280">
    <cfRule type="cellIs" dxfId="2744" priority="3379" operator="greaterThan">
      <formula>45</formula>
    </cfRule>
  </conditionalFormatting>
  <conditionalFormatting sqref="N283">
    <cfRule type="cellIs" dxfId="2743" priority="3459" operator="greaterThan">
      <formula>45</formula>
    </cfRule>
  </conditionalFormatting>
  <conditionalFormatting sqref="N292">
    <cfRule type="cellIs" dxfId="2742" priority="3539" operator="greaterThan">
      <formula>45</formula>
    </cfRule>
  </conditionalFormatting>
  <conditionalFormatting sqref="N294">
    <cfRule type="cellIs" dxfId="2741" priority="3619" operator="greaterThan">
      <formula>45</formula>
    </cfRule>
  </conditionalFormatting>
  <conditionalFormatting sqref="N296">
    <cfRule type="cellIs" dxfId="2740" priority="3699" operator="greaterThan">
      <formula>45</formula>
    </cfRule>
  </conditionalFormatting>
  <conditionalFormatting sqref="N298">
    <cfRule type="cellIs" dxfId="2739" priority="3779" operator="greaterThan">
      <formula>45</formula>
    </cfRule>
  </conditionalFormatting>
  <conditionalFormatting sqref="N300">
    <cfRule type="cellIs" dxfId="2738" priority="3859" operator="greaterThan">
      <formula>45</formula>
    </cfRule>
  </conditionalFormatting>
  <conditionalFormatting sqref="N302">
    <cfRule type="cellIs" dxfId="2737" priority="3939" operator="greaterThan">
      <formula>45</formula>
    </cfRule>
  </conditionalFormatting>
  <conditionalFormatting sqref="N304">
    <cfRule type="cellIs" dxfId="2736" priority="4019" operator="greaterThan">
      <formula>45</formula>
    </cfRule>
  </conditionalFormatting>
  <conditionalFormatting sqref="N306">
    <cfRule type="cellIs" dxfId="2735" priority="4099" operator="greaterThan">
      <formula>45</formula>
    </cfRule>
  </conditionalFormatting>
  <conditionalFormatting sqref="N308">
    <cfRule type="cellIs" dxfId="2734" priority="4179" operator="greaterThan">
      <formula>45</formula>
    </cfRule>
  </conditionalFormatting>
  <conditionalFormatting sqref="N310">
    <cfRule type="cellIs" dxfId="2733" priority="4259" operator="greaterThan">
      <formula>45</formula>
    </cfRule>
  </conditionalFormatting>
  <conditionalFormatting sqref="N312">
    <cfRule type="cellIs" dxfId="2732" priority="4339" operator="greaterThan">
      <formula>45</formula>
    </cfRule>
  </conditionalFormatting>
  <conditionalFormatting sqref="N314">
    <cfRule type="cellIs" dxfId="2731" priority="4419" operator="greaterThan">
      <formula>45</formula>
    </cfRule>
  </conditionalFormatting>
  <conditionalFormatting sqref="N316">
    <cfRule type="cellIs" dxfId="2730" priority="4499" operator="greaterThan">
      <formula>45</formula>
    </cfRule>
  </conditionalFormatting>
  <conditionalFormatting sqref="N318">
    <cfRule type="cellIs" dxfId="2729" priority="4579" operator="greaterThan">
      <formula>45</formula>
    </cfRule>
  </conditionalFormatting>
  <conditionalFormatting sqref="N320">
    <cfRule type="cellIs" dxfId="2728" priority="4659" operator="greaterThan">
      <formula>45</formula>
    </cfRule>
  </conditionalFormatting>
  <conditionalFormatting sqref="N322">
    <cfRule type="cellIs" dxfId="2727" priority="4739" operator="greaterThan">
      <formula>45</formula>
    </cfRule>
  </conditionalFormatting>
  <conditionalFormatting sqref="N324">
    <cfRule type="cellIs" dxfId="2726" priority="4819" operator="greaterThan">
      <formula>45</formula>
    </cfRule>
  </conditionalFormatting>
  <conditionalFormatting sqref="N326">
    <cfRule type="cellIs" dxfId="2725" priority="4899" operator="greaterThan">
      <formula>45</formula>
    </cfRule>
  </conditionalFormatting>
  <conditionalFormatting sqref="O2">
    <cfRule type="cellIs" dxfId="2724" priority="20" operator="greaterThan">
      <formula>40</formula>
    </cfRule>
    <cfRule type="cellIs" dxfId="2723" priority="21" operator="greaterThan">
      <formula>45</formula>
    </cfRule>
  </conditionalFormatting>
  <conditionalFormatting sqref="O4">
    <cfRule type="cellIs" dxfId="2722" priority="101" operator="greaterThan">
      <formula>45</formula>
    </cfRule>
    <cfRule type="cellIs" dxfId="2721" priority="100" operator="greaterThan">
      <formula>40</formula>
    </cfRule>
  </conditionalFormatting>
  <conditionalFormatting sqref="O13">
    <cfRule type="cellIs" dxfId="2720" priority="180" operator="greaterThan">
      <formula>40</formula>
    </cfRule>
    <cfRule type="cellIs" dxfId="2719" priority="181" operator="greaterThan">
      <formula>45</formula>
    </cfRule>
  </conditionalFormatting>
  <conditionalFormatting sqref="O23">
    <cfRule type="cellIs" dxfId="2718" priority="261" operator="greaterThan">
      <formula>45</formula>
    </cfRule>
    <cfRule type="cellIs" dxfId="2717" priority="260" operator="greaterThan">
      <formula>40</formula>
    </cfRule>
  </conditionalFormatting>
  <conditionalFormatting sqref="O33">
    <cfRule type="cellIs" dxfId="2716" priority="341" operator="greaterThan">
      <formula>45</formula>
    </cfRule>
    <cfRule type="cellIs" dxfId="2715" priority="340" operator="greaterThan">
      <formula>40</formula>
    </cfRule>
  </conditionalFormatting>
  <conditionalFormatting sqref="O48">
    <cfRule type="cellIs" dxfId="2714" priority="421" operator="greaterThan">
      <formula>45</formula>
    </cfRule>
    <cfRule type="cellIs" dxfId="2713" priority="420" operator="greaterThan">
      <formula>40</formula>
    </cfRule>
  </conditionalFormatting>
  <conditionalFormatting sqref="O52">
    <cfRule type="cellIs" dxfId="2712" priority="500" operator="greaterThan">
      <formula>40</formula>
    </cfRule>
    <cfRule type="cellIs" dxfId="2711" priority="501" operator="greaterThan">
      <formula>45</formula>
    </cfRule>
  </conditionalFormatting>
  <conditionalFormatting sqref="O61">
    <cfRule type="cellIs" dxfId="2710" priority="581" operator="greaterThan">
      <formula>45</formula>
    </cfRule>
    <cfRule type="cellIs" dxfId="2709" priority="580" operator="greaterThan">
      <formula>40</formula>
    </cfRule>
  </conditionalFormatting>
  <conditionalFormatting sqref="O74">
    <cfRule type="cellIs" dxfId="2708" priority="661" operator="greaterThan">
      <formula>45</formula>
    </cfRule>
    <cfRule type="cellIs" dxfId="2707" priority="660" operator="greaterThan">
      <formula>40</formula>
    </cfRule>
  </conditionalFormatting>
  <conditionalFormatting sqref="O76">
    <cfRule type="cellIs" dxfId="2706" priority="741" operator="greaterThan">
      <formula>45</formula>
    </cfRule>
    <cfRule type="cellIs" dxfId="2705" priority="740" operator="greaterThan">
      <formula>40</formula>
    </cfRule>
  </conditionalFormatting>
  <conditionalFormatting sqref="O86">
    <cfRule type="cellIs" dxfId="2704" priority="821" operator="greaterThan">
      <formula>45</formula>
    </cfRule>
    <cfRule type="cellIs" dxfId="2703" priority="820" operator="greaterThan">
      <formula>40</formula>
    </cfRule>
  </conditionalFormatting>
  <conditionalFormatting sqref="O96">
    <cfRule type="cellIs" dxfId="2702" priority="901" operator="greaterThan">
      <formula>45</formula>
    </cfRule>
    <cfRule type="cellIs" dxfId="2701" priority="900" operator="greaterThan">
      <formula>40</formula>
    </cfRule>
  </conditionalFormatting>
  <conditionalFormatting sqref="O101">
    <cfRule type="cellIs" dxfId="2700" priority="981" operator="greaterThan">
      <formula>45</formula>
    </cfRule>
  </conditionalFormatting>
  <conditionalFormatting sqref="O110">
    <cfRule type="cellIs" dxfId="2699" priority="1061" operator="greaterThan">
      <formula>45</formula>
    </cfRule>
  </conditionalFormatting>
  <conditionalFormatting sqref="O117">
    <cfRule type="cellIs" dxfId="2698" priority="1141" operator="greaterThan">
      <formula>45</formula>
    </cfRule>
  </conditionalFormatting>
  <conditionalFormatting sqref="O124">
    <cfRule type="cellIs" dxfId="2697" priority="1221" operator="greaterThan">
      <formula>45</formula>
    </cfRule>
  </conditionalFormatting>
  <conditionalFormatting sqref="O128">
    <cfRule type="cellIs" dxfId="2696" priority="1301" operator="greaterThan">
      <formula>45</formula>
    </cfRule>
  </conditionalFormatting>
  <conditionalFormatting sqref="O133">
    <cfRule type="cellIs" dxfId="2695" priority="1381" operator="greaterThan">
      <formula>45</formula>
    </cfRule>
  </conditionalFormatting>
  <conditionalFormatting sqref="O136">
    <cfRule type="cellIs" dxfId="2694" priority="1461" operator="greaterThan">
      <formula>45</formula>
    </cfRule>
  </conditionalFormatting>
  <conditionalFormatting sqref="O143">
    <cfRule type="cellIs" dxfId="2693" priority="1541" operator="greaterThan">
      <formula>45</formula>
    </cfRule>
  </conditionalFormatting>
  <conditionalFormatting sqref="O157">
    <cfRule type="cellIs" dxfId="2692" priority="1621" operator="greaterThan">
      <formula>45</formula>
    </cfRule>
  </conditionalFormatting>
  <conditionalFormatting sqref="O160">
    <cfRule type="cellIs" dxfId="2691" priority="1701" operator="greaterThan">
      <formula>45</formula>
    </cfRule>
  </conditionalFormatting>
  <conditionalFormatting sqref="O170">
    <cfRule type="cellIs" dxfId="2690" priority="1781" operator="greaterThan">
      <formula>45</formula>
    </cfRule>
  </conditionalFormatting>
  <conditionalFormatting sqref="O182">
    <cfRule type="cellIs" dxfId="2689" priority="1861" operator="greaterThan">
      <formula>45</formula>
    </cfRule>
  </conditionalFormatting>
  <conditionalFormatting sqref="O185">
    <cfRule type="cellIs" dxfId="2688" priority="1941" operator="greaterThan">
      <formula>45</formula>
    </cfRule>
  </conditionalFormatting>
  <conditionalFormatting sqref="O188">
    <cfRule type="cellIs" dxfId="2687" priority="2021" operator="greaterThan">
      <formula>45</formula>
    </cfRule>
  </conditionalFormatting>
  <conditionalFormatting sqref="O194">
    <cfRule type="cellIs" dxfId="2686" priority="2101" operator="greaterThan">
      <formula>45</formula>
    </cfRule>
  </conditionalFormatting>
  <conditionalFormatting sqref="O198">
    <cfRule type="cellIs" dxfId="2685" priority="2181" operator="greaterThan">
      <formula>45</formula>
    </cfRule>
  </conditionalFormatting>
  <conditionalFormatting sqref="O206">
    <cfRule type="cellIs" dxfId="2684" priority="2261" operator="greaterThan">
      <formula>45</formula>
    </cfRule>
  </conditionalFormatting>
  <conditionalFormatting sqref="O211">
    <cfRule type="cellIs" dxfId="2683" priority="2341" operator="greaterThan">
      <formula>45</formula>
    </cfRule>
  </conditionalFormatting>
  <conditionalFormatting sqref="O213">
    <cfRule type="cellIs" dxfId="2682" priority="2421" operator="greaterThan">
      <formula>45</formula>
    </cfRule>
  </conditionalFormatting>
  <conditionalFormatting sqref="O217">
    <cfRule type="cellIs" dxfId="2681" priority="2501" operator="greaterThan">
      <formula>45</formula>
    </cfRule>
  </conditionalFormatting>
  <conditionalFormatting sqref="O220">
    <cfRule type="cellIs" dxfId="2680" priority="2581" operator="greaterThan">
      <formula>45</formula>
    </cfRule>
  </conditionalFormatting>
  <conditionalFormatting sqref="O223">
    <cfRule type="cellIs" dxfId="2679" priority="2661" operator="greaterThan">
      <formula>45</formula>
    </cfRule>
  </conditionalFormatting>
  <conditionalFormatting sqref="O226">
    <cfRule type="cellIs" dxfId="2678" priority="2741" operator="greaterThan">
      <formula>45</formula>
    </cfRule>
  </conditionalFormatting>
  <conditionalFormatting sqref="O229">
    <cfRule type="cellIs" dxfId="2677" priority="2821" operator="greaterThan">
      <formula>45</formula>
    </cfRule>
  </conditionalFormatting>
  <conditionalFormatting sqref="O232">
    <cfRule type="cellIs" dxfId="2676" priority="2901" operator="greaterThan">
      <formula>45</formula>
    </cfRule>
  </conditionalFormatting>
  <conditionalFormatting sqref="O234">
    <cfRule type="cellIs" dxfId="2675" priority="2981" operator="greaterThan">
      <formula>45</formula>
    </cfRule>
  </conditionalFormatting>
  <conditionalFormatting sqref="O248">
    <cfRule type="cellIs" dxfId="2674" priority="3061" operator="greaterThan">
      <formula>45</formula>
    </cfRule>
  </conditionalFormatting>
  <conditionalFormatting sqref="O252">
    <cfRule type="cellIs" dxfId="2673" priority="3141" operator="greaterThan">
      <formula>45</formula>
    </cfRule>
  </conditionalFormatting>
  <conditionalFormatting sqref="O261">
    <cfRule type="cellIs" dxfId="2672" priority="3221" operator="greaterThan">
      <formula>45</formula>
    </cfRule>
  </conditionalFormatting>
  <conditionalFormatting sqref="O271">
    <cfRule type="cellIs" dxfId="2671" priority="3301" operator="greaterThan">
      <formula>45</formula>
    </cfRule>
  </conditionalFormatting>
  <conditionalFormatting sqref="O280">
    <cfRule type="cellIs" dxfId="2670" priority="3381" operator="greaterThan">
      <formula>45</formula>
    </cfRule>
  </conditionalFormatting>
  <conditionalFormatting sqref="O283">
    <cfRule type="cellIs" dxfId="2669" priority="3461" operator="greaterThan">
      <formula>45</formula>
    </cfRule>
  </conditionalFormatting>
  <conditionalFormatting sqref="O292">
    <cfRule type="cellIs" dxfId="2668" priority="3541" operator="greaterThan">
      <formula>45</formula>
    </cfRule>
  </conditionalFormatting>
  <conditionalFormatting sqref="O294">
    <cfRule type="cellIs" dxfId="2667" priority="3621" operator="greaterThan">
      <formula>45</formula>
    </cfRule>
  </conditionalFormatting>
  <conditionalFormatting sqref="O296">
    <cfRule type="cellIs" dxfId="2666" priority="3701" operator="greaterThan">
      <formula>45</formula>
    </cfRule>
  </conditionalFormatting>
  <conditionalFormatting sqref="O298">
    <cfRule type="cellIs" dxfId="2665" priority="3781" operator="greaterThan">
      <formula>45</formula>
    </cfRule>
  </conditionalFormatting>
  <conditionalFormatting sqref="O300">
    <cfRule type="cellIs" dxfId="2664" priority="3861" operator="greaterThan">
      <formula>45</formula>
    </cfRule>
  </conditionalFormatting>
  <conditionalFormatting sqref="O302">
    <cfRule type="cellIs" dxfId="2663" priority="3941" operator="greaterThan">
      <formula>45</formula>
    </cfRule>
  </conditionalFormatting>
  <conditionalFormatting sqref="O304">
    <cfRule type="cellIs" dxfId="2662" priority="4021" operator="greaterThan">
      <formula>45</formula>
    </cfRule>
  </conditionalFormatting>
  <conditionalFormatting sqref="O306">
    <cfRule type="cellIs" dxfId="2661" priority="4101" operator="greaterThan">
      <formula>45</formula>
    </cfRule>
  </conditionalFormatting>
  <conditionalFormatting sqref="O308">
    <cfRule type="cellIs" dxfId="2660" priority="4181" operator="greaterThan">
      <formula>45</formula>
    </cfRule>
  </conditionalFormatting>
  <conditionalFormatting sqref="O310">
    <cfRule type="cellIs" dxfId="2659" priority="4261" operator="greaterThan">
      <formula>45</formula>
    </cfRule>
  </conditionalFormatting>
  <conditionalFormatting sqref="O312">
    <cfRule type="cellIs" dxfId="2658" priority="4341" operator="greaterThan">
      <formula>45</formula>
    </cfRule>
  </conditionalFormatting>
  <conditionalFormatting sqref="O314">
    <cfRule type="cellIs" dxfId="2657" priority="4421" operator="greaterThan">
      <formula>45</formula>
    </cfRule>
  </conditionalFormatting>
  <conditionalFormatting sqref="O316">
    <cfRule type="cellIs" dxfId="2656" priority="4501" operator="greaterThan">
      <formula>45</formula>
    </cfRule>
  </conditionalFormatting>
  <conditionalFormatting sqref="O318">
    <cfRule type="cellIs" dxfId="2655" priority="4581" operator="greaterThan">
      <formula>45</formula>
    </cfRule>
  </conditionalFormatting>
  <conditionalFormatting sqref="O320">
    <cfRule type="cellIs" dxfId="2654" priority="4661" operator="greaterThan">
      <formula>45</formula>
    </cfRule>
  </conditionalFormatting>
  <conditionalFormatting sqref="O322">
    <cfRule type="cellIs" dxfId="2653" priority="4741" operator="greaterThan">
      <formula>45</formula>
    </cfRule>
  </conditionalFormatting>
  <conditionalFormatting sqref="O324">
    <cfRule type="cellIs" dxfId="2652" priority="4821" operator="greaterThan">
      <formula>45</formula>
    </cfRule>
  </conditionalFormatting>
  <conditionalFormatting sqref="O326">
    <cfRule type="cellIs" dxfId="2651" priority="4901" operator="greaterThan">
      <formula>45</formula>
    </cfRule>
  </conditionalFormatting>
  <conditionalFormatting sqref="P2">
    <cfRule type="cellIs" dxfId="2650" priority="23" operator="greaterThan">
      <formula>45</formula>
    </cfRule>
    <cfRule type="cellIs" dxfId="2649" priority="22" operator="greaterThan">
      <formula>40</formula>
    </cfRule>
  </conditionalFormatting>
  <conditionalFormatting sqref="P4">
    <cfRule type="cellIs" dxfId="2648" priority="102" operator="greaterThan">
      <formula>40</formula>
    </cfRule>
    <cfRule type="cellIs" dxfId="2647" priority="103" operator="greaterThan">
      <formula>45</formula>
    </cfRule>
  </conditionalFormatting>
  <conditionalFormatting sqref="P13">
    <cfRule type="cellIs" dxfId="2646" priority="183" operator="greaterThan">
      <formula>45</formula>
    </cfRule>
    <cfRule type="cellIs" dxfId="2645" priority="182" operator="greaterThan">
      <formula>40</formula>
    </cfRule>
  </conditionalFormatting>
  <conditionalFormatting sqref="P23">
    <cfRule type="cellIs" dxfId="2644" priority="262" operator="greaterThan">
      <formula>40</formula>
    </cfRule>
    <cfRule type="cellIs" dxfId="2643" priority="263" operator="greaterThan">
      <formula>45</formula>
    </cfRule>
  </conditionalFormatting>
  <conditionalFormatting sqref="P33">
    <cfRule type="cellIs" dxfId="2642" priority="343" operator="greaterThan">
      <formula>45</formula>
    </cfRule>
    <cfRule type="cellIs" dxfId="2641" priority="342" operator="greaterThan">
      <formula>40</formula>
    </cfRule>
  </conditionalFormatting>
  <conditionalFormatting sqref="P48">
    <cfRule type="cellIs" dxfId="2640" priority="423" operator="greaterThan">
      <formula>45</formula>
    </cfRule>
    <cfRule type="cellIs" dxfId="2639" priority="422" operator="greaterThan">
      <formula>40</formula>
    </cfRule>
  </conditionalFormatting>
  <conditionalFormatting sqref="P52">
    <cfRule type="cellIs" dxfId="2638" priority="502" operator="greaterThan">
      <formula>40</formula>
    </cfRule>
    <cfRule type="cellIs" dxfId="2637" priority="503" operator="greaterThan">
      <formula>45</formula>
    </cfRule>
  </conditionalFormatting>
  <conditionalFormatting sqref="P61">
    <cfRule type="cellIs" dxfId="2636" priority="582" operator="greaterThan">
      <formula>40</formula>
    </cfRule>
    <cfRule type="cellIs" dxfId="2635" priority="583" operator="greaterThan">
      <formula>45</formula>
    </cfRule>
  </conditionalFormatting>
  <conditionalFormatting sqref="P74">
    <cfRule type="cellIs" dxfId="2634" priority="663" operator="greaterThan">
      <formula>45</formula>
    </cfRule>
    <cfRule type="cellIs" dxfId="2633" priority="662" operator="greaterThan">
      <formula>40</formula>
    </cfRule>
  </conditionalFormatting>
  <conditionalFormatting sqref="P76">
    <cfRule type="cellIs" dxfId="2632" priority="742" operator="greaterThan">
      <formula>40</formula>
    </cfRule>
    <cfRule type="cellIs" dxfId="2631" priority="743" operator="greaterThan">
      <formula>45</formula>
    </cfRule>
  </conditionalFormatting>
  <conditionalFormatting sqref="P86">
    <cfRule type="cellIs" dxfId="2630" priority="822" operator="greaterThan">
      <formula>40</formula>
    </cfRule>
    <cfRule type="cellIs" dxfId="2629" priority="823" operator="greaterThan">
      <formula>45</formula>
    </cfRule>
  </conditionalFormatting>
  <conditionalFormatting sqref="P96">
    <cfRule type="cellIs" dxfId="2628" priority="902" operator="greaterThan">
      <formula>40</formula>
    </cfRule>
    <cfRule type="cellIs" dxfId="2627" priority="903" operator="greaterThan">
      <formula>45</formula>
    </cfRule>
  </conditionalFormatting>
  <conditionalFormatting sqref="P101">
    <cfRule type="cellIs" dxfId="2626" priority="983" operator="greaterThan">
      <formula>45</formula>
    </cfRule>
  </conditionalFormatting>
  <conditionalFormatting sqref="P110">
    <cfRule type="cellIs" dxfId="2625" priority="1063" operator="greaterThan">
      <formula>45</formula>
    </cfRule>
  </conditionalFormatting>
  <conditionalFormatting sqref="P117">
    <cfRule type="cellIs" dxfId="2624" priority="1143" operator="greaterThan">
      <formula>45</formula>
    </cfRule>
  </conditionalFormatting>
  <conditionalFormatting sqref="P124">
    <cfRule type="cellIs" dxfId="2623" priority="1223" operator="greaterThan">
      <formula>45</formula>
    </cfRule>
  </conditionalFormatting>
  <conditionalFormatting sqref="P128">
    <cfRule type="cellIs" dxfId="2622" priority="1303" operator="greaterThan">
      <formula>45</formula>
    </cfRule>
  </conditionalFormatting>
  <conditionalFormatting sqref="P133">
    <cfRule type="cellIs" dxfId="2621" priority="1383" operator="greaterThan">
      <formula>45</formula>
    </cfRule>
  </conditionalFormatting>
  <conditionalFormatting sqref="P136">
    <cfRule type="cellIs" dxfId="2620" priority="1463" operator="greaterThan">
      <formula>45</formula>
    </cfRule>
  </conditionalFormatting>
  <conditionalFormatting sqref="P143">
    <cfRule type="cellIs" dxfId="2619" priority="1543" operator="greaterThan">
      <formula>45</formula>
    </cfRule>
  </conditionalFormatting>
  <conditionalFormatting sqref="P157">
    <cfRule type="cellIs" dxfId="2618" priority="1623" operator="greaterThan">
      <formula>45</formula>
    </cfRule>
  </conditionalFormatting>
  <conditionalFormatting sqref="P160">
    <cfRule type="cellIs" dxfId="2617" priority="1703" operator="greaterThan">
      <formula>45</formula>
    </cfRule>
  </conditionalFormatting>
  <conditionalFormatting sqref="P170">
    <cfRule type="cellIs" dxfId="2616" priority="1783" operator="greaterThan">
      <formula>45</formula>
    </cfRule>
  </conditionalFormatting>
  <conditionalFormatting sqref="P182">
    <cfRule type="cellIs" dxfId="2615" priority="1863" operator="greaterThan">
      <formula>45</formula>
    </cfRule>
  </conditionalFormatting>
  <conditionalFormatting sqref="P185">
    <cfRule type="cellIs" dxfId="2614" priority="1943" operator="greaterThan">
      <formula>45</formula>
    </cfRule>
  </conditionalFormatting>
  <conditionalFormatting sqref="P188">
    <cfRule type="cellIs" dxfId="2613" priority="2023" operator="greaterThan">
      <formula>45</formula>
    </cfRule>
  </conditionalFormatting>
  <conditionalFormatting sqref="P194">
    <cfRule type="cellIs" dxfId="2612" priority="2103" operator="greaterThan">
      <formula>45</formula>
    </cfRule>
  </conditionalFormatting>
  <conditionalFormatting sqref="P198">
    <cfRule type="cellIs" dxfId="2611" priority="2183" operator="greaterThan">
      <formula>45</formula>
    </cfRule>
  </conditionalFormatting>
  <conditionalFormatting sqref="P206">
    <cfRule type="cellIs" dxfId="2610" priority="2263" operator="greaterThan">
      <formula>45</formula>
    </cfRule>
  </conditionalFormatting>
  <conditionalFormatting sqref="P211">
    <cfRule type="cellIs" dxfId="2609" priority="2343" operator="greaterThan">
      <formula>45</formula>
    </cfRule>
  </conditionalFormatting>
  <conditionalFormatting sqref="P213">
    <cfRule type="cellIs" dxfId="2608" priority="2423" operator="greaterThan">
      <formula>45</formula>
    </cfRule>
  </conditionalFormatting>
  <conditionalFormatting sqref="P217">
    <cfRule type="cellIs" dxfId="2607" priority="2503" operator="greaterThan">
      <formula>45</formula>
    </cfRule>
  </conditionalFormatting>
  <conditionalFormatting sqref="P220">
    <cfRule type="cellIs" dxfId="2606" priority="2583" operator="greaterThan">
      <formula>45</formula>
    </cfRule>
  </conditionalFormatting>
  <conditionalFormatting sqref="P223">
    <cfRule type="cellIs" dxfId="2605" priority="2663" operator="greaterThan">
      <formula>45</formula>
    </cfRule>
  </conditionalFormatting>
  <conditionalFormatting sqref="P226">
    <cfRule type="cellIs" dxfId="2604" priority="2743" operator="greaterThan">
      <formula>45</formula>
    </cfRule>
  </conditionalFormatting>
  <conditionalFormatting sqref="P229">
    <cfRule type="cellIs" dxfId="2603" priority="2823" operator="greaterThan">
      <formula>45</formula>
    </cfRule>
  </conditionalFormatting>
  <conditionalFormatting sqref="P232">
    <cfRule type="cellIs" dxfId="2602" priority="2903" operator="greaterThan">
      <formula>45</formula>
    </cfRule>
  </conditionalFormatting>
  <conditionalFormatting sqref="P234">
    <cfRule type="cellIs" dxfId="2601" priority="2983" operator="greaterThan">
      <formula>45</formula>
    </cfRule>
  </conditionalFormatting>
  <conditionalFormatting sqref="P248">
    <cfRule type="cellIs" dxfId="2600" priority="3063" operator="greaterThan">
      <formula>45</formula>
    </cfRule>
  </conditionalFormatting>
  <conditionalFormatting sqref="P252">
    <cfRule type="cellIs" dxfId="2599" priority="3143" operator="greaterThan">
      <formula>45</formula>
    </cfRule>
  </conditionalFormatting>
  <conditionalFormatting sqref="P261">
    <cfRule type="cellIs" dxfId="2598" priority="3223" operator="greaterThan">
      <formula>45</formula>
    </cfRule>
  </conditionalFormatting>
  <conditionalFormatting sqref="P271">
    <cfRule type="cellIs" dxfId="2597" priority="3303" operator="greaterThan">
      <formula>45</formula>
    </cfRule>
  </conditionalFormatting>
  <conditionalFormatting sqref="P280">
    <cfRule type="cellIs" dxfId="2596" priority="3383" operator="greaterThan">
      <formula>45</formula>
    </cfRule>
  </conditionalFormatting>
  <conditionalFormatting sqref="P283">
    <cfRule type="cellIs" dxfId="2595" priority="3463" operator="greaterThan">
      <formula>45</formula>
    </cfRule>
  </conditionalFormatting>
  <conditionalFormatting sqref="P292">
    <cfRule type="cellIs" dxfId="2594" priority="3543" operator="greaterThan">
      <formula>45</formula>
    </cfRule>
  </conditionalFormatting>
  <conditionalFormatting sqref="P294">
    <cfRule type="cellIs" dxfId="2593" priority="3623" operator="greaterThan">
      <formula>45</formula>
    </cfRule>
  </conditionalFormatting>
  <conditionalFormatting sqref="P296">
    <cfRule type="cellIs" dxfId="2592" priority="3703" operator="greaterThan">
      <formula>45</formula>
    </cfRule>
  </conditionalFormatting>
  <conditionalFormatting sqref="P298">
    <cfRule type="cellIs" dxfId="2591" priority="3783" operator="greaterThan">
      <formula>45</formula>
    </cfRule>
  </conditionalFormatting>
  <conditionalFormatting sqref="P300">
    <cfRule type="cellIs" dxfId="2590" priority="3863" operator="greaterThan">
      <formula>45</formula>
    </cfRule>
  </conditionalFormatting>
  <conditionalFormatting sqref="P302">
    <cfRule type="cellIs" dxfId="2589" priority="3943" operator="greaterThan">
      <formula>45</formula>
    </cfRule>
  </conditionalFormatting>
  <conditionalFormatting sqref="P304">
    <cfRule type="cellIs" dxfId="2588" priority="4023" operator="greaterThan">
      <formula>45</formula>
    </cfRule>
  </conditionalFormatting>
  <conditionalFormatting sqref="P306">
    <cfRule type="cellIs" dxfId="2587" priority="4103" operator="greaterThan">
      <formula>45</formula>
    </cfRule>
  </conditionalFormatting>
  <conditionalFormatting sqref="P308">
    <cfRule type="cellIs" dxfId="2586" priority="4183" operator="greaterThan">
      <formula>45</formula>
    </cfRule>
  </conditionalFormatting>
  <conditionalFormatting sqref="P310">
    <cfRule type="cellIs" dxfId="2585" priority="4263" operator="greaterThan">
      <formula>45</formula>
    </cfRule>
  </conditionalFormatting>
  <conditionalFormatting sqref="P312">
    <cfRule type="cellIs" dxfId="2584" priority="4343" operator="greaterThan">
      <formula>45</formula>
    </cfRule>
  </conditionalFormatting>
  <conditionalFormatting sqref="P314">
    <cfRule type="cellIs" dxfId="2583" priority="4423" operator="greaterThan">
      <formula>45</formula>
    </cfRule>
  </conditionalFormatting>
  <conditionalFormatting sqref="P316">
    <cfRule type="cellIs" dxfId="2582" priority="4503" operator="greaterThan">
      <formula>45</formula>
    </cfRule>
  </conditionalFormatting>
  <conditionalFormatting sqref="P318">
    <cfRule type="cellIs" dxfId="2581" priority="4583" operator="greaterThan">
      <formula>45</formula>
    </cfRule>
  </conditionalFormatting>
  <conditionalFormatting sqref="P320">
    <cfRule type="cellIs" dxfId="2580" priority="4663" operator="greaterThan">
      <formula>45</formula>
    </cfRule>
  </conditionalFormatting>
  <conditionalFormatting sqref="P322">
    <cfRule type="cellIs" dxfId="2579" priority="4743" operator="greaterThan">
      <formula>45</formula>
    </cfRule>
  </conditionalFormatting>
  <conditionalFormatting sqref="P324">
    <cfRule type="cellIs" dxfId="2578" priority="4823" operator="greaterThan">
      <formula>45</formula>
    </cfRule>
  </conditionalFormatting>
  <conditionalFormatting sqref="P326">
    <cfRule type="cellIs" dxfId="2577" priority="4903" operator="greaterThan">
      <formula>45</formula>
    </cfRule>
  </conditionalFormatting>
  <conditionalFormatting sqref="Q2">
    <cfRule type="cellIs" dxfId="2576" priority="25" operator="greaterThan">
      <formula>45</formula>
    </cfRule>
    <cfRule type="cellIs" dxfId="2575" priority="24" operator="greaterThan">
      <formula>40</formula>
    </cfRule>
  </conditionalFormatting>
  <conditionalFormatting sqref="Q4">
    <cfRule type="cellIs" dxfId="2574" priority="104" operator="greaterThan">
      <formula>40</formula>
    </cfRule>
    <cfRule type="cellIs" dxfId="2573" priority="105" operator="greaterThan">
      <formula>45</formula>
    </cfRule>
  </conditionalFormatting>
  <conditionalFormatting sqref="Q13">
    <cfRule type="cellIs" dxfId="2572" priority="184" operator="greaterThan">
      <formula>40</formula>
    </cfRule>
    <cfRule type="cellIs" dxfId="2571" priority="185" operator="greaterThan">
      <formula>45</formula>
    </cfRule>
  </conditionalFormatting>
  <conditionalFormatting sqref="Q23">
    <cfRule type="cellIs" dxfId="2570" priority="265" operator="greaterThan">
      <formula>45</formula>
    </cfRule>
    <cfRule type="cellIs" dxfId="2569" priority="264" operator="greaterThan">
      <formula>40</formula>
    </cfRule>
  </conditionalFormatting>
  <conditionalFormatting sqref="Q33">
    <cfRule type="cellIs" dxfId="2568" priority="345" operator="greaterThan">
      <formula>45</formula>
    </cfRule>
    <cfRule type="cellIs" dxfId="2567" priority="344" operator="greaterThan">
      <formula>40</formula>
    </cfRule>
  </conditionalFormatting>
  <conditionalFormatting sqref="Q48">
    <cfRule type="cellIs" dxfId="2566" priority="425" operator="greaterThan">
      <formula>45</formula>
    </cfRule>
    <cfRule type="cellIs" dxfId="2565" priority="424" operator="greaterThan">
      <formula>40</formula>
    </cfRule>
  </conditionalFormatting>
  <conditionalFormatting sqref="Q52">
    <cfRule type="cellIs" dxfId="2564" priority="505" operator="greaterThan">
      <formula>45</formula>
    </cfRule>
    <cfRule type="cellIs" dxfId="2563" priority="504" operator="greaterThan">
      <formula>40</formula>
    </cfRule>
  </conditionalFormatting>
  <conditionalFormatting sqref="Q61">
    <cfRule type="cellIs" dxfId="2562" priority="585" operator="greaterThan">
      <formula>45</formula>
    </cfRule>
    <cfRule type="cellIs" dxfId="2561" priority="584" operator="greaterThan">
      <formula>40</formula>
    </cfRule>
  </conditionalFormatting>
  <conditionalFormatting sqref="Q74">
    <cfRule type="cellIs" dxfId="2560" priority="665" operator="greaterThan">
      <formula>45</formula>
    </cfRule>
    <cfRule type="cellIs" dxfId="2559" priority="664" operator="greaterThan">
      <formula>40</formula>
    </cfRule>
  </conditionalFormatting>
  <conditionalFormatting sqref="Q76">
    <cfRule type="cellIs" dxfId="2558" priority="744" operator="greaterThan">
      <formula>40</formula>
    </cfRule>
    <cfRule type="cellIs" dxfId="2557" priority="745" operator="greaterThan">
      <formula>45</formula>
    </cfRule>
  </conditionalFormatting>
  <conditionalFormatting sqref="Q86">
    <cfRule type="cellIs" dxfId="2556" priority="824" operator="greaterThan">
      <formula>40</formula>
    </cfRule>
    <cfRule type="cellIs" dxfId="2555" priority="825" operator="greaterThan">
      <formula>45</formula>
    </cfRule>
  </conditionalFormatting>
  <conditionalFormatting sqref="Q96">
    <cfRule type="cellIs" dxfId="2554" priority="905" operator="greaterThan">
      <formula>45</formula>
    </cfRule>
  </conditionalFormatting>
  <conditionalFormatting sqref="Q101">
    <cfRule type="cellIs" dxfId="2553" priority="985" operator="greaterThan">
      <formula>45</formula>
    </cfRule>
  </conditionalFormatting>
  <conditionalFormatting sqref="Q110">
    <cfRule type="cellIs" dxfId="2552" priority="1065" operator="greaterThan">
      <formula>45</formula>
    </cfRule>
  </conditionalFormatting>
  <conditionalFormatting sqref="Q117">
    <cfRule type="cellIs" dxfId="2551" priority="1145" operator="greaterThan">
      <formula>45</formula>
    </cfRule>
  </conditionalFormatting>
  <conditionalFormatting sqref="Q124">
    <cfRule type="cellIs" dxfId="2550" priority="1225" operator="greaterThan">
      <formula>45</formula>
    </cfRule>
  </conditionalFormatting>
  <conditionalFormatting sqref="Q128">
    <cfRule type="cellIs" dxfId="2549" priority="1305" operator="greaterThan">
      <formula>45</formula>
    </cfRule>
  </conditionalFormatting>
  <conditionalFormatting sqref="Q133">
    <cfRule type="cellIs" dxfId="2548" priority="1385" operator="greaterThan">
      <formula>45</formula>
    </cfRule>
  </conditionalFormatting>
  <conditionalFormatting sqref="Q136">
    <cfRule type="cellIs" dxfId="2547" priority="1465" operator="greaterThan">
      <formula>45</formula>
    </cfRule>
  </conditionalFormatting>
  <conditionalFormatting sqref="Q143">
    <cfRule type="cellIs" dxfId="2546" priority="1545" operator="greaterThan">
      <formula>45</formula>
    </cfRule>
  </conditionalFormatting>
  <conditionalFormatting sqref="Q157">
    <cfRule type="cellIs" dxfId="2545" priority="1625" operator="greaterThan">
      <formula>45</formula>
    </cfRule>
  </conditionalFormatting>
  <conditionalFormatting sqref="Q160">
    <cfRule type="cellIs" dxfId="2544" priority="1705" operator="greaterThan">
      <formula>45</formula>
    </cfRule>
  </conditionalFormatting>
  <conditionalFormatting sqref="Q170">
    <cfRule type="cellIs" dxfId="2543" priority="1785" operator="greaterThan">
      <formula>45</formula>
    </cfRule>
  </conditionalFormatting>
  <conditionalFormatting sqref="Q182">
    <cfRule type="cellIs" dxfId="2542" priority="1865" operator="greaterThan">
      <formula>45</formula>
    </cfRule>
  </conditionalFormatting>
  <conditionalFormatting sqref="Q185">
    <cfRule type="cellIs" dxfId="2541" priority="1945" operator="greaterThan">
      <formula>45</formula>
    </cfRule>
  </conditionalFormatting>
  <conditionalFormatting sqref="Q188">
    <cfRule type="cellIs" dxfId="2540" priority="2025" operator="greaterThan">
      <formula>45</formula>
    </cfRule>
  </conditionalFormatting>
  <conditionalFormatting sqref="Q194">
    <cfRule type="cellIs" dxfId="2539" priority="2105" operator="greaterThan">
      <formula>45</formula>
    </cfRule>
  </conditionalFormatting>
  <conditionalFormatting sqref="Q198">
    <cfRule type="cellIs" dxfId="2538" priority="2185" operator="greaterThan">
      <formula>45</formula>
    </cfRule>
  </conditionalFormatting>
  <conditionalFormatting sqref="Q206">
    <cfRule type="cellIs" dxfId="2537" priority="2265" operator="greaterThan">
      <formula>45</formula>
    </cfRule>
  </conditionalFormatting>
  <conditionalFormatting sqref="Q211">
    <cfRule type="cellIs" dxfId="2536" priority="2345" operator="greaterThan">
      <formula>45</formula>
    </cfRule>
  </conditionalFormatting>
  <conditionalFormatting sqref="Q213">
    <cfRule type="cellIs" dxfId="2535" priority="2425" operator="greaterThan">
      <formula>45</formula>
    </cfRule>
  </conditionalFormatting>
  <conditionalFormatting sqref="Q217">
    <cfRule type="cellIs" dxfId="2534" priority="2505" operator="greaterThan">
      <formula>45</formula>
    </cfRule>
  </conditionalFormatting>
  <conditionalFormatting sqref="Q220">
    <cfRule type="cellIs" dxfId="2533" priority="2585" operator="greaterThan">
      <formula>45</formula>
    </cfRule>
  </conditionalFormatting>
  <conditionalFormatting sqref="Q223">
    <cfRule type="cellIs" dxfId="2532" priority="2665" operator="greaterThan">
      <formula>45</formula>
    </cfRule>
  </conditionalFormatting>
  <conditionalFormatting sqref="Q226">
    <cfRule type="cellIs" dxfId="2531" priority="2745" operator="greaterThan">
      <formula>45</formula>
    </cfRule>
  </conditionalFormatting>
  <conditionalFormatting sqref="Q229">
    <cfRule type="cellIs" dxfId="2530" priority="2825" operator="greaterThan">
      <formula>45</formula>
    </cfRule>
  </conditionalFormatting>
  <conditionalFormatting sqref="Q232">
    <cfRule type="cellIs" dxfId="2529" priority="2905" operator="greaterThan">
      <formula>45</formula>
    </cfRule>
  </conditionalFormatting>
  <conditionalFormatting sqref="Q234">
    <cfRule type="cellIs" dxfId="2528" priority="2985" operator="greaterThan">
      <formula>45</formula>
    </cfRule>
  </conditionalFormatting>
  <conditionalFormatting sqref="Q248">
    <cfRule type="cellIs" dxfId="2527" priority="3065" operator="greaterThan">
      <formula>45</formula>
    </cfRule>
  </conditionalFormatting>
  <conditionalFormatting sqref="Q252">
    <cfRule type="cellIs" dxfId="2526" priority="3145" operator="greaterThan">
      <formula>45</formula>
    </cfRule>
  </conditionalFormatting>
  <conditionalFormatting sqref="Q261">
    <cfRule type="cellIs" dxfId="2525" priority="3225" operator="greaterThan">
      <formula>45</formula>
    </cfRule>
  </conditionalFormatting>
  <conditionalFormatting sqref="Q271">
    <cfRule type="cellIs" dxfId="2524" priority="3305" operator="greaterThan">
      <formula>45</formula>
    </cfRule>
  </conditionalFormatting>
  <conditionalFormatting sqref="Q280">
    <cfRule type="cellIs" dxfId="2523" priority="3385" operator="greaterThan">
      <formula>45</formula>
    </cfRule>
  </conditionalFormatting>
  <conditionalFormatting sqref="Q283">
    <cfRule type="cellIs" dxfId="2522" priority="3465" operator="greaterThan">
      <formula>45</formula>
    </cfRule>
  </conditionalFormatting>
  <conditionalFormatting sqref="Q292">
    <cfRule type="cellIs" dxfId="2521" priority="3545" operator="greaterThan">
      <formula>45</formula>
    </cfRule>
  </conditionalFormatting>
  <conditionalFormatting sqref="Q294">
    <cfRule type="cellIs" dxfId="2520" priority="3625" operator="greaterThan">
      <formula>45</formula>
    </cfRule>
  </conditionalFormatting>
  <conditionalFormatting sqref="Q296">
    <cfRule type="cellIs" dxfId="2519" priority="3705" operator="greaterThan">
      <formula>45</formula>
    </cfRule>
  </conditionalFormatting>
  <conditionalFormatting sqref="Q298">
    <cfRule type="cellIs" dxfId="2518" priority="3785" operator="greaterThan">
      <formula>45</formula>
    </cfRule>
  </conditionalFormatting>
  <conditionalFormatting sqref="Q300">
    <cfRule type="cellIs" dxfId="2517" priority="3865" operator="greaterThan">
      <formula>45</formula>
    </cfRule>
  </conditionalFormatting>
  <conditionalFormatting sqref="Q302">
    <cfRule type="cellIs" dxfId="2516" priority="3945" operator="greaterThan">
      <formula>45</formula>
    </cfRule>
  </conditionalFormatting>
  <conditionalFormatting sqref="Q304">
    <cfRule type="cellIs" dxfId="2515" priority="4025" operator="greaterThan">
      <formula>45</formula>
    </cfRule>
  </conditionalFormatting>
  <conditionalFormatting sqref="Q306">
    <cfRule type="cellIs" dxfId="2514" priority="4105" operator="greaterThan">
      <formula>45</formula>
    </cfRule>
  </conditionalFormatting>
  <conditionalFormatting sqref="Q308">
    <cfRule type="cellIs" dxfId="2513" priority="4185" operator="greaterThan">
      <formula>45</formula>
    </cfRule>
  </conditionalFormatting>
  <conditionalFormatting sqref="Q310">
    <cfRule type="cellIs" dxfId="2512" priority="4265" operator="greaterThan">
      <formula>45</formula>
    </cfRule>
  </conditionalFormatting>
  <conditionalFormatting sqref="Q312">
    <cfRule type="cellIs" dxfId="2511" priority="4345" operator="greaterThan">
      <formula>45</formula>
    </cfRule>
  </conditionalFormatting>
  <conditionalFormatting sqref="Q314">
    <cfRule type="cellIs" dxfId="2510" priority="4425" operator="greaterThan">
      <formula>45</formula>
    </cfRule>
  </conditionalFormatting>
  <conditionalFormatting sqref="Q316">
    <cfRule type="cellIs" dxfId="2509" priority="4505" operator="greaterThan">
      <formula>45</formula>
    </cfRule>
  </conditionalFormatting>
  <conditionalFormatting sqref="Q318">
    <cfRule type="cellIs" dxfId="2508" priority="4585" operator="greaterThan">
      <formula>45</formula>
    </cfRule>
  </conditionalFormatting>
  <conditionalFormatting sqref="Q320">
    <cfRule type="cellIs" dxfId="2507" priority="4665" operator="greaterThan">
      <formula>45</formula>
    </cfRule>
  </conditionalFormatting>
  <conditionalFormatting sqref="Q322">
    <cfRule type="cellIs" dxfId="2506" priority="4745" operator="greaterThan">
      <formula>45</formula>
    </cfRule>
  </conditionalFormatting>
  <conditionalFormatting sqref="Q324">
    <cfRule type="cellIs" dxfId="2505" priority="4825" operator="greaterThan">
      <formula>45</formula>
    </cfRule>
  </conditionalFormatting>
  <conditionalFormatting sqref="Q326">
    <cfRule type="cellIs" dxfId="2504" priority="4905" operator="greaterThan">
      <formula>45</formula>
    </cfRule>
  </conditionalFormatting>
  <conditionalFormatting sqref="Q96:W96">
    <cfRule type="cellIs" dxfId="2503" priority="904" operator="greaterThan">
      <formula>40</formula>
    </cfRule>
  </conditionalFormatting>
  <conditionalFormatting sqref="R2">
    <cfRule type="cellIs" dxfId="2502" priority="27" operator="greaterThan">
      <formula>45</formula>
    </cfRule>
    <cfRule type="cellIs" dxfId="2501" priority="26" operator="greaterThan">
      <formula>40</formula>
    </cfRule>
  </conditionalFormatting>
  <conditionalFormatting sqref="R4">
    <cfRule type="cellIs" dxfId="2500" priority="106" operator="greaterThan">
      <formula>40</formula>
    </cfRule>
    <cfRule type="cellIs" dxfId="2499" priority="107" operator="greaterThan">
      <formula>45</formula>
    </cfRule>
  </conditionalFormatting>
  <conditionalFormatting sqref="R13">
    <cfRule type="cellIs" dxfId="2498" priority="186" operator="greaterThan">
      <formula>40</formula>
    </cfRule>
    <cfRule type="cellIs" dxfId="2497" priority="187" operator="greaterThan">
      <formula>45</formula>
    </cfRule>
  </conditionalFormatting>
  <conditionalFormatting sqref="R23">
    <cfRule type="cellIs" dxfId="2496" priority="267" operator="greaterThan">
      <formula>45</formula>
    </cfRule>
    <cfRule type="cellIs" dxfId="2495" priority="266" operator="greaterThan">
      <formula>40</formula>
    </cfRule>
  </conditionalFormatting>
  <conditionalFormatting sqref="R33">
    <cfRule type="cellIs" dxfId="2494" priority="346" operator="greaterThan">
      <formula>40</formula>
    </cfRule>
    <cfRule type="cellIs" dxfId="2493" priority="347" operator="greaterThan">
      <formula>45</formula>
    </cfRule>
  </conditionalFormatting>
  <conditionalFormatting sqref="R48">
    <cfRule type="cellIs" dxfId="2492" priority="427" operator="greaterThan">
      <formula>45</formula>
    </cfRule>
    <cfRule type="cellIs" dxfId="2491" priority="426" operator="greaterThan">
      <formula>40</formula>
    </cfRule>
  </conditionalFormatting>
  <conditionalFormatting sqref="R52">
    <cfRule type="cellIs" dxfId="2490" priority="506" operator="greaterThan">
      <formula>40</formula>
    </cfRule>
    <cfRule type="cellIs" dxfId="2489" priority="507" operator="greaterThan">
      <formula>45</formula>
    </cfRule>
  </conditionalFormatting>
  <conditionalFormatting sqref="R61">
    <cfRule type="cellIs" dxfId="2488" priority="587" operator="greaterThan">
      <formula>45</formula>
    </cfRule>
    <cfRule type="cellIs" dxfId="2487" priority="586" operator="greaterThan">
      <formula>40</formula>
    </cfRule>
  </conditionalFormatting>
  <conditionalFormatting sqref="R74">
    <cfRule type="cellIs" dxfId="2486" priority="666" operator="greaterThan">
      <formula>40</formula>
    </cfRule>
    <cfRule type="cellIs" dxfId="2485" priority="667" operator="greaterThan">
      <formula>45</formula>
    </cfRule>
  </conditionalFormatting>
  <conditionalFormatting sqref="R76">
    <cfRule type="cellIs" dxfId="2484" priority="746" operator="greaterThan">
      <formula>40</formula>
    </cfRule>
    <cfRule type="cellIs" dxfId="2483" priority="747" operator="greaterThan">
      <formula>45</formula>
    </cfRule>
  </conditionalFormatting>
  <conditionalFormatting sqref="R86">
    <cfRule type="cellIs" dxfId="2482" priority="826" operator="greaterThan">
      <formula>40</formula>
    </cfRule>
    <cfRule type="cellIs" dxfId="2481" priority="827" operator="greaterThan">
      <formula>45</formula>
    </cfRule>
  </conditionalFormatting>
  <conditionalFormatting sqref="R96">
    <cfRule type="cellIs" dxfId="2480" priority="907" operator="greaterThan">
      <formula>45</formula>
    </cfRule>
  </conditionalFormatting>
  <conditionalFormatting sqref="R101">
    <cfRule type="cellIs" dxfId="2479" priority="987" operator="greaterThan">
      <formula>45</formula>
    </cfRule>
  </conditionalFormatting>
  <conditionalFormatting sqref="R110">
    <cfRule type="cellIs" dxfId="2478" priority="1067" operator="greaterThan">
      <formula>45</formula>
    </cfRule>
  </conditionalFormatting>
  <conditionalFormatting sqref="R117">
    <cfRule type="cellIs" dxfId="2477" priority="1147" operator="greaterThan">
      <formula>45</formula>
    </cfRule>
  </conditionalFormatting>
  <conditionalFormatting sqref="R124">
    <cfRule type="cellIs" dxfId="2476" priority="1227" operator="greaterThan">
      <formula>45</formula>
    </cfRule>
  </conditionalFormatting>
  <conditionalFormatting sqref="R128">
    <cfRule type="cellIs" dxfId="2475" priority="1307" operator="greaterThan">
      <formula>45</formula>
    </cfRule>
  </conditionalFormatting>
  <conditionalFormatting sqref="R133">
    <cfRule type="cellIs" dxfId="2474" priority="1387" operator="greaterThan">
      <formula>45</formula>
    </cfRule>
  </conditionalFormatting>
  <conditionalFormatting sqref="R136">
    <cfRule type="cellIs" dxfId="2473" priority="1467" operator="greaterThan">
      <formula>45</formula>
    </cfRule>
  </conditionalFormatting>
  <conditionalFormatting sqref="R143">
    <cfRule type="cellIs" dxfId="2472" priority="1547" operator="greaterThan">
      <formula>45</formula>
    </cfRule>
  </conditionalFormatting>
  <conditionalFormatting sqref="R157">
    <cfRule type="cellIs" dxfId="2471" priority="1627" operator="greaterThan">
      <formula>45</formula>
    </cfRule>
  </conditionalFormatting>
  <conditionalFormatting sqref="R160">
    <cfRule type="cellIs" dxfId="2470" priority="1707" operator="greaterThan">
      <formula>45</formula>
    </cfRule>
  </conditionalFormatting>
  <conditionalFormatting sqref="R170">
    <cfRule type="cellIs" dxfId="2469" priority="1787" operator="greaterThan">
      <formula>45</formula>
    </cfRule>
  </conditionalFormatting>
  <conditionalFormatting sqref="R182">
    <cfRule type="cellIs" dxfId="2468" priority="1867" operator="greaterThan">
      <formula>45</formula>
    </cfRule>
  </conditionalFormatting>
  <conditionalFormatting sqref="R185">
    <cfRule type="cellIs" dxfId="2467" priority="1947" operator="greaterThan">
      <formula>45</formula>
    </cfRule>
  </conditionalFormatting>
  <conditionalFormatting sqref="R188">
    <cfRule type="cellIs" dxfId="2466" priority="2027" operator="greaterThan">
      <formula>45</formula>
    </cfRule>
  </conditionalFormatting>
  <conditionalFormatting sqref="R194">
    <cfRule type="cellIs" dxfId="2465" priority="2107" operator="greaterThan">
      <formula>45</formula>
    </cfRule>
  </conditionalFormatting>
  <conditionalFormatting sqref="R198">
    <cfRule type="cellIs" dxfId="2464" priority="2187" operator="greaterThan">
      <formula>45</formula>
    </cfRule>
  </conditionalFormatting>
  <conditionalFormatting sqref="R206">
    <cfRule type="cellIs" dxfId="2463" priority="2267" operator="greaterThan">
      <formula>45</formula>
    </cfRule>
  </conditionalFormatting>
  <conditionalFormatting sqref="R211">
    <cfRule type="cellIs" dxfId="2462" priority="2347" operator="greaterThan">
      <formula>45</formula>
    </cfRule>
  </conditionalFormatting>
  <conditionalFormatting sqref="R213">
    <cfRule type="cellIs" dxfId="2461" priority="2427" operator="greaterThan">
      <formula>45</formula>
    </cfRule>
  </conditionalFormatting>
  <conditionalFormatting sqref="R217">
    <cfRule type="cellIs" dxfId="2460" priority="2507" operator="greaterThan">
      <formula>45</formula>
    </cfRule>
  </conditionalFormatting>
  <conditionalFormatting sqref="R220">
    <cfRule type="cellIs" dxfId="2459" priority="2587" operator="greaterThan">
      <formula>45</formula>
    </cfRule>
  </conditionalFormatting>
  <conditionalFormatting sqref="R223">
    <cfRule type="cellIs" dxfId="2458" priority="2667" operator="greaterThan">
      <formula>45</formula>
    </cfRule>
  </conditionalFormatting>
  <conditionalFormatting sqref="R226">
    <cfRule type="cellIs" dxfId="2457" priority="2747" operator="greaterThan">
      <formula>45</formula>
    </cfRule>
  </conditionalFormatting>
  <conditionalFormatting sqref="R229">
    <cfRule type="cellIs" dxfId="2456" priority="2827" operator="greaterThan">
      <formula>45</formula>
    </cfRule>
  </conditionalFormatting>
  <conditionalFormatting sqref="R232">
    <cfRule type="cellIs" dxfId="2455" priority="2907" operator="greaterThan">
      <formula>45</formula>
    </cfRule>
  </conditionalFormatting>
  <conditionalFormatting sqref="R234">
    <cfRule type="cellIs" dxfId="2454" priority="2987" operator="greaterThan">
      <formula>45</formula>
    </cfRule>
  </conditionalFormatting>
  <conditionalFormatting sqref="R248">
    <cfRule type="cellIs" dxfId="2453" priority="3067" operator="greaterThan">
      <formula>45</formula>
    </cfRule>
  </conditionalFormatting>
  <conditionalFormatting sqref="R252">
    <cfRule type="cellIs" dxfId="2452" priority="3147" operator="greaterThan">
      <formula>45</formula>
    </cfRule>
  </conditionalFormatting>
  <conditionalFormatting sqref="R261">
    <cfRule type="cellIs" dxfId="2451" priority="3227" operator="greaterThan">
      <formula>45</formula>
    </cfRule>
  </conditionalFormatting>
  <conditionalFormatting sqref="R271">
    <cfRule type="cellIs" dxfId="2450" priority="3307" operator="greaterThan">
      <formula>45</formula>
    </cfRule>
  </conditionalFormatting>
  <conditionalFormatting sqref="R280">
    <cfRule type="cellIs" dxfId="2449" priority="3387" operator="greaterThan">
      <formula>45</formula>
    </cfRule>
  </conditionalFormatting>
  <conditionalFormatting sqref="R283">
    <cfRule type="cellIs" dxfId="2448" priority="3467" operator="greaterThan">
      <formula>45</formula>
    </cfRule>
  </conditionalFormatting>
  <conditionalFormatting sqref="R292">
    <cfRule type="cellIs" dxfId="2447" priority="3547" operator="greaterThan">
      <formula>45</formula>
    </cfRule>
  </conditionalFormatting>
  <conditionalFormatting sqref="R294">
    <cfRule type="cellIs" dxfId="2446" priority="3627" operator="greaterThan">
      <formula>45</formula>
    </cfRule>
  </conditionalFormatting>
  <conditionalFormatting sqref="R296">
    <cfRule type="cellIs" dxfId="2445" priority="3707" operator="greaterThan">
      <formula>45</formula>
    </cfRule>
  </conditionalFormatting>
  <conditionalFormatting sqref="R298">
    <cfRule type="cellIs" dxfId="2444" priority="3787" operator="greaterThan">
      <formula>45</formula>
    </cfRule>
  </conditionalFormatting>
  <conditionalFormatting sqref="R300">
    <cfRule type="cellIs" dxfId="2443" priority="3867" operator="greaterThan">
      <formula>45</formula>
    </cfRule>
  </conditionalFormatting>
  <conditionalFormatting sqref="R302">
    <cfRule type="cellIs" dxfId="2442" priority="3947" operator="greaterThan">
      <formula>45</formula>
    </cfRule>
  </conditionalFormatting>
  <conditionalFormatting sqref="R304">
    <cfRule type="cellIs" dxfId="2441" priority="4027" operator="greaterThan">
      <formula>45</formula>
    </cfRule>
  </conditionalFormatting>
  <conditionalFormatting sqref="R306">
    <cfRule type="cellIs" dxfId="2440" priority="4107" operator="greaterThan">
      <formula>45</formula>
    </cfRule>
  </conditionalFormatting>
  <conditionalFormatting sqref="R308">
    <cfRule type="cellIs" dxfId="2439" priority="4187" operator="greaterThan">
      <formula>45</formula>
    </cfRule>
  </conditionalFormatting>
  <conditionalFormatting sqref="R310">
    <cfRule type="cellIs" dxfId="2438" priority="4267" operator="greaterThan">
      <formula>45</formula>
    </cfRule>
  </conditionalFormatting>
  <conditionalFormatting sqref="R312">
    <cfRule type="cellIs" dxfId="2437" priority="4347" operator="greaterThan">
      <formula>45</formula>
    </cfRule>
  </conditionalFormatting>
  <conditionalFormatting sqref="R314">
    <cfRule type="cellIs" dxfId="2436" priority="4427" operator="greaterThan">
      <formula>45</formula>
    </cfRule>
  </conditionalFormatting>
  <conditionalFormatting sqref="R316">
    <cfRule type="cellIs" dxfId="2435" priority="4507" operator="greaterThan">
      <formula>45</formula>
    </cfRule>
  </conditionalFormatting>
  <conditionalFormatting sqref="R318">
    <cfRule type="cellIs" dxfId="2434" priority="4587" operator="greaterThan">
      <formula>45</formula>
    </cfRule>
  </conditionalFormatting>
  <conditionalFormatting sqref="R320">
    <cfRule type="cellIs" dxfId="2433" priority="4667" operator="greaterThan">
      <formula>45</formula>
    </cfRule>
  </conditionalFormatting>
  <conditionalFormatting sqref="R322">
    <cfRule type="cellIs" dxfId="2432" priority="4747" operator="greaterThan">
      <formula>45</formula>
    </cfRule>
  </conditionalFormatting>
  <conditionalFormatting sqref="R324">
    <cfRule type="cellIs" dxfId="2431" priority="4827" operator="greaterThan">
      <formula>45</formula>
    </cfRule>
  </conditionalFormatting>
  <conditionalFormatting sqref="R326">
    <cfRule type="cellIs" dxfId="2430" priority="4907" operator="greaterThan">
      <formula>45</formula>
    </cfRule>
  </conditionalFormatting>
  <conditionalFormatting sqref="S2">
    <cfRule type="cellIs" dxfId="2429" priority="29" operator="greaterThan">
      <formula>45</formula>
    </cfRule>
    <cfRule type="cellIs" dxfId="2428" priority="28" operator="greaterThan">
      <formula>40</formula>
    </cfRule>
  </conditionalFormatting>
  <conditionalFormatting sqref="S4">
    <cfRule type="cellIs" dxfId="2427" priority="108" operator="greaterThan">
      <formula>40</formula>
    </cfRule>
    <cfRule type="cellIs" dxfId="2426" priority="109" operator="greaterThan">
      <formula>45</formula>
    </cfRule>
  </conditionalFormatting>
  <conditionalFormatting sqref="S13">
    <cfRule type="cellIs" dxfId="2425" priority="189" operator="greaterThan">
      <formula>45</formula>
    </cfRule>
    <cfRule type="cellIs" dxfId="2424" priority="188" operator="greaterThan">
      <formula>40</formula>
    </cfRule>
  </conditionalFormatting>
  <conditionalFormatting sqref="S23">
    <cfRule type="cellIs" dxfId="2423" priority="269" operator="greaterThan">
      <formula>45</formula>
    </cfRule>
    <cfRule type="cellIs" dxfId="2422" priority="268" operator="greaterThan">
      <formula>40</formula>
    </cfRule>
  </conditionalFormatting>
  <conditionalFormatting sqref="S33">
    <cfRule type="cellIs" dxfId="2421" priority="349" operator="greaterThan">
      <formula>45</formula>
    </cfRule>
    <cfRule type="cellIs" dxfId="2420" priority="348" operator="greaterThan">
      <formula>40</formula>
    </cfRule>
  </conditionalFormatting>
  <conditionalFormatting sqref="S48">
    <cfRule type="cellIs" dxfId="2419" priority="428" operator="greaterThan">
      <formula>40</formula>
    </cfRule>
    <cfRule type="cellIs" dxfId="2418" priority="429" operator="greaterThan">
      <formula>45</formula>
    </cfRule>
  </conditionalFormatting>
  <conditionalFormatting sqref="S52">
    <cfRule type="cellIs" dxfId="2417" priority="509" operator="greaterThan">
      <formula>45</formula>
    </cfRule>
    <cfRule type="cellIs" dxfId="2416" priority="508" operator="greaterThan">
      <formula>40</formula>
    </cfRule>
  </conditionalFormatting>
  <conditionalFormatting sqref="S61">
    <cfRule type="cellIs" dxfId="2415" priority="589" operator="greaterThan">
      <formula>45</formula>
    </cfRule>
    <cfRule type="cellIs" dxfId="2414" priority="588" operator="greaterThan">
      <formula>40</formula>
    </cfRule>
  </conditionalFormatting>
  <conditionalFormatting sqref="S74">
    <cfRule type="cellIs" dxfId="2413" priority="668" operator="greaterThan">
      <formula>40</formula>
    </cfRule>
    <cfRule type="cellIs" dxfId="2412" priority="669" operator="greaterThan">
      <formula>45</formula>
    </cfRule>
  </conditionalFormatting>
  <conditionalFormatting sqref="S76">
    <cfRule type="cellIs" dxfId="2411" priority="749" operator="greaterThan">
      <formula>45</formula>
    </cfRule>
    <cfRule type="cellIs" dxfId="2410" priority="748" operator="greaterThan">
      <formula>40</formula>
    </cfRule>
  </conditionalFormatting>
  <conditionalFormatting sqref="S86">
    <cfRule type="cellIs" dxfId="2409" priority="829" operator="greaterThan">
      <formula>45</formula>
    </cfRule>
    <cfRule type="cellIs" dxfId="2408" priority="828" operator="greaterThan">
      <formula>40</formula>
    </cfRule>
  </conditionalFormatting>
  <conditionalFormatting sqref="S96">
    <cfRule type="cellIs" dxfId="2407" priority="909" operator="greaterThan">
      <formula>45</formula>
    </cfRule>
  </conditionalFormatting>
  <conditionalFormatting sqref="S101">
    <cfRule type="cellIs" dxfId="2406" priority="989" operator="greaterThan">
      <formula>45</formula>
    </cfRule>
  </conditionalFormatting>
  <conditionalFormatting sqref="S110">
    <cfRule type="cellIs" dxfId="2405" priority="1069" operator="greaterThan">
      <formula>45</formula>
    </cfRule>
  </conditionalFormatting>
  <conditionalFormatting sqref="S117">
    <cfRule type="cellIs" dxfId="2404" priority="1149" operator="greaterThan">
      <formula>45</formula>
    </cfRule>
  </conditionalFormatting>
  <conditionalFormatting sqref="S124">
    <cfRule type="cellIs" dxfId="2403" priority="1229" operator="greaterThan">
      <formula>45</formula>
    </cfRule>
  </conditionalFormatting>
  <conditionalFormatting sqref="S128">
    <cfRule type="cellIs" dxfId="2402" priority="1309" operator="greaterThan">
      <formula>45</formula>
    </cfRule>
  </conditionalFormatting>
  <conditionalFormatting sqref="S133">
    <cfRule type="cellIs" dxfId="2401" priority="1389" operator="greaterThan">
      <formula>45</formula>
    </cfRule>
  </conditionalFormatting>
  <conditionalFormatting sqref="S136">
    <cfRule type="cellIs" dxfId="2400" priority="1469" operator="greaterThan">
      <formula>45</formula>
    </cfRule>
  </conditionalFormatting>
  <conditionalFormatting sqref="S143">
    <cfRule type="cellIs" dxfId="2399" priority="1549" operator="greaterThan">
      <formula>45</formula>
    </cfRule>
  </conditionalFormatting>
  <conditionalFormatting sqref="S157">
    <cfRule type="cellIs" dxfId="2398" priority="1629" operator="greaterThan">
      <formula>45</formula>
    </cfRule>
  </conditionalFormatting>
  <conditionalFormatting sqref="S160">
    <cfRule type="cellIs" dxfId="2397" priority="1709" operator="greaterThan">
      <formula>45</formula>
    </cfRule>
  </conditionalFormatting>
  <conditionalFormatting sqref="S170">
    <cfRule type="cellIs" dxfId="2396" priority="1789" operator="greaterThan">
      <formula>45</formula>
    </cfRule>
  </conditionalFormatting>
  <conditionalFormatting sqref="S182">
    <cfRule type="cellIs" dxfId="2395" priority="1869" operator="greaterThan">
      <formula>45</formula>
    </cfRule>
  </conditionalFormatting>
  <conditionalFormatting sqref="S185">
    <cfRule type="cellIs" dxfId="2394" priority="1949" operator="greaterThan">
      <formula>45</formula>
    </cfRule>
  </conditionalFormatting>
  <conditionalFormatting sqref="S188">
    <cfRule type="cellIs" dxfId="2393" priority="2029" operator="greaterThan">
      <formula>45</formula>
    </cfRule>
  </conditionalFormatting>
  <conditionalFormatting sqref="S194">
    <cfRule type="cellIs" dxfId="2392" priority="2109" operator="greaterThan">
      <formula>45</formula>
    </cfRule>
  </conditionalFormatting>
  <conditionalFormatting sqref="S198">
    <cfRule type="cellIs" dxfId="2391" priority="2189" operator="greaterThan">
      <formula>45</formula>
    </cfRule>
  </conditionalFormatting>
  <conditionalFormatting sqref="S206">
    <cfRule type="cellIs" dxfId="2390" priority="2269" operator="greaterThan">
      <formula>45</formula>
    </cfRule>
  </conditionalFormatting>
  <conditionalFormatting sqref="S211">
    <cfRule type="cellIs" dxfId="2389" priority="2349" operator="greaterThan">
      <formula>45</formula>
    </cfRule>
  </conditionalFormatting>
  <conditionalFormatting sqref="S213">
    <cfRule type="cellIs" dxfId="2388" priority="2429" operator="greaterThan">
      <formula>45</formula>
    </cfRule>
  </conditionalFormatting>
  <conditionalFormatting sqref="S217">
    <cfRule type="cellIs" dxfId="2387" priority="2509" operator="greaterThan">
      <formula>45</formula>
    </cfRule>
  </conditionalFormatting>
  <conditionalFormatting sqref="S220">
    <cfRule type="cellIs" dxfId="2386" priority="2589" operator="greaterThan">
      <formula>45</formula>
    </cfRule>
  </conditionalFormatting>
  <conditionalFormatting sqref="S223">
    <cfRule type="cellIs" dxfId="2385" priority="2669" operator="greaterThan">
      <formula>45</formula>
    </cfRule>
  </conditionalFormatting>
  <conditionalFormatting sqref="S226">
    <cfRule type="cellIs" dxfId="2384" priority="2749" operator="greaterThan">
      <formula>45</formula>
    </cfRule>
  </conditionalFormatting>
  <conditionalFormatting sqref="S229">
    <cfRule type="cellIs" dxfId="2383" priority="2829" operator="greaterThan">
      <formula>45</formula>
    </cfRule>
  </conditionalFormatting>
  <conditionalFormatting sqref="S232">
    <cfRule type="cellIs" dxfId="2382" priority="2909" operator="greaterThan">
      <formula>45</formula>
    </cfRule>
  </conditionalFormatting>
  <conditionalFormatting sqref="S234">
    <cfRule type="cellIs" dxfId="2381" priority="2989" operator="greaterThan">
      <formula>45</formula>
    </cfRule>
  </conditionalFormatting>
  <conditionalFormatting sqref="S248">
    <cfRule type="cellIs" dxfId="2380" priority="3069" operator="greaterThan">
      <formula>45</formula>
    </cfRule>
  </conditionalFormatting>
  <conditionalFormatting sqref="S252">
    <cfRule type="cellIs" dxfId="2379" priority="3149" operator="greaterThan">
      <formula>45</formula>
    </cfRule>
  </conditionalFormatting>
  <conditionalFormatting sqref="S261">
    <cfRule type="cellIs" dxfId="2378" priority="3229" operator="greaterThan">
      <formula>45</formula>
    </cfRule>
  </conditionalFormatting>
  <conditionalFormatting sqref="S271">
    <cfRule type="cellIs" dxfId="2377" priority="3309" operator="greaterThan">
      <formula>45</formula>
    </cfRule>
  </conditionalFormatting>
  <conditionalFormatting sqref="S280">
    <cfRule type="cellIs" dxfId="2376" priority="3389" operator="greaterThan">
      <formula>45</formula>
    </cfRule>
  </conditionalFormatting>
  <conditionalFormatting sqref="S283">
    <cfRule type="cellIs" dxfId="2375" priority="3469" operator="greaterThan">
      <formula>45</formula>
    </cfRule>
  </conditionalFormatting>
  <conditionalFormatting sqref="S292">
    <cfRule type="cellIs" dxfId="2374" priority="3549" operator="greaterThan">
      <formula>45</formula>
    </cfRule>
  </conditionalFormatting>
  <conditionalFormatting sqref="S294">
    <cfRule type="cellIs" dxfId="2373" priority="3629" operator="greaterThan">
      <formula>45</formula>
    </cfRule>
  </conditionalFormatting>
  <conditionalFormatting sqref="S296">
    <cfRule type="cellIs" dxfId="2372" priority="3709" operator="greaterThan">
      <formula>45</formula>
    </cfRule>
  </conditionalFormatting>
  <conditionalFormatting sqref="S298">
    <cfRule type="cellIs" dxfId="2371" priority="3789" operator="greaterThan">
      <formula>45</formula>
    </cfRule>
  </conditionalFormatting>
  <conditionalFormatting sqref="S300">
    <cfRule type="cellIs" dxfId="2370" priority="3869" operator="greaterThan">
      <formula>45</formula>
    </cfRule>
  </conditionalFormatting>
  <conditionalFormatting sqref="S302">
    <cfRule type="cellIs" dxfId="2369" priority="3949" operator="greaterThan">
      <formula>45</formula>
    </cfRule>
  </conditionalFormatting>
  <conditionalFormatting sqref="S304">
    <cfRule type="cellIs" dxfId="2368" priority="4029" operator="greaterThan">
      <formula>45</formula>
    </cfRule>
  </conditionalFormatting>
  <conditionalFormatting sqref="S306">
    <cfRule type="cellIs" dxfId="2367" priority="4109" operator="greaterThan">
      <formula>45</formula>
    </cfRule>
  </conditionalFormatting>
  <conditionalFormatting sqref="S308">
    <cfRule type="cellIs" dxfId="2366" priority="4189" operator="greaterThan">
      <formula>45</formula>
    </cfRule>
  </conditionalFormatting>
  <conditionalFormatting sqref="S310">
    <cfRule type="cellIs" dxfId="2365" priority="4269" operator="greaterThan">
      <formula>45</formula>
    </cfRule>
  </conditionalFormatting>
  <conditionalFormatting sqref="S312">
    <cfRule type="cellIs" dxfId="2364" priority="4349" operator="greaterThan">
      <formula>45</formula>
    </cfRule>
  </conditionalFormatting>
  <conditionalFormatting sqref="S314">
    <cfRule type="cellIs" dxfId="2363" priority="4429" operator="greaterThan">
      <formula>45</formula>
    </cfRule>
  </conditionalFormatting>
  <conditionalFormatting sqref="S316">
    <cfRule type="cellIs" dxfId="2362" priority="4509" operator="greaterThan">
      <formula>45</formula>
    </cfRule>
  </conditionalFormatting>
  <conditionalFormatting sqref="S318">
    <cfRule type="cellIs" dxfId="2361" priority="4589" operator="greaterThan">
      <formula>45</formula>
    </cfRule>
  </conditionalFormatting>
  <conditionalFormatting sqref="S320">
    <cfRule type="cellIs" dxfId="2360" priority="4669" operator="greaterThan">
      <formula>45</formula>
    </cfRule>
  </conditionalFormatting>
  <conditionalFormatting sqref="S322">
    <cfRule type="cellIs" dxfId="2359" priority="4749" operator="greaterThan">
      <formula>45</formula>
    </cfRule>
  </conditionalFormatting>
  <conditionalFormatting sqref="S324">
    <cfRule type="cellIs" dxfId="2358" priority="4829" operator="greaterThan">
      <formula>45</formula>
    </cfRule>
  </conditionalFormatting>
  <conditionalFormatting sqref="S326">
    <cfRule type="cellIs" dxfId="2357" priority="4909" operator="greaterThan">
      <formula>45</formula>
    </cfRule>
  </conditionalFormatting>
  <conditionalFormatting sqref="T2">
    <cfRule type="cellIs" dxfId="2356" priority="30" operator="greaterThan">
      <formula>40</formula>
    </cfRule>
    <cfRule type="cellIs" dxfId="2355" priority="31" operator="greaterThan">
      <formula>45</formula>
    </cfRule>
  </conditionalFormatting>
  <conditionalFormatting sqref="T4">
    <cfRule type="cellIs" dxfId="2354" priority="110" operator="greaterThan">
      <formula>40</formula>
    </cfRule>
    <cfRule type="cellIs" dxfId="2353" priority="111" operator="greaterThan">
      <formula>45</formula>
    </cfRule>
  </conditionalFormatting>
  <conditionalFormatting sqref="T13">
    <cfRule type="cellIs" dxfId="2352" priority="191" operator="greaterThan">
      <formula>45</formula>
    </cfRule>
    <cfRule type="cellIs" dxfId="2351" priority="190" operator="greaterThan">
      <formula>40</formula>
    </cfRule>
  </conditionalFormatting>
  <conditionalFormatting sqref="T23">
    <cfRule type="cellIs" dxfId="2350" priority="270" operator="greaterThan">
      <formula>40</formula>
    </cfRule>
    <cfRule type="cellIs" dxfId="2349" priority="271" operator="greaterThan">
      <formula>45</formula>
    </cfRule>
  </conditionalFormatting>
  <conditionalFormatting sqref="T33">
    <cfRule type="cellIs" dxfId="2348" priority="351" operator="greaterThan">
      <formula>45</formula>
    </cfRule>
    <cfRule type="cellIs" dxfId="2347" priority="350" operator="greaterThan">
      <formula>40</formula>
    </cfRule>
  </conditionalFormatting>
  <conditionalFormatting sqref="T48">
    <cfRule type="cellIs" dxfId="2346" priority="431" operator="greaterThan">
      <formula>45</formula>
    </cfRule>
    <cfRule type="cellIs" dxfId="2345" priority="430" operator="greaterThan">
      <formula>40</formula>
    </cfRule>
  </conditionalFormatting>
  <conditionalFormatting sqref="T52">
    <cfRule type="cellIs" dxfId="2344" priority="511" operator="greaterThan">
      <formula>45</formula>
    </cfRule>
    <cfRule type="cellIs" dxfId="2343" priority="510" operator="greaterThan">
      <formula>40</formula>
    </cfRule>
  </conditionalFormatting>
  <conditionalFormatting sqref="T61">
    <cfRule type="cellIs" dxfId="2342" priority="591" operator="greaterThan">
      <formula>45</formula>
    </cfRule>
    <cfRule type="cellIs" dxfId="2341" priority="590" operator="greaterThan">
      <formula>40</formula>
    </cfRule>
  </conditionalFormatting>
  <conditionalFormatting sqref="T74">
    <cfRule type="cellIs" dxfId="2340" priority="670" operator="greaterThan">
      <formula>40</formula>
    </cfRule>
    <cfRule type="cellIs" dxfId="2339" priority="671" operator="greaterThan">
      <formula>45</formula>
    </cfRule>
  </conditionalFormatting>
  <conditionalFormatting sqref="T76">
    <cfRule type="cellIs" dxfId="2338" priority="751" operator="greaterThan">
      <formula>45</formula>
    </cfRule>
    <cfRule type="cellIs" dxfId="2337" priority="750" operator="greaterThan">
      <formula>40</formula>
    </cfRule>
  </conditionalFormatting>
  <conditionalFormatting sqref="T86">
    <cfRule type="cellIs" dxfId="2336" priority="831" operator="greaterThan">
      <formula>45</formula>
    </cfRule>
    <cfRule type="cellIs" dxfId="2335" priority="830" operator="greaterThan">
      <formula>40</formula>
    </cfRule>
  </conditionalFormatting>
  <conditionalFormatting sqref="T96">
    <cfRule type="cellIs" dxfId="2334" priority="911" operator="greaterThan">
      <formula>45</formula>
    </cfRule>
  </conditionalFormatting>
  <conditionalFormatting sqref="T101">
    <cfRule type="cellIs" dxfId="2333" priority="991" operator="greaterThan">
      <formula>45</formula>
    </cfRule>
  </conditionalFormatting>
  <conditionalFormatting sqref="T110">
    <cfRule type="cellIs" dxfId="2332" priority="1071" operator="greaterThan">
      <formula>45</formula>
    </cfRule>
  </conditionalFormatting>
  <conditionalFormatting sqref="T117">
    <cfRule type="cellIs" dxfId="2331" priority="1151" operator="greaterThan">
      <formula>45</formula>
    </cfRule>
  </conditionalFormatting>
  <conditionalFormatting sqref="T124">
    <cfRule type="cellIs" dxfId="2330" priority="1231" operator="greaterThan">
      <formula>45</formula>
    </cfRule>
  </conditionalFormatting>
  <conditionalFormatting sqref="T128">
    <cfRule type="cellIs" dxfId="2329" priority="1311" operator="greaterThan">
      <formula>45</formula>
    </cfRule>
  </conditionalFormatting>
  <conditionalFormatting sqref="T133">
    <cfRule type="cellIs" dxfId="2328" priority="1391" operator="greaterThan">
      <formula>45</formula>
    </cfRule>
  </conditionalFormatting>
  <conditionalFormatting sqref="T136">
    <cfRule type="cellIs" dxfId="2327" priority="1471" operator="greaterThan">
      <formula>45</formula>
    </cfRule>
  </conditionalFormatting>
  <conditionalFormatting sqref="T143">
    <cfRule type="cellIs" dxfId="2326" priority="1551" operator="greaterThan">
      <formula>45</formula>
    </cfRule>
  </conditionalFormatting>
  <conditionalFormatting sqref="T157">
    <cfRule type="cellIs" dxfId="2325" priority="1631" operator="greaterThan">
      <formula>45</formula>
    </cfRule>
  </conditionalFormatting>
  <conditionalFormatting sqref="T160">
    <cfRule type="cellIs" dxfId="2324" priority="1711" operator="greaterThan">
      <formula>45</formula>
    </cfRule>
  </conditionalFormatting>
  <conditionalFormatting sqref="T170">
    <cfRule type="cellIs" dxfId="2323" priority="1791" operator="greaterThan">
      <formula>45</formula>
    </cfRule>
  </conditionalFormatting>
  <conditionalFormatting sqref="T182">
    <cfRule type="cellIs" dxfId="2322" priority="1871" operator="greaterThan">
      <formula>45</formula>
    </cfRule>
  </conditionalFormatting>
  <conditionalFormatting sqref="T185">
    <cfRule type="cellIs" dxfId="2321" priority="1951" operator="greaterThan">
      <formula>45</formula>
    </cfRule>
  </conditionalFormatting>
  <conditionalFormatting sqref="T188">
    <cfRule type="cellIs" dxfId="2320" priority="2031" operator="greaterThan">
      <formula>45</formula>
    </cfRule>
  </conditionalFormatting>
  <conditionalFormatting sqref="T194">
    <cfRule type="cellIs" dxfId="2319" priority="2111" operator="greaterThan">
      <formula>45</formula>
    </cfRule>
  </conditionalFormatting>
  <conditionalFormatting sqref="T198">
    <cfRule type="cellIs" dxfId="2318" priority="2191" operator="greaterThan">
      <formula>45</formula>
    </cfRule>
  </conditionalFormatting>
  <conditionalFormatting sqref="T206">
    <cfRule type="cellIs" dxfId="2317" priority="2271" operator="greaterThan">
      <formula>45</formula>
    </cfRule>
  </conditionalFormatting>
  <conditionalFormatting sqref="T211">
    <cfRule type="cellIs" dxfId="2316" priority="2351" operator="greaterThan">
      <formula>45</formula>
    </cfRule>
  </conditionalFormatting>
  <conditionalFormatting sqref="T213">
    <cfRule type="cellIs" dxfId="2315" priority="2431" operator="greaterThan">
      <formula>45</formula>
    </cfRule>
  </conditionalFormatting>
  <conditionalFormatting sqref="T217">
    <cfRule type="cellIs" dxfId="2314" priority="2511" operator="greaterThan">
      <formula>45</formula>
    </cfRule>
  </conditionalFormatting>
  <conditionalFormatting sqref="T220">
    <cfRule type="cellIs" dxfId="2313" priority="2591" operator="greaterThan">
      <formula>45</formula>
    </cfRule>
  </conditionalFormatting>
  <conditionalFormatting sqref="T223">
    <cfRule type="cellIs" dxfId="2312" priority="2671" operator="greaterThan">
      <formula>45</formula>
    </cfRule>
  </conditionalFormatting>
  <conditionalFormatting sqref="T226">
    <cfRule type="cellIs" dxfId="2311" priority="2751" operator="greaterThan">
      <formula>45</formula>
    </cfRule>
  </conditionalFormatting>
  <conditionalFormatting sqref="T229">
    <cfRule type="cellIs" dxfId="2310" priority="2831" operator="greaterThan">
      <formula>45</formula>
    </cfRule>
  </conditionalFormatting>
  <conditionalFormatting sqref="T232">
    <cfRule type="cellIs" dxfId="2309" priority="2911" operator="greaterThan">
      <formula>45</formula>
    </cfRule>
  </conditionalFormatting>
  <conditionalFormatting sqref="T234">
    <cfRule type="cellIs" dxfId="2308" priority="2991" operator="greaterThan">
      <formula>45</formula>
    </cfRule>
  </conditionalFormatting>
  <conditionalFormatting sqref="T248">
    <cfRule type="cellIs" dxfId="2307" priority="3071" operator="greaterThan">
      <formula>45</formula>
    </cfRule>
  </conditionalFormatting>
  <conditionalFormatting sqref="T252">
    <cfRule type="cellIs" dxfId="2306" priority="3151" operator="greaterThan">
      <formula>45</formula>
    </cfRule>
  </conditionalFormatting>
  <conditionalFormatting sqref="T261">
    <cfRule type="cellIs" dxfId="2305" priority="3231" operator="greaterThan">
      <formula>45</formula>
    </cfRule>
  </conditionalFormatting>
  <conditionalFormatting sqref="T271">
    <cfRule type="cellIs" dxfId="2304" priority="3311" operator="greaterThan">
      <formula>45</formula>
    </cfRule>
  </conditionalFormatting>
  <conditionalFormatting sqref="T280">
    <cfRule type="cellIs" dxfId="2303" priority="3391" operator="greaterThan">
      <formula>45</formula>
    </cfRule>
  </conditionalFormatting>
  <conditionalFormatting sqref="T283">
    <cfRule type="cellIs" dxfId="2302" priority="3471" operator="greaterThan">
      <formula>45</formula>
    </cfRule>
  </conditionalFormatting>
  <conditionalFormatting sqref="T292">
    <cfRule type="cellIs" dxfId="2301" priority="3551" operator="greaterThan">
      <formula>45</formula>
    </cfRule>
  </conditionalFormatting>
  <conditionalFormatting sqref="T294">
    <cfRule type="cellIs" dxfId="2300" priority="3631" operator="greaterThan">
      <formula>45</formula>
    </cfRule>
  </conditionalFormatting>
  <conditionalFormatting sqref="T296">
    <cfRule type="cellIs" dxfId="2299" priority="3711" operator="greaterThan">
      <formula>45</formula>
    </cfRule>
  </conditionalFormatting>
  <conditionalFormatting sqref="T298">
    <cfRule type="cellIs" dxfId="2298" priority="3791" operator="greaterThan">
      <formula>45</formula>
    </cfRule>
  </conditionalFormatting>
  <conditionalFormatting sqref="T300">
    <cfRule type="cellIs" dxfId="2297" priority="3871" operator="greaterThan">
      <formula>45</formula>
    </cfRule>
  </conditionalFormatting>
  <conditionalFormatting sqref="T302">
    <cfRule type="cellIs" dxfId="2296" priority="3951" operator="greaterThan">
      <formula>45</formula>
    </cfRule>
  </conditionalFormatting>
  <conditionalFormatting sqref="T304">
    <cfRule type="cellIs" dxfId="2295" priority="4031" operator="greaterThan">
      <formula>45</formula>
    </cfRule>
  </conditionalFormatting>
  <conditionalFormatting sqref="T306">
    <cfRule type="cellIs" dxfId="2294" priority="4111" operator="greaterThan">
      <formula>45</formula>
    </cfRule>
  </conditionalFormatting>
  <conditionalFormatting sqref="T308">
    <cfRule type="cellIs" dxfId="2293" priority="4191" operator="greaterThan">
      <formula>45</formula>
    </cfRule>
  </conditionalFormatting>
  <conditionalFormatting sqref="T310">
    <cfRule type="cellIs" dxfId="2292" priority="4271" operator="greaterThan">
      <formula>45</formula>
    </cfRule>
  </conditionalFormatting>
  <conditionalFormatting sqref="T312">
    <cfRule type="cellIs" dxfId="2291" priority="4351" operator="greaterThan">
      <formula>45</formula>
    </cfRule>
  </conditionalFormatting>
  <conditionalFormatting sqref="T314">
    <cfRule type="cellIs" dxfId="2290" priority="4431" operator="greaterThan">
      <formula>45</formula>
    </cfRule>
  </conditionalFormatting>
  <conditionalFormatting sqref="T316">
    <cfRule type="cellIs" dxfId="2289" priority="4511" operator="greaterThan">
      <formula>45</formula>
    </cfRule>
  </conditionalFormatting>
  <conditionalFormatting sqref="T318">
    <cfRule type="cellIs" dxfId="2288" priority="4591" operator="greaterThan">
      <formula>45</formula>
    </cfRule>
  </conditionalFormatting>
  <conditionalFormatting sqref="T320">
    <cfRule type="cellIs" dxfId="2287" priority="4671" operator="greaterThan">
      <formula>45</formula>
    </cfRule>
  </conditionalFormatting>
  <conditionalFormatting sqref="T322">
    <cfRule type="cellIs" dxfId="2286" priority="4751" operator="greaterThan">
      <formula>45</formula>
    </cfRule>
  </conditionalFormatting>
  <conditionalFormatting sqref="T324">
    <cfRule type="cellIs" dxfId="2285" priority="4831" operator="greaterThan">
      <formula>45</formula>
    </cfRule>
  </conditionalFormatting>
  <conditionalFormatting sqref="T326">
    <cfRule type="cellIs" dxfId="2284" priority="4911" operator="greaterThan">
      <formula>45</formula>
    </cfRule>
  </conditionalFormatting>
  <conditionalFormatting sqref="U2">
    <cfRule type="cellIs" dxfId="2283" priority="32" operator="greaterThan">
      <formula>40</formula>
    </cfRule>
    <cfRule type="cellIs" dxfId="2282" priority="33" operator="greaterThan">
      <formula>45</formula>
    </cfRule>
  </conditionalFormatting>
  <conditionalFormatting sqref="U4">
    <cfRule type="cellIs" dxfId="2281" priority="112" operator="greaterThan">
      <formula>40</formula>
    </cfRule>
    <cfRule type="cellIs" dxfId="2280" priority="113" operator="greaterThan">
      <formula>45</formula>
    </cfRule>
  </conditionalFormatting>
  <conditionalFormatting sqref="U13">
    <cfRule type="cellIs" dxfId="2279" priority="193" operator="greaterThan">
      <formula>45</formula>
    </cfRule>
    <cfRule type="cellIs" dxfId="2278" priority="192" operator="greaterThan">
      <formula>40</formula>
    </cfRule>
  </conditionalFormatting>
  <conditionalFormatting sqref="U23">
    <cfRule type="cellIs" dxfId="2277" priority="273" operator="greaterThan">
      <formula>45</formula>
    </cfRule>
    <cfRule type="cellIs" dxfId="2276" priority="272" operator="greaterThan">
      <formula>40</formula>
    </cfRule>
  </conditionalFormatting>
  <conditionalFormatting sqref="U33">
    <cfRule type="cellIs" dxfId="2275" priority="353" operator="greaterThan">
      <formula>45</formula>
    </cfRule>
    <cfRule type="cellIs" dxfId="2274" priority="352" operator="greaterThan">
      <formula>40</formula>
    </cfRule>
  </conditionalFormatting>
  <conditionalFormatting sqref="U48">
    <cfRule type="cellIs" dxfId="2273" priority="432" operator="greaterThan">
      <formula>40</formula>
    </cfRule>
    <cfRule type="cellIs" dxfId="2272" priority="433" operator="greaterThan">
      <formula>45</formula>
    </cfRule>
  </conditionalFormatting>
  <conditionalFormatting sqref="U52">
    <cfRule type="cellIs" dxfId="2271" priority="513" operator="greaterThan">
      <formula>45</formula>
    </cfRule>
    <cfRule type="cellIs" dxfId="2270" priority="512" operator="greaterThan">
      <formula>40</formula>
    </cfRule>
  </conditionalFormatting>
  <conditionalFormatting sqref="U61">
    <cfRule type="cellIs" dxfId="2269" priority="593" operator="greaterThan">
      <formula>45</formula>
    </cfRule>
    <cfRule type="cellIs" dxfId="2268" priority="592" operator="greaterThan">
      <formula>40</formula>
    </cfRule>
  </conditionalFormatting>
  <conditionalFormatting sqref="U74">
    <cfRule type="cellIs" dxfId="2267" priority="672" operator="greaterThan">
      <formula>40</formula>
    </cfRule>
    <cfRule type="cellIs" dxfId="2266" priority="673" operator="greaterThan">
      <formula>45</formula>
    </cfRule>
  </conditionalFormatting>
  <conditionalFormatting sqref="U76">
    <cfRule type="cellIs" dxfId="2265" priority="753" operator="greaterThan">
      <formula>45</formula>
    </cfRule>
    <cfRule type="cellIs" dxfId="2264" priority="752" operator="greaterThan">
      <formula>40</formula>
    </cfRule>
  </conditionalFormatting>
  <conditionalFormatting sqref="U86">
    <cfRule type="cellIs" dxfId="2263" priority="833" operator="greaterThan">
      <formula>45</formula>
    </cfRule>
    <cfRule type="cellIs" dxfId="2262" priority="832" operator="greaterThan">
      <formula>40</formula>
    </cfRule>
  </conditionalFormatting>
  <conditionalFormatting sqref="U96">
    <cfRule type="cellIs" dxfId="2261" priority="913" operator="greaterThan">
      <formula>45</formula>
    </cfRule>
  </conditionalFormatting>
  <conditionalFormatting sqref="U101">
    <cfRule type="cellIs" dxfId="2260" priority="993" operator="greaterThan">
      <formula>45</formula>
    </cfRule>
  </conditionalFormatting>
  <conditionalFormatting sqref="U110">
    <cfRule type="cellIs" dxfId="2259" priority="1073" operator="greaterThan">
      <formula>45</formula>
    </cfRule>
  </conditionalFormatting>
  <conditionalFormatting sqref="U117">
    <cfRule type="cellIs" dxfId="2258" priority="1153" operator="greaterThan">
      <formula>45</formula>
    </cfRule>
  </conditionalFormatting>
  <conditionalFormatting sqref="U124">
    <cfRule type="cellIs" dxfId="2257" priority="1233" operator="greaterThan">
      <formula>45</formula>
    </cfRule>
  </conditionalFormatting>
  <conditionalFormatting sqref="U128">
    <cfRule type="cellIs" dxfId="2256" priority="1313" operator="greaterThan">
      <formula>45</formula>
    </cfRule>
  </conditionalFormatting>
  <conditionalFormatting sqref="U133">
    <cfRule type="cellIs" dxfId="2255" priority="1393" operator="greaterThan">
      <formula>45</formula>
    </cfRule>
  </conditionalFormatting>
  <conditionalFormatting sqref="U136">
    <cfRule type="cellIs" dxfId="2254" priority="1473" operator="greaterThan">
      <formula>45</formula>
    </cfRule>
  </conditionalFormatting>
  <conditionalFormatting sqref="U143">
    <cfRule type="cellIs" dxfId="2253" priority="1553" operator="greaterThan">
      <formula>45</formula>
    </cfRule>
  </conditionalFormatting>
  <conditionalFormatting sqref="U157">
    <cfRule type="cellIs" dxfId="2252" priority="1633" operator="greaterThan">
      <formula>45</formula>
    </cfRule>
  </conditionalFormatting>
  <conditionalFormatting sqref="U160">
    <cfRule type="cellIs" dxfId="2251" priority="1713" operator="greaterThan">
      <formula>45</formula>
    </cfRule>
  </conditionalFormatting>
  <conditionalFormatting sqref="U170">
    <cfRule type="cellIs" dxfId="2250" priority="1793" operator="greaterThan">
      <formula>45</formula>
    </cfRule>
  </conditionalFormatting>
  <conditionalFormatting sqref="U182">
    <cfRule type="cellIs" dxfId="2249" priority="1873" operator="greaterThan">
      <formula>45</formula>
    </cfRule>
  </conditionalFormatting>
  <conditionalFormatting sqref="U185">
    <cfRule type="cellIs" dxfId="2248" priority="1953" operator="greaterThan">
      <formula>45</formula>
    </cfRule>
  </conditionalFormatting>
  <conditionalFormatting sqref="U188">
    <cfRule type="cellIs" dxfId="2247" priority="2033" operator="greaterThan">
      <formula>45</formula>
    </cfRule>
  </conditionalFormatting>
  <conditionalFormatting sqref="U194">
    <cfRule type="cellIs" dxfId="2246" priority="2113" operator="greaterThan">
      <formula>45</formula>
    </cfRule>
  </conditionalFormatting>
  <conditionalFormatting sqref="U198">
    <cfRule type="cellIs" dxfId="2245" priority="2193" operator="greaterThan">
      <formula>45</formula>
    </cfRule>
  </conditionalFormatting>
  <conditionalFormatting sqref="U206">
    <cfRule type="cellIs" dxfId="2244" priority="2273" operator="greaterThan">
      <formula>45</formula>
    </cfRule>
  </conditionalFormatting>
  <conditionalFormatting sqref="U211">
    <cfRule type="cellIs" dxfId="2243" priority="2353" operator="greaterThan">
      <formula>45</formula>
    </cfRule>
  </conditionalFormatting>
  <conditionalFormatting sqref="U213">
    <cfRule type="cellIs" dxfId="2242" priority="2433" operator="greaterThan">
      <formula>45</formula>
    </cfRule>
  </conditionalFormatting>
  <conditionalFormatting sqref="U217">
    <cfRule type="cellIs" dxfId="2241" priority="2513" operator="greaterThan">
      <formula>45</formula>
    </cfRule>
  </conditionalFormatting>
  <conditionalFormatting sqref="U220">
    <cfRule type="cellIs" dxfId="2240" priority="2593" operator="greaterThan">
      <formula>45</formula>
    </cfRule>
  </conditionalFormatting>
  <conditionalFormatting sqref="U223">
    <cfRule type="cellIs" dxfId="2239" priority="2673" operator="greaterThan">
      <formula>45</formula>
    </cfRule>
  </conditionalFormatting>
  <conditionalFormatting sqref="U226">
    <cfRule type="cellIs" dxfId="2238" priority="2753" operator="greaterThan">
      <formula>45</formula>
    </cfRule>
  </conditionalFormatting>
  <conditionalFormatting sqref="U229">
    <cfRule type="cellIs" dxfId="2237" priority="2833" operator="greaterThan">
      <formula>45</formula>
    </cfRule>
  </conditionalFormatting>
  <conditionalFormatting sqref="U232">
    <cfRule type="cellIs" dxfId="2236" priority="2913" operator="greaterThan">
      <formula>45</formula>
    </cfRule>
  </conditionalFormatting>
  <conditionalFormatting sqref="U234">
    <cfRule type="cellIs" dxfId="2235" priority="2993" operator="greaterThan">
      <formula>45</formula>
    </cfRule>
  </conditionalFormatting>
  <conditionalFormatting sqref="U248">
    <cfRule type="cellIs" dxfId="2234" priority="3073" operator="greaterThan">
      <formula>45</formula>
    </cfRule>
  </conditionalFormatting>
  <conditionalFormatting sqref="U252">
    <cfRule type="cellIs" dxfId="2233" priority="3153" operator="greaterThan">
      <formula>45</formula>
    </cfRule>
  </conditionalFormatting>
  <conditionalFormatting sqref="U261">
    <cfRule type="cellIs" dxfId="2232" priority="3233" operator="greaterThan">
      <formula>45</formula>
    </cfRule>
  </conditionalFormatting>
  <conditionalFormatting sqref="U271">
    <cfRule type="cellIs" dxfId="2231" priority="3313" operator="greaterThan">
      <formula>45</formula>
    </cfRule>
  </conditionalFormatting>
  <conditionalFormatting sqref="U280">
    <cfRule type="cellIs" dxfId="2230" priority="3393" operator="greaterThan">
      <formula>45</formula>
    </cfRule>
  </conditionalFormatting>
  <conditionalFormatting sqref="U283">
    <cfRule type="cellIs" dxfId="2229" priority="3473" operator="greaterThan">
      <formula>45</formula>
    </cfRule>
  </conditionalFormatting>
  <conditionalFormatting sqref="U292">
    <cfRule type="cellIs" dxfId="2228" priority="3553" operator="greaterThan">
      <formula>45</formula>
    </cfRule>
  </conditionalFormatting>
  <conditionalFormatting sqref="U294">
    <cfRule type="cellIs" dxfId="2227" priority="3633" operator="greaterThan">
      <formula>45</formula>
    </cfRule>
  </conditionalFormatting>
  <conditionalFormatting sqref="U296">
    <cfRule type="cellIs" dxfId="2226" priority="3713" operator="greaterThan">
      <formula>45</formula>
    </cfRule>
  </conditionalFormatting>
  <conditionalFormatting sqref="U298">
    <cfRule type="cellIs" dxfId="2225" priority="3793" operator="greaterThan">
      <formula>45</formula>
    </cfRule>
  </conditionalFormatting>
  <conditionalFormatting sqref="U300">
    <cfRule type="cellIs" dxfId="2224" priority="3873" operator="greaterThan">
      <formula>45</formula>
    </cfRule>
  </conditionalFormatting>
  <conditionalFormatting sqref="U302">
    <cfRule type="cellIs" dxfId="2223" priority="3953" operator="greaterThan">
      <formula>45</formula>
    </cfRule>
  </conditionalFormatting>
  <conditionalFormatting sqref="U304">
    <cfRule type="cellIs" dxfId="2222" priority="4033" operator="greaterThan">
      <formula>45</formula>
    </cfRule>
  </conditionalFormatting>
  <conditionalFormatting sqref="U306">
    <cfRule type="cellIs" dxfId="2221" priority="4113" operator="greaterThan">
      <formula>45</formula>
    </cfRule>
  </conditionalFormatting>
  <conditionalFormatting sqref="U308">
    <cfRule type="cellIs" dxfId="2220" priority="4193" operator="greaterThan">
      <formula>45</formula>
    </cfRule>
  </conditionalFormatting>
  <conditionalFormatting sqref="U310">
    <cfRule type="cellIs" dxfId="2219" priority="4273" operator="greaterThan">
      <formula>45</formula>
    </cfRule>
  </conditionalFormatting>
  <conditionalFormatting sqref="U312">
    <cfRule type="cellIs" dxfId="2218" priority="4353" operator="greaterThan">
      <formula>45</formula>
    </cfRule>
  </conditionalFormatting>
  <conditionalFormatting sqref="U314">
    <cfRule type="cellIs" dxfId="2217" priority="4433" operator="greaterThan">
      <formula>45</formula>
    </cfRule>
  </conditionalFormatting>
  <conditionalFormatting sqref="U316">
    <cfRule type="cellIs" dxfId="2216" priority="4513" operator="greaterThan">
      <formula>45</formula>
    </cfRule>
  </conditionalFormatting>
  <conditionalFormatting sqref="U318">
    <cfRule type="cellIs" dxfId="2215" priority="4593" operator="greaterThan">
      <formula>45</formula>
    </cfRule>
  </conditionalFormatting>
  <conditionalFormatting sqref="U320">
    <cfRule type="cellIs" dxfId="2214" priority="4673" operator="greaterThan">
      <formula>45</formula>
    </cfRule>
  </conditionalFormatting>
  <conditionalFormatting sqref="U322">
    <cfRule type="cellIs" dxfId="2213" priority="4753" operator="greaterThan">
      <formula>45</formula>
    </cfRule>
  </conditionalFormatting>
  <conditionalFormatting sqref="U324">
    <cfRule type="cellIs" dxfId="2212" priority="4833" operator="greaterThan">
      <formula>45</formula>
    </cfRule>
  </conditionalFormatting>
  <conditionalFormatting sqref="U326">
    <cfRule type="cellIs" dxfId="2211" priority="4913" operator="greaterThan">
      <formula>45</formula>
    </cfRule>
  </conditionalFormatting>
  <conditionalFormatting sqref="V2">
    <cfRule type="cellIs" dxfId="2210" priority="35" operator="greaterThan">
      <formula>45</formula>
    </cfRule>
    <cfRule type="cellIs" dxfId="2209" priority="34" operator="greaterThan">
      <formula>40</formula>
    </cfRule>
  </conditionalFormatting>
  <conditionalFormatting sqref="V4">
    <cfRule type="cellIs" dxfId="2208" priority="115" operator="greaterThan">
      <formula>45</formula>
    </cfRule>
    <cfRule type="cellIs" dxfId="2207" priority="114" operator="greaterThan">
      <formula>40</formula>
    </cfRule>
  </conditionalFormatting>
  <conditionalFormatting sqref="V13">
    <cfRule type="cellIs" dxfId="2206" priority="194" operator="greaterThan">
      <formula>40</formula>
    </cfRule>
    <cfRule type="cellIs" dxfId="2205" priority="195" operator="greaterThan">
      <formula>45</formula>
    </cfRule>
  </conditionalFormatting>
  <conditionalFormatting sqref="V23">
    <cfRule type="cellIs" dxfId="2204" priority="274" operator="greaterThan">
      <formula>40</formula>
    </cfRule>
    <cfRule type="cellIs" dxfId="2203" priority="275" operator="greaterThan">
      <formula>45</formula>
    </cfRule>
  </conditionalFormatting>
  <conditionalFormatting sqref="V33">
    <cfRule type="cellIs" dxfId="2202" priority="354" operator="greaterThan">
      <formula>40</formula>
    </cfRule>
    <cfRule type="cellIs" dxfId="2201" priority="355" operator="greaterThan">
      <formula>45</formula>
    </cfRule>
  </conditionalFormatting>
  <conditionalFormatting sqref="V48">
    <cfRule type="cellIs" dxfId="2200" priority="435" operator="greaterThan">
      <formula>45</formula>
    </cfRule>
    <cfRule type="cellIs" dxfId="2199" priority="434" operator="greaterThan">
      <formula>40</formula>
    </cfRule>
  </conditionalFormatting>
  <conditionalFormatting sqref="V52">
    <cfRule type="cellIs" dxfId="2198" priority="514" operator="greaterThan">
      <formula>40</formula>
    </cfRule>
    <cfRule type="cellIs" dxfId="2197" priority="515" operator="greaterThan">
      <formula>45</formula>
    </cfRule>
  </conditionalFormatting>
  <conditionalFormatting sqref="V61">
    <cfRule type="cellIs" dxfId="2196" priority="594" operator="greaterThan">
      <formula>40</formula>
    </cfRule>
    <cfRule type="cellIs" dxfId="2195" priority="595" operator="greaterThan">
      <formula>45</formula>
    </cfRule>
  </conditionalFormatting>
  <conditionalFormatting sqref="V74">
    <cfRule type="cellIs" dxfId="2194" priority="674" operator="greaterThan">
      <formula>40</formula>
    </cfRule>
    <cfRule type="cellIs" dxfId="2193" priority="675" operator="greaterThan">
      <formula>45</formula>
    </cfRule>
  </conditionalFormatting>
  <conditionalFormatting sqref="V76">
    <cfRule type="cellIs" dxfId="2192" priority="755" operator="greaterThan">
      <formula>45</formula>
    </cfRule>
    <cfRule type="cellIs" dxfId="2191" priority="754" operator="greaterThan">
      <formula>40</formula>
    </cfRule>
  </conditionalFormatting>
  <conditionalFormatting sqref="V86">
    <cfRule type="cellIs" dxfId="2190" priority="834" operator="greaterThan">
      <formula>40</formula>
    </cfRule>
    <cfRule type="cellIs" dxfId="2189" priority="835" operator="greaterThan">
      <formula>45</formula>
    </cfRule>
  </conditionalFormatting>
  <conditionalFormatting sqref="V96">
    <cfRule type="cellIs" dxfId="2188" priority="915" operator="greaterThan">
      <formula>45</formula>
    </cfRule>
  </conditionalFormatting>
  <conditionalFormatting sqref="V101">
    <cfRule type="cellIs" dxfId="2187" priority="995" operator="greaterThan">
      <formula>45</formula>
    </cfRule>
  </conditionalFormatting>
  <conditionalFormatting sqref="V110">
    <cfRule type="cellIs" dxfId="2186" priority="1075" operator="greaterThan">
      <formula>45</formula>
    </cfRule>
  </conditionalFormatting>
  <conditionalFormatting sqref="V117">
    <cfRule type="cellIs" dxfId="2185" priority="1155" operator="greaterThan">
      <formula>45</formula>
    </cfRule>
  </conditionalFormatting>
  <conditionalFormatting sqref="V124">
    <cfRule type="cellIs" dxfId="2184" priority="1235" operator="greaterThan">
      <formula>45</formula>
    </cfRule>
  </conditionalFormatting>
  <conditionalFormatting sqref="V128">
    <cfRule type="cellIs" dxfId="2183" priority="1315" operator="greaterThan">
      <formula>45</formula>
    </cfRule>
  </conditionalFormatting>
  <conditionalFormatting sqref="V133">
    <cfRule type="cellIs" dxfId="2182" priority="1395" operator="greaterThan">
      <formula>45</formula>
    </cfRule>
  </conditionalFormatting>
  <conditionalFormatting sqref="V136">
    <cfRule type="cellIs" dxfId="2181" priority="1475" operator="greaterThan">
      <formula>45</formula>
    </cfRule>
  </conditionalFormatting>
  <conditionalFormatting sqref="V143">
    <cfRule type="cellIs" dxfId="2180" priority="1555" operator="greaterThan">
      <formula>45</formula>
    </cfRule>
  </conditionalFormatting>
  <conditionalFormatting sqref="V157">
    <cfRule type="cellIs" dxfId="2179" priority="1635" operator="greaterThan">
      <formula>45</formula>
    </cfRule>
  </conditionalFormatting>
  <conditionalFormatting sqref="V160">
    <cfRule type="cellIs" dxfId="2178" priority="1715" operator="greaterThan">
      <formula>45</formula>
    </cfRule>
  </conditionalFormatting>
  <conditionalFormatting sqref="V170">
    <cfRule type="cellIs" dxfId="2177" priority="1795" operator="greaterThan">
      <formula>45</formula>
    </cfRule>
  </conditionalFormatting>
  <conditionalFormatting sqref="V182">
    <cfRule type="cellIs" dxfId="2176" priority="1875" operator="greaterThan">
      <formula>45</formula>
    </cfRule>
  </conditionalFormatting>
  <conditionalFormatting sqref="V185">
    <cfRule type="cellIs" dxfId="2175" priority="1955" operator="greaterThan">
      <formula>45</formula>
    </cfRule>
  </conditionalFormatting>
  <conditionalFormatting sqref="V188">
    <cfRule type="cellIs" dxfId="2174" priority="2035" operator="greaterThan">
      <formula>45</formula>
    </cfRule>
  </conditionalFormatting>
  <conditionalFormatting sqref="V194">
    <cfRule type="cellIs" dxfId="2173" priority="2115" operator="greaterThan">
      <formula>45</formula>
    </cfRule>
  </conditionalFormatting>
  <conditionalFormatting sqref="V198">
    <cfRule type="cellIs" dxfId="2172" priority="2195" operator="greaterThan">
      <formula>45</formula>
    </cfRule>
  </conditionalFormatting>
  <conditionalFormatting sqref="V206">
    <cfRule type="cellIs" dxfId="2171" priority="2275" operator="greaterThan">
      <formula>45</formula>
    </cfRule>
  </conditionalFormatting>
  <conditionalFormatting sqref="V211">
    <cfRule type="cellIs" dxfId="2170" priority="2355" operator="greaterThan">
      <formula>45</formula>
    </cfRule>
  </conditionalFormatting>
  <conditionalFormatting sqref="V213">
    <cfRule type="cellIs" dxfId="2169" priority="2435" operator="greaterThan">
      <formula>45</formula>
    </cfRule>
  </conditionalFormatting>
  <conditionalFormatting sqref="V217">
    <cfRule type="cellIs" dxfId="2168" priority="2515" operator="greaterThan">
      <formula>45</formula>
    </cfRule>
  </conditionalFormatting>
  <conditionalFormatting sqref="V220">
    <cfRule type="cellIs" dxfId="2167" priority="2595" operator="greaterThan">
      <formula>45</formula>
    </cfRule>
  </conditionalFormatting>
  <conditionalFormatting sqref="V223">
    <cfRule type="cellIs" dxfId="2166" priority="2675" operator="greaterThan">
      <formula>45</formula>
    </cfRule>
  </conditionalFormatting>
  <conditionalFormatting sqref="V226">
    <cfRule type="cellIs" dxfId="2165" priority="2755" operator="greaterThan">
      <formula>45</formula>
    </cfRule>
  </conditionalFormatting>
  <conditionalFormatting sqref="V229">
    <cfRule type="cellIs" dxfId="2164" priority="2835" operator="greaterThan">
      <formula>45</formula>
    </cfRule>
  </conditionalFormatting>
  <conditionalFormatting sqref="V232">
    <cfRule type="cellIs" dxfId="2163" priority="2915" operator="greaterThan">
      <formula>45</formula>
    </cfRule>
  </conditionalFormatting>
  <conditionalFormatting sqref="V234">
    <cfRule type="cellIs" dxfId="2162" priority="2995" operator="greaterThan">
      <formula>45</formula>
    </cfRule>
  </conditionalFormatting>
  <conditionalFormatting sqref="V248">
    <cfRule type="cellIs" dxfId="2161" priority="3075" operator="greaterThan">
      <formula>45</formula>
    </cfRule>
  </conditionalFormatting>
  <conditionalFormatting sqref="V252">
    <cfRule type="cellIs" dxfId="2160" priority="3155" operator="greaterThan">
      <formula>45</formula>
    </cfRule>
  </conditionalFormatting>
  <conditionalFormatting sqref="V261">
    <cfRule type="cellIs" dxfId="2159" priority="3235" operator="greaterThan">
      <formula>45</formula>
    </cfRule>
  </conditionalFormatting>
  <conditionalFormatting sqref="V271">
    <cfRule type="cellIs" dxfId="2158" priority="3315" operator="greaterThan">
      <formula>45</formula>
    </cfRule>
  </conditionalFormatting>
  <conditionalFormatting sqref="V280">
    <cfRule type="cellIs" dxfId="2157" priority="3395" operator="greaterThan">
      <formula>45</formula>
    </cfRule>
  </conditionalFormatting>
  <conditionalFormatting sqref="V283">
    <cfRule type="cellIs" dxfId="2156" priority="3475" operator="greaterThan">
      <formula>45</formula>
    </cfRule>
  </conditionalFormatting>
  <conditionalFormatting sqref="V292">
    <cfRule type="cellIs" dxfId="2155" priority="3555" operator="greaterThan">
      <formula>45</formula>
    </cfRule>
  </conditionalFormatting>
  <conditionalFormatting sqref="V294">
    <cfRule type="cellIs" dxfId="2154" priority="3635" operator="greaterThan">
      <formula>45</formula>
    </cfRule>
  </conditionalFormatting>
  <conditionalFormatting sqref="V296">
    <cfRule type="cellIs" dxfId="2153" priority="3715" operator="greaterThan">
      <formula>45</formula>
    </cfRule>
  </conditionalFormatting>
  <conditionalFormatting sqref="V298">
    <cfRule type="cellIs" dxfId="2152" priority="3795" operator="greaterThan">
      <formula>45</formula>
    </cfRule>
  </conditionalFormatting>
  <conditionalFormatting sqref="V300">
    <cfRule type="cellIs" dxfId="2151" priority="3875" operator="greaterThan">
      <formula>45</formula>
    </cfRule>
  </conditionalFormatting>
  <conditionalFormatting sqref="V302">
    <cfRule type="cellIs" dxfId="2150" priority="3955" operator="greaterThan">
      <formula>45</formula>
    </cfRule>
  </conditionalFormatting>
  <conditionalFormatting sqref="V304">
    <cfRule type="cellIs" dxfId="2149" priority="4035" operator="greaterThan">
      <formula>45</formula>
    </cfRule>
  </conditionalFormatting>
  <conditionalFormatting sqref="V306">
    <cfRule type="cellIs" dxfId="2148" priority="4115" operator="greaterThan">
      <formula>45</formula>
    </cfRule>
  </conditionalFormatting>
  <conditionalFormatting sqref="V308">
    <cfRule type="cellIs" dxfId="2147" priority="4195" operator="greaterThan">
      <formula>45</formula>
    </cfRule>
  </conditionalFormatting>
  <conditionalFormatting sqref="V310">
    <cfRule type="cellIs" dxfId="2146" priority="4275" operator="greaterThan">
      <formula>45</formula>
    </cfRule>
  </conditionalFormatting>
  <conditionalFormatting sqref="V312">
    <cfRule type="cellIs" dxfId="2145" priority="4355" operator="greaterThan">
      <formula>45</formula>
    </cfRule>
  </conditionalFormatting>
  <conditionalFormatting sqref="V314">
    <cfRule type="cellIs" dxfId="2144" priority="4435" operator="greaterThan">
      <formula>45</formula>
    </cfRule>
  </conditionalFormatting>
  <conditionalFormatting sqref="V316">
    <cfRule type="cellIs" dxfId="2143" priority="4515" operator="greaterThan">
      <formula>45</formula>
    </cfRule>
  </conditionalFormatting>
  <conditionalFormatting sqref="V318">
    <cfRule type="cellIs" dxfId="2142" priority="4595" operator="greaterThan">
      <formula>45</formula>
    </cfRule>
  </conditionalFormatting>
  <conditionalFormatting sqref="V320">
    <cfRule type="cellIs" dxfId="2141" priority="4675" operator="greaterThan">
      <formula>45</formula>
    </cfRule>
  </conditionalFormatting>
  <conditionalFormatting sqref="V322">
    <cfRule type="cellIs" dxfId="2140" priority="4755" operator="greaterThan">
      <formula>45</formula>
    </cfRule>
  </conditionalFormatting>
  <conditionalFormatting sqref="V324">
    <cfRule type="cellIs" dxfId="2139" priority="4835" operator="greaterThan">
      <formula>45</formula>
    </cfRule>
  </conditionalFormatting>
  <conditionalFormatting sqref="V326">
    <cfRule type="cellIs" dxfId="2138" priority="4915" operator="greaterThan">
      <formula>45</formula>
    </cfRule>
  </conditionalFormatting>
  <conditionalFormatting sqref="W2">
    <cfRule type="cellIs" dxfId="2137" priority="37" operator="greaterThan">
      <formula>45</formula>
    </cfRule>
    <cfRule type="cellIs" dxfId="2136" priority="36" operator="greaterThan">
      <formula>40</formula>
    </cfRule>
  </conditionalFormatting>
  <conditionalFormatting sqref="W4">
    <cfRule type="cellIs" dxfId="2135" priority="116" operator="greaterThan">
      <formula>40</formula>
    </cfRule>
    <cfRule type="cellIs" dxfId="2134" priority="117" operator="greaterThan">
      <formula>45</formula>
    </cfRule>
  </conditionalFormatting>
  <conditionalFormatting sqref="W13">
    <cfRule type="cellIs" dxfId="2133" priority="196" operator="greaterThan">
      <formula>40</formula>
    </cfRule>
    <cfRule type="cellIs" dxfId="2132" priority="197" operator="greaterThan">
      <formula>45</formula>
    </cfRule>
  </conditionalFormatting>
  <conditionalFormatting sqref="W23">
    <cfRule type="cellIs" dxfId="2131" priority="277" operator="greaterThan">
      <formula>45</formula>
    </cfRule>
    <cfRule type="cellIs" dxfId="2130" priority="276" operator="greaterThan">
      <formula>40</formula>
    </cfRule>
  </conditionalFormatting>
  <conditionalFormatting sqref="W33">
    <cfRule type="cellIs" dxfId="2129" priority="356" operator="greaterThan">
      <formula>40</formula>
    </cfRule>
    <cfRule type="cellIs" dxfId="2128" priority="357" operator="greaterThan">
      <formula>45</formula>
    </cfRule>
  </conditionalFormatting>
  <conditionalFormatting sqref="W48">
    <cfRule type="cellIs" dxfId="2127" priority="436" operator="greaterThan">
      <formula>40</formula>
    </cfRule>
    <cfRule type="cellIs" dxfId="2126" priority="437" operator="greaterThan">
      <formula>45</formula>
    </cfRule>
  </conditionalFormatting>
  <conditionalFormatting sqref="W52">
    <cfRule type="cellIs" dxfId="2125" priority="516" operator="greaterThan">
      <formula>40</formula>
    </cfRule>
    <cfRule type="cellIs" dxfId="2124" priority="517" operator="greaterThan">
      <formula>45</formula>
    </cfRule>
  </conditionalFormatting>
  <conditionalFormatting sqref="W61">
    <cfRule type="cellIs" dxfId="2123" priority="597" operator="greaterThan">
      <formula>45</formula>
    </cfRule>
    <cfRule type="cellIs" dxfId="2122" priority="596" operator="greaterThan">
      <formula>40</formula>
    </cfRule>
  </conditionalFormatting>
  <conditionalFormatting sqref="W74">
    <cfRule type="cellIs" dxfId="2121" priority="676" operator="greaterThan">
      <formula>40</formula>
    </cfRule>
    <cfRule type="cellIs" dxfId="2120" priority="677" operator="greaterThan">
      <formula>45</formula>
    </cfRule>
  </conditionalFormatting>
  <conditionalFormatting sqref="W76">
    <cfRule type="cellIs" dxfId="2119" priority="756" operator="greaterThan">
      <formula>40</formula>
    </cfRule>
    <cfRule type="cellIs" dxfId="2118" priority="757" operator="greaterThan">
      <formula>45</formula>
    </cfRule>
  </conditionalFormatting>
  <conditionalFormatting sqref="W86">
    <cfRule type="cellIs" dxfId="2117" priority="837" operator="greaterThan">
      <formula>45</formula>
    </cfRule>
    <cfRule type="cellIs" dxfId="2116" priority="836" operator="greaterThan">
      <formula>40</formula>
    </cfRule>
  </conditionalFormatting>
  <conditionalFormatting sqref="W96">
    <cfRule type="cellIs" dxfId="2115" priority="917" operator="greaterThan">
      <formula>45</formula>
    </cfRule>
  </conditionalFormatting>
  <conditionalFormatting sqref="W101">
    <cfRule type="cellIs" dxfId="2114" priority="997" operator="greaterThan">
      <formula>45</formula>
    </cfRule>
  </conditionalFormatting>
  <conditionalFormatting sqref="W110">
    <cfRule type="cellIs" dxfId="2113" priority="1077" operator="greaterThan">
      <formula>45</formula>
    </cfRule>
  </conditionalFormatting>
  <conditionalFormatting sqref="W117">
    <cfRule type="cellIs" dxfId="2112" priority="1157" operator="greaterThan">
      <formula>45</formula>
    </cfRule>
  </conditionalFormatting>
  <conditionalFormatting sqref="W124">
    <cfRule type="cellIs" dxfId="2111" priority="1237" operator="greaterThan">
      <formula>45</formula>
    </cfRule>
  </conditionalFormatting>
  <conditionalFormatting sqref="W128">
    <cfRule type="cellIs" dxfId="2110" priority="1317" operator="greaterThan">
      <formula>45</formula>
    </cfRule>
  </conditionalFormatting>
  <conditionalFormatting sqref="W133">
    <cfRule type="cellIs" dxfId="2109" priority="1397" operator="greaterThan">
      <formula>45</formula>
    </cfRule>
  </conditionalFormatting>
  <conditionalFormatting sqref="W136">
    <cfRule type="cellIs" dxfId="2108" priority="1477" operator="greaterThan">
      <formula>45</formula>
    </cfRule>
  </conditionalFormatting>
  <conditionalFormatting sqref="W143">
    <cfRule type="cellIs" dxfId="2107" priority="1557" operator="greaterThan">
      <formula>45</formula>
    </cfRule>
  </conditionalFormatting>
  <conditionalFormatting sqref="W157">
    <cfRule type="cellIs" dxfId="2106" priority="1637" operator="greaterThan">
      <formula>45</formula>
    </cfRule>
  </conditionalFormatting>
  <conditionalFormatting sqref="W160">
    <cfRule type="cellIs" dxfId="2105" priority="1717" operator="greaterThan">
      <formula>45</formula>
    </cfRule>
  </conditionalFormatting>
  <conditionalFormatting sqref="W170">
    <cfRule type="cellIs" dxfId="2104" priority="1797" operator="greaterThan">
      <formula>45</formula>
    </cfRule>
  </conditionalFormatting>
  <conditionalFormatting sqref="W182">
    <cfRule type="cellIs" dxfId="2103" priority="1877" operator="greaterThan">
      <formula>45</formula>
    </cfRule>
  </conditionalFormatting>
  <conditionalFormatting sqref="W185">
    <cfRule type="cellIs" dxfId="2102" priority="1957" operator="greaterThan">
      <formula>45</formula>
    </cfRule>
  </conditionalFormatting>
  <conditionalFormatting sqref="W188">
    <cfRule type="cellIs" dxfId="2101" priority="2037" operator="greaterThan">
      <formula>45</formula>
    </cfRule>
  </conditionalFormatting>
  <conditionalFormatting sqref="W194">
    <cfRule type="cellIs" dxfId="2100" priority="2117" operator="greaterThan">
      <formula>45</formula>
    </cfRule>
  </conditionalFormatting>
  <conditionalFormatting sqref="W198">
    <cfRule type="cellIs" dxfId="2099" priority="2197" operator="greaterThan">
      <formula>45</formula>
    </cfRule>
  </conditionalFormatting>
  <conditionalFormatting sqref="W206">
    <cfRule type="cellIs" dxfId="2098" priority="2277" operator="greaterThan">
      <formula>45</formula>
    </cfRule>
  </conditionalFormatting>
  <conditionalFormatting sqref="W211">
    <cfRule type="cellIs" dxfId="2097" priority="2357" operator="greaterThan">
      <formula>45</formula>
    </cfRule>
  </conditionalFormatting>
  <conditionalFormatting sqref="W213">
    <cfRule type="cellIs" dxfId="2096" priority="2437" operator="greaterThan">
      <formula>45</formula>
    </cfRule>
  </conditionalFormatting>
  <conditionalFormatting sqref="W217">
    <cfRule type="cellIs" dxfId="2095" priority="2517" operator="greaterThan">
      <formula>45</formula>
    </cfRule>
  </conditionalFormatting>
  <conditionalFormatting sqref="W220">
    <cfRule type="cellIs" dxfId="2094" priority="2597" operator="greaterThan">
      <formula>45</formula>
    </cfRule>
  </conditionalFormatting>
  <conditionalFormatting sqref="W223">
    <cfRule type="cellIs" dxfId="2093" priority="2677" operator="greaterThan">
      <formula>45</formula>
    </cfRule>
  </conditionalFormatting>
  <conditionalFormatting sqref="W226">
    <cfRule type="cellIs" dxfId="2092" priority="2757" operator="greaterThan">
      <formula>45</formula>
    </cfRule>
  </conditionalFormatting>
  <conditionalFormatting sqref="W229">
    <cfRule type="cellIs" dxfId="2091" priority="2837" operator="greaterThan">
      <formula>45</formula>
    </cfRule>
  </conditionalFormatting>
  <conditionalFormatting sqref="W232">
    <cfRule type="cellIs" dxfId="2090" priority="2917" operator="greaterThan">
      <formula>45</formula>
    </cfRule>
  </conditionalFormatting>
  <conditionalFormatting sqref="W234">
    <cfRule type="cellIs" dxfId="2089" priority="2997" operator="greaterThan">
      <formula>45</formula>
    </cfRule>
  </conditionalFormatting>
  <conditionalFormatting sqref="W248">
    <cfRule type="cellIs" dxfId="2088" priority="3077" operator="greaterThan">
      <formula>45</formula>
    </cfRule>
  </conditionalFormatting>
  <conditionalFormatting sqref="W252">
    <cfRule type="cellIs" dxfId="2087" priority="3157" operator="greaterThan">
      <formula>45</formula>
    </cfRule>
  </conditionalFormatting>
  <conditionalFormatting sqref="W261">
    <cfRule type="cellIs" dxfId="2086" priority="3237" operator="greaterThan">
      <formula>45</formula>
    </cfRule>
  </conditionalFormatting>
  <conditionalFormatting sqref="W271">
    <cfRule type="cellIs" dxfId="2085" priority="3317" operator="greaterThan">
      <formula>45</formula>
    </cfRule>
  </conditionalFormatting>
  <conditionalFormatting sqref="W280">
    <cfRule type="cellIs" dxfId="2084" priority="3397" operator="greaterThan">
      <formula>45</formula>
    </cfRule>
  </conditionalFormatting>
  <conditionalFormatting sqref="W283">
    <cfRule type="cellIs" dxfId="2083" priority="3477" operator="greaterThan">
      <formula>45</formula>
    </cfRule>
  </conditionalFormatting>
  <conditionalFormatting sqref="W292">
    <cfRule type="cellIs" dxfId="2082" priority="3557" operator="greaterThan">
      <formula>45</formula>
    </cfRule>
  </conditionalFormatting>
  <conditionalFormatting sqref="W294">
    <cfRule type="cellIs" dxfId="2081" priority="3637" operator="greaterThan">
      <formula>45</formula>
    </cfRule>
  </conditionalFormatting>
  <conditionalFormatting sqref="W296">
    <cfRule type="cellIs" dxfId="2080" priority="3717" operator="greaterThan">
      <formula>45</formula>
    </cfRule>
  </conditionalFormatting>
  <conditionalFormatting sqref="W298">
    <cfRule type="cellIs" dxfId="2079" priority="3797" operator="greaterThan">
      <formula>45</formula>
    </cfRule>
  </conditionalFormatting>
  <conditionalFormatting sqref="W300">
    <cfRule type="cellIs" dxfId="2078" priority="3877" operator="greaterThan">
      <formula>45</formula>
    </cfRule>
  </conditionalFormatting>
  <conditionalFormatting sqref="W302">
    <cfRule type="cellIs" dxfId="2077" priority="3957" operator="greaterThan">
      <formula>45</formula>
    </cfRule>
  </conditionalFormatting>
  <conditionalFormatting sqref="W304">
    <cfRule type="cellIs" dxfId="2076" priority="4037" operator="greaterThan">
      <formula>45</formula>
    </cfRule>
  </conditionalFormatting>
  <conditionalFormatting sqref="W306">
    <cfRule type="cellIs" dxfId="2075" priority="4117" operator="greaterThan">
      <formula>45</formula>
    </cfRule>
  </conditionalFormatting>
  <conditionalFormatting sqref="W308">
    <cfRule type="cellIs" dxfId="2074" priority="4197" operator="greaterThan">
      <formula>45</formula>
    </cfRule>
  </conditionalFormatting>
  <conditionalFormatting sqref="W310">
    <cfRule type="cellIs" dxfId="2073" priority="4277" operator="greaterThan">
      <formula>45</formula>
    </cfRule>
  </conditionalFormatting>
  <conditionalFormatting sqref="W312">
    <cfRule type="cellIs" dxfId="2072" priority="4357" operator="greaterThan">
      <formula>45</formula>
    </cfRule>
  </conditionalFormatting>
  <conditionalFormatting sqref="W314">
    <cfRule type="cellIs" dxfId="2071" priority="4437" operator="greaterThan">
      <formula>45</formula>
    </cfRule>
  </conditionalFormatting>
  <conditionalFormatting sqref="W316">
    <cfRule type="cellIs" dxfId="2070" priority="4517" operator="greaterThan">
      <formula>45</formula>
    </cfRule>
  </conditionalFormatting>
  <conditionalFormatting sqref="W318">
    <cfRule type="cellIs" dxfId="2069" priority="4597" operator="greaterThan">
      <formula>45</formula>
    </cfRule>
  </conditionalFormatting>
  <conditionalFormatting sqref="W320">
    <cfRule type="cellIs" dxfId="2068" priority="4677" operator="greaterThan">
      <formula>45</formula>
    </cfRule>
  </conditionalFormatting>
  <conditionalFormatting sqref="W322">
    <cfRule type="cellIs" dxfId="2067" priority="4757" operator="greaterThan">
      <formula>45</formula>
    </cfRule>
  </conditionalFormatting>
  <conditionalFormatting sqref="W324">
    <cfRule type="cellIs" dxfId="2066" priority="4837" operator="greaterThan">
      <formula>45</formula>
    </cfRule>
  </conditionalFormatting>
  <conditionalFormatting sqref="W326">
    <cfRule type="cellIs" dxfId="2065" priority="4917" operator="greaterThan">
      <formula>45</formula>
    </cfRule>
  </conditionalFormatting>
  <conditionalFormatting sqref="X2">
    <cfRule type="cellIs" dxfId="2064" priority="39" operator="greaterThan">
      <formula>65</formula>
    </cfRule>
    <cfRule type="cellIs" dxfId="2063" priority="38" operator="greaterThan">
      <formula>55</formula>
    </cfRule>
  </conditionalFormatting>
  <conditionalFormatting sqref="X4">
    <cfRule type="cellIs" dxfId="2062" priority="118" operator="greaterThan">
      <formula>55</formula>
    </cfRule>
    <cfRule type="cellIs" dxfId="2061" priority="119" operator="greaterThan">
      <formula>65</formula>
    </cfRule>
  </conditionalFormatting>
  <conditionalFormatting sqref="X13">
    <cfRule type="cellIs" dxfId="2060" priority="199" operator="greaterThan">
      <formula>65</formula>
    </cfRule>
    <cfRule type="cellIs" dxfId="2059" priority="198" operator="greaterThan">
      <formula>55</formula>
    </cfRule>
  </conditionalFormatting>
  <conditionalFormatting sqref="X23">
    <cfRule type="cellIs" dxfId="2058" priority="279" operator="greaterThan">
      <formula>65</formula>
    </cfRule>
    <cfRule type="cellIs" dxfId="2057" priority="278" operator="greaterThan">
      <formula>55</formula>
    </cfRule>
  </conditionalFormatting>
  <conditionalFormatting sqref="X33">
    <cfRule type="cellIs" dxfId="2056" priority="358" operator="greaterThan">
      <formula>55</formula>
    </cfRule>
    <cfRule type="cellIs" dxfId="2055" priority="359" operator="greaterThan">
      <formula>65</formula>
    </cfRule>
  </conditionalFormatting>
  <conditionalFormatting sqref="X48">
    <cfRule type="cellIs" dxfId="2054" priority="439" operator="greaterThan">
      <formula>65</formula>
    </cfRule>
    <cfRule type="cellIs" dxfId="2053" priority="438" operator="greaterThan">
      <formula>55</formula>
    </cfRule>
  </conditionalFormatting>
  <conditionalFormatting sqref="X52">
    <cfRule type="cellIs" dxfId="2052" priority="518" operator="greaterThan">
      <formula>55</formula>
    </cfRule>
    <cfRule type="cellIs" dxfId="2051" priority="519" operator="greaterThan">
      <formula>65</formula>
    </cfRule>
  </conditionalFormatting>
  <conditionalFormatting sqref="X61">
    <cfRule type="cellIs" dxfId="2050" priority="599" operator="greaterThan">
      <formula>65</formula>
    </cfRule>
    <cfRule type="cellIs" dxfId="2049" priority="598" operator="greaterThan">
      <formula>55</formula>
    </cfRule>
  </conditionalFormatting>
  <conditionalFormatting sqref="X74">
    <cfRule type="cellIs" dxfId="2048" priority="679" operator="greaterThan">
      <formula>65</formula>
    </cfRule>
    <cfRule type="cellIs" dxfId="2047" priority="678" operator="greaterThan">
      <formula>55</formula>
    </cfRule>
  </conditionalFormatting>
  <conditionalFormatting sqref="X76">
    <cfRule type="cellIs" dxfId="2046" priority="758" operator="greaterThan">
      <formula>55</formula>
    </cfRule>
    <cfRule type="cellIs" dxfId="2045" priority="759" operator="greaterThan">
      <formula>65</formula>
    </cfRule>
  </conditionalFormatting>
  <conditionalFormatting sqref="X86">
    <cfRule type="cellIs" dxfId="2044" priority="839" operator="greaterThan">
      <formula>65</formula>
    </cfRule>
    <cfRule type="cellIs" dxfId="2043" priority="838" operator="greaterThan">
      <formula>55</formula>
    </cfRule>
  </conditionalFormatting>
  <conditionalFormatting sqref="X96">
    <cfRule type="cellIs" dxfId="2042" priority="918" operator="greaterThan">
      <formula>55</formula>
    </cfRule>
    <cfRule type="cellIs" dxfId="2041" priority="919" operator="greaterThan">
      <formula>65</formula>
    </cfRule>
  </conditionalFormatting>
  <conditionalFormatting sqref="X101">
    <cfRule type="cellIs" dxfId="2040" priority="998" operator="greaterThan">
      <formula>55</formula>
    </cfRule>
    <cfRule type="cellIs" dxfId="2039" priority="999" operator="greaterThan">
      <formula>65</formula>
    </cfRule>
  </conditionalFormatting>
  <conditionalFormatting sqref="X110">
    <cfRule type="cellIs" dxfId="2038" priority="1078" operator="greaterThan">
      <formula>55</formula>
    </cfRule>
    <cfRule type="cellIs" dxfId="2037" priority="1079" operator="greaterThan">
      <formula>65</formula>
    </cfRule>
  </conditionalFormatting>
  <conditionalFormatting sqref="X117">
    <cfRule type="cellIs" dxfId="2036" priority="1158" operator="greaterThan">
      <formula>55</formula>
    </cfRule>
    <cfRule type="cellIs" dxfId="2035" priority="1159" operator="greaterThan">
      <formula>65</formula>
    </cfRule>
  </conditionalFormatting>
  <conditionalFormatting sqref="X124">
    <cfRule type="cellIs" dxfId="2034" priority="1238" operator="greaterThan">
      <formula>55</formula>
    </cfRule>
    <cfRule type="cellIs" dxfId="2033" priority="1239" operator="greaterThan">
      <formula>65</formula>
    </cfRule>
  </conditionalFormatting>
  <conditionalFormatting sqref="X128">
    <cfRule type="cellIs" dxfId="2032" priority="1319" operator="greaterThan">
      <formula>65</formula>
    </cfRule>
    <cfRule type="cellIs" dxfId="2031" priority="1318" operator="greaterThan">
      <formula>55</formula>
    </cfRule>
  </conditionalFormatting>
  <conditionalFormatting sqref="X133">
    <cfRule type="cellIs" dxfId="2030" priority="1399" operator="greaterThan">
      <formula>65</formula>
    </cfRule>
    <cfRule type="cellIs" dxfId="2029" priority="1398" operator="greaterThan">
      <formula>55</formula>
    </cfRule>
  </conditionalFormatting>
  <conditionalFormatting sqref="X136">
    <cfRule type="cellIs" dxfId="2028" priority="1479" operator="greaterThan">
      <formula>65</formula>
    </cfRule>
    <cfRule type="cellIs" dxfId="2027" priority="1478" operator="greaterThan">
      <formula>55</formula>
    </cfRule>
  </conditionalFormatting>
  <conditionalFormatting sqref="X143">
    <cfRule type="cellIs" dxfId="2026" priority="1558" operator="greaterThan">
      <formula>55</formula>
    </cfRule>
    <cfRule type="cellIs" dxfId="2025" priority="1559" operator="greaterThan">
      <formula>65</formula>
    </cfRule>
  </conditionalFormatting>
  <conditionalFormatting sqref="X157">
    <cfRule type="cellIs" dxfId="2024" priority="1638" operator="greaterThan">
      <formula>55</formula>
    </cfRule>
    <cfRule type="cellIs" dxfId="2023" priority="1639" operator="greaterThan">
      <formula>65</formula>
    </cfRule>
  </conditionalFormatting>
  <conditionalFormatting sqref="X160">
    <cfRule type="cellIs" dxfId="2022" priority="1718" operator="greaterThan">
      <formula>55</formula>
    </cfRule>
    <cfRule type="cellIs" dxfId="2021" priority="1719" operator="greaterThan">
      <formula>65</formula>
    </cfRule>
  </conditionalFormatting>
  <conditionalFormatting sqref="X170">
    <cfRule type="cellIs" dxfId="2020" priority="1798" operator="greaterThan">
      <formula>55</formula>
    </cfRule>
    <cfRule type="cellIs" dxfId="2019" priority="1799" operator="greaterThan">
      <formula>65</formula>
    </cfRule>
  </conditionalFormatting>
  <conditionalFormatting sqref="X182">
    <cfRule type="cellIs" dxfId="2018" priority="1878" operator="greaterThan">
      <formula>55</formula>
    </cfRule>
    <cfRule type="cellIs" dxfId="2017" priority="1879" operator="greaterThan">
      <formula>65</formula>
    </cfRule>
  </conditionalFormatting>
  <conditionalFormatting sqref="X185">
    <cfRule type="cellIs" dxfId="2016" priority="1958" operator="greaterThan">
      <formula>55</formula>
    </cfRule>
    <cfRule type="cellIs" dxfId="2015" priority="1959" operator="greaterThan">
      <formula>65</formula>
    </cfRule>
  </conditionalFormatting>
  <conditionalFormatting sqref="X188">
    <cfRule type="cellIs" dxfId="2014" priority="2039" operator="greaterThan">
      <formula>65</formula>
    </cfRule>
    <cfRule type="cellIs" dxfId="2013" priority="2038" operator="greaterThan">
      <formula>55</formula>
    </cfRule>
  </conditionalFormatting>
  <conditionalFormatting sqref="X194">
    <cfRule type="cellIs" dxfId="2012" priority="2119" operator="greaterThan">
      <formula>65</formula>
    </cfRule>
    <cfRule type="cellIs" dxfId="2011" priority="2118" operator="greaterThan">
      <formula>55</formula>
    </cfRule>
  </conditionalFormatting>
  <conditionalFormatting sqref="X198">
    <cfRule type="cellIs" dxfId="2010" priority="2199" operator="greaterThan">
      <formula>65</formula>
    </cfRule>
    <cfRule type="cellIs" dxfId="2009" priority="2198" operator="greaterThan">
      <formula>55</formula>
    </cfRule>
  </conditionalFormatting>
  <conditionalFormatting sqref="X206">
    <cfRule type="cellIs" dxfId="2008" priority="2278" operator="greaterThan">
      <formula>55</formula>
    </cfRule>
    <cfRule type="cellIs" dxfId="2007" priority="2279" operator="greaterThan">
      <formula>65</formula>
    </cfRule>
  </conditionalFormatting>
  <conditionalFormatting sqref="X211">
    <cfRule type="cellIs" dxfId="2006" priority="2359" operator="greaterThan">
      <formula>65</formula>
    </cfRule>
    <cfRule type="cellIs" dxfId="2005" priority="2358" operator="greaterThan">
      <formula>55</formula>
    </cfRule>
  </conditionalFormatting>
  <conditionalFormatting sqref="X213">
    <cfRule type="cellIs" dxfId="2004" priority="2439" operator="greaterThan">
      <formula>65</formula>
    </cfRule>
    <cfRule type="cellIs" dxfId="2003" priority="2438" operator="greaterThan">
      <formula>55</formula>
    </cfRule>
  </conditionalFormatting>
  <conditionalFormatting sqref="X217">
    <cfRule type="cellIs" dxfId="2002" priority="2519" operator="greaterThan">
      <formula>65</formula>
    </cfRule>
    <cfRule type="cellIs" dxfId="2001" priority="2518" operator="greaterThan">
      <formula>55</formula>
    </cfRule>
  </conditionalFormatting>
  <conditionalFormatting sqref="X220">
    <cfRule type="cellIs" dxfId="2000" priority="2599" operator="greaterThan">
      <formula>65</formula>
    </cfRule>
    <cfRule type="cellIs" dxfId="1999" priority="2598" operator="greaterThan">
      <formula>55</formula>
    </cfRule>
  </conditionalFormatting>
  <conditionalFormatting sqref="X223">
    <cfRule type="cellIs" dxfId="1998" priority="2678" operator="greaterThan">
      <formula>55</formula>
    </cfRule>
    <cfRule type="cellIs" dxfId="1997" priority="2679" operator="greaterThan">
      <formula>65</formula>
    </cfRule>
  </conditionalFormatting>
  <conditionalFormatting sqref="X226">
    <cfRule type="cellIs" dxfId="1996" priority="2758" operator="greaterThan">
      <formula>55</formula>
    </cfRule>
    <cfRule type="cellIs" dxfId="1995" priority="2759" operator="greaterThan">
      <formula>65</formula>
    </cfRule>
  </conditionalFormatting>
  <conditionalFormatting sqref="X229">
    <cfRule type="cellIs" dxfId="1994" priority="2838" operator="greaterThan">
      <formula>55</formula>
    </cfRule>
    <cfRule type="cellIs" dxfId="1993" priority="2839" operator="greaterThan">
      <formula>65</formula>
    </cfRule>
  </conditionalFormatting>
  <conditionalFormatting sqref="X232">
    <cfRule type="cellIs" dxfId="1992" priority="2919" operator="greaterThan">
      <formula>65</formula>
    </cfRule>
    <cfRule type="cellIs" dxfId="1991" priority="2918" operator="greaterThan">
      <formula>55</formula>
    </cfRule>
  </conditionalFormatting>
  <conditionalFormatting sqref="X234">
    <cfRule type="cellIs" dxfId="1990" priority="2998" operator="greaterThan">
      <formula>55</formula>
    </cfRule>
    <cfRule type="cellIs" dxfId="1989" priority="2999" operator="greaterThan">
      <formula>65</formula>
    </cfRule>
  </conditionalFormatting>
  <conditionalFormatting sqref="X248">
    <cfRule type="cellIs" dxfId="1988" priority="3078" operator="greaterThan">
      <formula>55</formula>
    </cfRule>
    <cfRule type="cellIs" dxfId="1987" priority="3079" operator="greaterThan">
      <formula>65</formula>
    </cfRule>
  </conditionalFormatting>
  <conditionalFormatting sqref="X252">
    <cfRule type="cellIs" dxfId="1986" priority="3158" operator="greaterThan">
      <formula>55</formula>
    </cfRule>
    <cfRule type="cellIs" dxfId="1985" priority="3159" operator="greaterThan">
      <formula>65</formula>
    </cfRule>
  </conditionalFormatting>
  <conditionalFormatting sqref="X261">
    <cfRule type="cellIs" dxfId="1984" priority="3239" operator="greaterThan">
      <formula>65</formula>
    </cfRule>
    <cfRule type="cellIs" dxfId="1983" priority="3238" operator="greaterThan">
      <formula>55</formula>
    </cfRule>
  </conditionalFormatting>
  <conditionalFormatting sqref="X271">
    <cfRule type="cellIs" dxfId="1982" priority="3319" operator="greaterThan">
      <formula>65</formula>
    </cfRule>
    <cfRule type="cellIs" dxfId="1981" priority="3318" operator="greaterThan">
      <formula>55</formula>
    </cfRule>
  </conditionalFormatting>
  <conditionalFormatting sqref="X280">
    <cfRule type="cellIs" dxfId="1980" priority="3398" operator="greaterThan">
      <formula>55</formula>
    </cfRule>
    <cfRule type="cellIs" dxfId="1979" priority="3399" operator="greaterThan">
      <formula>65</formula>
    </cfRule>
  </conditionalFormatting>
  <conditionalFormatting sqref="X283">
    <cfRule type="cellIs" dxfId="1978" priority="3478" operator="greaterThan">
      <formula>55</formula>
    </cfRule>
    <cfRule type="cellIs" dxfId="1977" priority="3479" operator="greaterThan">
      <formula>65</formula>
    </cfRule>
  </conditionalFormatting>
  <conditionalFormatting sqref="X292">
    <cfRule type="cellIs" dxfId="1976" priority="3559" operator="greaterThan">
      <formula>65</formula>
    </cfRule>
    <cfRule type="cellIs" dxfId="1975" priority="3558" operator="greaterThan">
      <formula>55</formula>
    </cfRule>
  </conditionalFormatting>
  <conditionalFormatting sqref="X294">
    <cfRule type="cellIs" dxfId="1974" priority="3639" operator="greaterThan">
      <formula>65</formula>
    </cfRule>
    <cfRule type="cellIs" dxfId="1973" priority="3638" operator="greaterThan">
      <formula>55</formula>
    </cfRule>
  </conditionalFormatting>
  <conditionalFormatting sqref="X296">
    <cfRule type="cellIs" dxfId="1972" priority="3718" operator="greaterThan">
      <formula>55</formula>
    </cfRule>
    <cfRule type="cellIs" dxfId="1971" priority="3719" operator="greaterThan">
      <formula>65</formula>
    </cfRule>
  </conditionalFormatting>
  <conditionalFormatting sqref="X298">
    <cfRule type="cellIs" dxfId="1970" priority="3798" operator="greaterThan">
      <formula>55</formula>
    </cfRule>
    <cfRule type="cellIs" dxfId="1969" priority="3799" operator="greaterThan">
      <formula>65</formula>
    </cfRule>
  </conditionalFormatting>
  <conditionalFormatting sqref="X300">
    <cfRule type="cellIs" dxfId="1968" priority="3879" operator="greaterThan">
      <formula>65</formula>
    </cfRule>
    <cfRule type="cellIs" dxfId="1967" priority="3878" operator="greaterThan">
      <formula>55</formula>
    </cfRule>
  </conditionalFormatting>
  <conditionalFormatting sqref="X302">
    <cfRule type="cellIs" dxfId="1966" priority="3958" operator="greaterThan">
      <formula>55</formula>
    </cfRule>
    <cfRule type="cellIs" dxfId="1965" priority="3959" operator="greaterThan">
      <formula>65</formula>
    </cfRule>
  </conditionalFormatting>
  <conditionalFormatting sqref="X304">
    <cfRule type="cellIs" dxfId="1964" priority="4038" operator="greaterThan">
      <formula>55</formula>
    </cfRule>
    <cfRule type="cellIs" dxfId="1963" priority="4039" operator="greaterThan">
      <formula>65</formula>
    </cfRule>
  </conditionalFormatting>
  <conditionalFormatting sqref="X306">
    <cfRule type="cellIs" dxfId="1962" priority="4118" operator="greaterThan">
      <formula>55</formula>
    </cfRule>
    <cfRule type="cellIs" dxfId="1961" priority="4119" operator="greaterThan">
      <formula>65</formula>
    </cfRule>
  </conditionalFormatting>
  <conditionalFormatting sqref="X308">
    <cfRule type="cellIs" dxfId="1960" priority="4199" operator="greaterThan">
      <formula>65</formula>
    </cfRule>
    <cfRule type="cellIs" dxfId="1959" priority="4198" operator="greaterThan">
      <formula>55</formula>
    </cfRule>
  </conditionalFormatting>
  <conditionalFormatting sqref="X310">
    <cfRule type="cellIs" dxfId="1958" priority="4279" operator="greaterThan">
      <formula>65</formula>
    </cfRule>
    <cfRule type="cellIs" dxfId="1957" priority="4278" operator="greaterThan">
      <formula>55</formula>
    </cfRule>
  </conditionalFormatting>
  <conditionalFormatting sqref="X312">
    <cfRule type="cellIs" dxfId="1956" priority="4358" operator="greaterThan">
      <formula>55</formula>
    </cfRule>
    <cfRule type="cellIs" dxfId="1955" priority="4359" operator="greaterThan">
      <formula>65</formula>
    </cfRule>
  </conditionalFormatting>
  <conditionalFormatting sqref="X314">
    <cfRule type="cellIs" dxfId="1954" priority="4438" operator="greaterThan">
      <formula>55</formula>
    </cfRule>
    <cfRule type="cellIs" dxfId="1953" priority="4439" operator="greaterThan">
      <formula>65</formula>
    </cfRule>
  </conditionalFormatting>
  <conditionalFormatting sqref="X316">
    <cfRule type="cellIs" dxfId="1952" priority="4519" operator="greaterThan">
      <formula>65</formula>
    </cfRule>
    <cfRule type="cellIs" dxfId="1951" priority="4518" operator="greaterThan">
      <formula>55</formula>
    </cfRule>
  </conditionalFormatting>
  <conditionalFormatting sqref="X318">
    <cfRule type="cellIs" dxfId="1950" priority="4598" operator="greaterThan">
      <formula>55</formula>
    </cfRule>
    <cfRule type="cellIs" dxfId="1949" priority="4599" operator="greaterThan">
      <formula>65</formula>
    </cfRule>
  </conditionalFormatting>
  <conditionalFormatting sqref="X320">
    <cfRule type="cellIs" dxfId="1948" priority="4679" operator="greaterThan">
      <formula>65</formula>
    </cfRule>
    <cfRule type="cellIs" dxfId="1947" priority="4678" operator="greaterThan">
      <formula>55</formula>
    </cfRule>
  </conditionalFormatting>
  <conditionalFormatting sqref="X322">
    <cfRule type="cellIs" dxfId="1946" priority="4759" operator="greaterThan">
      <formula>65</formula>
    </cfRule>
    <cfRule type="cellIs" dxfId="1945" priority="4758" operator="greaterThan">
      <formula>55</formula>
    </cfRule>
  </conditionalFormatting>
  <conditionalFormatting sqref="X324">
    <cfRule type="cellIs" dxfId="1944" priority="4838" operator="greaterThan">
      <formula>55</formula>
    </cfRule>
    <cfRule type="cellIs" dxfId="1943" priority="4839" operator="greaterThan">
      <formula>65</formula>
    </cfRule>
  </conditionalFormatting>
  <conditionalFormatting sqref="X326">
    <cfRule type="cellIs" dxfId="1942" priority="4919" operator="greaterThan">
      <formula>65</formula>
    </cfRule>
    <cfRule type="cellIs" dxfId="1941" priority="4918" operator="greaterThan">
      <formula>55</formula>
    </cfRule>
  </conditionalFormatting>
  <conditionalFormatting sqref="Y2">
    <cfRule type="cellIs" dxfId="1940" priority="40" operator="greaterThan">
      <formula>55</formula>
    </cfRule>
    <cfRule type="cellIs" dxfId="1939" priority="41" operator="greaterThan">
      <formula>65</formula>
    </cfRule>
  </conditionalFormatting>
  <conditionalFormatting sqref="Y4">
    <cfRule type="cellIs" dxfId="1938" priority="120" operator="greaterThan">
      <formula>55</formula>
    </cfRule>
    <cfRule type="cellIs" dxfId="1937" priority="121" operator="greaterThan">
      <formula>65</formula>
    </cfRule>
  </conditionalFormatting>
  <conditionalFormatting sqref="Y13">
    <cfRule type="cellIs" dxfId="1936" priority="200" operator="greaterThan">
      <formula>55</formula>
    </cfRule>
    <cfRule type="cellIs" dxfId="1935" priority="201" operator="greaterThan">
      <formula>65</formula>
    </cfRule>
  </conditionalFormatting>
  <conditionalFormatting sqref="Y23">
    <cfRule type="cellIs" dxfId="1934" priority="281" operator="greaterThan">
      <formula>65</formula>
    </cfRule>
    <cfRule type="cellIs" dxfId="1933" priority="280" operator="greaterThan">
      <formula>55</formula>
    </cfRule>
  </conditionalFormatting>
  <conditionalFormatting sqref="Y33">
    <cfRule type="cellIs" dxfId="1932" priority="361" operator="greaterThan">
      <formula>65</formula>
    </cfRule>
    <cfRule type="cellIs" dxfId="1931" priority="360" operator="greaterThan">
      <formula>55</formula>
    </cfRule>
  </conditionalFormatting>
  <conditionalFormatting sqref="Y48">
    <cfRule type="cellIs" dxfId="1930" priority="440" operator="greaterThan">
      <formula>55</formula>
    </cfRule>
    <cfRule type="cellIs" dxfId="1929" priority="441" operator="greaterThan">
      <formula>65</formula>
    </cfRule>
  </conditionalFormatting>
  <conditionalFormatting sqref="Y52">
    <cfRule type="cellIs" dxfId="1928" priority="520" operator="greaterThan">
      <formula>55</formula>
    </cfRule>
    <cfRule type="cellIs" dxfId="1927" priority="521" operator="greaterThan">
      <formula>65</formula>
    </cfRule>
  </conditionalFormatting>
  <conditionalFormatting sqref="Y61">
    <cfRule type="cellIs" dxfId="1926" priority="601" operator="greaterThan">
      <formula>65</formula>
    </cfRule>
    <cfRule type="cellIs" dxfId="1925" priority="600" operator="greaterThan">
      <formula>55</formula>
    </cfRule>
  </conditionalFormatting>
  <conditionalFormatting sqref="Y74">
    <cfRule type="cellIs" dxfId="1924" priority="681" operator="greaterThan">
      <formula>65</formula>
    </cfRule>
    <cfRule type="cellIs" dxfId="1923" priority="680" operator="greaterThan">
      <formula>55</formula>
    </cfRule>
  </conditionalFormatting>
  <conditionalFormatting sqref="Y76">
    <cfRule type="cellIs" dxfId="1922" priority="760" operator="greaterThan">
      <formula>55</formula>
    </cfRule>
    <cfRule type="cellIs" dxfId="1921" priority="761" operator="greaterThan">
      <formula>65</formula>
    </cfRule>
  </conditionalFormatting>
  <conditionalFormatting sqref="Y86">
    <cfRule type="cellIs" dxfId="1920" priority="840" operator="greaterThan">
      <formula>55</formula>
    </cfRule>
    <cfRule type="cellIs" dxfId="1919" priority="841" operator="greaterThan">
      <formula>65</formula>
    </cfRule>
  </conditionalFormatting>
  <conditionalFormatting sqref="Y96">
    <cfRule type="cellIs" dxfId="1918" priority="920" operator="greaterThan">
      <formula>55</formula>
    </cfRule>
    <cfRule type="cellIs" dxfId="1917" priority="921" operator="greaterThan">
      <formula>65</formula>
    </cfRule>
  </conditionalFormatting>
  <conditionalFormatting sqref="Y101">
    <cfRule type="cellIs" dxfId="1916" priority="1000" operator="greaterThan">
      <formula>55</formula>
    </cfRule>
    <cfRule type="cellIs" dxfId="1915" priority="1001" operator="greaterThan">
      <formula>65</formula>
    </cfRule>
  </conditionalFormatting>
  <conditionalFormatting sqref="Y110">
    <cfRule type="cellIs" dxfId="1914" priority="1080" operator="greaterThan">
      <formula>55</formula>
    </cfRule>
    <cfRule type="cellIs" dxfId="1913" priority="1081" operator="greaterThan">
      <formula>65</formula>
    </cfRule>
  </conditionalFormatting>
  <conditionalFormatting sqref="Y117">
    <cfRule type="cellIs" dxfId="1912" priority="1160" operator="greaterThan">
      <formula>55</formula>
    </cfRule>
    <cfRule type="cellIs" dxfId="1911" priority="1161" operator="greaterThan">
      <formula>65</formula>
    </cfRule>
  </conditionalFormatting>
  <conditionalFormatting sqref="Y124">
    <cfRule type="cellIs" dxfId="1910" priority="1241" operator="greaterThan">
      <formula>65</formula>
    </cfRule>
    <cfRule type="cellIs" dxfId="1909" priority="1240" operator="greaterThan">
      <formula>55</formula>
    </cfRule>
  </conditionalFormatting>
  <conditionalFormatting sqref="Y128">
    <cfRule type="cellIs" dxfId="1908" priority="1320" operator="greaterThan">
      <formula>55</formula>
    </cfRule>
    <cfRule type="cellIs" dxfId="1907" priority="1321" operator="greaterThan">
      <formula>65</formula>
    </cfRule>
  </conditionalFormatting>
  <conditionalFormatting sqref="Y133">
    <cfRule type="cellIs" dxfId="1906" priority="1401" operator="greaterThan">
      <formula>65</formula>
    </cfRule>
    <cfRule type="cellIs" dxfId="1905" priority="1400" operator="greaterThan">
      <formula>55</formula>
    </cfRule>
  </conditionalFormatting>
  <conditionalFormatting sqref="Y136">
    <cfRule type="cellIs" dxfId="1904" priority="1481" operator="greaterThan">
      <formula>65</formula>
    </cfRule>
    <cfRule type="cellIs" dxfId="1903" priority="1480" operator="greaterThan">
      <formula>55</formula>
    </cfRule>
  </conditionalFormatting>
  <conditionalFormatting sqref="Y143">
    <cfRule type="cellIs" dxfId="1902" priority="1561" operator="greaterThan">
      <formula>65</formula>
    </cfRule>
    <cfRule type="cellIs" dxfId="1901" priority="1560" operator="greaterThan">
      <formula>55</formula>
    </cfRule>
  </conditionalFormatting>
  <conditionalFormatting sqref="Y157">
    <cfRule type="cellIs" dxfId="1900" priority="1641" operator="greaterThan">
      <formula>65</formula>
    </cfRule>
    <cfRule type="cellIs" dxfId="1899" priority="1640" operator="greaterThan">
      <formula>55</formula>
    </cfRule>
  </conditionalFormatting>
  <conditionalFormatting sqref="Y160">
    <cfRule type="cellIs" dxfId="1898" priority="1721" operator="greaterThan">
      <formula>65</formula>
    </cfRule>
    <cfRule type="cellIs" dxfId="1897" priority="1720" operator="greaterThan">
      <formula>55</formula>
    </cfRule>
  </conditionalFormatting>
  <conditionalFormatting sqref="Y170">
    <cfRule type="cellIs" dxfId="1896" priority="1800" operator="greaterThan">
      <formula>55</formula>
    </cfRule>
    <cfRule type="cellIs" dxfId="1895" priority="1801" operator="greaterThan">
      <formula>65</formula>
    </cfRule>
  </conditionalFormatting>
  <conditionalFormatting sqref="Y182">
    <cfRule type="cellIs" dxfId="1894" priority="1881" operator="greaterThan">
      <formula>65</formula>
    </cfRule>
    <cfRule type="cellIs" dxfId="1893" priority="1880" operator="greaterThan">
      <formula>55</formula>
    </cfRule>
  </conditionalFormatting>
  <conditionalFormatting sqref="Y185">
    <cfRule type="cellIs" dxfId="1892" priority="1960" operator="greaterThan">
      <formula>55</formula>
    </cfRule>
    <cfRule type="cellIs" dxfId="1891" priority="1961" operator="greaterThan">
      <formula>65</formula>
    </cfRule>
  </conditionalFormatting>
  <conditionalFormatting sqref="Y188">
    <cfRule type="cellIs" dxfId="1890" priority="2041" operator="greaterThan">
      <formula>65</formula>
    </cfRule>
    <cfRule type="cellIs" dxfId="1889" priority="2040" operator="greaterThan">
      <formula>55</formula>
    </cfRule>
  </conditionalFormatting>
  <conditionalFormatting sqref="Y194">
    <cfRule type="cellIs" dxfId="1888" priority="2120" operator="greaterThan">
      <formula>55</formula>
    </cfRule>
    <cfRule type="cellIs" dxfId="1887" priority="2121" operator="greaterThan">
      <formula>65</formula>
    </cfRule>
  </conditionalFormatting>
  <conditionalFormatting sqref="Y198">
    <cfRule type="cellIs" dxfId="1886" priority="2200" operator="greaterThan">
      <formula>55</formula>
    </cfRule>
    <cfRule type="cellIs" dxfId="1885" priority="2201" operator="greaterThan">
      <formula>65</formula>
    </cfRule>
  </conditionalFormatting>
  <conditionalFormatting sqref="Y206">
    <cfRule type="cellIs" dxfId="1884" priority="2281" operator="greaterThan">
      <formula>65</formula>
    </cfRule>
    <cfRule type="cellIs" dxfId="1883" priority="2280" operator="greaterThan">
      <formula>55</formula>
    </cfRule>
  </conditionalFormatting>
  <conditionalFormatting sqref="Y211">
    <cfRule type="cellIs" dxfId="1882" priority="2360" operator="greaterThan">
      <formula>55</formula>
    </cfRule>
    <cfRule type="cellIs" dxfId="1881" priority="2361" operator="greaterThan">
      <formula>65</formula>
    </cfRule>
  </conditionalFormatting>
  <conditionalFormatting sqref="Y213">
    <cfRule type="cellIs" dxfId="1880" priority="2440" operator="greaterThan">
      <formula>55</formula>
    </cfRule>
    <cfRule type="cellIs" dxfId="1879" priority="2441" operator="greaterThan">
      <formula>65</formula>
    </cfRule>
  </conditionalFormatting>
  <conditionalFormatting sqref="Y217">
    <cfRule type="cellIs" dxfId="1878" priority="2520" operator="greaterThan">
      <formula>55</formula>
    </cfRule>
    <cfRule type="cellIs" dxfId="1877" priority="2521" operator="greaterThan">
      <formula>65</formula>
    </cfRule>
  </conditionalFormatting>
  <conditionalFormatting sqref="Y220">
    <cfRule type="cellIs" dxfId="1876" priority="2600" operator="greaterThan">
      <formula>55</formula>
    </cfRule>
    <cfRule type="cellIs" dxfId="1875" priority="2601" operator="greaterThan">
      <formula>65</formula>
    </cfRule>
  </conditionalFormatting>
  <conditionalFormatting sqref="Y223">
    <cfRule type="cellIs" dxfId="1874" priority="2681" operator="greaterThan">
      <formula>65</formula>
    </cfRule>
    <cfRule type="cellIs" dxfId="1873" priority="2680" operator="greaterThan">
      <formula>55</formula>
    </cfRule>
  </conditionalFormatting>
  <conditionalFormatting sqref="Y226">
    <cfRule type="cellIs" dxfId="1872" priority="2760" operator="greaterThan">
      <formula>55</formula>
    </cfRule>
    <cfRule type="cellIs" dxfId="1871" priority="2761" operator="greaterThan">
      <formula>65</formula>
    </cfRule>
  </conditionalFormatting>
  <conditionalFormatting sqref="Y229">
    <cfRule type="cellIs" dxfId="1870" priority="2840" operator="greaterThan">
      <formula>55</formula>
    </cfRule>
    <cfRule type="cellIs" dxfId="1869" priority="2841" operator="greaterThan">
      <formula>65</formula>
    </cfRule>
  </conditionalFormatting>
  <conditionalFormatting sqref="Y232">
    <cfRule type="cellIs" dxfId="1868" priority="2921" operator="greaterThan">
      <formula>65</formula>
    </cfRule>
    <cfRule type="cellIs" dxfId="1867" priority="2920" operator="greaterThan">
      <formula>55</formula>
    </cfRule>
  </conditionalFormatting>
  <conditionalFormatting sqref="Y234">
    <cfRule type="cellIs" dxfId="1866" priority="3001" operator="greaterThan">
      <formula>65</formula>
    </cfRule>
    <cfRule type="cellIs" dxfId="1865" priority="3000" operator="greaterThan">
      <formula>55</formula>
    </cfRule>
  </conditionalFormatting>
  <conditionalFormatting sqref="Y248">
    <cfRule type="cellIs" dxfId="1864" priority="3081" operator="greaterThan">
      <formula>65</formula>
    </cfRule>
    <cfRule type="cellIs" dxfId="1863" priority="3080" operator="greaterThan">
      <formula>55</formula>
    </cfRule>
  </conditionalFormatting>
  <conditionalFormatting sqref="Y252">
    <cfRule type="cellIs" dxfId="1862" priority="3161" operator="greaterThan">
      <formula>65</formula>
    </cfRule>
    <cfRule type="cellIs" dxfId="1861" priority="3160" operator="greaterThan">
      <formula>55</formula>
    </cfRule>
  </conditionalFormatting>
  <conditionalFormatting sqref="Y261">
    <cfRule type="cellIs" dxfId="1860" priority="3240" operator="greaterThan">
      <formula>55</formula>
    </cfRule>
    <cfRule type="cellIs" dxfId="1859" priority="3241" operator="greaterThan">
      <formula>65</formula>
    </cfRule>
  </conditionalFormatting>
  <conditionalFormatting sqref="Y271">
    <cfRule type="cellIs" dxfId="1858" priority="3321" operator="greaterThan">
      <formula>65</formula>
    </cfRule>
    <cfRule type="cellIs" dxfId="1857" priority="3320" operator="greaterThan">
      <formula>55</formula>
    </cfRule>
  </conditionalFormatting>
  <conditionalFormatting sqref="Y280">
    <cfRule type="cellIs" dxfId="1856" priority="3401" operator="greaterThan">
      <formula>65</formula>
    </cfRule>
    <cfRule type="cellIs" dxfId="1855" priority="3400" operator="greaterThan">
      <formula>55</formula>
    </cfRule>
  </conditionalFormatting>
  <conditionalFormatting sqref="Y283">
    <cfRule type="cellIs" dxfId="1854" priority="3480" operator="greaterThan">
      <formula>55</formula>
    </cfRule>
    <cfRule type="cellIs" dxfId="1853" priority="3481" operator="greaterThan">
      <formula>65</formula>
    </cfRule>
  </conditionalFormatting>
  <conditionalFormatting sqref="Y292">
    <cfRule type="cellIs" dxfId="1852" priority="3560" operator="greaterThan">
      <formula>55</formula>
    </cfRule>
    <cfRule type="cellIs" dxfId="1851" priority="3561" operator="greaterThan">
      <formula>65</formula>
    </cfRule>
  </conditionalFormatting>
  <conditionalFormatting sqref="Y294">
    <cfRule type="cellIs" dxfId="1850" priority="3640" operator="greaterThan">
      <formula>55</formula>
    </cfRule>
    <cfRule type="cellIs" dxfId="1849" priority="3641" operator="greaterThan">
      <formula>65</formula>
    </cfRule>
  </conditionalFormatting>
  <conditionalFormatting sqref="Y296">
    <cfRule type="cellIs" dxfId="1848" priority="3721" operator="greaterThan">
      <formula>65</formula>
    </cfRule>
    <cfRule type="cellIs" dxfId="1847" priority="3720" operator="greaterThan">
      <formula>55</formula>
    </cfRule>
  </conditionalFormatting>
  <conditionalFormatting sqref="Y298">
    <cfRule type="cellIs" dxfId="1846" priority="3800" operator="greaterThan">
      <formula>55</formula>
    </cfRule>
    <cfRule type="cellIs" dxfId="1845" priority="3801" operator="greaterThan">
      <formula>65</formula>
    </cfRule>
  </conditionalFormatting>
  <conditionalFormatting sqref="Y300">
    <cfRule type="cellIs" dxfId="1844" priority="3880" operator="greaterThan">
      <formula>55</formula>
    </cfRule>
    <cfRule type="cellIs" dxfId="1843" priority="3881" operator="greaterThan">
      <formula>65</formula>
    </cfRule>
  </conditionalFormatting>
  <conditionalFormatting sqref="Y302">
    <cfRule type="cellIs" dxfId="1842" priority="3960" operator="greaterThan">
      <formula>55</formula>
    </cfRule>
    <cfRule type="cellIs" dxfId="1841" priority="3961" operator="greaterThan">
      <formula>65</formula>
    </cfRule>
  </conditionalFormatting>
  <conditionalFormatting sqref="Y304">
    <cfRule type="cellIs" dxfId="1840" priority="4040" operator="greaterThan">
      <formula>55</formula>
    </cfRule>
    <cfRule type="cellIs" dxfId="1839" priority="4041" operator="greaterThan">
      <formula>65</formula>
    </cfRule>
  </conditionalFormatting>
  <conditionalFormatting sqref="Y306">
    <cfRule type="cellIs" dxfId="1838" priority="4121" operator="greaterThan">
      <formula>65</formula>
    </cfRule>
    <cfRule type="cellIs" dxfId="1837" priority="4120" operator="greaterThan">
      <formula>55</formula>
    </cfRule>
  </conditionalFormatting>
  <conditionalFormatting sqref="Y308">
    <cfRule type="cellIs" dxfId="1836" priority="4201" operator="greaterThan">
      <formula>65</formula>
    </cfRule>
    <cfRule type="cellIs" dxfId="1835" priority="4200" operator="greaterThan">
      <formula>55</formula>
    </cfRule>
  </conditionalFormatting>
  <conditionalFormatting sqref="Y310">
    <cfRule type="cellIs" dxfId="1834" priority="4281" operator="greaterThan">
      <formula>65</formula>
    </cfRule>
    <cfRule type="cellIs" dxfId="1833" priority="4280" operator="greaterThan">
      <formula>55</formula>
    </cfRule>
  </conditionalFormatting>
  <conditionalFormatting sqref="Y312">
    <cfRule type="cellIs" dxfId="1832" priority="4361" operator="greaterThan">
      <formula>65</formula>
    </cfRule>
    <cfRule type="cellIs" dxfId="1831" priority="4360" operator="greaterThan">
      <formula>55</formula>
    </cfRule>
  </conditionalFormatting>
  <conditionalFormatting sqref="Y314">
    <cfRule type="cellIs" dxfId="1830" priority="4441" operator="greaterThan">
      <formula>65</formula>
    </cfRule>
    <cfRule type="cellIs" dxfId="1829" priority="4440" operator="greaterThan">
      <formula>55</formula>
    </cfRule>
  </conditionalFormatting>
  <conditionalFormatting sqref="Y316">
    <cfRule type="cellIs" dxfId="1828" priority="4520" operator="greaterThan">
      <formula>55</formula>
    </cfRule>
    <cfRule type="cellIs" dxfId="1827" priority="4521" operator="greaterThan">
      <formula>65</formula>
    </cfRule>
  </conditionalFormatting>
  <conditionalFormatting sqref="Y318">
    <cfRule type="cellIs" dxfId="1826" priority="4600" operator="greaterThan">
      <formula>55</formula>
    </cfRule>
    <cfRule type="cellIs" dxfId="1825" priority="4601" operator="greaterThan">
      <formula>65</formula>
    </cfRule>
  </conditionalFormatting>
  <conditionalFormatting sqref="Y320">
    <cfRule type="cellIs" dxfId="1824" priority="4680" operator="greaterThan">
      <formula>55</formula>
    </cfRule>
    <cfRule type="cellIs" dxfId="1823" priority="4681" operator="greaterThan">
      <formula>65</formula>
    </cfRule>
  </conditionalFormatting>
  <conditionalFormatting sqref="Y322">
    <cfRule type="cellIs" dxfId="1822" priority="4760" operator="greaterThan">
      <formula>55</formula>
    </cfRule>
    <cfRule type="cellIs" dxfId="1821" priority="4761" operator="greaterThan">
      <formula>65</formula>
    </cfRule>
  </conditionalFormatting>
  <conditionalFormatting sqref="Y324">
    <cfRule type="cellIs" dxfId="1820" priority="4840" operator="greaterThan">
      <formula>55</formula>
    </cfRule>
    <cfRule type="cellIs" dxfId="1819" priority="4841" operator="greaterThan">
      <formula>65</formula>
    </cfRule>
  </conditionalFormatting>
  <conditionalFormatting sqref="Y326">
    <cfRule type="cellIs" dxfId="1818" priority="4921" operator="greaterThan">
      <formula>65</formula>
    </cfRule>
    <cfRule type="cellIs" dxfId="1817" priority="4920" operator="greaterThan">
      <formula>55</formula>
    </cfRule>
  </conditionalFormatting>
  <conditionalFormatting sqref="Z2">
    <cfRule type="cellIs" dxfId="1816" priority="42" operator="greaterThan">
      <formula>55</formula>
    </cfRule>
    <cfRule type="cellIs" dxfId="1815" priority="43" operator="greaterThan">
      <formula>65</formula>
    </cfRule>
  </conditionalFormatting>
  <conditionalFormatting sqref="Z4">
    <cfRule type="cellIs" dxfId="1814" priority="123" operator="greaterThan">
      <formula>65</formula>
    </cfRule>
    <cfRule type="cellIs" dxfId="1813" priority="122" operator="greaterThan">
      <formula>55</formula>
    </cfRule>
  </conditionalFormatting>
  <conditionalFormatting sqref="Z13">
    <cfRule type="cellIs" dxfId="1812" priority="202" operator="greaterThan">
      <formula>55</formula>
    </cfRule>
    <cfRule type="cellIs" dxfId="1811" priority="203" operator="greaterThan">
      <formula>65</formula>
    </cfRule>
  </conditionalFormatting>
  <conditionalFormatting sqref="Z23">
    <cfRule type="cellIs" dxfId="1810" priority="283" operator="greaterThan">
      <formula>65</formula>
    </cfRule>
    <cfRule type="cellIs" dxfId="1809" priority="282" operator="greaterThan">
      <formula>55</formula>
    </cfRule>
  </conditionalFormatting>
  <conditionalFormatting sqref="Z33">
    <cfRule type="cellIs" dxfId="1808" priority="363" operator="greaterThan">
      <formula>65</formula>
    </cfRule>
    <cfRule type="cellIs" dxfId="1807" priority="362" operator="greaterThan">
      <formula>55</formula>
    </cfRule>
  </conditionalFormatting>
  <conditionalFormatting sqref="Z48">
    <cfRule type="cellIs" dxfId="1806" priority="442" operator="greaterThan">
      <formula>55</formula>
    </cfRule>
    <cfRule type="cellIs" dxfId="1805" priority="443" operator="greaterThan">
      <formula>65</formula>
    </cfRule>
  </conditionalFormatting>
  <conditionalFormatting sqref="Z52">
    <cfRule type="cellIs" dxfId="1804" priority="523" operator="greaterThan">
      <formula>65</formula>
    </cfRule>
    <cfRule type="cellIs" dxfId="1803" priority="522" operator="greaterThan">
      <formula>55</formula>
    </cfRule>
  </conditionalFormatting>
  <conditionalFormatting sqref="Z61">
    <cfRule type="cellIs" dxfId="1802" priority="603" operator="greaterThan">
      <formula>65</formula>
    </cfRule>
    <cfRule type="cellIs" dxfId="1801" priority="602" operator="greaterThan">
      <formula>55</formula>
    </cfRule>
  </conditionalFormatting>
  <conditionalFormatting sqref="Z74">
    <cfRule type="cellIs" dxfId="1800" priority="682" operator="greaterThan">
      <formula>55</formula>
    </cfRule>
    <cfRule type="cellIs" dxfId="1799" priority="683" operator="greaterThan">
      <formula>65</formula>
    </cfRule>
  </conditionalFormatting>
  <conditionalFormatting sqref="Z76">
    <cfRule type="cellIs" dxfId="1798" priority="763" operator="greaterThan">
      <formula>65</formula>
    </cfRule>
    <cfRule type="cellIs" dxfId="1797" priority="762" operator="greaterThan">
      <formula>55</formula>
    </cfRule>
  </conditionalFormatting>
  <conditionalFormatting sqref="Z86">
    <cfRule type="cellIs" dxfId="1796" priority="843" operator="greaterThan">
      <formula>65</formula>
    </cfRule>
    <cfRule type="cellIs" dxfId="1795" priority="842" operator="greaterThan">
      <formula>55</formula>
    </cfRule>
  </conditionalFormatting>
  <conditionalFormatting sqref="Z96">
    <cfRule type="cellIs" dxfId="1794" priority="922" operator="greaterThan">
      <formula>55</formula>
    </cfRule>
    <cfRule type="cellIs" dxfId="1793" priority="923" operator="greaterThan">
      <formula>65</formula>
    </cfRule>
  </conditionalFormatting>
  <conditionalFormatting sqref="Z101">
    <cfRule type="cellIs" dxfId="1792" priority="1003" operator="greaterThan">
      <formula>65</formula>
    </cfRule>
    <cfRule type="cellIs" dxfId="1791" priority="1002" operator="greaterThan">
      <formula>55</formula>
    </cfRule>
  </conditionalFormatting>
  <conditionalFormatting sqref="Z110">
    <cfRule type="cellIs" dxfId="1790" priority="1082" operator="greaterThan">
      <formula>55</formula>
    </cfRule>
    <cfRule type="cellIs" dxfId="1789" priority="1083" operator="greaterThan">
      <formula>65</formula>
    </cfRule>
  </conditionalFormatting>
  <conditionalFormatting sqref="Z117">
    <cfRule type="cellIs" dxfId="1788" priority="1163" operator="greaterThan">
      <formula>65</formula>
    </cfRule>
    <cfRule type="cellIs" dxfId="1787" priority="1162" operator="greaterThan">
      <formula>55</formula>
    </cfRule>
  </conditionalFormatting>
  <conditionalFormatting sqref="Z124">
    <cfRule type="cellIs" dxfId="1786" priority="1243" operator="greaterThan">
      <formula>65</formula>
    </cfRule>
    <cfRule type="cellIs" dxfId="1785" priority="1242" operator="greaterThan">
      <formula>55</formula>
    </cfRule>
  </conditionalFormatting>
  <conditionalFormatting sqref="Z128">
    <cfRule type="cellIs" dxfId="1784" priority="1322" operator="greaterThan">
      <formula>55</formula>
    </cfRule>
    <cfRule type="cellIs" dxfId="1783" priority="1323" operator="greaterThan">
      <formula>65</formula>
    </cfRule>
  </conditionalFormatting>
  <conditionalFormatting sqref="Z133">
    <cfRule type="cellIs" dxfId="1782" priority="1402" operator="greaterThan">
      <formula>55</formula>
    </cfRule>
    <cfRule type="cellIs" dxfId="1781" priority="1403" operator="greaterThan">
      <formula>65</formula>
    </cfRule>
  </conditionalFormatting>
  <conditionalFormatting sqref="Z136">
    <cfRule type="cellIs" dxfId="1780" priority="1483" operator="greaterThan">
      <formula>65</formula>
    </cfRule>
    <cfRule type="cellIs" dxfId="1779" priority="1482" operator="greaterThan">
      <formula>55</formula>
    </cfRule>
  </conditionalFormatting>
  <conditionalFormatting sqref="Z143">
    <cfRule type="cellIs" dxfId="1778" priority="1562" operator="greaterThan">
      <formula>55</formula>
    </cfRule>
    <cfRule type="cellIs" dxfId="1777" priority="1563" operator="greaterThan">
      <formula>65</formula>
    </cfRule>
  </conditionalFormatting>
  <conditionalFormatting sqref="Z157">
    <cfRule type="cellIs" dxfId="1776" priority="1643" operator="greaterThan">
      <formula>65</formula>
    </cfRule>
    <cfRule type="cellIs" dxfId="1775" priority="1642" operator="greaterThan">
      <formula>55</formula>
    </cfRule>
  </conditionalFormatting>
  <conditionalFormatting sqref="Z160">
    <cfRule type="cellIs" dxfId="1774" priority="1723" operator="greaterThan">
      <formula>65</formula>
    </cfRule>
    <cfRule type="cellIs" dxfId="1773" priority="1722" operator="greaterThan">
      <formula>55</formula>
    </cfRule>
  </conditionalFormatting>
  <conditionalFormatting sqref="Z170">
    <cfRule type="cellIs" dxfId="1772" priority="1802" operator="greaterThan">
      <formula>55</formula>
    </cfRule>
    <cfRule type="cellIs" dxfId="1771" priority="1803" operator="greaterThan">
      <formula>65</formula>
    </cfRule>
  </conditionalFormatting>
  <conditionalFormatting sqref="Z182">
    <cfRule type="cellIs" dxfId="1770" priority="1882" operator="greaterThan">
      <formula>55</formula>
    </cfRule>
    <cfRule type="cellIs" dxfId="1769" priority="1883" operator="greaterThan">
      <formula>65</formula>
    </cfRule>
  </conditionalFormatting>
  <conditionalFormatting sqref="Z185">
    <cfRule type="cellIs" dxfId="1768" priority="1962" operator="greaterThan">
      <formula>55</formula>
    </cfRule>
    <cfRule type="cellIs" dxfId="1767" priority="1963" operator="greaterThan">
      <formula>65</formula>
    </cfRule>
  </conditionalFormatting>
  <conditionalFormatting sqref="Z188">
    <cfRule type="cellIs" dxfId="1766" priority="2043" operator="greaterThan">
      <formula>65</formula>
    </cfRule>
    <cfRule type="cellIs" dxfId="1765" priority="2042" operator="greaterThan">
      <formula>55</formula>
    </cfRule>
  </conditionalFormatting>
  <conditionalFormatting sqref="Z194">
    <cfRule type="cellIs" dxfId="1764" priority="2123" operator="greaterThan">
      <formula>65</formula>
    </cfRule>
    <cfRule type="cellIs" dxfId="1763" priority="2122" operator="greaterThan">
      <formula>55</formula>
    </cfRule>
  </conditionalFormatting>
  <conditionalFormatting sqref="Z198">
    <cfRule type="cellIs" dxfId="1762" priority="2202" operator="greaterThan">
      <formula>55</formula>
    </cfRule>
    <cfRule type="cellIs" dxfId="1761" priority="2203" operator="greaterThan">
      <formula>65</formula>
    </cfRule>
  </conditionalFormatting>
  <conditionalFormatting sqref="Z206">
    <cfRule type="cellIs" dxfId="1760" priority="2282" operator="greaterThan">
      <formula>55</formula>
    </cfRule>
    <cfRule type="cellIs" dxfId="1759" priority="2283" operator="greaterThan">
      <formula>65</formula>
    </cfRule>
  </conditionalFormatting>
  <conditionalFormatting sqref="Z211">
    <cfRule type="cellIs" dxfId="1758" priority="2362" operator="greaterThan">
      <formula>55</formula>
    </cfRule>
    <cfRule type="cellIs" dxfId="1757" priority="2363" operator="greaterThan">
      <formula>65</formula>
    </cfRule>
  </conditionalFormatting>
  <conditionalFormatting sqref="Z213">
    <cfRule type="cellIs" dxfId="1756" priority="2442" operator="greaterThan">
      <formula>55</formula>
    </cfRule>
    <cfRule type="cellIs" dxfId="1755" priority="2443" operator="greaterThan">
      <formula>65</formula>
    </cfRule>
  </conditionalFormatting>
  <conditionalFormatting sqref="Z217">
    <cfRule type="cellIs" dxfId="1754" priority="2523" operator="greaterThan">
      <formula>65</formula>
    </cfRule>
    <cfRule type="cellIs" dxfId="1753" priority="2522" operator="greaterThan">
      <formula>55</formula>
    </cfRule>
  </conditionalFormatting>
  <conditionalFormatting sqref="Z220">
    <cfRule type="cellIs" dxfId="1752" priority="2603" operator="greaterThan">
      <formula>65</formula>
    </cfRule>
    <cfRule type="cellIs" dxfId="1751" priority="2602" operator="greaterThan">
      <formula>55</formula>
    </cfRule>
  </conditionalFormatting>
  <conditionalFormatting sqref="Z223">
    <cfRule type="cellIs" dxfId="1750" priority="2683" operator="greaterThan">
      <formula>65</formula>
    </cfRule>
    <cfRule type="cellIs" dxfId="1749" priority="2682" operator="greaterThan">
      <formula>55</formula>
    </cfRule>
  </conditionalFormatting>
  <conditionalFormatting sqref="Z226">
    <cfRule type="cellIs" dxfId="1748" priority="2762" operator="greaterThan">
      <formula>55</formula>
    </cfRule>
    <cfRule type="cellIs" dxfId="1747" priority="2763" operator="greaterThan">
      <formula>65</formula>
    </cfRule>
  </conditionalFormatting>
  <conditionalFormatting sqref="Z229">
    <cfRule type="cellIs" dxfId="1746" priority="2842" operator="greaterThan">
      <formula>55</formula>
    </cfRule>
    <cfRule type="cellIs" dxfId="1745" priority="2843" operator="greaterThan">
      <formula>65</formula>
    </cfRule>
  </conditionalFormatting>
  <conditionalFormatting sqref="Z232">
    <cfRule type="cellIs" dxfId="1744" priority="2923" operator="greaterThan">
      <formula>65</formula>
    </cfRule>
    <cfRule type="cellIs" dxfId="1743" priority="2922" operator="greaterThan">
      <formula>55</formula>
    </cfRule>
  </conditionalFormatting>
  <conditionalFormatting sqref="Z234">
    <cfRule type="cellIs" dxfId="1742" priority="3002" operator="greaterThan">
      <formula>55</formula>
    </cfRule>
    <cfRule type="cellIs" dxfId="1741" priority="3003" operator="greaterThan">
      <formula>65</formula>
    </cfRule>
  </conditionalFormatting>
  <conditionalFormatting sqref="Z248">
    <cfRule type="cellIs" dxfId="1740" priority="3082" operator="greaterThan">
      <formula>55</formula>
    </cfRule>
    <cfRule type="cellIs" dxfId="1739" priority="3083" operator="greaterThan">
      <formula>65</formula>
    </cfRule>
  </conditionalFormatting>
  <conditionalFormatting sqref="Z252">
    <cfRule type="cellIs" dxfId="1738" priority="3163" operator="greaterThan">
      <formula>65</formula>
    </cfRule>
    <cfRule type="cellIs" dxfId="1737" priority="3162" operator="greaterThan">
      <formula>55</formula>
    </cfRule>
  </conditionalFormatting>
  <conditionalFormatting sqref="Z261">
    <cfRule type="cellIs" dxfId="1736" priority="3242" operator="greaterThan">
      <formula>55</formula>
    </cfRule>
    <cfRule type="cellIs" dxfId="1735" priority="3243" operator="greaterThan">
      <formula>65</formula>
    </cfRule>
  </conditionalFormatting>
  <conditionalFormatting sqref="Z271">
    <cfRule type="cellIs" dxfId="1734" priority="3323" operator="greaterThan">
      <formula>65</formula>
    </cfRule>
    <cfRule type="cellIs" dxfId="1733" priority="3322" operator="greaterThan">
      <formula>55</formula>
    </cfRule>
  </conditionalFormatting>
  <conditionalFormatting sqref="Z280">
    <cfRule type="cellIs" dxfId="1732" priority="3403" operator="greaterThan">
      <formula>65</formula>
    </cfRule>
    <cfRule type="cellIs" dxfId="1731" priority="3402" operator="greaterThan">
      <formula>55</formula>
    </cfRule>
  </conditionalFormatting>
  <conditionalFormatting sqref="Z283">
    <cfRule type="cellIs" dxfId="1730" priority="3483" operator="greaterThan">
      <formula>65</formula>
    </cfRule>
    <cfRule type="cellIs" dxfId="1729" priority="3482" operator="greaterThan">
      <formula>55</formula>
    </cfRule>
  </conditionalFormatting>
  <conditionalFormatting sqref="Z292">
    <cfRule type="cellIs" dxfId="1728" priority="3562" operator="greaterThan">
      <formula>55</formula>
    </cfRule>
    <cfRule type="cellIs" dxfId="1727" priority="3563" operator="greaterThan">
      <formula>65</formula>
    </cfRule>
  </conditionalFormatting>
  <conditionalFormatting sqref="Z294">
    <cfRule type="cellIs" dxfId="1726" priority="3642" operator="greaterThan">
      <formula>55</formula>
    </cfRule>
    <cfRule type="cellIs" dxfId="1725" priority="3643" operator="greaterThan">
      <formula>65</formula>
    </cfRule>
  </conditionalFormatting>
  <conditionalFormatting sqref="Z296">
    <cfRule type="cellIs" dxfId="1724" priority="3723" operator="greaterThan">
      <formula>65</formula>
    </cfRule>
    <cfRule type="cellIs" dxfId="1723" priority="3722" operator="greaterThan">
      <formula>55</formula>
    </cfRule>
  </conditionalFormatting>
  <conditionalFormatting sqref="Z298">
    <cfRule type="cellIs" dxfId="1722" priority="3802" operator="greaterThan">
      <formula>55</formula>
    </cfRule>
    <cfRule type="cellIs" dxfId="1721" priority="3803" operator="greaterThan">
      <formula>65</formula>
    </cfRule>
  </conditionalFormatting>
  <conditionalFormatting sqref="Z300">
    <cfRule type="cellIs" dxfId="1720" priority="3883" operator="greaterThan">
      <formula>65</formula>
    </cfRule>
    <cfRule type="cellIs" dxfId="1719" priority="3882" operator="greaterThan">
      <formula>55</formula>
    </cfRule>
  </conditionalFormatting>
  <conditionalFormatting sqref="Z302">
    <cfRule type="cellIs" dxfId="1718" priority="3962" operator="greaterThan">
      <formula>55</formula>
    </cfRule>
    <cfRule type="cellIs" dxfId="1717" priority="3963" operator="greaterThan">
      <formula>65</formula>
    </cfRule>
  </conditionalFormatting>
  <conditionalFormatting sqref="Z304">
    <cfRule type="cellIs" dxfId="1716" priority="4043" operator="greaterThan">
      <formula>65</formula>
    </cfRule>
    <cfRule type="cellIs" dxfId="1715" priority="4042" operator="greaterThan">
      <formula>55</formula>
    </cfRule>
  </conditionalFormatting>
  <conditionalFormatting sqref="Z306">
    <cfRule type="cellIs" dxfId="1714" priority="4123" operator="greaterThan">
      <formula>65</formula>
    </cfRule>
    <cfRule type="cellIs" dxfId="1713" priority="4122" operator="greaterThan">
      <formula>55</formula>
    </cfRule>
  </conditionalFormatting>
  <conditionalFormatting sqref="Z308">
    <cfRule type="cellIs" dxfId="1712" priority="4202" operator="greaterThan">
      <formula>55</formula>
    </cfRule>
    <cfRule type="cellIs" dxfId="1711" priority="4203" operator="greaterThan">
      <formula>65</formula>
    </cfRule>
  </conditionalFormatting>
  <conditionalFormatting sqref="Z310">
    <cfRule type="cellIs" dxfId="1710" priority="4282" operator="greaterThan">
      <formula>55</formula>
    </cfRule>
    <cfRule type="cellIs" dxfId="1709" priority="4283" operator="greaterThan">
      <formula>65</formula>
    </cfRule>
  </conditionalFormatting>
  <conditionalFormatting sqref="Z312">
    <cfRule type="cellIs" dxfId="1708" priority="4363" operator="greaterThan">
      <formula>65</formula>
    </cfRule>
    <cfRule type="cellIs" dxfId="1707" priority="4362" operator="greaterThan">
      <formula>55</formula>
    </cfRule>
  </conditionalFormatting>
  <conditionalFormatting sqref="Z314">
    <cfRule type="cellIs" dxfId="1706" priority="4443" operator="greaterThan">
      <formula>65</formula>
    </cfRule>
    <cfRule type="cellIs" dxfId="1705" priority="4442" operator="greaterThan">
      <formula>55</formula>
    </cfRule>
  </conditionalFormatting>
  <conditionalFormatting sqref="Z316">
    <cfRule type="cellIs" dxfId="1704" priority="4522" operator="greaterThan">
      <formula>55</formula>
    </cfRule>
    <cfRule type="cellIs" dxfId="1703" priority="4523" operator="greaterThan">
      <formula>65</formula>
    </cfRule>
  </conditionalFormatting>
  <conditionalFormatting sqref="Z318">
    <cfRule type="cellIs" dxfId="1702" priority="4603" operator="greaterThan">
      <formula>65</formula>
    </cfRule>
    <cfRule type="cellIs" dxfId="1701" priority="4602" operator="greaterThan">
      <formula>55</formula>
    </cfRule>
  </conditionalFormatting>
  <conditionalFormatting sqref="Z320">
    <cfRule type="cellIs" dxfId="1700" priority="4682" operator="greaterThan">
      <formula>55</formula>
    </cfRule>
    <cfRule type="cellIs" dxfId="1699" priority="4683" operator="greaterThan">
      <formula>65</formula>
    </cfRule>
  </conditionalFormatting>
  <conditionalFormatting sqref="Z322">
    <cfRule type="cellIs" dxfId="1698" priority="4762" operator="greaterThan">
      <formula>55</formula>
    </cfRule>
    <cfRule type="cellIs" dxfId="1697" priority="4763" operator="greaterThan">
      <formula>65</formula>
    </cfRule>
  </conditionalFormatting>
  <conditionalFormatting sqref="Z324">
    <cfRule type="cellIs" dxfId="1696" priority="4842" operator="greaterThan">
      <formula>55</formula>
    </cfRule>
    <cfRule type="cellIs" dxfId="1695" priority="4843" operator="greaterThan">
      <formula>65</formula>
    </cfRule>
  </conditionalFormatting>
  <conditionalFormatting sqref="Z326">
    <cfRule type="cellIs" dxfId="1694" priority="4923" operator="greaterThan">
      <formula>65</formula>
    </cfRule>
    <cfRule type="cellIs" dxfId="1693" priority="4922" operator="greaterThan">
      <formula>55</formula>
    </cfRule>
  </conditionalFormatting>
  <conditionalFormatting sqref="AA2">
    <cfRule type="cellIs" dxfId="1692" priority="45" operator="greaterThan">
      <formula>65</formula>
    </cfRule>
    <cfRule type="cellIs" dxfId="1691" priority="44" operator="greaterThan">
      <formula>55</formula>
    </cfRule>
  </conditionalFormatting>
  <conditionalFormatting sqref="AA4">
    <cfRule type="cellIs" dxfId="1690" priority="125" operator="greaterThan">
      <formula>65</formula>
    </cfRule>
    <cfRule type="cellIs" dxfId="1689" priority="124" operator="greaterThan">
      <formula>55</formula>
    </cfRule>
  </conditionalFormatting>
  <conditionalFormatting sqref="AA13">
    <cfRule type="cellIs" dxfId="1688" priority="204" operator="greaterThan">
      <formula>55</formula>
    </cfRule>
    <cfRule type="cellIs" dxfId="1687" priority="205" operator="greaterThan">
      <formula>65</formula>
    </cfRule>
  </conditionalFormatting>
  <conditionalFormatting sqref="AA23">
    <cfRule type="cellIs" dxfId="1686" priority="285" operator="greaterThan">
      <formula>65</formula>
    </cfRule>
    <cfRule type="cellIs" dxfId="1685" priority="284" operator="greaterThan">
      <formula>55</formula>
    </cfRule>
  </conditionalFormatting>
  <conditionalFormatting sqref="AA33">
    <cfRule type="cellIs" dxfId="1684" priority="365" operator="greaterThan">
      <formula>65</formula>
    </cfRule>
    <cfRule type="cellIs" dxfId="1683" priority="364" operator="greaterThan">
      <formula>55</formula>
    </cfRule>
  </conditionalFormatting>
  <conditionalFormatting sqref="AA48">
    <cfRule type="cellIs" dxfId="1682" priority="445" operator="greaterThan">
      <formula>65</formula>
    </cfRule>
    <cfRule type="cellIs" dxfId="1681" priority="444" operator="greaterThan">
      <formula>55</formula>
    </cfRule>
  </conditionalFormatting>
  <conditionalFormatting sqref="AA52">
    <cfRule type="cellIs" dxfId="1680" priority="525" operator="greaterThan">
      <formula>65</formula>
    </cfRule>
    <cfRule type="cellIs" dxfId="1679" priority="524" operator="greaterThan">
      <formula>55</formula>
    </cfRule>
  </conditionalFormatting>
  <conditionalFormatting sqref="AA61">
    <cfRule type="cellIs" dxfId="1678" priority="605" operator="greaterThan">
      <formula>65</formula>
    </cfRule>
    <cfRule type="cellIs" dxfId="1677" priority="604" operator="greaterThan">
      <formula>55</formula>
    </cfRule>
  </conditionalFormatting>
  <conditionalFormatting sqref="AA74">
    <cfRule type="cellIs" dxfId="1676" priority="684" operator="greaterThan">
      <formula>55</formula>
    </cfRule>
    <cfRule type="cellIs" dxfId="1675" priority="685" operator="greaterThan">
      <formula>65</formula>
    </cfRule>
  </conditionalFormatting>
  <conditionalFormatting sqref="AA76">
    <cfRule type="cellIs" dxfId="1674" priority="765" operator="greaterThan">
      <formula>65</formula>
    </cfRule>
    <cfRule type="cellIs" dxfId="1673" priority="764" operator="greaterThan">
      <formula>55</formula>
    </cfRule>
  </conditionalFormatting>
  <conditionalFormatting sqref="AA86">
    <cfRule type="cellIs" dxfId="1672" priority="844" operator="greaterThan">
      <formula>55</formula>
    </cfRule>
    <cfRule type="cellIs" dxfId="1671" priority="845" operator="greaterThan">
      <formula>65</formula>
    </cfRule>
  </conditionalFormatting>
  <conditionalFormatting sqref="AA96">
    <cfRule type="cellIs" dxfId="1670" priority="924" operator="greaterThan">
      <formula>55</formula>
    </cfRule>
    <cfRule type="cellIs" dxfId="1669" priority="925" operator="greaterThan">
      <formula>65</formula>
    </cfRule>
  </conditionalFormatting>
  <conditionalFormatting sqref="AA101">
    <cfRule type="cellIs" dxfId="1668" priority="1005" operator="greaterThan">
      <formula>65</formula>
    </cfRule>
    <cfRule type="cellIs" dxfId="1667" priority="1004" operator="greaterThan">
      <formula>55</formula>
    </cfRule>
  </conditionalFormatting>
  <conditionalFormatting sqref="AA110">
    <cfRule type="cellIs" dxfId="1666" priority="1085" operator="greaterThan">
      <formula>65</formula>
    </cfRule>
    <cfRule type="cellIs" dxfId="1665" priority="1084" operator="greaterThan">
      <formula>55</formula>
    </cfRule>
  </conditionalFormatting>
  <conditionalFormatting sqref="AA117">
    <cfRule type="cellIs" dxfId="1664" priority="1164" operator="greaterThan">
      <formula>55</formula>
    </cfRule>
    <cfRule type="cellIs" dxfId="1663" priority="1165" operator="greaterThan">
      <formula>65</formula>
    </cfRule>
  </conditionalFormatting>
  <conditionalFormatting sqref="AA124">
    <cfRule type="cellIs" dxfId="1662" priority="1244" operator="greaterThan">
      <formula>55</formula>
    </cfRule>
    <cfRule type="cellIs" dxfId="1661" priority="1245" operator="greaterThan">
      <formula>65</formula>
    </cfRule>
  </conditionalFormatting>
  <conditionalFormatting sqref="AA128">
    <cfRule type="cellIs" dxfId="1660" priority="1325" operator="greaterThan">
      <formula>65</formula>
    </cfRule>
    <cfRule type="cellIs" dxfId="1659" priority="1324" operator="greaterThan">
      <formula>55</formula>
    </cfRule>
  </conditionalFormatting>
  <conditionalFormatting sqref="AA133">
    <cfRule type="cellIs" dxfId="1658" priority="1404" operator="greaterThan">
      <formula>55</formula>
    </cfRule>
    <cfRule type="cellIs" dxfId="1657" priority="1405" operator="greaterThan">
      <formula>65</formula>
    </cfRule>
  </conditionalFormatting>
  <conditionalFormatting sqref="AA136">
    <cfRule type="cellIs" dxfId="1656" priority="1485" operator="greaterThan">
      <formula>65</formula>
    </cfRule>
    <cfRule type="cellIs" dxfId="1655" priority="1484" operator="greaterThan">
      <formula>55</formula>
    </cfRule>
  </conditionalFormatting>
  <conditionalFormatting sqref="AA143">
    <cfRule type="cellIs" dxfId="1654" priority="1565" operator="greaterThan">
      <formula>65</formula>
    </cfRule>
    <cfRule type="cellIs" dxfId="1653" priority="1564" operator="greaterThan">
      <formula>55</formula>
    </cfRule>
  </conditionalFormatting>
  <conditionalFormatting sqref="AA157">
    <cfRule type="cellIs" dxfId="1652" priority="1645" operator="greaterThan">
      <formula>65</formula>
    </cfRule>
    <cfRule type="cellIs" dxfId="1651" priority="1644" operator="greaterThan">
      <formula>55</formula>
    </cfRule>
  </conditionalFormatting>
  <conditionalFormatting sqref="AA160">
    <cfRule type="cellIs" dxfId="1650" priority="1724" operator="greaterThan">
      <formula>55</formula>
    </cfRule>
    <cfRule type="cellIs" dxfId="1649" priority="1725" operator="greaterThan">
      <formula>65</formula>
    </cfRule>
  </conditionalFormatting>
  <conditionalFormatting sqref="AA170">
    <cfRule type="cellIs" dxfId="1648" priority="1804" operator="greaterThan">
      <formula>55</formula>
    </cfRule>
    <cfRule type="cellIs" dxfId="1647" priority="1805" operator="greaterThan">
      <formula>65</formula>
    </cfRule>
  </conditionalFormatting>
  <conditionalFormatting sqref="AA182">
    <cfRule type="cellIs" dxfId="1646" priority="1885" operator="greaterThan">
      <formula>65</formula>
    </cfRule>
    <cfRule type="cellIs" dxfId="1645" priority="1884" operator="greaterThan">
      <formula>55</formula>
    </cfRule>
  </conditionalFormatting>
  <conditionalFormatting sqref="AA185">
    <cfRule type="cellIs" dxfId="1644" priority="1964" operator="greaterThan">
      <formula>55</formula>
    </cfRule>
    <cfRule type="cellIs" dxfId="1643" priority="1965" operator="greaterThan">
      <formula>65</formula>
    </cfRule>
  </conditionalFormatting>
  <conditionalFormatting sqref="AA188">
    <cfRule type="cellIs" dxfId="1642" priority="2045" operator="greaterThan">
      <formula>65</formula>
    </cfRule>
    <cfRule type="cellIs" dxfId="1641" priority="2044" operator="greaterThan">
      <formula>55</formula>
    </cfRule>
  </conditionalFormatting>
  <conditionalFormatting sqref="AA194">
    <cfRule type="cellIs" dxfId="1640" priority="2125" operator="greaterThan">
      <formula>65</formula>
    </cfRule>
    <cfRule type="cellIs" dxfId="1639" priority="2124" operator="greaterThan">
      <formula>55</formula>
    </cfRule>
  </conditionalFormatting>
  <conditionalFormatting sqref="AA198">
    <cfRule type="cellIs" dxfId="1638" priority="2205" operator="greaterThan">
      <formula>65</formula>
    </cfRule>
    <cfRule type="cellIs" dxfId="1637" priority="2204" operator="greaterThan">
      <formula>55</formula>
    </cfRule>
  </conditionalFormatting>
  <conditionalFormatting sqref="AA206">
    <cfRule type="cellIs" dxfId="1636" priority="2285" operator="greaterThan">
      <formula>65</formula>
    </cfRule>
    <cfRule type="cellIs" dxfId="1635" priority="2284" operator="greaterThan">
      <formula>55</formula>
    </cfRule>
  </conditionalFormatting>
  <conditionalFormatting sqref="AA211">
    <cfRule type="cellIs" dxfId="1634" priority="2365" operator="greaterThan">
      <formula>65</formula>
    </cfRule>
    <cfRule type="cellIs" dxfId="1633" priority="2364" operator="greaterThan">
      <formula>55</formula>
    </cfRule>
  </conditionalFormatting>
  <conditionalFormatting sqref="AA213">
    <cfRule type="cellIs" dxfId="1632" priority="2445" operator="greaterThan">
      <formula>65</formula>
    </cfRule>
    <cfRule type="cellIs" dxfId="1631" priority="2444" operator="greaterThan">
      <formula>55</formula>
    </cfRule>
  </conditionalFormatting>
  <conditionalFormatting sqref="AA217">
    <cfRule type="cellIs" dxfId="1630" priority="2524" operator="greaterThan">
      <formula>55</formula>
    </cfRule>
    <cfRule type="cellIs" dxfId="1629" priority="2525" operator="greaterThan">
      <formula>65</formula>
    </cfRule>
  </conditionalFormatting>
  <conditionalFormatting sqref="AA220">
    <cfRule type="cellIs" dxfId="1628" priority="2605" operator="greaterThan">
      <formula>65</formula>
    </cfRule>
    <cfRule type="cellIs" dxfId="1627" priority="2604" operator="greaterThan">
      <formula>55</formula>
    </cfRule>
  </conditionalFormatting>
  <conditionalFormatting sqref="AA223">
    <cfRule type="cellIs" dxfId="1626" priority="2685" operator="greaterThan">
      <formula>65</formula>
    </cfRule>
    <cfRule type="cellIs" dxfId="1625" priority="2684" operator="greaterThan">
      <formula>55</formula>
    </cfRule>
  </conditionalFormatting>
  <conditionalFormatting sqref="AA226">
    <cfRule type="cellIs" dxfId="1624" priority="2765" operator="greaterThan">
      <formula>65</formula>
    </cfRule>
    <cfRule type="cellIs" dxfId="1623" priority="2764" operator="greaterThan">
      <formula>55</formula>
    </cfRule>
  </conditionalFormatting>
  <conditionalFormatting sqref="AA229">
    <cfRule type="cellIs" dxfId="1622" priority="2844" operator="greaterThan">
      <formula>55</formula>
    </cfRule>
    <cfRule type="cellIs" dxfId="1621" priority="2845" operator="greaterThan">
      <formula>65</formula>
    </cfRule>
  </conditionalFormatting>
  <conditionalFormatting sqref="AA232">
    <cfRule type="cellIs" dxfId="1620" priority="2925" operator="greaterThan">
      <formula>65</formula>
    </cfRule>
    <cfRule type="cellIs" dxfId="1619" priority="2924" operator="greaterThan">
      <formula>55</formula>
    </cfRule>
  </conditionalFormatting>
  <conditionalFormatting sqref="AA234">
    <cfRule type="cellIs" dxfId="1618" priority="3005" operator="greaterThan">
      <formula>65</formula>
    </cfRule>
    <cfRule type="cellIs" dxfId="1617" priority="3004" operator="greaterThan">
      <formula>55</formula>
    </cfRule>
  </conditionalFormatting>
  <conditionalFormatting sqref="AA248">
    <cfRule type="cellIs" dxfId="1616" priority="3084" operator="greaterThan">
      <formula>55</formula>
    </cfRule>
    <cfRule type="cellIs" dxfId="1615" priority="3085" operator="greaterThan">
      <formula>65</formula>
    </cfRule>
  </conditionalFormatting>
  <conditionalFormatting sqref="AA252">
    <cfRule type="cellIs" dxfId="1614" priority="3164" operator="greaterThan">
      <formula>55</formula>
    </cfRule>
    <cfRule type="cellIs" dxfId="1613" priority="3165" operator="greaterThan">
      <formula>65</formula>
    </cfRule>
  </conditionalFormatting>
  <conditionalFormatting sqref="AA261">
    <cfRule type="cellIs" dxfId="1612" priority="3245" operator="greaterThan">
      <formula>65</formula>
    </cfRule>
    <cfRule type="cellIs" dxfId="1611" priority="3244" operator="greaterThan">
      <formula>55</formula>
    </cfRule>
  </conditionalFormatting>
  <conditionalFormatting sqref="AA271">
    <cfRule type="cellIs" dxfId="1610" priority="3324" operator="greaterThan">
      <formula>55</formula>
    </cfRule>
    <cfRule type="cellIs" dxfId="1609" priority="3325" operator="greaterThan">
      <formula>65</formula>
    </cfRule>
  </conditionalFormatting>
  <conditionalFormatting sqref="AA280">
    <cfRule type="cellIs" dxfId="1608" priority="3405" operator="greaterThan">
      <formula>65</formula>
    </cfRule>
    <cfRule type="cellIs" dxfId="1607" priority="3404" operator="greaterThan">
      <formula>55</formula>
    </cfRule>
  </conditionalFormatting>
  <conditionalFormatting sqref="AA283">
    <cfRule type="cellIs" dxfId="1606" priority="3485" operator="greaterThan">
      <formula>65</formula>
    </cfRule>
    <cfRule type="cellIs" dxfId="1605" priority="3484" operator="greaterThan">
      <formula>55</formula>
    </cfRule>
  </conditionalFormatting>
  <conditionalFormatting sqref="AA292">
    <cfRule type="cellIs" dxfId="1604" priority="3564" operator="greaterThan">
      <formula>55</formula>
    </cfRule>
    <cfRule type="cellIs" dxfId="1603" priority="3565" operator="greaterThan">
      <formula>65</formula>
    </cfRule>
  </conditionalFormatting>
  <conditionalFormatting sqref="AA294">
    <cfRule type="cellIs" dxfId="1602" priority="3645" operator="greaterThan">
      <formula>65</formula>
    </cfRule>
    <cfRule type="cellIs" dxfId="1601" priority="3644" operator="greaterThan">
      <formula>55</formula>
    </cfRule>
  </conditionalFormatting>
  <conditionalFormatting sqref="AA296">
    <cfRule type="cellIs" dxfId="1600" priority="3725" operator="greaterThan">
      <formula>65</formula>
    </cfRule>
    <cfRule type="cellIs" dxfId="1599" priority="3724" operator="greaterThan">
      <formula>55</formula>
    </cfRule>
  </conditionalFormatting>
  <conditionalFormatting sqref="AA298">
    <cfRule type="cellIs" dxfId="1598" priority="3805" operator="greaterThan">
      <formula>65</formula>
    </cfRule>
    <cfRule type="cellIs" dxfId="1597" priority="3804" operator="greaterThan">
      <formula>55</formula>
    </cfRule>
  </conditionalFormatting>
  <conditionalFormatting sqref="AA300">
    <cfRule type="cellIs" dxfId="1596" priority="3885" operator="greaterThan">
      <formula>65</formula>
    </cfRule>
    <cfRule type="cellIs" dxfId="1595" priority="3884" operator="greaterThan">
      <formula>55</formula>
    </cfRule>
  </conditionalFormatting>
  <conditionalFormatting sqref="AA302">
    <cfRule type="cellIs" dxfId="1594" priority="3965" operator="greaterThan">
      <formula>65</formula>
    </cfRule>
    <cfRule type="cellIs" dxfId="1593" priority="3964" operator="greaterThan">
      <formula>55</formula>
    </cfRule>
  </conditionalFormatting>
  <conditionalFormatting sqref="AA304">
    <cfRule type="cellIs" dxfId="1592" priority="4044" operator="greaterThan">
      <formula>55</formula>
    </cfRule>
    <cfRule type="cellIs" dxfId="1591" priority="4045" operator="greaterThan">
      <formula>65</formula>
    </cfRule>
  </conditionalFormatting>
  <conditionalFormatting sqref="AA306">
    <cfRule type="cellIs" dxfId="1590" priority="4125" operator="greaterThan">
      <formula>65</formula>
    </cfRule>
    <cfRule type="cellIs" dxfId="1589" priority="4124" operator="greaterThan">
      <formula>55</formula>
    </cfRule>
  </conditionalFormatting>
  <conditionalFormatting sqref="AA308">
    <cfRule type="cellIs" dxfId="1588" priority="4205" operator="greaterThan">
      <formula>65</formula>
    </cfRule>
    <cfRule type="cellIs" dxfId="1587" priority="4204" operator="greaterThan">
      <formula>55</formula>
    </cfRule>
  </conditionalFormatting>
  <conditionalFormatting sqref="AA310">
    <cfRule type="cellIs" dxfId="1586" priority="4284" operator="greaterThan">
      <formula>55</formula>
    </cfRule>
    <cfRule type="cellIs" dxfId="1585" priority="4285" operator="greaterThan">
      <formula>65</formula>
    </cfRule>
  </conditionalFormatting>
  <conditionalFormatting sqref="AA312">
    <cfRule type="cellIs" dxfId="1584" priority="4364" operator="greaterThan">
      <formula>55</formula>
    </cfRule>
    <cfRule type="cellIs" dxfId="1583" priority="4365" operator="greaterThan">
      <formula>65</formula>
    </cfRule>
  </conditionalFormatting>
  <conditionalFormatting sqref="AA314">
    <cfRule type="cellIs" dxfId="1582" priority="4445" operator="greaterThan">
      <formula>65</formula>
    </cfRule>
    <cfRule type="cellIs" dxfId="1581" priority="4444" operator="greaterThan">
      <formula>55</formula>
    </cfRule>
  </conditionalFormatting>
  <conditionalFormatting sqref="AA316">
    <cfRule type="cellIs" dxfId="1580" priority="4524" operator="greaterThan">
      <formula>55</formula>
    </cfRule>
    <cfRule type="cellIs" dxfId="1579" priority="4525" operator="greaterThan">
      <formula>65</formula>
    </cfRule>
  </conditionalFormatting>
  <conditionalFormatting sqref="AA318">
    <cfRule type="cellIs" dxfId="1578" priority="4605" operator="greaterThan">
      <formula>65</formula>
    </cfRule>
    <cfRule type="cellIs" dxfId="1577" priority="4604" operator="greaterThan">
      <formula>55</formula>
    </cfRule>
  </conditionalFormatting>
  <conditionalFormatting sqref="AA320">
    <cfRule type="cellIs" dxfId="1576" priority="4684" operator="greaterThan">
      <formula>55</formula>
    </cfRule>
    <cfRule type="cellIs" dxfId="1575" priority="4685" operator="greaterThan">
      <formula>65</formula>
    </cfRule>
  </conditionalFormatting>
  <conditionalFormatting sqref="AA322">
    <cfRule type="cellIs" dxfId="1574" priority="4764" operator="greaterThan">
      <formula>55</formula>
    </cfRule>
    <cfRule type="cellIs" dxfId="1573" priority="4765" operator="greaterThan">
      <formula>65</formula>
    </cfRule>
  </conditionalFormatting>
  <conditionalFormatting sqref="AA324">
    <cfRule type="cellIs" dxfId="1572" priority="4844" operator="greaterThan">
      <formula>55</formula>
    </cfRule>
    <cfRule type="cellIs" dxfId="1571" priority="4845" operator="greaterThan">
      <formula>65</formula>
    </cfRule>
  </conditionalFormatting>
  <conditionalFormatting sqref="AA326">
    <cfRule type="cellIs" dxfId="1570" priority="4924" operator="greaterThan">
      <formula>55</formula>
    </cfRule>
    <cfRule type="cellIs" dxfId="1569" priority="4925" operator="greaterThan">
      <formula>65</formula>
    </cfRule>
  </conditionalFormatting>
  <conditionalFormatting sqref="AB2">
    <cfRule type="cellIs" dxfId="1568" priority="46" operator="greaterThan">
      <formula>55</formula>
    </cfRule>
    <cfRule type="cellIs" dxfId="1567" priority="47" operator="greaterThan">
      <formula>65</formula>
    </cfRule>
  </conditionalFormatting>
  <conditionalFormatting sqref="AB4">
    <cfRule type="cellIs" dxfId="1566" priority="126" operator="greaterThan">
      <formula>55</formula>
    </cfRule>
    <cfRule type="cellIs" dxfId="1565" priority="127" operator="greaterThan">
      <formula>65</formula>
    </cfRule>
  </conditionalFormatting>
  <conditionalFormatting sqref="AB13">
    <cfRule type="cellIs" dxfId="1564" priority="206" operator="greaterThan">
      <formula>55</formula>
    </cfRule>
    <cfRule type="cellIs" dxfId="1563" priority="207" operator="greaterThan">
      <formula>65</formula>
    </cfRule>
  </conditionalFormatting>
  <conditionalFormatting sqref="AB23">
    <cfRule type="cellIs" dxfId="1562" priority="287" operator="greaterThan">
      <formula>65</formula>
    </cfRule>
    <cfRule type="cellIs" dxfId="1561" priority="286" operator="greaterThan">
      <formula>55</formula>
    </cfRule>
  </conditionalFormatting>
  <conditionalFormatting sqref="AB33">
    <cfRule type="cellIs" dxfId="1560" priority="366" operator="greaterThan">
      <formula>55</formula>
    </cfRule>
    <cfRule type="cellIs" dxfId="1559" priority="367" operator="greaterThan">
      <formula>65</formula>
    </cfRule>
  </conditionalFormatting>
  <conditionalFormatting sqref="AB48">
    <cfRule type="cellIs" dxfId="1558" priority="447" operator="greaterThan">
      <formula>65</formula>
    </cfRule>
    <cfRule type="cellIs" dxfId="1557" priority="446" operator="greaterThan">
      <formula>55</formula>
    </cfRule>
  </conditionalFormatting>
  <conditionalFormatting sqref="AB52">
    <cfRule type="cellIs" dxfId="1556" priority="526" operator="greaterThan">
      <formula>55</formula>
    </cfRule>
    <cfRule type="cellIs" dxfId="1555" priority="527" operator="greaterThan">
      <formula>65</formula>
    </cfRule>
  </conditionalFormatting>
  <conditionalFormatting sqref="AB61">
    <cfRule type="cellIs" dxfId="1554" priority="607" operator="greaterThan">
      <formula>65</formula>
    </cfRule>
    <cfRule type="cellIs" dxfId="1553" priority="606" operator="greaterThan">
      <formula>55</formula>
    </cfRule>
  </conditionalFormatting>
  <conditionalFormatting sqref="AB74">
    <cfRule type="cellIs" dxfId="1552" priority="686" operator="greaterThan">
      <formula>55</formula>
    </cfRule>
    <cfRule type="cellIs" dxfId="1551" priority="687" operator="greaterThan">
      <formula>65</formula>
    </cfRule>
  </conditionalFormatting>
  <conditionalFormatting sqref="AB76">
    <cfRule type="cellIs" dxfId="1550" priority="767" operator="greaterThan">
      <formula>65</formula>
    </cfRule>
    <cfRule type="cellIs" dxfId="1549" priority="766" operator="greaterThan">
      <formula>55</formula>
    </cfRule>
  </conditionalFormatting>
  <conditionalFormatting sqref="AB86">
    <cfRule type="cellIs" dxfId="1548" priority="847" operator="greaterThan">
      <formula>65</formula>
    </cfRule>
    <cfRule type="cellIs" dxfId="1547" priority="846" operator="greaterThan">
      <formula>55</formula>
    </cfRule>
  </conditionalFormatting>
  <conditionalFormatting sqref="AB96">
    <cfRule type="cellIs" dxfId="1546" priority="926" operator="greaterThan">
      <formula>55</formula>
    </cfRule>
    <cfRule type="cellIs" dxfId="1545" priority="927" operator="greaterThan">
      <formula>65</formula>
    </cfRule>
  </conditionalFormatting>
  <conditionalFormatting sqref="AB101">
    <cfRule type="cellIs" dxfId="1544" priority="1006" operator="greaterThan">
      <formula>55</formula>
    </cfRule>
    <cfRule type="cellIs" dxfId="1543" priority="1007" operator="greaterThan">
      <formula>65</formula>
    </cfRule>
  </conditionalFormatting>
  <conditionalFormatting sqref="AB110">
    <cfRule type="cellIs" dxfId="1542" priority="1086" operator="greaterThan">
      <formula>55</formula>
    </cfRule>
    <cfRule type="cellIs" dxfId="1541" priority="1087" operator="greaterThan">
      <formula>65</formula>
    </cfRule>
  </conditionalFormatting>
  <conditionalFormatting sqref="AB117">
    <cfRule type="cellIs" dxfId="1540" priority="1167" operator="greaterThan">
      <formula>65</formula>
    </cfRule>
    <cfRule type="cellIs" dxfId="1539" priority="1166" operator="greaterThan">
      <formula>55</formula>
    </cfRule>
  </conditionalFormatting>
  <conditionalFormatting sqref="AB124">
    <cfRule type="cellIs" dxfId="1538" priority="1247" operator="greaterThan">
      <formula>65</formula>
    </cfRule>
    <cfRule type="cellIs" dxfId="1537" priority="1246" operator="greaterThan">
      <formula>55</formula>
    </cfRule>
  </conditionalFormatting>
  <conditionalFormatting sqref="AB128">
    <cfRule type="cellIs" dxfId="1536" priority="1326" operator="greaterThan">
      <formula>55</formula>
    </cfRule>
    <cfRule type="cellIs" dxfId="1535" priority="1327" operator="greaterThan">
      <formula>65</formula>
    </cfRule>
  </conditionalFormatting>
  <conditionalFormatting sqref="AB133">
    <cfRule type="cellIs" dxfId="1534" priority="1407" operator="greaterThan">
      <formula>65</formula>
    </cfRule>
    <cfRule type="cellIs" dxfId="1533" priority="1406" operator="greaterThan">
      <formula>55</formula>
    </cfRule>
  </conditionalFormatting>
  <conditionalFormatting sqref="AB136">
    <cfRule type="cellIs" dxfId="1532" priority="1486" operator="greaterThan">
      <formula>55</formula>
    </cfRule>
    <cfRule type="cellIs" dxfId="1531" priority="1487" operator="greaterThan">
      <formula>65</formula>
    </cfRule>
  </conditionalFormatting>
  <conditionalFormatting sqref="AB143">
    <cfRule type="cellIs" dxfId="1530" priority="1567" operator="greaterThan">
      <formula>65</formula>
    </cfRule>
    <cfRule type="cellIs" dxfId="1529" priority="1566" operator="greaterThan">
      <formula>55</formula>
    </cfRule>
  </conditionalFormatting>
  <conditionalFormatting sqref="AB157">
    <cfRule type="cellIs" dxfId="1528" priority="1646" operator="greaterThan">
      <formula>55</formula>
    </cfRule>
    <cfRule type="cellIs" dxfId="1527" priority="1647" operator="greaterThan">
      <formula>65</formula>
    </cfRule>
  </conditionalFormatting>
  <conditionalFormatting sqref="AB160">
    <cfRule type="cellIs" dxfId="1526" priority="1727" operator="greaterThan">
      <formula>65</formula>
    </cfRule>
    <cfRule type="cellIs" dxfId="1525" priority="1726" operator="greaterThan">
      <formula>55</formula>
    </cfRule>
  </conditionalFormatting>
  <conditionalFormatting sqref="AB170">
    <cfRule type="cellIs" dxfId="1524" priority="1806" operator="greaterThan">
      <formula>55</formula>
    </cfRule>
    <cfRule type="cellIs" dxfId="1523" priority="1807" operator="greaterThan">
      <formula>65</formula>
    </cfRule>
  </conditionalFormatting>
  <conditionalFormatting sqref="AB182">
    <cfRule type="cellIs" dxfId="1522" priority="1886" operator="greaterThan">
      <formula>55</formula>
    </cfRule>
    <cfRule type="cellIs" dxfId="1521" priority="1887" operator="greaterThan">
      <formula>65</formula>
    </cfRule>
  </conditionalFormatting>
  <conditionalFormatting sqref="AB185">
    <cfRule type="cellIs" dxfId="1520" priority="1967" operator="greaterThan">
      <formula>65</formula>
    </cfRule>
    <cfRule type="cellIs" dxfId="1519" priority="1966" operator="greaterThan">
      <formula>55</formula>
    </cfRule>
  </conditionalFormatting>
  <conditionalFormatting sqref="AB188">
    <cfRule type="cellIs" dxfId="1518" priority="2046" operator="greaterThan">
      <formula>55</formula>
    </cfRule>
    <cfRule type="cellIs" dxfId="1517" priority="2047" operator="greaterThan">
      <formula>65</formula>
    </cfRule>
  </conditionalFormatting>
  <conditionalFormatting sqref="AB194">
    <cfRule type="cellIs" dxfId="1516" priority="2126" operator="greaterThan">
      <formula>55</formula>
    </cfRule>
    <cfRule type="cellIs" dxfId="1515" priority="2127" operator="greaterThan">
      <formula>65</formula>
    </cfRule>
  </conditionalFormatting>
  <conditionalFormatting sqref="AB198">
    <cfRule type="cellIs" dxfId="1514" priority="2207" operator="greaterThan">
      <formula>65</formula>
    </cfRule>
    <cfRule type="cellIs" dxfId="1513" priority="2206" operator="greaterThan">
      <formula>55</formula>
    </cfRule>
  </conditionalFormatting>
  <conditionalFormatting sqref="AB206">
    <cfRule type="cellIs" dxfId="1512" priority="2287" operator="greaterThan">
      <formula>65</formula>
    </cfRule>
    <cfRule type="cellIs" dxfId="1511" priority="2286" operator="greaterThan">
      <formula>55</formula>
    </cfRule>
  </conditionalFormatting>
  <conditionalFormatting sqref="AB211">
    <cfRule type="cellIs" dxfId="1510" priority="2367" operator="greaterThan">
      <formula>65</formula>
    </cfRule>
    <cfRule type="cellIs" dxfId="1509" priority="2366" operator="greaterThan">
      <formula>55</formula>
    </cfRule>
  </conditionalFormatting>
  <conditionalFormatting sqref="AB213">
    <cfRule type="cellIs" dxfId="1508" priority="2446" operator="greaterThan">
      <formula>55</formula>
    </cfRule>
    <cfRule type="cellIs" dxfId="1507" priority="2447" operator="greaterThan">
      <formula>65</formula>
    </cfRule>
  </conditionalFormatting>
  <conditionalFormatting sqref="AB217">
    <cfRule type="cellIs" dxfId="1506" priority="2527" operator="greaterThan">
      <formula>65</formula>
    </cfRule>
    <cfRule type="cellIs" dxfId="1505" priority="2526" operator="greaterThan">
      <formula>55</formula>
    </cfRule>
  </conditionalFormatting>
  <conditionalFormatting sqref="AB220">
    <cfRule type="cellIs" dxfId="1504" priority="2606" operator="greaterThan">
      <formula>55</formula>
    </cfRule>
    <cfRule type="cellIs" dxfId="1503" priority="2607" operator="greaterThan">
      <formula>65</formula>
    </cfRule>
  </conditionalFormatting>
  <conditionalFormatting sqref="AB223">
    <cfRule type="cellIs" dxfId="1502" priority="2687" operator="greaterThan">
      <formula>65</formula>
    </cfRule>
    <cfRule type="cellIs" dxfId="1501" priority="2686" operator="greaterThan">
      <formula>55</formula>
    </cfRule>
  </conditionalFormatting>
  <conditionalFormatting sqref="AB226">
    <cfRule type="cellIs" dxfId="1500" priority="2766" operator="greaterThan">
      <formula>55</formula>
    </cfRule>
    <cfRule type="cellIs" dxfId="1499" priority="2767" operator="greaterThan">
      <formula>65</formula>
    </cfRule>
  </conditionalFormatting>
  <conditionalFormatting sqref="AB229">
    <cfRule type="cellIs" dxfId="1498" priority="2846" operator="greaterThan">
      <formula>55</formula>
    </cfRule>
    <cfRule type="cellIs" dxfId="1497" priority="2847" operator="greaterThan">
      <formula>65</formula>
    </cfRule>
  </conditionalFormatting>
  <conditionalFormatting sqref="AB232">
    <cfRule type="cellIs" dxfId="1496" priority="2926" operator="greaterThan">
      <formula>55</formula>
    </cfRule>
    <cfRule type="cellIs" dxfId="1495" priority="2927" operator="greaterThan">
      <formula>65</formula>
    </cfRule>
  </conditionalFormatting>
  <conditionalFormatting sqref="AB234">
    <cfRule type="cellIs" dxfId="1494" priority="3006" operator="greaterThan">
      <formula>55</formula>
    </cfRule>
    <cfRule type="cellIs" dxfId="1493" priority="3007" operator="greaterThan">
      <formula>65</formula>
    </cfRule>
  </conditionalFormatting>
  <conditionalFormatting sqref="AB248">
    <cfRule type="cellIs" dxfId="1492" priority="3086" operator="greaterThan">
      <formula>55</formula>
    </cfRule>
    <cfRule type="cellIs" dxfId="1491" priority="3087" operator="greaterThan">
      <formula>65</formula>
    </cfRule>
  </conditionalFormatting>
  <conditionalFormatting sqref="AB252">
    <cfRule type="cellIs" dxfId="1490" priority="3167" operator="greaterThan">
      <formula>65</formula>
    </cfRule>
    <cfRule type="cellIs" dxfId="1489" priority="3166" operator="greaterThan">
      <formula>55</formula>
    </cfRule>
  </conditionalFormatting>
  <conditionalFormatting sqref="AB261">
    <cfRule type="cellIs" dxfId="1488" priority="3247" operator="greaterThan">
      <formula>65</formula>
    </cfRule>
    <cfRule type="cellIs" dxfId="1487" priority="3246" operator="greaterThan">
      <formula>55</formula>
    </cfRule>
  </conditionalFormatting>
  <conditionalFormatting sqref="AB271">
    <cfRule type="cellIs" dxfId="1486" priority="3327" operator="greaterThan">
      <formula>65</formula>
    </cfRule>
    <cfRule type="cellIs" dxfId="1485" priority="3326" operator="greaterThan">
      <formula>55</formula>
    </cfRule>
  </conditionalFormatting>
  <conditionalFormatting sqref="AB280">
    <cfRule type="cellIs" dxfId="1484" priority="3407" operator="greaterThan">
      <formula>65</formula>
    </cfRule>
    <cfRule type="cellIs" dxfId="1483" priority="3406" operator="greaterThan">
      <formula>55</formula>
    </cfRule>
  </conditionalFormatting>
  <conditionalFormatting sqref="AB283">
    <cfRule type="cellIs" dxfId="1482" priority="3486" operator="greaterThan">
      <formula>55</formula>
    </cfRule>
    <cfRule type="cellIs" dxfId="1481" priority="3487" operator="greaterThan">
      <formula>65</formula>
    </cfRule>
  </conditionalFormatting>
  <conditionalFormatting sqref="AB292">
    <cfRule type="cellIs" dxfId="1480" priority="3566" operator="greaterThan">
      <formula>55</formula>
    </cfRule>
    <cfRule type="cellIs" dxfId="1479" priority="3567" operator="greaterThan">
      <formula>65</formula>
    </cfRule>
  </conditionalFormatting>
  <conditionalFormatting sqref="AB294">
    <cfRule type="cellIs" dxfId="1478" priority="3647" operator="greaterThan">
      <formula>65</formula>
    </cfRule>
    <cfRule type="cellIs" dxfId="1477" priority="3646" operator="greaterThan">
      <formula>55</formula>
    </cfRule>
  </conditionalFormatting>
  <conditionalFormatting sqref="AB296">
    <cfRule type="cellIs" dxfId="1476" priority="3726" operator="greaterThan">
      <formula>55</formula>
    </cfRule>
    <cfRule type="cellIs" dxfId="1475" priority="3727" operator="greaterThan">
      <formula>65</formula>
    </cfRule>
  </conditionalFormatting>
  <conditionalFormatting sqref="AB298">
    <cfRule type="cellIs" dxfId="1474" priority="3806" operator="greaterThan">
      <formula>55</formula>
    </cfRule>
    <cfRule type="cellIs" dxfId="1473" priority="3807" operator="greaterThan">
      <formula>65</formula>
    </cfRule>
  </conditionalFormatting>
  <conditionalFormatting sqref="AB300">
    <cfRule type="cellIs" dxfId="1472" priority="3887" operator="greaterThan">
      <formula>65</formula>
    </cfRule>
    <cfRule type="cellIs" dxfId="1471" priority="3886" operator="greaterThan">
      <formula>55</formula>
    </cfRule>
  </conditionalFormatting>
  <conditionalFormatting sqref="AB302">
    <cfRule type="cellIs" dxfId="1470" priority="3966" operator="greaterThan">
      <formula>55</formula>
    </cfRule>
    <cfRule type="cellIs" dxfId="1469" priority="3967" operator="greaterThan">
      <formula>65</formula>
    </cfRule>
  </conditionalFormatting>
  <conditionalFormatting sqref="AB304">
    <cfRule type="cellIs" dxfId="1468" priority="4046" operator="greaterThan">
      <formula>55</formula>
    </cfRule>
    <cfRule type="cellIs" dxfId="1467" priority="4047" operator="greaterThan">
      <formula>65</formula>
    </cfRule>
  </conditionalFormatting>
  <conditionalFormatting sqref="AB306">
    <cfRule type="cellIs" dxfId="1466" priority="4127" operator="greaterThan">
      <formula>65</formula>
    </cfRule>
    <cfRule type="cellIs" dxfId="1465" priority="4126" operator="greaterThan">
      <formula>55</formula>
    </cfRule>
  </conditionalFormatting>
  <conditionalFormatting sqref="AB308">
    <cfRule type="cellIs" dxfId="1464" priority="4206" operator="greaterThan">
      <formula>55</formula>
    </cfRule>
    <cfRule type="cellIs" dxfId="1463" priority="4207" operator="greaterThan">
      <formula>65</formula>
    </cfRule>
  </conditionalFormatting>
  <conditionalFormatting sqref="AB310">
    <cfRule type="cellIs" dxfId="1462" priority="4287" operator="greaterThan">
      <formula>65</formula>
    </cfRule>
    <cfRule type="cellIs" dxfId="1461" priority="4286" operator="greaterThan">
      <formula>55</formula>
    </cfRule>
  </conditionalFormatting>
  <conditionalFormatting sqref="AB312">
    <cfRule type="cellIs" dxfId="1460" priority="4367" operator="greaterThan">
      <formula>65</formula>
    </cfRule>
    <cfRule type="cellIs" dxfId="1459" priority="4366" operator="greaterThan">
      <formula>55</formula>
    </cfRule>
  </conditionalFormatting>
  <conditionalFormatting sqref="AB314">
    <cfRule type="cellIs" dxfId="1458" priority="4447" operator="greaterThan">
      <formula>65</formula>
    </cfRule>
    <cfRule type="cellIs" dxfId="1457" priority="4446" operator="greaterThan">
      <formula>55</formula>
    </cfRule>
  </conditionalFormatting>
  <conditionalFormatting sqref="AB316">
    <cfRule type="cellIs" dxfId="1456" priority="4526" operator="greaterThan">
      <formula>55</formula>
    </cfRule>
    <cfRule type="cellIs" dxfId="1455" priority="4527" operator="greaterThan">
      <formula>65</formula>
    </cfRule>
  </conditionalFormatting>
  <conditionalFormatting sqref="AB318">
    <cfRule type="cellIs" dxfId="1454" priority="4607" operator="greaterThan">
      <formula>65</formula>
    </cfRule>
    <cfRule type="cellIs" dxfId="1453" priority="4606" operator="greaterThan">
      <formula>55</formula>
    </cfRule>
  </conditionalFormatting>
  <conditionalFormatting sqref="AB320">
    <cfRule type="cellIs" dxfId="1452" priority="4686" operator="greaterThan">
      <formula>55</formula>
    </cfRule>
    <cfRule type="cellIs" dxfId="1451" priority="4687" operator="greaterThan">
      <formula>65</formula>
    </cfRule>
  </conditionalFormatting>
  <conditionalFormatting sqref="AB322">
    <cfRule type="cellIs" dxfId="1450" priority="4766" operator="greaterThan">
      <formula>55</formula>
    </cfRule>
    <cfRule type="cellIs" dxfId="1449" priority="4767" operator="greaterThan">
      <formula>65</formula>
    </cfRule>
  </conditionalFormatting>
  <conditionalFormatting sqref="AB324">
    <cfRule type="cellIs" dxfId="1448" priority="4846" operator="greaterThan">
      <formula>55</formula>
    </cfRule>
    <cfRule type="cellIs" dxfId="1447" priority="4847" operator="greaterThan">
      <formula>65</formula>
    </cfRule>
  </conditionalFormatting>
  <conditionalFormatting sqref="AB326">
    <cfRule type="cellIs" dxfId="1446" priority="4926" operator="greaterThan">
      <formula>55</formula>
    </cfRule>
    <cfRule type="cellIs" dxfId="1445" priority="4927" operator="greaterThan">
      <formula>65</formula>
    </cfRule>
  </conditionalFormatting>
  <conditionalFormatting sqref="AC2">
    <cfRule type="cellIs" dxfId="1444" priority="49" operator="greaterThan">
      <formula>65</formula>
    </cfRule>
    <cfRule type="cellIs" dxfId="1443" priority="48" operator="greaterThan">
      <formula>55</formula>
    </cfRule>
  </conditionalFormatting>
  <conditionalFormatting sqref="AC4">
    <cfRule type="cellIs" dxfId="1442" priority="128" operator="greaterThan">
      <formula>55</formula>
    </cfRule>
    <cfRule type="cellIs" dxfId="1441" priority="129" operator="greaterThan">
      <formula>65</formula>
    </cfRule>
  </conditionalFormatting>
  <conditionalFormatting sqref="AC13">
    <cfRule type="cellIs" dxfId="1440" priority="208" operator="greaterThan">
      <formula>55</formula>
    </cfRule>
    <cfRule type="cellIs" dxfId="1439" priority="209" operator="greaterThan">
      <formula>65</formula>
    </cfRule>
  </conditionalFormatting>
  <conditionalFormatting sqref="AC23">
    <cfRule type="cellIs" dxfId="1438" priority="289" operator="greaterThan">
      <formula>65</formula>
    </cfRule>
    <cfRule type="cellIs" dxfId="1437" priority="288" operator="greaterThan">
      <formula>55</formula>
    </cfRule>
  </conditionalFormatting>
  <conditionalFormatting sqref="AC33">
    <cfRule type="cellIs" dxfId="1436" priority="368" operator="greaterThan">
      <formula>55</formula>
    </cfRule>
    <cfRule type="cellIs" dxfId="1435" priority="369" operator="greaterThan">
      <formula>65</formula>
    </cfRule>
  </conditionalFormatting>
  <conditionalFormatting sqref="AC48">
    <cfRule type="cellIs" dxfId="1434" priority="449" operator="greaterThan">
      <formula>65</formula>
    </cfRule>
    <cfRule type="cellIs" dxfId="1433" priority="448" operator="greaterThan">
      <formula>55</formula>
    </cfRule>
  </conditionalFormatting>
  <conditionalFormatting sqref="AC52">
    <cfRule type="cellIs" dxfId="1432" priority="528" operator="greaterThan">
      <formula>55</formula>
    </cfRule>
    <cfRule type="cellIs" dxfId="1431" priority="529" operator="greaterThan">
      <formula>65</formula>
    </cfRule>
  </conditionalFormatting>
  <conditionalFormatting sqref="AC61">
    <cfRule type="cellIs" dxfId="1430" priority="609" operator="greaterThan">
      <formula>65</formula>
    </cfRule>
    <cfRule type="cellIs" dxfId="1429" priority="608" operator="greaterThan">
      <formula>55</formula>
    </cfRule>
  </conditionalFormatting>
  <conditionalFormatting sqref="AC74">
    <cfRule type="cellIs" dxfId="1428" priority="689" operator="greaterThan">
      <formula>65</formula>
    </cfRule>
    <cfRule type="cellIs" dxfId="1427" priority="688" operator="greaterThan">
      <formula>55</formula>
    </cfRule>
  </conditionalFormatting>
  <conditionalFormatting sqref="AC76">
    <cfRule type="cellIs" dxfId="1426" priority="768" operator="greaterThan">
      <formula>55</formula>
    </cfRule>
    <cfRule type="cellIs" dxfId="1425" priority="769" operator="greaterThan">
      <formula>65</formula>
    </cfRule>
  </conditionalFormatting>
  <conditionalFormatting sqref="AC86">
    <cfRule type="cellIs" dxfId="1424" priority="849" operator="greaterThan">
      <formula>65</formula>
    </cfRule>
    <cfRule type="cellIs" dxfId="1423" priority="848" operator="greaterThan">
      <formula>55</formula>
    </cfRule>
  </conditionalFormatting>
  <conditionalFormatting sqref="AC96">
    <cfRule type="cellIs" dxfId="1422" priority="929" operator="greaterThan">
      <formula>65</formula>
    </cfRule>
    <cfRule type="cellIs" dxfId="1421" priority="928" operator="greaterThan">
      <formula>55</formula>
    </cfRule>
  </conditionalFormatting>
  <conditionalFormatting sqref="AC101">
    <cfRule type="cellIs" dxfId="1420" priority="1008" operator="greaterThan">
      <formula>55</formula>
    </cfRule>
    <cfRule type="cellIs" dxfId="1419" priority="1009" operator="greaterThan">
      <formula>65</formula>
    </cfRule>
  </conditionalFormatting>
  <conditionalFormatting sqref="AC110">
    <cfRule type="cellIs" dxfId="1418" priority="1088" operator="greaterThan">
      <formula>55</formula>
    </cfRule>
    <cfRule type="cellIs" dxfId="1417" priority="1089" operator="greaterThan">
      <formula>65</formula>
    </cfRule>
  </conditionalFormatting>
  <conditionalFormatting sqref="AC117">
    <cfRule type="cellIs" dxfId="1416" priority="1169" operator="greaterThan">
      <formula>65</formula>
    </cfRule>
    <cfRule type="cellIs" dxfId="1415" priority="1168" operator="greaterThan">
      <formula>55</formula>
    </cfRule>
  </conditionalFormatting>
  <conditionalFormatting sqref="AC124">
    <cfRule type="cellIs" dxfId="1414" priority="1249" operator="greaterThan">
      <formula>65</formula>
    </cfRule>
    <cfRule type="cellIs" dxfId="1413" priority="1248" operator="greaterThan">
      <formula>55</formula>
    </cfRule>
  </conditionalFormatting>
  <conditionalFormatting sqref="AC128">
    <cfRule type="cellIs" dxfId="1412" priority="1328" operator="greaterThan">
      <formula>55</formula>
    </cfRule>
    <cfRule type="cellIs" dxfId="1411" priority="1329" operator="greaterThan">
      <formula>65</formula>
    </cfRule>
  </conditionalFormatting>
  <conditionalFormatting sqref="AC133">
    <cfRule type="cellIs" dxfId="1410" priority="1409" operator="greaterThan">
      <formula>65</formula>
    </cfRule>
    <cfRule type="cellIs" dxfId="1409" priority="1408" operator="greaterThan">
      <formula>55</formula>
    </cfRule>
  </conditionalFormatting>
  <conditionalFormatting sqref="AC136">
    <cfRule type="cellIs" dxfId="1408" priority="1489" operator="greaterThan">
      <formula>65</formula>
    </cfRule>
    <cfRule type="cellIs" dxfId="1407" priority="1488" operator="greaterThan">
      <formula>55</formula>
    </cfRule>
  </conditionalFormatting>
  <conditionalFormatting sqref="AC143">
    <cfRule type="cellIs" dxfId="1406" priority="1568" operator="greaterThan">
      <formula>55</formula>
    </cfRule>
    <cfRule type="cellIs" dxfId="1405" priority="1569" operator="greaterThan">
      <formula>65</formula>
    </cfRule>
  </conditionalFormatting>
  <conditionalFormatting sqref="AC157">
    <cfRule type="cellIs" dxfId="1404" priority="1649" operator="greaterThan">
      <formula>65</formula>
    </cfRule>
    <cfRule type="cellIs" dxfId="1403" priority="1648" operator="greaterThan">
      <formula>55</formula>
    </cfRule>
  </conditionalFormatting>
  <conditionalFormatting sqref="AC160">
    <cfRule type="cellIs" dxfId="1402" priority="1728" operator="greaterThan">
      <formula>55</formula>
    </cfRule>
    <cfRule type="cellIs" dxfId="1401" priority="1729" operator="greaterThan">
      <formula>65</formula>
    </cfRule>
  </conditionalFormatting>
  <conditionalFormatting sqref="AC170">
    <cfRule type="cellIs" dxfId="1400" priority="1809" operator="greaterThan">
      <formula>65</formula>
    </cfRule>
    <cfRule type="cellIs" dxfId="1399" priority="1808" operator="greaterThan">
      <formula>55</formula>
    </cfRule>
  </conditionalFormatting>
  <conditionalFormatting sqref="AC182">
    <cfRule type="cellIs" dxfId="1398" priority="1888" operator="greaterThan">
      <formula>55</formula>
    </cfRule>
    <cfRule type="cellIs" dxfId="1397" priority="1889" operator="greaterThan">
      <formula>65</formula>
    </cfRule>
  </conditionalFormatting>
  <conditionalFormatting sqref="AC185">
    <cfRule type="cellIs" dxfId="1396" priority="1969" operator="greaterThan">
      <formula>65</formula>
    </cfRule>
    <cfRule type="cellIs" dxfId="1395" priority="1968" operator="greaterThan">
      <formula>55</formula>
    </cfRule>
  </conditionalFormatting>
  <conditionalFormatting sqref="AC188">
    <cfRule type="cellIs" dxfId="1394" priority="2049" operator="greaterThan">
      <formula>65</formula>
    </cfRule>
    <cfRule type="cellIs" dxfId="1393" priority="2048" operator="greaterThan">
      <formula>55</formula>
    </cfRule>
  </conditionalFormatting>
  <conditionalFormatting sqref="AC194">
    <cfRule type="cellIs" dxfId="1392" priority="2128" operator="greaterThan">
      <formula>55</formula>
    </cfRule>
    <cfRule type="cellIs" dxfId="1391" priority="2129" operator="greaterThan">
      <formula>65</formula>
    </cfRule>
  </conditionalFormatting>
  <conditionalFormatting sqref="AC198">
    <cfRule type="cellIs" dxfId="1390" priority="2208" operator="greaterThan">
      <formula>55</formula>
    </cfRule>
    <cfRule type="cellIs" dxfId="1389" priority="2209" operator="greaterThan">
      <formula>65</formula>
    </cfRule>
  </conditionalFormatting>
  <conditionalFormatting sqref="AC206">
    <cfRule type="cellIs" dxfId="1388" priority="2289" operator="greaterThan">
      <formula>65</formula>
    </cfRule>
    <cfRule type="cellIs" dxfId="1387" priority="2288" operator="greaterThan">
      <formula>55</formula>
    </cfRule>
  </conditionalFormatting>
  <conditionalFormatting sqref="AC211">
    <cfRule type="cellIs" dxfId="1386" priority="2368" operator="greaterThan">
      <formula>55</formula>
    </cfRule>
    <cfRule type="cellIs" dxfId="1385" priority="2369" operator="greaterThan">
      <formula>65</formula>
    </cfRule>
  </conditionalFormatting>
  <conditionalFormatting sqref="AC213">
    <cfRule type="cellIs" dxfId="1384" priority="2448" operator="greaterThan">
      <formula>55</formula>
    </cfRule>
    <cfRule type="cellIs" dxfId="1383" priority="2449" operator="greaterThan">
      <formula>65</formula>
    </cfRule>
  </conditionalFormatting>
  <conditionalFormatting sqref="AC217">
    <cfRule type="cellIs" dxfId="1382" priority="2528" operator="greaterThan">
      <formula>55</formula>
    </cfRule>
    <cfRule type="cellIs" dxfId="1381" priority="2529" operator="greaterThan">
      <formula>65</formula>
    </cfRule>
  </conditionalFormatting>
  <conditionalFormatting sqref="AC220">
    <cfRule type="cellIs" dxfId="1380" priority="2608" operator="greaterThan">
      <formula>55</formula>
    </cfRule>
    <cfRule type="cellIs" dxfId="1379" priority="2609" operator="greaterThan">
      <formula>65</formula>
    </cfRule>
  </conditionalFormatting>
  <conditionalFormatting sqref="AC223">
    <cfRule type="cellIs" dxfId="1378" priority="2688" operator="greaterThan">
      <formula>55</formula>
    </cfRule>
    <cfRule type="cellIs" dxfId="1377" priority="2689" operator="greaterThan">
      <formula>65</formula>
    </cfRule>
  </conditionalFormatting>
  <conditionalFormatting sqref="AC226">
    <cfRule type="cellIs" dxfId="1376" priority="2769" operator="greaterThan">
      <formula>65</formula>
    </cfRule>
    <cfRule type="cellIs" dxfId="1375" priority="2768" operator="greaterThan">
      <formula>55</formula>
    </cfRule>
  </conditionalFormatting>
  <conditionalFormatting sqref="AC229">
    <cfRule type="cellIs" dxfId="1374" priority="2849" operator="greaterThan">
      <formula>65</formula>
    </cfRule>
    <cfRule type="cellIs" dxfId="1373" priority="2848" operator="greaterThan">
      <formula>55</formula>
    </cfRule>
  </conditionalFormatting>
  <conditionalFormatting sqref="AC232">
    <cfRule type="cellIs" dxfId="1372" priority="2928" operator="greaterThan">
      <formula>55</formula>
    </cfRule>
    <cfRule type="cellIs" dxfId="1371" priority="2929" operator="greaterThan">
      <formula>65</formula>
    </cfRule>
  </conditionalFormatting>
  <conditionalFormatting sqref="AC234">
    <cfRule type="cellIs" dxfId="1370" priority="3009" operator="greaterThan">
      <formula>65</formula>
    </cfRule>
    <cfRule type="cellIs" dxfId="1369" priority="3008" operator="greaterThan">
      <formula>55</formula>
    </cfRule>
  </conditionalFormatting>
  <conditionalFormatting sqref="AC248">
    <cfRule type="cellIs" dxfId="1368" priority="3089" operator="greaterThan">
      <formula>65</formula>
    </cfRule>
    <cfRule type="cellIs" dxfId="1367" priority="3088" operator="greaterThan">
      <formula>55</formula>
    </cfRule>
  </conditionalFormatting>
  <conditionalFormatting sqref="AC252">
    <cfRule type="cellIs" dxfId="1366" priority="3168" operator="greaterThan">
      <formula>55</formula>
    </cfRule>
    <cfRule type="cellIs" dxfId="1365" priority="3169" operator="greaterThan">
      <formula>65</formula>
    </cfRule>
  </conditionalFormatting>
  <conditionalFormatting sqref="AC261">
    <cfRule type="cellIs" dxfId="1364" priority="3249" operator="greaterThan">
      <formula>65</formula>
    </cfRule>
    <cfRule type="cellIs" dxfId="1363" priority="3248" operator="greaterThan">
      <formula>55</formula>
    </cfRule>
  </conditionalFormatting>
  <conditionalFormatting sqref="AC271">
    <cfRule type="cellIs" dxfId="1362" priority="3328" operator="greaterThan">
      <formula>55</formula>
    </cfRule>
    <cfRule type="cellIs" dxfId="1361" priority="3329" operator="greaterThan">
      <formula>65</formula>
    </cfRule>
  </conditionalFormatting>
  <conditionalFormatting sqref="AC280">
    <cfRule type="cellIs" dxfId="1360" priority="3409" operator="greaterThan">
      <formula>65</formula>
    </cfRule>
    <cfRule type="cellIs" dxfId="1359" priority="3408" operator="greaterThan">
      <formula>55</formula>
    </cfRule>
  </conditionalFormatting>
  <conditionalFormatting sqref="AC283">
    <cfRule type="cellIs" dxfId="1358" priority="3489" operator="greaterThan">
      <formula>65</formula>
    </cfRule>
    <cfRule type="cellIs" dxfId="1357" priority="3488" operator="greaterThan">
      <formula>55</formula>
    </cfRule>
  </conditionalFormatting>
  <conditionalFormatting sqref="AC292">
    <cfRule type="cellIs" dxfId="1356" priority="3569" operator="greaterThan">
      <formula>65</formula>
    </cfRule>
    <cfRule type="cellIs" dxfId="1355" priority="3568" operator="greaterThan">
      <formula>55</formula>
    </cfRule>
  </conditionalFormatting>
  <conditionalFormatting sqref="AC294">
    <cfRule type="cellIs" dxfId="1354" priority="3648" operator="greaterThan">
      <formula>55</formula>
    </cfRule>
    <cfRule type="cellIs" dxfId="1353" priority="3649" operator="greaterThan">
      <formula>65</formula>
    </cfRule>
  </conditionalFormatting>
  <conditionalFormatting sqref="AC296">
    <cfRule type="cellIs" dxfId="1352" priority="3728" operator="greaterThan">
      <formula>55</formula>
    </cfRule>
    <cfRule type="cellIs" dxfId="1351" priority="3729" operator="greaterThan">
      <formula>65</formula>
    </cfRule>
  </conditionalFormatting>
  <conditionalFormatting sqref="AC298">
    <cfRule type="cellIs" dxfId="1350" priority="3809" operator="greaterThan">
      <formula>65</formula>
    </cfRule>
    <cfRule type="cellIs" dxfId="1349" priority="3808" operator="greaterThan">
      <formula>55</formula>
    </cfRule>
  </conditionalFormatting>
  <conditionalFormatting sqref="AC300">
    <cfRule type="cellIs" dxfId="1348" priority="3888" operator="greaterThan">
      <formula>55</formula>
    </cfRule>
    <cfRule type="cellIs" dxfId="1347" priority="3889" operator="greaterThan">
      <formula>65</formula>
    </cfRule>
  </conditionalFormatting>
  <conditionalFormatting sqref="AC302">
    <cfRule type="cellIs" dxfId="1346" priority="3969" operator="greaterThan">
      <formula>65</formula>
    </cfRule>
    <cfRule type="cellIs" dxfId="1345" priority="3968" operator="greaterThan">
      <formula>55</formula>
    </cfRule>
  </conditionalFormatting>
  <conditionalFormatting sqref="AC304">
    <cfRule type="cellIs" dxfId="1344" priority="4049" operator="greaterThan">
      <formula>65</formula>
    </cfRule>
    <cfRule type="cellIs" dxfId="1343" priority="4048" operator="greaterThan">
      <formula>55</formula>
    </cfRule>
  </conditionalFormatting>
  <conditionalFormatting sqref="AC306">
    <cfRule type="cellIs" dxfId="1342" priority="4129" operator="greaterThan">
      <formula>65</formula>
    </cfRule>
    <cfRule type="cellIs" dxfId="1341" priority="4128" operator="greaterThan">
      <formula>55</formula>
    </cfRule>
  </conditionalFormatting>
  <conditionalFormatting sqref="AC308">
    <cfRule type="cellIs" dxfId="1340" priority="4209" operator="greaterThan">
      <formula>65</formula>
    </cfRule>
    <cfRule type="cellIs" dxfId="1339" priority="4208" operator="greaterThan">
      <formula>55</formula>
    </cfRule>
  </conditionalFormatting>
  <conditionalFormatting sqref="AC310">
    <cfRule type="cellIs" dxfId="1338" priority="4288" operator="greaterThan">
      <formula>55</formula>
    </cfRule>
    <cfRule type="cellIs" dxfId="1337" priority="4289" operator="greaterThan">
      <formula>65</formula>
    </cfRule>
  </conditionalFormatting>
  <conditionalFormatting sqref="AC312">
    <cfRule type="cellIs" dxfId="1336" priority="4368" operator="greaterThan">
      <formula>55</formula>
    </cfRule>
    <cfRule type="cellIs" dxfId="1335" priority="4369" operator="greaterThan">
      <formula>65</formula>
    </cfRule>
  </conditionalFormatting>
  <conditionalFormatting sqref="AC314">
    <cfRule type="cellIs" dxfId="1334" priority="4449" operator="greaterThan">
      <formula>65</formula>
    </cfRule>
    <cfRule type="cellIs" dxfId="1333" priority="4448" operator="greaterThan">
      <formula>55</formula>
    </cfRule>
  </conditionalFormatting>
  <conditionalFormatting sqref="AC316">
    <cfRule type="cellIs" dxfId="1332" priority="4528" operator="greaterThan">
      <formula>55</formula>
    </cfRule>
    <cfRule type="cellIs" dxfId="1331" priority="4529" operator="greaterThan">
      <formula>65</formula>
    </cfRule>
  </conditionalFormatting>
  <conditionalFormatting sqref="AC318">
    <cfRule type="cellIs" dxfId="1330" priority="4608" operator="greaterThan">
      <formula>55</formula>
    </cfRule>
    <cfRule type="cellIs" dxfId="1329" priority="4609" operator="greaterThan">
      <formula>65</formula>
    </cfRule>
  </conditionalFormatting>
  <conditionalFormatting sqref="AC320">
    <cfRule type="cellIs" dxfId="1328" priority="4689" operator="greaterThan">
      <formula>65</formula>
    </cfRule>
    <cfRule type="cellIs" dxfId="1327" priority="4688" operator="greaterThan">
      <formula>55</formula>
    </cfRule>
  </conditionalFormatting>
  <conditionalFormatting sqref="AC322">
    <cfRule type="cellIs" dxfId="1326" priority="4768" operator="greaterThan">
      <formula>55</formula>
    </cfRule>
    <cfRule type="cellIs" dxfId="1325" priority="4769" operator="greaterThan">
      <formula>65</formula>
    </cfRule>
  </conditionalFormatting>
  <conditionalFormatting sqref="AC324">
    <cfRule type="cellIs" dxfId="1324" priority="4849" operator="greaterThan">
      <formula>65</formula>
    </cfRule>
    <cfRule type="cellIs" dxfId="1323" priority="4848" operator="greaterThan">
      <formula>55</formula>
    </cfRule>
  </conditionalFormatting>
  <conditionalFormatting sqref="AC326">
    <cfRule type="cellIs" dxfId="1322" priority="4929" operator="greaterThan">
      <formula>65</formula>
    </cfRule>
    <cfRule type="cellIs" dxfId="1321" priority="4928" operator="greaterThan">
      <formula>55</formula>
    </cfRule>
  </conditionalFormatting>
  <conditionalFormatting sqref="AD2">
    <cfRule type="cellIs" dxfId="1320" priority="51" operator="greaterThan">
      <formula>65</formula>
    </cfRule>
    <cfRule type="cellIs" dxfId="1319" priority="50" operator="greaterThan">
      <formula>55</formula>
    </cfRule>
  </conditionalFormatting>
  <conditionalFormatting sqref="AD4">
    <cfRule type="cellIs" dxfId="1318" priority="130" operator="greaterThan">
      <formula>55</formula>
    </cfRule>
    <cfRule type="cellIs" dxfId="1317" priority="131" operator="greaterThan">
      <formula>65</formula>
    </cfRule>
  </conditionalFormatting>
  <conditionalFormatting sqref="AD13">
    <cfRule type="cellIs" dxfId="1316" priority="211" operator="greaterThan">
      <formula>65</formula>
    </cfRule>
    <cfRule type="cellIs" dxfId="1315" priority="210" operator="greaterThan">
      <formula>55</formula>
    </cfRule>
  </conditionalFormatting>
  <conditionalFormatting sqref="AD23">
    <cfRule type="cellIs" dxfId="1314" priority="290" operator="greaterThan">
      <formula>55</formula>
    </cfRule>
    <cfRule type="cellIs" dxfId="1313" priority="291" operator="greaterThan">
      <formula>65</formula>
    </cfRule>
  </conditionalFormatting>
  <conditionalFormatting sqref="AD33">
    <cfRule type="cellIs" dxfId="1312" priority="371" operator="greaterThan">
      <formula>65</formula>
    </cfRule>
    <cfRule type="cellIs" dxfId="1311" priority="370" operator="greaterThan">
      <formula>55</formula>
    </cfRule>
  </conditionalFormatting>
  <conditionalFormatting sqref="AD48">
    <cfRule type="cellIs" dxfId="1310" priority="451" operator="greaterThan">
      <formula>65</formula>
    </cfRule>
    <cfRule type="cellIs" dxfId="1309" priority="450" operator="greaterThan">
      <formula>55</formula>
    </cfRule>
  </conditionalFormatting>
  <conditionalFormatting sqref="AD52">
    <cfRule type="cellIs" dxfId="1308" priority="530" operator="greaterThan">
      <formula>55</formula>
    </cfRule>
    <cfRule type="cellIs" dxfId="1307" priority="531" operator="greaterThan">
      <formula>65</formula>
    </cfRule>
  </conditionalFormatting>
  <conditionalFormatting sqref="AD61">
    <cfRule type="cellIs" dxfId="1306" priority="611" operator="greaterThan">
      <formula>65</formula>
    </cfRule>
    <cfRule type="cellIs" dxfId="1305" priority="610" operator="greaterThan">
      <formula>55</formula>
    </cfRule>
  </conditionalFormatting>
  <conditionalFormatting sqref="AD74">
    <cfRule type="cellIs" dxfId="1304" priority="690" operator="greaterThan">
      <formula>55</formula>
    </cfRule>
    <cfRule type="cellIs" dxfId="1303" priority="691" operator="greaterThan">
      <formula>65</formula>
    </cfRule>
  </conditionalFormatting>
  <conditionalFormatting sqref="AD76">
    <cfRule type="cellIs" dxfId="1302" priority="771" operator="greaterThan">
      <formula>65</formula>
    </cfRule>
    <cfRule type="cellIs" dxfId="1301" priority="770" operator="greaterThan">
      <formula>55</formula>
    </cfRule>
  </conditionalFormatting>
  <conditionalFormatting sqref="AD86">
    <cfRule type="cellIs" dxfId="1300" priority="851" operator="greaterThan">
      <formula>65</formula>
    </cfRule>
    <cfRule type="cellIs" dxfId="1299" priority="850" operator="greaterThan">
      <formula>55</formula>
    </cfRule>
  </conditionalFormatting>
  <conditionalFormatting sqref="AD96">
    <cfRule type="cellIs" dxfId="1298" priority="930" operator="greaterThan">
      <formula>55</formula>
    </cfRule>
    <cfRule type="cellIs" dxfId="1297" priority="931" operator="greaterThan">
      <formula>65</formula>
    </cfRule>
  </conditionalFormatting>
  <conditionalFormatting sqref="AD101">
    <cfRule type="cellIs" dxfId="1296" priority="1010" operator="greaterThan">
      <formula>55</formula>
    </cfRule>
    <cfRule type="cellIs" dxfId="1295" priority="1011" operator="greaterThan">
      <formula>65</formula>
    </cfRule>
  </conditionalFormatting>
  <conditionalFormatting sqref="AD110">
    <cfRule type="cellIs" dxfId="1294" priority="1091" operator="greaterThan">
      <formula>65</formula>
    </cfRule>
    <cfRule type="cellIs" dxfId="1293" priority="1090" operator="greaterThan">
      <formula>55</formula>
    </cfRule>
  </conditionalFormatting>
  <conditionalFormatting sqref="AD117">
    <cfRule type="cellIs" dxfId="1292" priority="1170" operator="greaterThan">
      <formula>55</formula>
    </cfRule>
    <cfRule type="cellIs" dxfId="1291" priority="1171" operator="greaterThan">
      <formula>65</formula>
    </cfRule>
  </conditionalFormatting>
  <conditionalFormatting sqref="AD124">
    <cfRule type="cellIs" dxfId="1290" priority="1250" operator="greaterThan">
      <formula>55</formula>
    </cfRule>
    <cfRule type="cellIs" dxfId="1289" priority="1251" operator="greaterThan">
      <formula>65</formula>
    </cfRule>
  </conditionalFormatting>
  <conditionalFormatting sqref="AD128">
    <cfRule type="cellIs" dxfId="1288" priority="1331" operator="greaterThan">
      <formula>65</formula>
    </cfRule>
    <cfRule type="cellIs" dxfId="1287" priority="1330" operator="greaterThan">
      <formula>55</formula>
    </cfRule>
  </conditionalFormatting>
  <conditionalFormatting sqref="AD133">
    <cfRule type="cellIs" dxfId="1286" priority="1411" operator="greaterThan">
      <formula>65</formula>
    </cfRule>
    <cfRule type="cellIs" dxfId="1285" priority="1410" operator="greaterThan">
      <formula>55</formula>
    </cfRule>
  </conditionalFormatting>
  <conditionalFormatting sqref="AD136">
    <cfRule type="cellIs" dxfId="1284" priority="1490" operator="greaterThan">
      <formula>55</formula>
    </cfRule>
    <cfRule type="cellIs" dxfId="1283" priority="1491" operator="greaterThan">
      <formula>65</formula>
    </cfRule>
  </conditionalFormatting>
  <conditionalFormatting sqref="AD143">
    <cfRule type="cellIs" dxfId="1282" priority="1570" operator="greaterThan">
      <formula>55</formula>
    </cfRule>
    <cfRule type="cellIs" dxfId="1281" priority="1571" operator="greaterThan">
      <formula>65</formula>
    </cfRule>
  </conditionalFormatting>
  <conditionalFormatting sqref="AD157">
    <cfRule type="cellIs" dxfId="1280" priority="1651" operator="greaterThan">
      <formula>65</formula>
    </cfRule>
    <cfRule type="cellIs" dxfId="1279" priority="1650" operator="greaterThan">
      <formula>55</formula>
    </cfRule>
  </conditionalFormatting>
  <conditionalFormatting sqref="AD160">
    <cfRule type="cellIs" dxfId="1278" priority="1731" operator="greaterThan">
      <formula>65</formula>
    </cfRule>
    <cfRule type="cellIs" dxfId="1277" priority="1730" operator="greaterThan">
      <formula>55</formula>
    </cfRule>
  </conditionalFormatting>
  <conditionalFormatting sqref="AD170">
    <cfRule type="cellIs" dxfId="1276" priority="1810" operator="greaterThan">
      <formula>55</formula>
    </cfRule>
    <cfRule type="cellIs" dxfId="1275" priority="1811" operator="greaterThan">
      <formula>65</formula>
    </cfRule>
  </conditionalFormatting>
  <conditionalFormatting sqref="AD182">
    <cfRule type="cellIs" dxfId="1274" priority="1891" operator="greaterThan">
      <formula>65</formula>
    </cfRule>
    <cfRule type="cellIs" dxfId="1273" priority="1890" operator="greaterThan">
      <formula>55</formula>
    </cfRule>
  </conditionalFormatting>
  <conditionalFormatting sqref="AD185">
    <cfRule type="cellIs" dxfId="1272" priority="1971" operator="greaterThan">
      <formula>65</formula>
    </cfRule>
    <cfRule type="cellIs" dxfId="1271" priority="1970" operator="greaterThan">
      <formula>55</formula>
    </cfRule>
  </conditionalFormatting>
  <conditionalFormatting sqref="AD188">
    <cfRule type="cellIs" dxfId="1270" priority="2050" operator="greaterThan">
      <formula>55</formula>
    </cfRule>
    <cfRule type="cellIs" dxfId="1269" priority="2051" operator="greaterThan">
      <formula>65</formula>
    </cfRule>
  </conditionalFormatting>
  <conditionalFormatting sqref="AD194">
    <cfRule type="cellIs" dxfId="1268" priority="2130" operator="greaterThan">
      <formula>55</formula>
    </cfRule>
    <cfRule type="cellIs" dxfId="1267" priority="2131" operator="greaterThan">
      <formula>65</formula>
    </cfRule>
  </conditionalFormatting>
  <conditionalFormatting sqref="AD198">
    <cfRule type="cellIs" dxfId="1266" priority="2211" operator="greaterThan">
      <formula>65</formula>
    </cfRule>
    <cfRule type="cellIs" dxfId="1265" priority="2210" operator="greaterThan">
      <formula>55</formula>
    </cfRule>
  </conditionalFormatting>
  <conditionalFormatting sqref="AD206">
    <cfRule type="cellIs" dxfId="1264" priority="2290" operator="greaterThan">
      <formula>55</formula>
    </cfRule>
    <cfRule type="cellIs" dxfId="1263" priority="2291" operator="greaterThan">
      <formula>65</formula>
    </cfRule>
  </conditionalFormatting>
  <conditionalFormatting sqref="AD211">
    <cfRule type="cellIs" dxfId="1262" priority="2371" operator="greaterThan">
      <formula>65</formula>
    </cfRule>
    <cfRule type="cellIs" dxfId="1261" priority="2370" operator="greaterThan">
      <formula>55</formula>
    </cfRule>
  </conditionalFormatting>
  <conditionalFormatting sqref="AD213">
    <cfRule type="cellIs" dxfId="1260" priority="2451" operator="greaterThan">
      <formula>65</formula>
    </cfRule>
    <cfRule type="cellIs" dxfId="1259" priority="2450" operator="greaterThan">
      <formula>55</formula>
    </cfRule>
  </conditionalFormatting>
  <conditionalFormatting sqref="AD217">
    <cfRule type="cellIs" dxfId="1258" priority="2530" operator="greaterThan">
      <formula>55</formula>
    </cfRule>
    <cfRule type="cellIs" dxfId="1257" priority="2531" operator="greaterThan">
      <formula>65</formula>
    </cfRule>
  </conditionalFormatting>
  <conditionalFormatting sqref="AD220">
    <cfRule type="cellIs" dxfId="1256" priority="2610" operator="greaterThan">
      <formula>55</formula>
    </cfRule>
    <cfRule type="cellIs" dxfId="1255" priority="2611" operator="greaterThan">
      <formula>65</formula>
    </cfRule>
  </conditionalFormatting>
  <conditionalFormatting sqref="AD223">
    <cfRule type="cellIs" dxfId="1254" priority="2690" operator="greaterThan">
      <formula>55</formula>
    </cfRule>
    <cfRule type="cellIs" dxfId="1253" priority="2691" operator="greaterThan">
      <formula>65</formula>
    </cfRule>
  </conditionalFormatting>
  <conditionalFormatting sqref="AD226">
    <cfRule type="cellIs" dxfId="1252" priority="2771" operator="greaterThan">
      <formula>65</formula>
    </cfRule>
    <cfRule type="cellIs" dxfId="1251" priority="2770" operator="greaterThan">
      <formula>55</formula>
    </cfRule>
  </conditionalFormatting>
  <conditionalFormatting sqref="AD229">
    <cfRule type="cellIs" dxfId="1250" priority="2851" operator="greaterThan">
      <formula>65</formula>
    </cfRule>
    <cfRule type="cellIs" dxfId="1249" priority="2850" operator="greaterThan">
      <formula>55</formula>
    </cfRule>
  </conditionalFormatting>
  <conditionalFormatting sqref="AD232">
    <cfRule type="cellIs" dxfId="1248" priority="2931" operator="greaterThan">
      <formula>65</formula>
    </cfRule>
    <cfRule type="cellIs" dxfId="1247" priority="2930" operator="greaterThan">
      <formula>55</formula>
    </cfRule>
  </conditionalFormatting>
  <conditionalFormatting sqref="AD234">
    <cfRule type="cellIs" dxfId="1246" priority="3010" operator="greaterThan">
      <formula>55</formula>
    </cfRule>
    <cfRule type="cellIs" dxfId="1245" priority="3011" operator="greaterThan">
      <formula>65</formula>
    </cfRule>
  </conditionalFormatting>
  <conditionalFormatting sqref="AD248">
    <cfRule type="cellIs" dxfId="1244" priority="3090" operator="greaterThan">
      <formula>55</formula>
    </cfRule>
    <cfRule type="cellIs" dxfId="1243" priority="3091" operator="greaterThan">
      <formula>65</formula>
    </cfRule>
  </conditionalFormatting>
  <conditionalFormatting sqref="AD252">
    <cfRule type="cellIs" dxfId="1242" priority="3171" operator="greaterThan">
      <formula>65</formula>
    </cfRule>
    <cfRule type="cellIs" dxfId="1241" priority="3170" operator="greaterThan">
      <formula>55</formula>
    </cfRule>
  </conditionalFormatting>
  <conditionalFormatting sqref="AD261">
    <cfRule type="cellIs" dxfId="1240" priority="3251" operator="greaterThan">
      <formula>65</formula>
    </cfRule>
    <cfRule type="cellIs" dxfId="1239" priority="3250" operator="greaterThan">
      <formula>55</formula>
    </cfRule>
  </conditionalFormatting>
  <conditionalFormatting sqref="AD271">
    <cfRule type="cellIs" dxfId="1238" priority="3330" operator="greaterThan">
      <formula>55</formula>
    </cfRule>
    <cfRule type="cellIs" dxfId="1237" priority="3331" operator="greaterThan">
      <formula>65</formula>
    </cfRule>
  </conditionalFormatting>
  <conditionalFormatting sqref="AD280">
    <cfRule type="cellIs" dxfId="1236" priority="3411" operator="greaterThan">
      <formula>65</formula>
    </cfRule>
    <cfRule type="cellIs" dxfId="1235" priority="3410" operator="greaterThan">
      <formula>55</formula>
    </cfRule>
  </conditionalFormatting>
  <conditionalFormatting sqref="AD283">
    <cfRule type="cellIs" dxfId="1234" priority="3490" operator="greaterThan">
      <formula>55</formula>
    </cfRule>
    <cfRule type="cellIs" dxfId="1233" priority="3491" operator="greaterThan">
      <formula>65</formula>
    </cfRule>
  </conditionalFormatting>
  <conditionalFormatting sqref="AD292">
    <cfRule type="cellIs" dxfId="1232" priority="3570" operator="greaterThan">
      <formula>55</formula>
    </cfRule>
    <cfRule type="cellIs" dxfId="1231" priority="3571" operator="greaterThan">
      <formula>65</formula>
    </cfRule>
  </conditionalFormatting>
  <conditionalFormatting sqref="AD294">
    <cfRule type="cellIs" dxfId="1230" priority="3650" operator="greaterThan">
      <formula>55</formula>
    </cfRule>
    <cfRule type="cellIs" dxfId="1229" priority="3651" operator="greaterThan">
      <formula>65</formula>
    </cfRule>
  </conditionalFormatting>
  <conditionalFormatting sqref="AD296">
    <cfRule type="cellIs" dxfId="1228" priority="3730" operator="greaterThan">
      <formula>55</formula>
    </cfRule>
    <cfRule type="cellIs" dxfId="1227" priority="3731" operator="greaterThan">
      <formula>65</formula>
    </cfRule>
  </conditionalFormatting>
  <conditionalFormatting sqref="AD298">
    <cfRule type="cellIs" dxfId="1226" priority="3810" operator="greaterThan">
      <formula>55</formula>
    </cfRule>
    <cfRule type="cellIs" dxfId="1225" priority="3811" operator="greaterThan">
      <formula>65</formula>
    </cfRule>
  </conditionalFormatting>
  <conditionalFormatting sqref="AD300">
    <cfRule type="cellIs" dxfId="1224" priority="3891" operator="greaterThan">
      <formula>65</formula>
    </cfRule>
    <cfRule type="cellIs" dxfId="1223" priority="3890" operator="greaterThan">
      <formula>55</formula>
    </cfRule>
  </conditionalFormatting>
  <conditionalFormatting sqref="AD302">
    <cfRule type="cellIs" dxfId="1222" priority="3971" operator="greaterThan">
      <formula>65</formula>
    </cfRule>
    <cfRule type="cellIs" dxfId="1221" priority="3970" operator="greaterThan">
      <formula>55</formula>
    </cfRule>
  </conditionalFormatting>
  <conditionalFormatting sqref="AD304">
    <cfRule type="cellIs" dxfId="1220" priority="4051" operator="greaterThan">
      <formula>65</formula>
    </cfRule>
    <cfRule type="cellIs" dxfId="1219" priority="4050" operator="greaterThan">
      <formula>55</formula>
    </cfRule>
  </conditionalFormatting>
  <conditionalFormatting sqref="AD306">
    <cfRule type="cellIs" dxfId="1218" priority="4131" operator="greaterThan">
      <formula>65</formula>
    </cfRule>
    <cfRule type="cellIs" dxfId="1217" priority="4130" operator="greaterThan">
      <formula>55</formula>
    </cfRule>
  </conditionalFormatting>
  <conditionalFormatting sqref="AD308">
    <cfRule type="cellIs" dxfId="1216" priority="4211" operator="greaterThan">
      <formula>65</formula>
    </cfRule>
    <cfRule type="cellIs" dxfId="1215" priority="4210" operator="greaterThan">
      <formula>55</formula>
    </cfRule>
  </conditionalFormatting>
  <conditionalFormatting sqref="AD310">
    <cfRule type="cellIs" dxfId="1214" priority="4291" operator="greaterThan">
      <formula>65</formula>
    </cfRule>
    <cfRule type="cellIs" dxfId="1213" priority="4290" operator="greaterThan">
      <formula>55</formula>
    </cfRule>
  </conditionalFormatting>
  <conditionalFormatting sqref="AD312">
    <cfRule type="cellIs" dxfId="1212" priority="4371" operator="greaterThan">
      <formula>65</formula>
    </cfRule>
    <cfRule type="cellIs" dxfId="1211" priority="4370" operator="greaterThan">
      <formula>55</formula>
    </cfRule>
  </conditionalFormatting>
  <conditionalFormatting sqref="AD314">
    <cfRule type="cellIs" dxfId="1210" priority="4451" operator="greaterThan">
      <formula>65</formula>
    </cfRule>
    <cfRule type="cellIs" dxfId="1209" priority="4450" operator="greaterThan">
      <formula>55</formula>
    </cfRule>
  </conditionalFormatting>
  <conditionalFormatting sqref="AD316">
    <cfRule type="cellIs" dxfId="1208" priority="4531" operator="greaterThan">
      <formula>65</formula>
    </cfRule>
    <cfRule type="cellIs" dxfId="1207" priority="4530" operator="greaterThan">
      <formula>55</formula>
    </cfRule>
  </conditionalFormatting>
  <conditionalFormatting sqref="AD318">
    <cfRule type="cellIs" dxfId="1206" priority="4611" operator="greaterThan">
      <formula>65</formula>
    </cfRule>
    <cfRule type="cellIs" dxfId="1205" priority="4610" operator="greaterThan">
      <formula>55</formula>
    </cfRule>
  </conditionalFormatting>
  <conditionalFormatting sqref="AD320">
    <cfRule type="cellIs" dxfId="1204" priority="4690" operator="greaterThan">
      <formula>55</formula>
    </cfRule>
    <cfRule type="cellIs" dxfId="1203" priority="4691" operator="greaterThan">
      <formula>65</formula>
    </cfRule>
  </conditionalFormatting>
  <conditionalFormatting sqref="AD322">
    <cfRule type="cellIs" dxfId="1202" priority="4770" operator="greaterThan">
      <formula>55</formula>
    </cfRule>
    <cfRule type="cellIs" dxfId="1201" priority="4771" operator="greaterThan">
      <formula>65</formula>
    </cfRule>
  </conditionalFormatting>
  <conditionalFormatting sqref="AD324">
    <cfRule type="cellIs" dxfId="1200" priority="4851" operator="greaterThan">
      <formula>65</formula>
    </cfRule>
    <cfRule type="cellIs" dxfId="1199" priority="4850" operator="greaterThan">
      <formula>55</formula>
    </cfRule>
  </conditionalFormatting>
  <conditionalFormatting sqref="AD326">
    <cfRule type="cellIs" dxfId="1198" priority="4931" operator="greaterThan">
      <formula>65</formula>
    </cfRule>
    <cfRule type="cellIs" dxfId="1197" priority="4930" operator="greaterThan">
      <formula>55</formula>
    </cfRule>
  </conditionalFormatting>
  <conditionalFormatting sqref="AE2">
    <cfRule type="cellIs" dxfId="1196" priority="53" operator="greaterThan">
      <formula>65</formula>
    </cfRule>
    <cfRule type="cellIs" dxfId="1195" priority="52" operator="greaterThan">
      <formula>55</formula>
    </cfRule>
  </conditionalFormatting>
  <conditionalFormatting sqref="AE4">
    <cfRule type="cellIs" dxfId="1194" priority="133" operator="greaterThan">
      <formula>65</formula>
    </cfRule>
    <cfRule type="cellIs" dxfId="1193" priority="132" operator="greaterThan">
      <formula>55</formula>
    </cfRule>
  </conditionalFormatting>
  <conditionalFormatting sqref="AE13">
    <cfRule type="cellIs" dxfId="1192" priority="212" operator="greaterThan">
      <formula>55</formula>
    </cfRule>
    <cfRule type="cellIs" dxfId="1191" priority="213" operator="greaterThan">
      <formula>65</formula>
    </cfRule>
  </conditionalFormatting>
  <conditionalFormatting sqref="AE23">
    <cfRule type="cellIs" dxfId="1190" priority="292" operator="greaterThan">
      <formula>55</formula>
    </cfRule>
    <cfRule type="cellIs" dxfId="1189" priority="293" operator="greaterThan">
      <formula>65</formula>
    </cfRule>
  </conditionalFormatting>
  <conditionalFormatting sqref="AE33">
    <cfRule type="cellIs" dxfId="1188" priority="373" operator="greaterThan">
      <formula>65</formula>
    </cfRule>
    <cfRule type="cellIs" dxfId="1187" priority="372" operator="greaterThan">
      <formula>55</formula>
    </cfRule>
  </conditionalFormatting>
  <conditionalFormatting sqref="AE48">
    <cfRule type="cellIs" dxfId="1186" priority="453" operator="greaterThan">
      <formula>65</formula>
    </cfRule>
    <cfRule type="cellIs" dxfId="1185" priority="452" operator="greaterThan">
      <formula>55</formula>
    </cfRule>
  </conditionalFormatting>
  <conditionalFormatting sqref="AE52">
    <cfRule type="cellIs" dxfId="1184" priority="532" operator="greaterThan">
      <formula>55</formula>
    </cfRule>
    <cfRule type="cellIs" dxfId="1183" priority="533" operator="greaterThan">
      <formula>65</formula>
    </cfRule>
  </conditionalFormatting>
  <conditionalFormatting sqref="AE61">
    <cfRule type="cellIs" dxfId="1182" priority="612" operator="greaterThan">
      <formula>55</formula>
    </cfRule>
    <cfRule type="cellIs" dxfId="1181" priority="613" operator="greaterThan">
      <formula>65</formula>
    </cfRule>
  </conditionalFormatting>
  <conditionalFormatting sqref="AE74">
    <cfRule type="cellIs" dxfId="1180" priority="692" operator="greaterThan">
      <formula>55</formula>
    </cfRule>
    <cfRule type="cellIs" dxfId="1179" priority="693" operator="greaterThan">
      <formula>65</formula>
    </cfRule>
  </conditionalFormatting>
  <conditionalFormatting sqref="AE76">
    <cfRule type="cellIs" dxfId="1178" priority="772" operator="greaterThan">
      <formula>55</formula>
    </cfRule>
    <cfRule type="cellIs" dxfId="1177" priority="773" operator="greaterThan">
      <formula>65</formula>
    </cfRule>
  </conditionalFormatting>
  <conditionalFormatting sqref="AE86">
    <cfRule type="cellIs" dxfId="1176" priority="852" operator="greaterThan">
      <formula>55</formula>
    </cfRule>
    <cfRule type="cellIs" dxfId="1175" priority="853" operator="greaterThan">
      <formula>65</formula>
    </cfRule>
  </conditionalFormatting>
  <conditionalFormatting sqref="AE96">
    <cfRule type="cellIs" dxfId="1174" priority="932" operator="greaterThan">
      <formula>55</formula>
    </cfRule>
    <cfRule type="cellIs" dxfId="1173" priority="933" operator="greaterThan">
      <formula>65</formula>
    </cfRule>
  </conditionalFormatting>
  <conditionalFormatting sqref="AE101">
    <cfRule type="cellIs" dxfId="1172" priority="1012" operator="greaterThan">
      <formula>55</formula>
    </cfRule>
    <cfRule type="cellIs" dxfId="1171" priority="1013" operator="greaterThan">
      <formula>65</formula>
    </cfRule>
  </conditionalFormatting>
  <conditionalFormatting sqref="AE110">
    <cfRule type="cellIs" dxfId="1170" priority="1093" operator="greaterThan">
      <formula>65</formula>
    </cfRule>
    <cfRule type="cellIs" dxfId="1169" priority="1092" operator="greaterThan">
      <formula>55</formula>
    </cfRule>
  </conditionalFormatting>
  <conditionalFormatting sqref="AE117">
    <cfRule type="cellIs" dxfId="1168" priority="1173" operator="greaterThan">
      <formula>65</formula>
    </cfRule>
    <cfRule type="cellIs" dxfId="1167" priority="1172" operator="greaterThan">
      <formula>55</formula>
    </cfRule>
  </conditionalFormatting>
  <conditionalFormatting sqref="AE124">
    <cfRule type="cellIs" dxfId="1166" priority="1252" operator="greaterThan">
      <formula>55</formula>
    </cfRule>
    <cfRule type="cellIs" dxfId="1165" priority="1253" operator="greaterThan">
      <formula>65</formula>
    </cfRule>
  </conditionalFormatting>
  <conditionalFormatting sqref="AE128">
    <cfRule type="cellIs" dxfId="1164" priority="1333" operator="greaterThan">
      <formula>65</formula>
    </cfRule>
    <cfRule type="cellIs" dxfId="1163" priority="1332" operator="greaterThan">
      <formula>55</formula>
    </cfRule>
  </conditionalFormatting>
  <conditionalFormatting sqref="AE133">
    <cfRule type="cellIs" dxfId="1162" priority="1412" operator="greaterThan">
      <formula>55</formula>
    </cfRule>
    <cfRule type="cellIs" dxfId="1161" priority="1413" operator="greaterThan">
      <formula>65</formula>
    </cfRule>
  </conditionalFormatting>
  <conditionalFormatting sqref="AE136">
    <cfRule type="cellIs" dxfId="1160" priority="1493" operator="greaterThan">
      <formula>65</formula>
    </cfRule>
    <cfRule type="cellIs" dxfId="1159" priority="1492" operator="greaterThan">
      <formula>55</formula>
    </cfRule>
  </conditionalFormatting>
  <conditionalFormatting sqref="AE143">
    <cfRule type="cellIs" dxfId="1158" priority="1573" operator="greaterThan">
      <formula>65</formula>
    </cfRule>
    <cfRule type="cellIs" dxfId="1157" priority="1572" operator="greaterThan">
      <formula>55</formula>
    </cfRule>
  </conditionalFormatting>
  <conditionalFormatting sqref="AE157">
    <cfRule type="cellIs" dxfId="1156" priority="1653" operator="greaterThan">
      <formula>65</formula>
    </cfRule>
    <cfRule type="cellIs" dxfId="1155" priority="1652" operator="greaterThan">
      <formula>55</formula>
    </cfRule>
  </conditionalFormatting>
  <conditionalFormatting sqref="AE160">
    <cfRule type="cellIs" dxfId="1154" priority="1733" operator="greaterThan">
      <formula>65</formula>
    </cfRule>
    <cfRule type="cellIs" dxfId="1153" priority="1732" operator="greaterThan">
      <formula>55</formula>
    </cfRule>
  </conditionalFormatting>
  <conditionalFormatting sqref="AE170">
    <cfRule type="cellIs" dxfId="1152" priority="1813" operator="greaterThan">
      <formula>65</formula>
    </cfRule>
    <cfRule type="cellIs" dxfId="1151" priority="1812" operator="greaterThan">
      <formula>55</formula>
    </cfRule>
  </conditionalFormatting>
  <conditionalFormatting sqref="AE182">
    <cfRule type="cellIs" dxfId="1150" priority="1892" operator="greaterThan">
      <formula>55</formula>
    </cfRule>
    <cfRule type="cellIs" dxfId="1149" priority="1893" operator="greaterThan">
      <formula>65</formula>
    </cfRule>
  </conditionalFormatting>
  <conditionalFormatting sqref="AE185">
    <cfRule type="cellIs" dxfId="1148" priority="1973" operator="greaterThan">
      <formula>65</formula>
    </cfRule>
    <cfRule type="cellIs" dxfId="1147" priority="1972" operator="greaterThan">
      <formula>55</formula>
    </cfRule>
  </conditionalFormatting>
  <conditionalFormatting sqref="AE188">
    <cfRule type="cellIs" dxfId="1146" priority="2052" operator="greaterThan">
      <formula>55</formula>
    </cfRule>
    <cfRule type="cellIs" dxfId="1145" priority="2053" operator="greaterThan">
      <formula>65</formula>
    </cfRule>
  </conditionalFormatting>
  <conditionalFormatting sqref="AE194">
    <cfRule type="cellIs" dxfId="1144" priority="2133" operator="greaterThan">
      <formula>65</formula>
    </cfRule>
    <cfRule type="cellIs" dxfId="1143" priority="2132" operator="greaterThan">
      <formula>55</formula>
    </cfRule>
  </conditionalFormatting>
  <conditionalFormatting sqref="AE198">
    <cfRule type="cellIs" dxfId="1142" priority="2212" operator="greaterThan">
      <formula>55</formula>
    </cfRule>
    <cfRule type="cellIs" dxfId="1141" priority="2213" operator="greaterThan">
      <formula>65</formula>
    </cfRule>
  </conditionalFormatting>
  <conditionalFormatting sqref="AE206">
    <cfRule type="cellIs" dxfId="1140" priority="2292" operator="greaterThan">
      <formula>55</formula>
    </cfRule>
    <cfRule type="cellIs" dxfId="1139" priority="2293" operator="greaterThan">
      <formula>65</formula>
    </cfRule>
  </conditionalFormatting>
  <conditionalFormatting sqref="AE211">
    <cfRule type="cellIs" dxfId="1138" priority="2373" operator="greaterThan">
      <formula>65</formula>
    </cfRule>
    <cfRule type="cellIs" dxfId="1137" priority="2372" operator="greaterThan">
      <formula>55</formula>
    </cfRule>
  </conditionalFormatting>
  <conditionalFormatting sqref="AE213">
    <cfRule type="cellIs" dxfId="1136" priority="2452" operator="greaterThan">
      <formula>55</formula>
    </cfRule>
    <cfRule type="cellIs" dxfId="1135" priority="2453" operator="greaterThan">
      <formula>65</formula>
    </cfRule>
  </conditionalFormatting>
  <conditionalFormatting sqref="AE217">
    <cfRule type="cellIs" dxfId="1134" priority="2532" operator="greaterThan">
      <formula>55</formula>
    </cfRule>
    <cfRule type="cellIs" dxfId="1133" priority="2533" operator="greaterThan">
      <formula>65</formula>
    </cfRule>
  </conditionalFormatting>
  <conditionalFormatting sqref="AE220">
    <cfRule type="cellIs" dxfId="1132" priority="2612" operator="greaterThan">
      <formula>55</formula>
    </cfRule>
    <cfRule type="cellIs" dxfId="1131" priority="2613" operator="greaterThan">
      <formula>65</formula>
    </cfRule>
  </conditionalFormatting>
  <conditionalFormatting sqref="AE223">
    <cfRule type="cellIs" dxfId="1130" priority="2693" operator="greaterThan">
      <formula>65</formula>
    </cfRule>
    <cfRule type="cellIs" dxfId="1129" priority="2692" operator="greaterThan">
      <formula>55</formula>
    </cfRule>
  </conditionalFormatting>
  <conditionalFormatting sqref="AE226">
    <cfRule type="cellIs" dxfId="1128" priority="2772" operator="greaterThan">
      <formula>55</formula>
    </cfRule>
    <cfRule type="cellIs" dxfId="1127" priority="2773" operator="greaterThan">
      <formula>65</formula>
    </cfRule>
  </conditionalFormatting>
  <conditionalFormatting sqref="AE229">
    <cfRule type="cellIs" dxfId="1126" priority="2853" operator="greaterThan">
      <formula>65</formula>
    </cfRule>
    <cfRule type="cellIs" dxfId="1125" priority="2852" operator="greaterThan">
      <formula>55</formula>
    </cfRule>
  </conditionalFormatting>
  <conditionalFormatting sqref="AE232">
    <cfRule type="cellIs" dxfId="1124" priority="2932" operator="greaterThan">
      <formula>55</formula>
    </cfRule>
    <cfRule type="cellIs" dxfId="1123" priority="2933" operator="greaterThan">
      <formula>65</formula>
    </cfRule>
  </conditionalFormatting>
  <conditionalFormatting sqref="AE234">
    <cfRule type="cellIs" dxfId="1122" priority="3012" operator="greaterThan">
      <formula>55</formula>
    </cfRule>
    <cfRule type="cellIs" dxfId="1121" priority="3013" operator="greaterThan">
      <formula>65</formula>
    </cfRule>
  </conditionalFormatting>
  <conditionalFormatting sqref="AE248">
    <cfRule type="cellIs" dxfId="1120" priority="3092" operator="greaterThan">
      <formula>55</formula>
    </cfRule>
    <cfRule type="cellIs" dxfId="1119" priority="3093" operator="greaterThan">
      <formula>65</formula>
    </cfRule>
  </conditionalFormatting>
  <conditionalFormatting sqref="AE252">
    <cfRule type="cellIs" dxfId="1118" priority="3172" operator="greaterThan">
      <formula>55</formula>
    </cfRule>
    <cfRule type="cellIs" dxfId="1117" priority="3173" operator="greaterThan">
      <formula>65</formula>
    </cfRule>
  </conditionalFormatting>
  <conditionalFormatting sqref="AE261">
    <cfRule type="cellIs" dxfId="1116" priority="3252" operator="greaterThan">
      <formula>55</formula>
    </cfRule>
    <cfRule type="cellIs" dxfId="1115" priority="3253" operator="greaterThan">
      <formula>65</formula>
    </cfRule>
  </conditionalFormatting>
  <conditionalFormatting sqref="AE271">
    <cfRule type="cellIs" dxfId="1114" priority="3332" operator="greaterThan">
      <formula>55</formula>
    </cfRule>
    <cfRule type="cellIs" dxfId="1113" priority="3333" operator="greaterThan">
      <formula>65</formula>
    </cfRule>
  </conditionalFormatting>
  <conditionalFormatting sqref="AE280">
    <cfRule type="cellIs" dxfId="1112" priority="3413" operator="greaterThan">
      <formula>65</formula>
    </cfRule>
    <cfRule type="cellIs" dxfId="1111" priority="3412" operator="greaterThan">
      <formula>55</formula>
    </cfRule>
  </conditionalFormatting>
  <conditionalFormatting sqref="AE283">
    <cfRule type="cellIs" dxfId="1110" priority="3492" operator="greaterThan">
      <formula>55</formula>
    </cfRule>
    <cfRule type="cellIs" dxfId="1109" priority="3493" operator="greaterThan">
      <formula>65</formula>
    </cfRule>
  </conditionalFormatting>
  <conditionalFormatting sqref="AE292">
    <cfRule type="cellIs" dxfId="1108" priority="3572" operator="greaterThan">
      <formula>55</formula>
    </cfRule>
    <cfRule type="cellIs" dxfId="1107" priority="3573" operator="greaterThan">
      <formula>65</formula>
    </cfRule>
  </conditionalFormatting>
  <conditionalFormatting sqref="AE294">
    <cfRule type="cellIs" dxfId="1106" priority="3652" operator="greaterThan">
      <formula>55</formula>
    </cfRule>
    <cfRule type="cellIs" dxfId="1105" priority="3653" operator="greaterThan">
      <formula>65</formula>
    </cfRule>
  </conditionalFormatting>
  <conditionalFormatting sqref="AE296">
    <cfRule type="cellIs" dxfId="1104" priority="3732" operator="greaterThan">
      <formula>55</formula>
    </cfRule>
    <cfRule type="cellIs" dxfId="1103" priority="3733" operator="greaterThan">
      <formula>65</formula>
    </cfRule>
  </conditionalFormatting>
  <conditionalFormatting sqref="AE298">
    <cfRule type="cellIs" dxfId="1102" priority="3812" operator="greaterThan">
      <formula>55</formula>
    </cfRule>
    <cfRule type="cellIs" dxfId="1101" priority="3813" operator="greaterThan">
      <formula>65</formula>
    </cfRule>
  </conditionalFormatting>
  <conditionalFormatting sqref="AE300">
    <cfRule type="cellIs" dxfId="1100" priority="3892" operator="greaterThan">
      <formula>55</formula>
    </cfRule>
    <cfRule type="cellIs" dxfId="1099" priority="3893" operator="greaterThan">
      <formula>65</formula>
    </cfRule>
  </conditionalFormatting>
  <conditionalFormatting sqref="AE302">
    <cfRule type="cellIs" dxfId="1098" priority="3973" operator="greaterThan">
      <formula>65</formula>
    </cfRule>
    <cfRule type="cellIs" dxfId="1097" priority="3972" operator="greaterThan">
      <formula>55</formula>
    </cfRule>
  </conditionalFormatting>
  <conditionalFormatting sqref="AE304">
    <cfRule type="cellIs" dxfId="1096" priority="4052" operator="greaterThan">
      <formula>55</formula>
    </cfRule>
    <cfRule type="cellIs" dxfId="1095" priority="4053" operator="greaterThan">
      <formula>65</formula>
    </cfRule>
  </conditionalFormatting>
  <conditionalFormatting sqref="AE306">
    <cfRule type="cellIs" dxfId="1094" priority="4133" operator="greaterThan">
      <formula>65</formula>
    </cfRule>
    <cfRule type="cellIs" dxfId="1093" priority="4132" operator="greaterThan">
      <formula>55</formula>
    </cfRule>
  </conditionalFormatting>
  <conditionalFormatting sqref="AE308">
    <cfRule type="cellIs" dxfId="1092" priority="4213" operator="greaterThan">
      <formula>65</formula>
    </cfRule>
    <cfRule type="cellIs" dxfId="1091" priority="4212" operator="greaterThan">
      <formula>55</formula>
    </cfRule>
  </conditionalFormatting>
  <conditionalFormatting sqref="AE310">
    <cfRule type="cellIs" dxfId="1090" priority="4293" operator="greaterThan">
      <formula>65</formula>
    </cfRule>
    <cfRule type="cellIs" dxfId="1089" priority="4292" operator="greaterThan">
      <formula>55</formula>
    </cfRule>
  </conditionalFormatting>
  <conditionalFormatting sqref="AE312">
    <cfRule type="cellIs" dxfId="1088" priority="4373" operator="greaterThan">
      <formula>65</formula>
    </cfRule>
    <cfRule type="cellIs" dxfId="1087" priority="4372" operator="greaterThan">
      <formula>55</formula>
    </cfRule>
  </conditionalFormatting>
  <conditionalFormatting sqref="AE314">
    <cfRule type="cellIs" dxfId="1086" priority="4452" operator="greaterThan">
      <formula>55</formula>
    </cfRule>
    <cfRule type="cellIs" dxfId="1085" priority="4453" operator="greaterThan">
      <formula>65</formula>
    </cfRule>
  </conditionalFormatting>
  <conditionalFormatting sqref="AE316">
    <cfRule type="cellIs" dxfId="1084" priority="4532" operator="greaterThan">
      <formula>55</formula>
    </cfRule>
    <cfRule type="cellIs" dxfId="1083" priority="4533" operator="greaterThan">
      <formula>65</formula>
    </cfRule>
  </conditionalFormatting>
  <conditionalFormatting sqref="AE318">
    <cfRule type="cellIs" dxfId="1082" priority="4612" operator="greaterThan">
      <formula>55</formula>
    </cfRule>
    <cfRule type="cellIs" dxfId="1081" priority="4613" operator="greaterThan">
      <formula>65</formula>
    </cfRule>
  </conditionalFormatting>
  <conditionalFormatting sqref="AE320">
    <cfRule type="cellIs" dxfId="1080" priority="4693" operator="greaterThan">
      <formula>65</formula>
    </cfRule>
    <cfRule type="cellIs" dxfId="1079" priority="4692" operator="greaterThan">
      <formula>55</formula>
    </cfRule>
  </conditionalFormatting>
  <conditionalFormatting sqref="AE322">
    <cfRule type="cellIs" dxfId="1078" priority="4773" operator="greaterThan">
      <formula>65</formula>
    </cfRule>
    <cfRule type="cellIs" dxfId="1077" priority="4772" operator="greaterThan">
      <formula>55</formula>
    </cfRule>
  </conditionalFormatting>
  <conditionalFormatting sqref="AE324">
    <cfRule type="cellIs" dxfId="1076" priority="4853" operator="greaterThan">
      <formula>65</formula>
    </cfRule>
    <cfRule type="cellIs" dxfId="1075" priority="4852" operator="greaterThan">
      <formula>55</formula>
    </cfRule>
  </conditionalFormatting>
  <conditionalFormatting sqref="AE326">
    <cfRule type="cellIs" dxfId="1074" priority="4933" operator="greaterThan">
      <formula>65</formula>
    </cfRule>
    <cfRule type="cellIs" dxfId="1073" priority="4932" operator="greaterThan">
      <formula>55</formula>
    </cfRule>
  </conditionalFormatting>
  <conditionalFormatting sqref="AF2">
    <cfRule type="cellIs" dxfId="1072" priority="55" operator="greaterThan">
      <formula>45</formula>
    </cfRule>
    <cfRule type="cellIs" dxfId="1071" priority="54" operator="greaterThan">
      <formula>40</formula>
    </cfRule>
  </conditionalFormatting>
  <conditionalFormatting sqref="AF4">
    <cfRule type="cellIs" dxfId="1070" priority="134" operator="greaterThan">
      <formula>40</formula>
    </cfRule>
    <cfRule type="cellIs" dxfId="1069" priority="135" operator="greaterThan">
      <formula>45</formula>
    </cfRule>
  </conditionalFormatting>
  <conditionalFormatting sqref="AF13">
    <cfRule type="cellIs" dxfId="1068" priority="214" operator="greaterThan">
      <formula>40</formula>
    </cfRule>
    <cfRule type="cellIs" dxfId="1067" priority="215" operator="greaterThan">
      <formula>45</formula>
    </cfRule>
  </conditionalFormatting>
  <conditionalFormatting sqref="AF23">
    <cfRule type="cellIs" dxfId="1066" priority="294" operator="greaterThan">
      <formula>40</formula>
    </cfRule>
    <cfRule type="cellIs" dxfId="1065" priority="295" operator="greaterThan">
      <formula>45</formula>
    </cfRule>
  </conditionalFormatting>
  <conditionalFormatting sqref="AF33">
    <cfRule type="cellIs" dxfId="1064" priority="375" operator="greaterThan">
      <formula>45</formula>
    </cfRule>
    <cfRule type="cellIs" dxfId="1063" priority="374" operator="greaterThan">
      <formula>40</formula>
    </cfRule>
  </conditionalFormatting>
  <conditionalFormatting sqref="AF48">
    <cfRule type="cellIs" dxfId="1062" priority="455" operator="greaterThan">
      <formula>45</formula>
    </cfRule>
    <cfRule type="cellIs" dxfId="1061" priority="454" operator="greaterThan">
      <formula>40</formula>
    </cfRule>
  </conditionalFormatting>
  <conditionalFormatting sqref="AF52">
    <cfRule type="cellIs" dxfId="1060" priority="534" operator="greaterThan">
      <formula>40</formula>
    </cfRule>
    <cfRule type="cellIs" dxfId="1059" priority="535" operator="greaterThan">
      <formula>45</formula>
    </cfRule>
  </conditionalFormatting>
  <conditionalFormatting sqref="AF61">
    <cfRule type="cellIs" dxfId="1058" priority="614" operator="greaterThan">
      <formula>40</formula>
    </cfRule>
    <cfRule type="cellIs" dxfId="1057" priority="615" operator="greaterThan">
      <formula>45</formula>
    </cfRule>
  </conditionalFormatting>
  <conditionalFormatting sqref="AF74">
    <cfRule type="cellIs" dxfId="1056" priority="695" operator="greaterThan">
      <formula>45</formula>
    </cfRule>
    <cfRule type="cellIs" dxfId="1055" priority="694" operator="greaterThan">
      <formula>40</formula>
    </cfRule>
  </conditionalFormatting>
  <conditionalFormatting sqref="AF76">
    <cfRule type="cellIs" dxfId="1054" priority="774" operator="greaterThan">
      <formula>40</formula>
    </cfRule>
    <cfRule type="cellIs" dxfId="1053" priority="775" operator="greaterThan">
      <formula>45</formula>
    </cfRule>
  </conditionalFormatting>
  <conditionalFormatting sqref="AF86">
    <cfRule type="cellIs" dxfId="1052" priority="855" operator="greaterThan">
      <formula>45</formula>
    </cfRule>
    <cfRule type="cellIs" dxfId="1051" priority="854" operator="greaterThan">
      <formula>40</formula>
    </cfRule>
  </conditionalFormatting>
  <conditionalFormatting sqref="AF96">
    <cfRule type="cellIs" dxfId="1050" priority="935" operator="greaterThan">
      <formula>45</formula>
    </cfRule>
  </conditionalFormatting>
  <conditionalFormatting sqref="AF101">
    <cfRule type="cellIs" dxfId="1049" priority="1015" operator="greaterThan">
      <formula>45</formula>
    </cfRule>
  </conditionalFormatting>
  <conditionalFormatting sqref="AF110">
    <cfRule type="cellIs" dxfId="1048" priority="1095" operator="greaterThan">
      <formula>45</formula>
    </cfRule>
  </conditionalFormatting>
  <conditionalFormatting sqref="AF117">
    <cfRule type="cellIs" dxfId="1047" priority="1175" operator="greaterThan">
      <formula>45</formula>
    </cfRule>
  </conditionalFormatting>
  <conditionalFormatting sqref="AF124">
    <cfRule type="cellIs" dxfId="1046" priority="1255" operator="greaterThan">
      <formula>45</formula>
    </cfRule>
  </conditionalFormatting>
  <conditionalFormatting sqref="AF128">
    <cfRule type="cellIs" dxfId="1045" priority="1335" operator="greaterThan">
      <formula>45</formula>
    </cfRule>
  </conditionalFormatting>
  <conditionalFormatting sqref="AF133">
    <cfRule type="cellIs" dxfId="1044" priority="1415" operator="greaterThan">
      <formula>45</formula>
    </cfRule>
  </conditionalFormatting>
  <conditionalFormatting sqref="AF136">
    <cfRule type="cellIs" dxfId="1043" priority="1495" operator="greaterThan">
      <formula>45</formula>
    </cfRule>
  </conditionalFormatting>
  <conditionalFormatting sqref="AF143">
    <cfRule type="cellIs" dxfId="1042" priority="1575" operator="greaterThan">
      <formula>45</formula>
    </cfRule>
  </conditionalFormatting>
  <conditionalFormatting sqref="AF157">
    <cfRule type="cellIs" dxfId="1041" priority="1655" operator="greaterThan">
      <formula>45</formula>
    </cfRule>
  </conditionalFormatting>
  <conditionalFormatting sqref="AF160">
    <cfRule type="cellIs" dxfId="1040" priority="1735" operator="greaterThan">
      <formula>45</formula>
    </cfRule>
  </conditionalFormatting>
  <conditionalFormatting sqref="AF170">
    <cfRule type="cellIs" dxfId="1039" priority="1815" operator="greaterThan">
      <formula>45</formula>
    </cfRule>
  </conditionalFormatting>
  <conditionalFormatting sqref="AF182">
    <cfRule type="cellIs" dxfId="1038" priority="1895" operator="greaterThan">
      <formula>45</formula>
    </cfRule>
  </conditionalFormatting>
  <conditionalFormatting sqref="AF185">
    <cfRule type="cellIs" dxfId="1037" priority="1975" operator="greaterThan">
      <formula>45</formula>
    </cfRule>
  </conditionalFormatting>
  <conditionalFormatting sqref="AF188">
    <cfRule type="cellIs" dxfId="1036" priority="2055" operator="greaterThan">
      <formula>45</formula>
    </cfRule>
  </conditionalFormatting>
  <conditionalFormatting sqref="AF194">
    <cfRule type="cellIs" dxfId="1035" priority="2135" operator="greaterThan">
      <formula>45</formula>
    </cfRule>
  </conditionalFormatting>
  <conditionalFormatting sqref="AF198">
    <cfRule type="cellIs" dxfId="1034" priority="2215" operator="greaterThan">
      <formula>45</formula>
    </cfRule>
  </conditionalFormatting>
  <conditionalFormatting sqref="AF206">
    <cfRule type="cellIs" dxfId="1033" priority="2295" operator="greaterThan">
      <formula>45</formula>
    </cfRule>
  </conditionalFormatting>
  <conditionalFormatting sqref="AF211">
    <cfRule type="cellIs" dxfId="1032" priority="2375" operator="greaterThan">
      <formula>45</formula>
    </cfRule>
  </conditionalFormatting>
  <conditionalFormatting sqref="AF213">
    <cfRule type="cellIs" dxfId="1031" priority="2455" operator="greaterThan">
      <formula>45</formula>
    </cfRule>
  </conditionalFormatting>
  <conditionalFormatting sqref="AF217">
    <cfRule type="cellIs" dxfId="1030" priority="2535" operator="greaterThan">
      <formula>45</formula>
    </cfRule>
  </conditionalFormatting>
  <conditionalFormatting sqref="AF220">
    <cfRule type="cellIs" dxfId="1029" priority="2615" operator="greaterThan">
      <formula>45</formula>
    </cfRule>
  </conditionalFormatting>
  <conditionalFormatting sqref="AF223">
    <cfRule type="cellIs" dxfId="1028" priority="2695" operator="greaterThan">
      <formula>45</formula>
    </cfRule>
  </conditionalFormatting>
  <conditionalFormatting sqref="AF226">
    <cfRule type="cellIs" dxfId="1027" priority="2775" operator="greaterThan">
      <formula>45</formula>
    </cfRule>
  </conditionalFormatting>
  <conditionalFormatting sqref="AF229">
    <cfRule type="cellIs" dxfId="1026" priority="2855" operator="greaterThan">
      <formula>45</formula>
    </cfRule>
  </conditionalFormatting>
  <conditionalFormatting sqref="AF232">
    <cfRule type="cellIs" dxfId="1025" priority="2935" operator="greaterThan">
      <formula>45</formula>
    </cfRule>
  </conditionalFormatting>
  <conditionalFormatting sqref="AF234">
    <cfRule type="cellIs" dxfId="1024" priority="3015" operator="greaterThan">
      <formula>45</formula>
    </cfRule>
  </conditionalFormatting>
  <conditionalFormatting sqref="AF248">
    <cfRule type="cellIs" dxfId="1023" priority="3095" operator="greaterThan">
      <formula>45</formula>
    </cfRule>
  </conditionalFormatting>
  <conditionalFormatting sqref="AF252">
    <cfRule type="cellIs" dxfId="1022" priority="3175" operator="greaterThan">
      <formula>45</formula>
    </cfRule>
  </conditionalFormatting>
  <conditionalFormatting sqref="AF261">
    <cfRule type="cellIs" dxfId="1021" priority="3255" operator="greaterThan">
      <formula>45</formula>
    </cfRule>
  </conditionalFormatting>
  <conditionalFormatting sqref="AF271">
    <cfRule type="cellIs" dxfId="1020" priority="3335" operator="greaterThan">
      <formula>45</formula>
    </cfRule>
  </conditionalFormatting>
  <conditionalFormatting sqref="AF280">
    <cfRule type="cellIs" dxfId="1019" priority="3415" operator="greaterThan">
      <formula>45</formula>
    </cfRule>
  </conditionalFormatting>
  <conditionalFormatting sqref="AF283">
    <cfRule type="cellIs" dxfId="1018" priority="3495" operator="greaterThan">
      <formula>45</formula>
    </cfRule>
  </conditionalFormatting>
  <conditionalFormatting sqref="AF292">
    <cfRule type="cellIs" dxfId="1017" priority="3575" operator="greaterThan">
      <formula>45</formula>
    </cfRule>
  </conditionalFormatting>
  <conditionalFormatting sqref="AF294">
    <cfRule type="cellIs" dxfId="1016" priority="3655" operator="greaterThan">
      <formula>45</formula>
    </cfRule>
  </conditionalFormatting>
  <conditionalFormatting sqref="AF296">
    <cfRule type="cellIs" dxfId="1015" priority="3735" operator="greaterThan">
      <formula>45</formula>
    </cfRule>
  </conditionalFormatting>
  <conditionalFormatting sqref="AF298">
    <cfRule type="cellIs" dxfId="1014" priority="3815" operator="greaterThan">
      <formula>45</formula>
    </cfRule>
  </conditionalFormatting>
  <conditionalFormatting sqref="AF300">
    <cfRule type="cellIs" dxfId="1013" priority="3895" operator="greaterThan">
      <formula>45</formula>
    </cfRule>
  </conditionalFormatting>
  <conditionalFormatting sqref="AF302">
    <cfRule type="cellIs" dxfId="1012" priority="3975" operator="greaterThan">
      <formula>45</formula>
    </cfRule>
  </conditionalFormatting>
  <conditionalFormatting sqref="AF304">
    <cfRule type="cellIs" dxfId="1011" priority="4055" operator="greaterThan">
      <formula>45</formula>
    </cfRule>
  </conditionalFormatting>
  <conditionalFormatting sqref="AF306">
    <cfRule type="cellIs" dxfId="1010" priority="4135" operator="greaterThan">
      <formula>45</formula>
    </cfRule>
  </conditionalFormatting>
  <conditionalFormatting sqref="AF308">
    <cfRule type="cellIs" dxfId="1009" priority="4215" operator="greaterThan">
      <formula>45</formula>
    </cfRule>
  </conditionalFormatting>
  <conditionalFormatting sqref="AF310">
    <cfRule type="cellIs" dxfId="1008" priority="4295" operator="greaterThan">
      <formula>45</formula>
    </cfRule>
  </conditionalFormatting>
  <conditionalFormatting sqref="AF312">
    <cfRule type="cellIs" dxfId="1007" priority="4375" operator="greaterThan">
      <formula>45</formula>
    </cfRule>
  </conditionalFormatting>
  <conditionalFormatting sqref="AF314">
    <cfRule type="cellIs" dxfId="1006" priority="4455" operator="greaterThan">
      <formula>45</formula>
    </cfRule>
  </conditionalFormatting>
  <conditionalFormatting sqref="AF316">
    <cfRule type="cellIs" dxfId="1005" priority="4535" operator="greaterThan">
      <formula>45</formula>
    </cfRule>
  </conditionalFormatting>
  <conditionalFormatting sqref="AF318">
    <cfRule type="cellIs" dxfId="1004" priority="4615" operator="greaterThan">
      <formula>45</formula>
    </cfRule>
  </conditionalFormatting>
  <conditionalFormatting sqref="AF320">
    <cfRule type="cellIs" dxfId="1003" priority="4695" operator="greaterThan">
      <formula>45</formula>
    </cfRule>
  </conditionalFormatting>
  <conditionalFormatting sqref="AF322">
    <cfRule type="cellIs" dxfId="1002" priority="4775" operator="greaterThan">
      <formula>45</formula>
    </cfRule>
  </conditionalFormatting>
  <conditionalFormatting sqref="AF324">
    <cfRule type="cellIs" dxfId="1001" priority="4855" operator="greaterThan">
      <formula>45</formula>
    </cfRule>
  </conditionalFormatting>
  <conditionalFormatting sqref="AF326">
    <cfRule type="cellIs" dxfId="1000" priority="4935" operator="greaterThan">
      <formula>45</formula>
    </cfRule>
  </conditionalFormatting>
  <conditionalFormatting sqref="AF96:AS96">
    <cfRule type="cellIs" dxfId="999" priority="934" operator="greaterThan">
      <formula>40</formula>
    </cfRule>
  </conditionalFormatting>
  <conditionalFormatting sqref="AF101:AS101">
    <cfRule type="cellIs" dxfId="998" priority="1014" operator="greaterThan">
      <formula>40</formula>
    </cfRule>
  </conditionalFormatting>
  <conditionalFormatting sqref="AF110:AS110">
    <cfRule type="cellIs" dxfId="997" priority="1094" operator="greaterThan">
      <formula>40</formula>
    </cfRule>
  </conditionalFormatting>
  <conditionalFormatting sqref="AF117:AS117">
    <cfRule type="cellIs" dxfId="996" priority="1174" operator="greaterThan">
      <formula>40</formula>
    </cfRule>
  </conditionalFormatting>
  <conditionalFormatting sqref="AF124:AS124">
    <cfRule type="cellIs" dxfId="995" priority="1254" operator="greaterThan">
      <formula>40</formula>
    </cfRule>
  </conditionalFormatting>
  <conditionalFormatting sqref="AF128:AS128">
    <cfRule type="cellIs" dxfId="994" priority="1334" operator="greaterThan">
      <formula>40</formula>
    </cfRule>
  </conditionalFormatting>
  <conditionalFormatting sqref="AF133:AS133">
    <cfRule type="cellIs" dxfId="993" priority="1414" operator="greaterThan">
      <formula>40</formula>
    </cfRule>
  </conditionalFormatting>
  <conditionalFormatting sqref="AF136:AS136">
    <cfRule type="cellIs" dxfId="992" priority="1494" operator="greaterThan">
      <formula>40</formula>
    </cfRule>
  </conditionalFormatting>
  <conditionalFormatting sqref="AF143:AS143">
    <cfRule type="cellIs" dxfId="991" priority="1574" operator="greaterThan">
      <formula>40</formula>
    </cfRule>
  </conditionalFormatting>
  <conditionalFormatting sqref="AF157:AS157">
    <cfRule type="cellIs" dxfId="990" priority="1654" operator="greaterThan">
      <formula>40</formula>
    </cfRule>
  </conditionalFormatting>
  <conditionalFormatting sqref="AF160:AS160">
    <cfRule type="cellIs" dxfId="989" priority="1734" operator="greaterThan">
      <formula>40</formula>
    </cfRule>
  </conditionalFormatting>
  <conditionalFormatting sqref="AF170:AS170">
    <cfRule type="cellIs" dxfId="988" priority="1814" operator="greaterThan">
      <formula>40</formula>
    </cfRule>
  </conditionalFormatting>
  <conditionalFormatting sqref="AF182:AS182">
    <cfRule type="cellIs" dxfId="987" priority="1894" operator="greaterThan">
      <formula>40</formula>
    </cfRule>
  </conditionalFormatting>
  <conditionalFormatting sqref="AF185:AS185">
    <cfRule type="cellIs" dxfId="986" priority="1974" operator="greaterThan">
      <formula>40</formula>
    </cfRule>
  </conditionalFormatting>
  <conditionalFormatting sqref="AF188:AS188">
    <cfRule type="cellIs" dxfId="985" priority="2054" operator="greaterThan">
      <formula>40</formula>
    </cfRule>
  </conditionalFormatting>
  <conditionalFormatting sqref="AF194:AS194">
    <cfRule type="cellIs" dxfId="984" priority="2134" operator="greaterThan">
      <formula>40</formula>
    </cfRule>
  </conditionalFormatting>
  <conditionalFormatting sqref="AF198:AS198">
    <cfRule type="cellIs" dxfId="983" priority="2214" operator="greaterThan">
      <formula>40</formula>
    </cfRule>
  </conditionalFormatting>
  <conditionalFormatting sqref="AF206:AS206">
    <cfRule type="cellIs" dxfId="982" priority="2294" operator="greaterThan">
      <formula>40</formula>
    </cfRule>
  </conditionalFormatting>
  <conditionalFormatting sqref="AF211:AS211">
    <cfRule type="cellIs" dxfId="981" priority="2374" operator="greaterThan">
      <formula>40</formula>
    </cfRule>
  </conditionalFormatting>
  <conditionalFormatting sqref="AF213:AS213">
    <cfRule type="cellIs" dxfId="980" priority="2454" operator="greaterThan">
      <formula>40</formula>
    </cfRule>
  </conditionalFormatting>
  <conditionalFormatting sqref="AF217:AS217">
    <cfRule type="cellIs" dxfId="979" priority="2534" operator="greaterThan">
      <formula>40</formula>
    </cfRule>
  </conditionalFormatting>
  <conditionalFormatting sqref="AF220:AS220">
    <cfRule type="cellIs" dxfId="978" priority="2614" operator="greaterThan">
      <formula>40</formula>
    </cfRule>
  </conditionalFormatting>
  <conditionalFormatting sqref="AF223:AS223">
    <cfRule type="cellIs" dxfId="977" priority="2694" operator="greaterThan">
      <formula>40</formula>
    </cfRule>
  </conditionalFormatting>
  <conditionalFormatting sqref="AF226:AS226">
    <cfRule type="cellIs" dxfId="976" priority="2774" operator="greaterThan">
      <formula>40</formula>
    </cfRule>
  </conditionalFormatting>
  <conditionalFormatting sqref="AF229:AS229">
    <cfRule type="cellIs" dxfId="975" priority="2854" operator="greaterThan">
      <formula>40</formula>
    </cfRule>
  </conditionalFormatting>
  <conditionalFormatting sqref="AF232:AS232">
    <cfRule type="cellIs" dxfId="974" priority="2934" operator="greaterThan">
      <formula>40</formula>
    </cfRule>
  </conditionalFormatting>
  <conditionalFormatting sqref="AF234:AS234">
    <cfRule type="cellIs" dxfId="973" priority="3014" operator="greaterThan">
      <formula>40</formula>
    </cfRule>
  </conditionalFormatting>
  <conditionalFormatting sqref="AF248:AS248">
    <cfRule type="cellIs" dxfId="972" priority="3094" operator="greaterThan">
      <formula>40</formula>
    </cfRule>
  </conditionalFormatting>
  <conditionalFormatting sqref="AF252:AS252">
    <cfRule type="cellIs" dxfId="971" priority="3174" operator="greaterThan">
      <formula>40</formula>
    </cfRule>
  </conditionalFormatting>
  <conditionalFormatting sqref="AF261:AS261">
    <cfRule type="cellIs" dxfId="970" priority="3254" operator="greaterThan">
      <formula>40</formula>
    </cfRule>
  </conditionalFormatting>
  <conditionalFormatting sqref="AF271:AS271">
    <cfRule type="cellIs" dxfId="969" priority="3334" operator="greaterThan">
      <formula>40</formula>
    </cfRule>
  </conditionalFormatting>
  <conditionalFormatting sqref="AF280:AS280">
    <cfRule type="cellIs" dxfId="968" priority="3414" operator="greaterThan">
      <formula>40</formula>
    </cfRule>
  </conditionalFormatting>
  <conditionalFormatting sqref="AF283:AS283">
    <cfRule type="cellIs" dxfId="967" priority="3494" operator="greaterThan">
      <formula>40</formula>
    </cfRule>
  </conditionalFormatting>
  <conditionalFormatting sqref="AF292:AS292">
    <cfRule type="cellIs" dxfId="966" priority="3574" operator="greaterThan">
      <formula>40</formula>
    </cfRule>
  </conditionalFormatting>
  <conditionalFormatting sqref="AF294:AS294">
    <cfRule type="cellIs" dxfId="965" priority="3654" operator="greaterThan">
      <formula>40</formula>
    </cfRule>
  </conditionalFormatting>
  <conditionalFormatting sqref="AF296:AS296">
    <cfRule type="cellIs" dxfId="964" priority="3734" operator="greaterThan">
      <formula>40</formula>
    </cfRule>
  </conditionalFormatting>
  <conditionalFormatting sqref="AF298:AS298">
    <cfRule type="cellIs" dxfId="963" priority="3814" operator="greaterThan">
      <formula>40</formula>
    </cfRule>
  </conditionalFormatting>
  <conditionalFormatting sqref="AF300:AS300">
    <cfRule type="cellIs" dxfId="962" priority="3894" operator="greaterThan">
      <formula>40</formula>
    </cfRule>
  </conditionalFormatting>
  <conditionalFormatting sqref="AF302:AS302">
    <cfRule type="cellIs" dxfId="961" priority="3974" operator="greaterThan">
      <formula>40</formula>
    </cfRule>
  </conditionalFormatting>
  <conditionalFormatting sqref="AF304:AS304">
    <cfRule type="cellIs" dxfId="960" priority="4054" operator="greaterThan">
      <formula>40</formula>
    </cfRule>
  </conditionalFormatting>
  <conditionalFormatting sqref="AF306:AS306">
    <cfRule type="cellIs" dxfId="959" priority="4134" operator="greaterThan">
      <formula>40</formula>
    </cfRule>
  </conditionalFormatting>
  <conditionalFormatting sqref="AF308:AS308">
    <cfRule type="cellIs" dxfId="958" priority="4214" operator="greaterThan">
      <formula>40</formula>
    </cfRule>
  </conditionalFormatting>
  <conditionalFormatting sqref="AF310:AS310">
    <cfRule type="cellIs" dxfId="957" priority="4294" operator="greaterThan">
      <formula>40</formula>
    </cfRule>
  </conditionalFormatting>
  <conditionalFormatting sqref="AF312:AS312">
    <cfRule type="cellIs" dxfId="956" priority="4374" operator="greaterThan">
      <formula>40</formula>
    </cfRule>
  </conditionalFormatting>
  <conditionalFormatting sqref="AF314:AS314">
    <cfRule type="cellIs" dxfId="955" priority="4454" operator="greaterThan">
      <formula>40</formula>
    </cfRule>
  </conditionalFormatting>
  <conditionalFormatting sqref="AF316:AS316">
    <cfRule type="cellIs" dxfId="954" priority="4534" operator="greaterThan">
      <formula>40</formula>
    </cfRule>
  </conditionalFormatting>
  <conditionalFormatting sqref="AF318:AS318">
    <cfRule type="cellIs" dxfId="953" priority="4614" operator="greaterThan">
      <formula>40</formula>
    </cfRule>
  </conditionalFormatting>
  <conditionalFormatting sqref="AF320:AS320">
    <cfRule type="cellIs" dxfId="952" priority="4694" operator="greaterThan">
      <formula>40</formula>
    </cfRule>
  </conditionalFormatting>
  <conditionalFormatting sqref="AF322:AS322">
    <cfRule type="cellIs" dxfId="951" priority="4774" operator="greaterThan">
      <formula>40</formula>
    </cfRule>
  </conditionalFormatting>
  <conditionalFormatting sqref="AF324:AS324">
    <cfRule type="cellIs" dxfId="950" priority="4854" operator="greaterThan">
      <formula>40</formula>
    </cfRule>
  </conditionalFormatting>
  <conditionalFormatting sqref="AF326:AS326">
    <cfRule type="cellIs" dxfId="949" priority="4934" operator="greaterThan">
      <formula>40</formula>
    </cfRule>
  </conditionalFormatting>
  <conditionalFormatting sqref="AG2">
    <cfRule type="cellIs" dxfId="948" priority="56" operator="greaterThan">
      <formula>40</formula>
    </cfRule>
    <cfRule type="cellIs" dxfId="947" priority="57" operator="greaterThan">
      <formula>45</formula>
    </cfRule>
  </conditionalFormatting>
  <conditionalFormatting sqref="AG4">
    <cfRule type="cellIs" dxfId="946" priority="137" operator="greaterThan">
      <formula>45</formula>
    </cfRule>
    <cfRule type="cellIs" dxfId="945" priority="136" operator="greaterThan">
      <formula>40</formula>
    </cfRule>
  </conditionalFormatting>
  <conditionalFormatting sqref="AG13">
    <cfRule type="cellIs" dxfId="944" priority="217" operator="greaterThan">
      <formula>45</formula>
    </cfRule>
    <cfRule type="cellIs" dxfId="943" priority="216" operator="greaterThan">
      <formula>40</formula>
    </cfRule>
  </conditionalFormatting>
  <conditionalFormatting sqref="AG23">
    <cfRule type="cellIs" dxfId="942" priority="297" operator="greaterThan">
      <formula>45</formula>
    </cfRule>
    <cfRule type="cellIs" dxfId="941" priority="296" operator="greaterThan">
      <formula>40</formula>
    </cfRule>
  </conditionalFormatting>
  <conditionalFormatting sqref="AG33">
    <cfRule type="cellIs" dxfId="940" priority="377" operator="greaterThan">
      <formula>45</formula>
    </cfRule>
    <cfRule type="cellIs" dxfId="939" priority="376" operator="greaterThan">
      <formula>40</formula>
    </cfRule>
  </conditionalFormatting>
  <conditionalFormatting sqref="AG48">
    <cfRule type="cellIs" dxfId="938" priority="456" operator="greaterThan">
      <formula>40</formula>
    </cfRule>
    <cfRule type="cellIs" dxfId="937" priority="457" operator="greaterThan">
      <formula>45</formula>
    </cfRule>
  </conditionalFormatting>
  <conditionalFormatting sqref="AG52">
    <cfRule type="cellIs" dxfId="936" priority="536" operator="greaterThan">
      <formula>40</formula>
    </cfRule>
    <cfRule type="cellIs" dxfId="935" priority="537" operator="greaterThan">
      <formula>45</formula>
    </cfRule>
  </conditionalFormatting>
  <conditionalFormatting sqref="AG61">
    <cfRule type="cellIs" dxfId="934" priority="617" operator="greaterThan">
      <formula>45</formula>
    </cfRule>
    <cfRule type="cellIs" dxfId="933" priority="616" operator="greaterThan">
      <formula>40</formula>
    </cfRule>
  </conditionalFormatting>
  <conditionalFormatting sqref="AG74">
    <cfRule type="cellIs" dxfId="932" priority="697" operator="greaterThan">
      <formula>45</formula>
    </cfRule>
    <cfRule type="cellIs" dxfId="931" priority="696" operator="greaterThan">
      <formula>40</formula>
    </cfRule>
  </conditionalFormatting>
  <conditionalFormatting sqref="AG76">
    <cfRule type="cellIs" dxfId="930" priority="777" operator="greaterThan">
      <formula>45</formula>
    </cfRule>
    <cfRule type="cellIs" dxfId="929" priority="776" operator="greaterThan">
      <formula>40</formula>
    </cfRule>
  </conditionalFormatting>
  <conditionalFormatting sqref="AG86">
    <cfRule type="cellIs" dxfId="928" priority="856" operator="greaterThan">
      <formula>40</formula>
    </cfRule>
    <cfRule type="cellIs" dxfId="927" priority="857" operator="greaterThan">
      <formula>45</formula>
    </cfRule>
  </conditionalFormatting>
  <conditionalFormatting sqref="AG96">
    <cfRule type="cellIs" dxfId="926" priority="937" operator="greaterThan">
      <formula>45</formula>
    </cfRule>
  </conditionalFormatting>
  <conditionalFormatting sqref="AG101">
    <cfRule type="cellIs" dxfId="925" priority="1017" operator="greaterThan">
      <formula>45</formula>
    </cfRule>
  </conditionalFormatting>
  <conditionalFormatting sqref="AG110">
    <cfRule type="cellIs" dxfId="924" priority="1097" operator="greaterThan">
      <formula>45</formula>
    </cfRule>
  </conditionalFormatting>
  <conditionalFormatting sqref="AG117">
    <cfRule type="cellIs" dxfId="923" priority="1177" operator="greaterThan">
      <formula>45</formula>
    </cfRule>
  </conditionalFormatting>
  <conditionalFormatting sqref="AG124">
    <cfRule type="cellIs" dxfId="922" priority="1257" operator="greaterThan">
      <formula>45</formula>
    </cfRule>
  </conditionalFormatting>
  <conditionalFormatting sqref="AG128">
    <cfRule type="cellIs" dxfId="921" priority="1337" operator="greaterThan">
      <formula>45</formula>
    </cfRule>
  </conditionalFormatting>
  <conditionalFormatting sqref="AG133">
    <cfRule type="cellIs" dxfId="920" priority="1417" operator="greaterThan">
      <formula>45</formula>
    </cfRule>
  </conditionalFormatting>
  <conditionalFormatting sqref="AG136">
    <cfRule type="cellIs" dxfId="919" priority="1497" operator="greaterThan">
      <formula>45</formula>
    </cfRule>
  </conditionalFormatting>
  <conditionalFormatting sqref="AG143">
    <cfRule type="cellIs" dxfId="918" priority="1577" operator="greaterThan">
      <formula>45</formula>
    </cfRule>
  </conditionalFormatting>
  <conditionalFormatting sqref="AG157">
    <cfRule type="cellIs" dxfId="917" priority="1657" operator="greaterThan">
      <formula>45</formula>
    </cfRule>
  </conditionalFormatting>
  <conditionalFormatting sqref="AG160">
    <cfRule type="cellIs" dxfId="916" priority="1737" operator="greaterThan">
      <formula>45</formula>
    </cfRule>
  </conditionalFormatting>
  <conditionalFormatting sqref="AG170">
    <cfRule type="cellIs" dxfId="915" priority="1817" operator="greaterThan">
      <formula>45</formula>
    </cfRule>
  </conditionalFormatting>
  <conditionalFormatting sqref="AG182">
    <cfRule type="cellIs" dxfId="914" priority="1897" operator="greaterThan">
      <formula>45</formula>
    </cfRule>
  </conditionalFormatting>
  <conditionalFormatting sqref="AG185">
    <cfRule type="cellIs" dxfId="913" priority="1977" operator="greaterThan">
      <formula>45</formula>
    </cfRule>
  </conditionalFormatting>
  <conditionalFormatting sqref="AG188">
    <cfRule type="cellIs" dxfId="912" priority="2057" operator="greaterThan">
      <formula>45</formula>
    </cfRule>
  </conditionalFormatting>
  <conditionalFormatting sqref="AG194">
    <cfRule type="cellIs" dxfId="911" priority="2137" operator="greaterThan">
      <formula>45</formula>
    </cfRule>
  </conditionalFormatting>
  <conditionalFormatting sqref="AG198">
    <cfRule type="cellIs" dxfId="910" priority="2217" operator="greaterThan">
      <formula>45</formula>
    </cfRule>
  </conditionalFormatting>
  <conditionalFormatting sqref="AG206">
    <cfRule type="cellIs" dxfId="909" priority="2297" operator="greaterThan">
      <formula>45</formula>
    </cfRule>
  </conditionalFormatting>
  <conditionalFormatting sqref="AG211">
    <cfRule type="cellIs" dxfId="908" priority="2377" operator="greaterThan">
      <formula>45</formula>
    </cfRule>
  </conditionalFormatting>
  <conditionalFormatting sqref="AG213">
    <cfRule type="cellIs" dxfId="907" priority="2457" operator="greaterThan">
      <formula>45</formula>
    </cfRule>
  </conditionalFormatting>
  <conditionalFormatting sqref="AG217">
    <cfRule type="cellIs" dxfId="906" priority="2537" operator="greaterThan">
      <formula>45</formula>
    </cfRule>
  </conditionalFormatting>
  <conditionalFormatting sqref="AG220">
    <cfRule type="cellIs" dxfId="905" priority="2617" operator="greaterThan">
      <formula>45</formula>
    </cfRule>
  </conditionalFormatting>
  <conditionalFormatting sqref="AG223">
    <cfRule type="cellIs" dxfId="904" priority="2697" operator="greaterThan">
      <formula>45</formula>
    </cfRule>
  </conditionalFormatting>
  <conditionalFormatting sqref="AG226">
    <cfRule type="cellIs" dxfId="903" priority="2777" operator="greaterThan">
      <formula>45</formula>
    </cfRule>
  </conditionalFormatting>
  <conditionalFormatting sqref="AG229">
    <cfRule type="cellIs" dxfId="902" priority="2857" operator="greaterThan">
      <formula>45</formula>
    </cfRule>
  </conditionalFormatting>
  <conditionalFormatting sqref="AG232">
    <cfRule type="cellIs" dxfId="901" priority="2937" operator="greaterThan">
      <formula>45</formula>
    </cfRule>
  </conditionalFormatting>
  <conditionalFormatting sqref="AG234">
    <cfRule type="cellIs" dxfId="900" priority="3017" operator="greaterThan">
      <formula>45</formula>
    </cfRule>
  </conditionalFormatting>
  <conditionalFormatting sqref="AG248">
    <cfRule type="cellIs" dxfId="899" priority="3097" operator="greaterThan">
      <formula>45</formula>
    </cfRule>
  </conditionalFormatting>
  <conditionalFormatting sqref="AG252">
    <cfRule type="cellIs" dxfId="898" priority="3177" operator="greaterThan">
      <formula>45</formula>
    </cfRule>
  </conditionalFormatting>
  <conditionalFormatting sqref="AG261">
    <cfRule type="cellIs" dxfId="897" priority="3257" operator="greaterThan">
      <formula>45</formula>
    </cfRule>
  </conditionalFormatting>
  <conditionalFormatting sqref="AG271">
    <cfRule type="cellIs" dxfId="896" priority="3337" operator="greaterThan">
      <formula>45</formula>
    </cfRule>
  </conditionalFormatting>
  <conditionalFormatting sqref="AG280">
    <cfRule type="cellIs" dxfId="895" priority="3417" operator="greaterThan">
      <formula>45</formula>
    </cfRule>
  </conditionalFormatting>
  <conditionalFormatting sqref="AG283">
    <cfRule type="cellIs" dxfId="894" priority="3497" operator="greaterThan">
      <formula>45</formula>
    </cfRule>
  </conditionalFormatting>
  <conditionalFormatting sqref="AG292">
    <cfRule type="cellIs" dxfId="893" priority="3577" operator="greaterThan">
      <formula>45</formula>
    </cfRule>
  </conditionalFormatting>
  <conditionalFormatting sqref="AG294">
    <cfRule type="cellIs" dxfId="892" priority="3657" operator="greaterThan">
      <formula>45</formula>
    </cfRule>
  </conditionalFormatting>
  <conditionalFormatting sqref="AG296">
    <cfRule type="cellIs" dxfId="891" priority="3737" operator="greaterThan">
      <formula>45</formula>
    </cfRule>
  </conditionalFormatting>
  <conditionalFormatting sqref="AG298">
    <cfRule type="cellIs" dxfId="890" priority="3817" operator="greaterThan">
      <formula>45</formula>
    </cfRule>
  </conditionalFormatting>
  <conditionalFormatting sqref="AG300">
    <cfRule type="cellIs" dxfId="889" priority="3897" operator="greaterThan">
      <formula>45</formula>
    </cfRule>
  </conditionalFormatting>
  <conditionalFormatting sqref="AG302">
    <cfRule type="cellIs" dxfId="888" priority="3977" operator="greaterThan">
      <formula>45</formula>
    </cfRule>
  </conditionalFormatting>
  <conditionalFormatting sqref="AG304">
    <cfRule type="cellIs" dxfId="887" priority="4057" operator="greaterThan">
      <formula>45</formula>
    </cfRule>
  </conditionalFormatting>
  <conditionalFormatting sqref="AG306">
    <cfRule type="cellIs" dxfId="886" priority="4137" operator="greaterThan">
      <formula>45</formula>
    </cfRule>
  </conditionalFormatting>
  <conditionalFormatting sqref="AG308">
    <cfRule type="cellIs" dxfId="885" priority="4217" operator="greaterThan">
      <formula>45</formula>
    </cfRule>
  </conditionalFormatting>
  <conditionalFormatting sqref="AG310">
    <cfRule type="cellIs" dxfId="884" priority="4297" operator="greaterThan">
      <formula>45</formula>
    </cfRule>
  </conditionalFormatting>
  <conditionalFormatting sqref="AG312">
    <cfRule type="cellIs" dxfId="883" priority="4377" operator="greaterThan">
      <formula>45</formula>
    </cfRule>
  </conditionalFormatting>
  <conditionalFormatting sqref="AG314">
    <cfRule type="cellIs" dxfId="882" priority="4457" operator="greaterThan">
      <formula>45</formula>
    </cfRule>
  </conditionalFormatting>
  <conditionalFormatting sqref="AG316">
    <cfRule type="cellIs" dxfId="881" priority="4537" operator="greaterThan">
      <formula>45</formula>
    </cfRule>
  </conditionalFormatting>
  <conditionalFormatting sqref="AG318">
    <cfRule type="cellIs" dxfId="880" priority="4617" operator="greaterThan">
      <formula>45</formula>
    </cfRule>
  </conditionalFormatting>
  <conditionalFormatting sqref="AG320">
    <cfRule type="cellIs" dxfId="879" priority="4697" operator="greaterThan">
      <formula>45</formula>
    </cfRule>
  </conditionalFormatting>
  <conditionalFormatting sqref="AG322">
    <cfRule type="cellIs" dxfId="878" priority="4777" operator="greaterThan">
      <formula>45</formula>
    </cfRule>
  </conditionalFormatting>
  <conditionalFormatting sqref="AG324">
    <cfRule type="cellIs" dxfId="877" priority="4857" operator="greaterThan">
      <formula>45</formula>
    </cfRule>
  </conditionalFormatting>
  <conditionalFormatting sqref="AG326">
    <cfRule type="cellIs" dxfId="876" priority="4937" operator="greaterThan">
      <formula>45</formula>
    </cfRule>
  </conditionalFormatting>
  <conditionalFormatting sqref="AH2">
    <cfRule type="cellIs" dxfId="875" priority="59" operator="greaterThan">
      <formula>45</formula>
    </cfRule>
    <cfRule type="cellIs" dxfId="874" priority="58" operator="greaterThan">
      <formula>40</formula>
    </cfRule>
  </conditionalFormatting>
  <conditionalFormatting sqref="AH4">
    <cfRule type="cellIs" dxfId="873" priority="138" operator="greaterThan">
      <formula>40</formula>
    </cfRule>
    <cfRule type="cellIs" dxfId="872" priority="139" operator="greaterThan">
      <formula>45</formula>
    </cfRule>
  </conditionalFormatting>
  <conditionalFormatting sqref="AH13">
    <cfRule type="cellIs" dxfId="871" priority="219" operator="greaterThan">
      <formula>45</formula>
    </cfRule>
    <cfRule type="cellIs" dxfId="870" priority="218" operator="greaterThan">
      <formula>40</formula>
    </cfRule>
  </conditionalFormatting>
  <conditionalFormatting sqref="AH23">
    <cfRule type="cellIs" dxfId="869" priority="299" operator="greaterThan">
      <formula>45</formula>
    </cfRule>
    <cfRule type="cellIs" dxfId="868" priority="298" operator="greaterThan">
      <formula>40</formula>
    </cfRule>
  </conditionalFormatting>
  <conditionalFormatting sqref="AH33">
    <cfRule type="cellIs" dxfId="867" priority="379" operator="greaterThan">
      <formula>45</formula>
    </cfRule>
    <cfRule type="cellIs" dxfId="866" priority="378" operator="greaterThan">
      <formula>40</formula>
    </cfRule>
  </conditionalFormatting>
  <conditionalFormatting sqref="AH48">
    <cfRule type="cellIs" dxfId="865" priority="458" operator="greaterThan">
      <formula>40</formula>
    </cfRule>
    <cfRule type="cellIs" dxfId="864" priority="459" operator="greaterThan">
      <formula>45</formula>
    </cfRule>
  </conditionalFormatting>
  <conditionalFormatting sqref="AH52">
    <cfRule type="cellIs" dxfId="863" priority="538" operator="greaterThan">
      <formula>40</formula>
    </cfRule>
    <cfRule type="cellIs" dxfId="862" priority="539" operator="greaterThan">
      <formula>45</formula>
    </cfRule>
  </conditionalFormatting>
  <conditionalFormatting sqref="AH61">
    <cfRule type="cellIs" dxfId="861" priority="619" operator="greaterThan">
      <formula>45</formula>
    </cfRule>
    <cfRule type="cellIs" dxfId="860" priority="618" operator="greaterThan">
      <formula>40</formula>
    </cfRule>
  </conditionalFormatting>
  <conditionalFormatting sqref="AH74">
    <cfRule type="cellIs" dxfId="859" priority="699" operator="greaterThan">
      <formula>45</formula>
    </cfRule>
    <cfRule type="cellIs" dxfId="858" priority="698" operator="greaterThan">
      <formula>40</formula>
    </cfRule>
  </conditionalFormatting>
  <conditionalFormatting sqref="AH76">
    <cfRule type="cellIs" dxfId="857" priority="779" operator="greaterThan">
      <formula>45</formula>
    </cfRule>
    <cfRule type="cellIs" dxfId="856" priority="778" operator="greaterThan">
      <formula>40</formula>
    </cfRule>
  </conditionalFormatting>
  <conditionalFormatting sqref="AH86">
    <cfRule type="cellIs" dxfId="855" priority="858" operator="greaterThan">
      <formula>40</formula>
    </cfRule>
    <cfRule type="cellIs" dxfId="854" priority="859" operator="greaterThan">
      <formula>45</formula>
    </cfRule>
  </conditionalFormatting>
  <conditionalFormatting sqref="AH96">
    <cfRule type="cellIs" dxfId="853" priority="939" operator="greaterThan">
      <formula>45</formula>
    </cfRule>
  </conditionalFormatting>
  <conditionalFormatting sqref="AH101">
    <cfRule type="cellIs" dxfId="852" priority="1019" operator="greaterThan">
      <formula>45</formula>
    </cfRule>
  </conditionalFormatting>
  <conditionalFormatting sqref="AH110">
    <cfRule type="cellIs" dxfId="851" priority="1099" operator="greaterThan">
      <formula>45</formula>
    </cfRule>
  </conditionalFormatting>
  <conditionalFormatting sqref="AH117">
    <cfRule type="cellIs" dxfId="850" priority="1179" operator="greaterThan">
      <formula>45</formula>
    </cfRule>
  </conditionalFormatting>
  <conditionalFormatting sqref="AH124">
    <cfRule type="cellIs" dxfId="849" priority="1259" operator="greaterThan">
      <formula>45</formula>
    </cfRule>
  </conditionalFormatting>
  <conditionalFormatting sqref="AH128">
    <cfRule type="cellIs" dxfId="848" priority="1339" operator="greaterThan">
      <formula>45</formula>
    </cfRule>
  </conditionalFormatting>
  <conditionalFormatting sqref="AH133">
    <cfRule type="cellIs" dxfId="847" priority="1419" operator="greaterThan">
      <formula>45</formula>
    </cfRule>
  </conditionalFormatting>
  <conditionalFormatting sqref="AH136">
    <cfRule type="cellIs" dxfId="846" priority="1499" operator="greaterThan">
      <formula>45</formula>
    </cfRule>
  </conditionalFormatting>
  <conditionalFormatting sqref="AH143">
    <cfRule type="cellIs" dxfId="845" priority="1579" operator="greaterThan">
      <formula>45</formula>
    </cfRule>
  </conditionalFormatting>
  <conditionalFormatting sqref="AH157">
    <cfRule type="cellIs" dxfId="844" priority="1659" operator="greaterThan">
      <formula>45</formula>
    </cfRule>
  </conditionalFormatting>
  <conditionalFormatting sqref="AH160">
    <cfRule type="cellIs" dxfId="843" priority="1739" operator="greaterThan">
      <formula>45</formula>
    </cfRule>
  </conditionalFormatting>
  <conditionalFormatting sqref="AH170">
    <cfRule type="cellIs" dxfId="842" priority="1819" operator="greaterThan">
      <formula>45</formula>
    </cfRule>
  </conditionalFormatting>
  <conditionalFormatting sqref="AH182">
    <cfRule type="cellIs" dxfId="841" priority="1899" operator="greaterThan">
      <formula>45</formula>
    </cfRule>
  </conditionalFormatting>
  <conditionalFormatting sqref="AH185">
    <cfRule type="cellIs" dxfId="840" priority="1979" operator="greaterThan">
      <formula>45</formula>
    </cfRule>
  </conditionalFormatting>
  <conditionalFormatting sqref="AH188">
    <cfRule type="cellIs" dxfId="839" priority="2059" operator="greaterThan">
      <formula>45</formula>
    </cfRule>
  </conditionalFormatting>
  <conditionalFormatting sqref="AH194">
    <cfRule type="cellIs" dxfId="838" priority="2139" operator="greaterThan">
      <formula>45</formula>
    </cfRule>
  </conditionalFormatting>
  <conditionalFormatting sqref="AH198">
    <cfRule type="cellIs" dxfId="837" priority="2219" operator="greaterThan">
      <formula>45</formula>
    </cfRule>
  </conditionalFormatting>
  <conditionalFormatting sqref="AH206">
    <cfRule type="cellIs" dxfId="836" priority="2299" operator="greaterThan">
      <formula>45</formula>
    </cfRule>
  </conditionalFormatting>
  <conditionalFormatting sqref="AH211">
    <cfRule type="cellIs" dxfId="835" priority="2379" operator="greaterThan">
      <formula>45</formula>
    </cfRule>
  </conditionalFormatting>
  <conditionalFormatting sqref="AH213">
    <cfRule type="cellIs" dxfId="834" priority="2459" operator="greaterThan">
      <formula>45</formula>
    </cfRule>
  </conditionalFormatting>
  <conditionalFormatting sqref="AH217">
    <cfRule type="cellIs" dxfId="833" priority="2539" operator="greaterThan">
      <formula>45</formula>
    </cfRule>
  </conditionalFormatting>
  <conditionalFormatting sqref="AH220">
    <cfRule type="cellIs" dxfId="832" priority="2619" operator="greaterThan">
      <formula>45</formula>
    </cfRule>
  </conditionalFormatting>
  <conditionalFormatting sqref="AH223">
    <cfRule type="cellIs" dxfId="831" priority="2699" operator="greaterThan">
      <formula>45</formula>
    </cfRule>
  </conditionalFormatting>
  <conditionalFormatting sqref="AH226">
    <cfRule type="cellIs" dxfId="830" priority="2779" operator="greaterThan">
      <formula>45</formula>
    </cfRule>
  </conditionalFormatting>
  <conditionalFormatting sqref="AH229">
    <cfRule type="cellIs" dxfId="829" priority="2859" operator="greaterThan">
      <formula>45</formula>
    </cfRule>
  </conditionalFormatting>
  <conditionalFormatting sqref="AH232">
    <cfRule type="cellIs" dxfId="828" priority="2939" operator="greaterThan">
      <formula>45</formula>
    </cfRule>
  </conditionalFormatting>
  <conditionalFormatting sqref="AH234">
    <cfRule type="cellIs" dxfId="827" priority="3019" operator="greaterThan">
      <formula>45</formula>
    </cfRule>
  </conditionalFormatting>
  <conditionalFormatting sqref="AH248">
    <cfRule type="cellIs" dxfId="826" priority="3099" operator="greaterThan">
      <formula>45</formula>
    </cfRule>
  </conditionalFormatting>
  <conditionalFormatting sqref="AH252">
    <cfRule type="cellIs" dxfId="825" priority="3179" operator="greaterThan">
      <formula>45</formula>
    </cfRule>
  </conditionalFormatting>
  <conditionalFormatting sqref="AH261">
    <cfRule type="cellIs" dxfId="824" priority="3259" operator="greaterThan">
      <formula>45</formula>
    </cfRule>
  </conditionalFormatting>
  <conditionalFormatting sqref="AH271">
    <cfRule type="cellIs" dxfId="823" priority="3339" operator="greaterThan">
      <formula>45</formula>
    </cfRule>
  </conditionalFormatting>
  <conditionalFormatting sqref="AH280">
    <cfRule type="cellIs" dxfId="822" priority="3419" operator="greaterThan">
      <formula>45</formula>
    </cfRule>
  </conditionalFormatting>
  <conditionalFormatting sqref="AH283">
    <cfRule type="cellIs" dxfId="821" priority="3499" operator="greaterThan">
      <formula>45</formula>
    </cfRule>
  </conditionalFormatting>
  <conditionalFormatting sqref="AH292">
    <cfRule type="cellIs" dxfId="820" priority="3579" operator="greaterThan">
      <formula>45</formula>
    </cfRule>
  </conditionalFormatting>
  <conditionalFormatting sqref="AH294">
    <cfRule type="cellIs" dxfId="819" priority="3659" operator="greaterThan">
      <formula>45</formula>
    </cfRule>
  </conditionalFormatting>
  <conditionalFormatting sqref="AH296">
    <cfRule type="cellIs" dxfId="818" priority="3739" operator="greaterThan">
      <formula>45</formula>
    </cfRule>
  </conditionalFormatting>
  <conditionalFormatting sqref="AH298">
    <cfRule type="cellIs" dxfId="817" priority="3819" operator="greaterThan">
      <formula>45</formula>
    </cfRule>
  </conditionalFormatting>
  <conditionalFormatting sqref="AH300">
    <cfRule type="cellIs" dxfId="816" priority="3899" operator="greaterThan">
      <formula>45</formula>
    </cfRule>
  </conditionalFormatting>
  <conditionalFormatting sqref="AH302">
    <cfRule type="cellIs" dxfId="815" priority="3979" operator="greaterThan">
      <formula>45</formula>
    </cfRule>
  </conditionalFormatting>
  <conditionalFormatting sqref="AH304">
    <cfRule type="cellIs" dxfId="814" priority="4059" operator="greaterThan">
      <formula>45</formula>
    </cfRule>
  </conditionalFormatting>
  <conditionalFormatting sqref="AH306">
    <cfRule type="cellIs" dxfId="813" priority="4139" operator="greaterThan">
      <formula>45</formula>
    </cfRule>
  </conditionalFormatting>
  <conditionalFormatting sqref="AH308">
    <cfRule type="cellIs" dxfId="812" priority="4219" operator="greaterThan">
      <formula>45</formula>
    </cfRule>
  </conditionalFormatting>
  <conditionalFormatting sqref="AH310">
    <cfRule type="cellIs" dxfId="811" priority="4299" operator="greaterThan">
      <formula>45</formula>
    </cfRule>
  </conditionalFormatting>
  <conditionalFormatting sqref="AH312">
    <cfRule type="cellIs" dxfId="810" priority="4379" operator="greaterThan">
      <formula>45</formula>
    </cfRule>
  </conditionalFormatting>
  <conditionalFormatting sqref="AH314">
    <cfRule type="cellIs" dxfId="809" priority="4459" operator="greaterThan">
      <formula>45</formula>
    </cfRule>
  </conditionalFormatting>
  <conditionalFormatting sqref="AH316">
    <cfRule type="cellIs" dxfId="808" priority="4539" operator="greaterThan">
      <formula>45</formula>
    </cfRule>
  </conditionalFormatting>
  <conditionalFormatting sqref="AH318">
    <cfRule type="cellIs" dxfId="807" priority="4619" operator="greaterThan">
      <formula>45</formula>
    </cfRule>
  </conditionalFormatting>
  <conditionalFormatting sqref="AH320">
    <cfRule type="cellIs" dxfId="806" priority="4699" operator="greaterThan">
      <formula>45</formula>
    </cfRule>
  </conditionalFormatting>
  <conditionalFormatting sqref="AH322">
    <cfRule type="cellIs" dxfId="805" priority="4779" operator="greaterThan">
      <formula>45</formula>
    </cfRule>
  </conditionalFormatting>
  <conditionalFormatting sqref="AH324">
    <cfRule type="cellIs" dxfId="804" priority="4859" operator="greaterThan">
      <formula>45</formula>
    </cfRule>
  </conditionalFormatting>
  <conditionalFormatting sqref="AH326">
    <cfRule type="cellIs" dxfId="803" priority="4939" operator="greaterThan">
      <formula>45</formula>
    </cfRule>
  </conditionalFormatting>
  <conditionalFormatting sqref="AI2">
    <cfRule type="cellIs" dxfId="802" priority="61" operator="greaterThan">
      <formula>45</formula>
    </cfRule>
    <cfRule type="cellIs" dxfId="801" priority="60" operator="greaterThan">
      <formula>40</formula>
    </cfRule>
  </conditionalFormatting>
  <conditionalFormatting sqref="AI4">
    <cfRule type="cellIs" dxfId="800" priority="140" operator="greaterThan">
      <formula>40</formula>
    </cfRule>
    <cfRule type="cellIs" dxfId="799" priority="141" operator="greaterThan">
      <formula>45</formula>
    </cfRule>
  </conditionalFormatting>
  <conditionalFormatting sqref="AI13">
    <cfRule type="cellIs" dxfId="798" priority="220" operator="greaterThan">
      <formula>40</formula>
    </cfRule>
    <cfRule type="cellIs" dxfId="797" priority="221" operator="greaterThan">
      <formula>45</formula>
    </cfRule>
  </conditionalFormatting>
  <conditionalFormatting sqref="AI23">
    <cfRule type="cellIs" dxfId="796" priority="300" operator="greaterThan">
      <formula>40</formula>
    </cfRule>
    <cfRule type="cellIs" dxfId="795" priority="301" operator="greaterThan">
      <formula>45</formula>
    </cfRule>
  </conditionalFormatting>
  <conditionalFormatting sqref="AI33">
    <cfRule type="cellIs" dxfId="794" priority="380" operator="greaterThan">
      <formula>40</formula>
    </cfRule>
    <cfRule type="cellIs" dxfId="793" priority="381" operator="greaterThan">
      <formula>45</formula>
    </cfRule>
  </conditionalFormatting>
  <conditionalFormatting sqref="AI48">
    <cfRule type="cellIs" dxfId="792" priority="460" operator="greaterThan">
      <formula>40</formula>
    </cfRule>
    <cfRule type="cellIs" dxfId="791" priority="461" operator="greaterThan">
      <formula>45</formula>
    </cfRule>
  </conditionalFormatting>
  <conditionalFormatting sqref="AI52">
    <cfRule type="cellIs" dxfId="790" priority="540" operator="greaterThan">
      <formula>40</formula>
    </cfRule>
    <cfRule type="cellIs" dxfId="789" priority="541" operator="greaterThan">
      <formula>45</formula>
    </cfRule>
  </conditionalFormatting>
  <conditionalFormatting sqref="AI61">
    <cfRule type="cellIs" dxfId="788" priority="621" operator="greaterThan">
      <formula>45</formula>
    </cfRule>
    <cfRule type="cellIs" dxfId="787" priority="620" operator="greaterThan">
      <formula>40</formula>
    </cfRule>
  </conditionalFormatting>
  <conditionalFormatting sqref="AI74">
    <cfRule type="cellIs" dxfId="786" priority="701" operator="greaterThan">
      <formula>45</formula>
    </cfRule>
    <cfRule type="cellIs" dxfId="785" priority="700" operator="greaterThan">
      <formula>40</formula>
    </cfRule>
  </conditionalFormatting>
  <conditionalFormatting sqref="AI76">
    <cfRule type="cellIs" dxfId="784" priority="781" operator="greaterThan">
      <formula>45</formula>
    </cfRule>
    <cfRule type="cellIs" dxfId="783" priority="780" operator="greaterThan">
      <formula>40</formula>
    </cfRule>
  </conditionalFormatting>
  <conditionalFormatting sqref="AI86">
    <cfRule type="cellIs" dxfId="782" priority="861" operator="greaterThan">
      <formula>45</formula>
    </cfRule>
    <cfRule type="cellIs" dxfId="781" priority="860" operator="greaterThan">
      <formula>40</formula>
    </cfRule>
  </conditionalFormatting>
  <conditionalFormatting sqref="AI96">
    <cfRule type="cellIs" dxfId="780" priority="941" operator="greaterThan">
      <formula>45</formula>
    </cfRule>
  </conditionalFormatting>
  <conditionalFormatting sqref="AI101">
    <cfRule type="cellIs" dxfId="779" priority="1021" operator="greaterThan">
      <formula>45</formula>
    </cfRule>
  </conditionalFormatting>
  <conditionalFormatting sqref="AI110">
    <cfRule type="cellIs" dxfId="778" priority="1101" operator="greaterThan">
      <formula>45</formula>
    </cfRule>
  </conditionalFormatting>
  <conditionalFormatting sqref="AI117">
    <cfRule type="cellIs" dxfId="777" priority="1181" operator="greaterThan">
      <formula>45</formula>
    </cfRule>
  </conditionalFormatting>
  <conditionalFormatting sqref="AI124">
    <cfRule type="cellIs" dxfId="776" priority="1261" operator="greaterThan">
      <formula>45</formula>
    </cfRule>
  </conditionalFormatting>
  <conditionalFormatting sqref="AI128">
    <cfRule type="cellIs" dxfId="775" priority="1341" operator="greaterThan">
      <formula>45</formula>
    </cfRule>
  </conditionalFormatting>
  <conditionalFormatting sqref="AI133">
    <cfRule type="cellIs" dxfId="774" priority="1421" operator="greaterThan">
      <formula>45</formula>
    </cfRule>
  </conditionalFormatting>
  <conditionalFormatting sqref="AI136">
    <cfRule type="cellIs" dxfId="773" priority="1501" operator="greaterThan">
      <formula>45</formula>
    </cfRule>
  </conditionalFormatting>
  <conditionalFormatting sqref="AI143">
    <cfRule type="cellIs" dxfId="772" priority="1581" operator="greaterThan">
      <formula>45</formula>
    </cfRule>
  </conditionalFormatting>
  <conditionalFormatting sqref="AI157">
    <cfRule type="cellIs" dxfId="771" priority="1661" operator="greaterThan">
      <formula>45</formula>
    </cfRule>
  </conditionalFormatting>
  <conditionalFormatting sqref="AI160">
    <cfRule type="cellIs" dxfId="770" priority="1741" operator="greaterThan">
      <formula>45</formula>
    </cfRule>
  </conditionalFormatting>
  <conditionalFormatting sqref="AI170">
    <cfRule type="cellIs" dxfId="769" priority="1821" operator="greaterThan">
      <formula>45</formula>
    </cfRule>
  </conditionalFormatting>
  <conditionalFormatting sqref="AI182">
    <cfRule type="cellIs" dxfId="768" priority="1901" operator="greaterThan">
      <formula>45</formula>
    </cfRule>
  </conditionalFormatting>
  <conditionalFormatting sqref="AI185">
    <cfRule type="cellIs" dxfId="767" priority="1981" operator="greaterThan">
      <formula>45</formula>
    </cfRule>
  </conditionalFormatting>
  <conditionalFormatting sqref="AI188">
    <cfRule type="cellIs" dxfId="766" priority="2061" operator="greaterThan">
      <formula>45</formula>
    </cfRule>
  </conditionalFormatting>
  <conditionalFormatting sqref="AI194">
    <cfRule type="cellIs" dxfId="765" priority="2141" operator="greaterThan">
      <formula>45</formula>
    </cfRule>
  </conditionalFormatting>
  <conditionalFormatting sqref="AI198">
    <cfRule type="cellIs" dxfId="764" priority="2221" operator="greaterThan">
      <formula>45</formula>
    </cfRule>
  </conditionalFormatting>
  <conditionalFormatting sqref="AI206">
    <cfRule type="cellIs" dxfId="763" priority="2301" operator="greaterThan">
      <formula>45</formula>
    </cfRule>
  </conditionalFormatting>
  <conditionalFormatting sqref="AI211">
    <cfRule type="cellIs" dxfId="762" priority="2381" operator="greaterThan">
      <formula>45</formula>
    </cfRule>
  </conditionalFormatting>
  <conditionalFormatting sqref="AI213">
    <cfRule type="cellIs" dxfId="761" priority="2461" operator="greaterThan">
      <formula>45</formula>
    </cfRule>
  </conditionalFormatting>
  <conditionalFormatting sqref="AI217">
    <cfRule type="cellIs" dxfId="760" priority="2541" operator="greaterThan">
      <formula>45</formula>
    </cfRule>
  </conditionalFormatting>
  <conditionalFormatting sqref="AI220">
    <cfRule type="cellIs" dxfId="759" priority="2621" operator="greaterThan">
      <formula>45</formula>
    </cfRule>
  </conditionalFormatting>
  <conditionalFormatting sqref="AI223">
    <cfRule type="cellIs" dxfId="758" priority="2701" operator="greaterThan">
      <formula>45</formula>
    </cfRule>
  </conditionalFormatting>
  <conditionalFormatting sqref="AI226">
    <cfRule type="cellIs" dxfId="757" priority="2781" operator="greaterThan">
      <formula>45</formula>
    </cfRule>
  </conditionalFormatting>
  <conditionalFormatting sqref="AI229">
    <cfRule type="cellIs" dxfId="756" priority="2861" operator="greaterThan">
      <formula>45</formula>
    </cfRule>
  </conditionalFormatting>
  <conditionalFormatting sqref="AI232">
    <cfRule type="cellIs" dxfId="755" priority="2941" operator="greaterThan">
      <formula>45</formula>
    </cfRule>
  </conditionalFormatting>
  <conditionalFormatting sqref="AI234">
    <cfRule type="cellIs" dxfId="754" priority="3021" operator="greaterThan">
      <formula>45</formula>
    </cfRule>
  </conditionalFormatting>
  <conditionalFormatting sqref="AI248">
    <cfRule type="cellIs" dxfId="753" priority="3101" operator="greaterThan">
      <formula>45</formula>
    </cfRule>
  </conditionalFormatting>
  <conditionalFormatting sqref="AI252">
    <cfRule type="cellIs" dxfId="752" priority="3181" operator="greaterThan">
      <formula>45</formula>
    </cfRule>
  </conditionalFormatting>
  <conditionalFormatting sqref="AI261">
    <cfRule type="cellIs" dxfId="751" priority="3261" operator="greaterThan">
      <formula>45</formula>
    </cfRule>
  </conditionalFormatting>
  <conditionalFormatting sqref="AI271">
    <cfRule type="cellIs" dxfId="750" priority="3341" operator="greaterThan">
      <formula>45</formula>
    </cfRule>
  </conditionalFormatting>
  <conditionalFormatting sqref="AI280">
    <cfRule type="cellIs" dxfId="749" priority="3421" operator="greaterThan">
      <formula>45</formula>
    </cfRule>
  </conditionalFormatting>
  <conditionalFormatting sqref="AI283">
    <cfRule type="cellIs" dxfId="748" priority="3501" operator="greaterThan">
      <formula>45</formula>
    </cfRule>
  </conditionalFormatting>
  <conditionalFormatting sqref="AI292">
    <cfRule type="cellIs" dxfId="747" priority="3581" operator="greaterThan">
      <formula>45</formula>
    </cfRule>
  </conditionalFormatting>
  <conditionalFormatting sqref="AI294">
    <cfRule type="cellIs" dxfId="746" priority="3661" operator="greaterThan">
      <formula>45</formula>
    </cfRule>
  </conditionalFormatting>
  <conditionalFormatting sqref="AI296">
    <cfRule type="cellIs" dxfId="745" priority="3741" operator="greaterThan">
      <formula>45</formula>
    </cfRule>
  </conditionalFormatting>
  <conditionalFormatting sqref="AI298">
    <cfRule type="cellIs" dxfId="744" priority="3821" operator="greaterThan">
      <formula>45</formula>
    </cfRule>
  </conditionalFormatting>
  <conditionalFormatting sqref="AI300">
    <cfRule type="cellIs" dxfId="743" priority="3901" operator="greaterThan">
      <formula>45</formula>
    </cfRule>
  </conditionalFormatting>
  <conditionalFormatting sqref="AI302">
    <cfRule type="cellIs" dxfId="742" priority="3981" operator="greaterThan">
      <formula>45</formula>
    </cfRule>
  </conditionalFormatting>
  <conditionalFormatting sqref="AI304">
    <cfRule type="cellIs" dxfId="741" priority="4061" operator="greaterThan">
      <formula>45</formula>
    </cfRule>
  </conditionalFormatting>
  <conditionalFormatting sqref="AI306">
    <cfRule type="cellIs" dxfId="740" priority="4141" operator="greaterThan">
      <formula>45</formula>
    </cfRule>
  </conditionalFormatting>
  <conditionalFormatting sqref="AI308">
    <cfRule type="cellIs" dxfId="739" priority="4221" operator="greaterThan">
      <formula>45</formula>
    </cfRule>
  </conditionalFormatting>
  <conditionalFormatting sqref="AI310">
    <cfRule type="cellIs" dxfId="738" priority="4301" operator="greaterThan">
      <formula>45</formula>
    </cfRule>
  </conditionalFormatting>
  <conditionalFormatting sqref="AI312">
    <cfRule type="cellIs" dxfId="737" priority="4381" operator="greaterThan">
      <formula>45</formula>
    </cfRule>
  </conditionalFormatting>
  <conditionalFormatting sqref="AI314">
    <cfRule type="cellIs" dxfId="736" priority="4461" operator="greaterThan">
      <formula>45</formula>
    </cfRule>
  </conditionalFormatting>
  <conditionalFormatting sqref="AI316">
    <cfRule type="cellIs" dxfId="735" priority="4541" operator="greaterThan">
      <formula>45</formula>
    </cfRule>
  </conditionalFormatting>
  <conditionalFormatting sqref="AI318">
    <cfRule type="cellIs" dxfId="734" priority="4621" operator="greaterThan">
      <formula>45</formula>
    </cfRule>
  </conditionalFormatting>
  <conditionalFormatting sqref="AI320">
    <cfRule type="cellIs" dxfId="733" priority="4701" operator="greaterThan">
      <formula>45</formula>
    </cfRule>
  </conditionalFormatting>
  <conditionalFormatting sqref="AI322">
    <cfRule type="cellIs" dxfId="732" priority="4781" operator="greaterThan">
      <formula>45</formula>
    </cfRule>
  </conditionalFormatting>
  <conditionalFormatting sqref="AI324">
    <cfRule type="cellIs" dxfId="731" priority="4861" operator="greaterThan">
      <formula>45</formula>
    </cfRule>
  </conditionalFormatting>
  <conditionalFormatting sqref="AI326">
    <cfRule type="cellIs" dxfId="730" priority="4941" operator="greaterThan">
      <formula>45</formula>
    </cfRule>
  </conditionalFormatting>
  <conditionalFormatting sqref="AJ2">
    <cfRule type="cellIs" dxfId="729" priority="63" operator="greaterThan">
      <formula>45</formula>
    </cfRule>
    <cfRule type="cellIs" dxfId="728" priority="62" operator="greaterThan">
      <formula>40</formula>
    </cfRule>
  </conditionalFormatting>
  <conditionalFormatting sqref="AJ4">
    <cfRule type="cellIs" dxfId="727" priority="142" operator="greaterThan">
      <formula>40</formula>
    </cfRule>
    <cfRule type="cellIs" dxfId="726" priority="143" operator="greaterThan">
      <formula>45</formula>
    </cfRule>
  </conditionalFormatting>
  <conditionalFormatting sqref="AJ13">
    <cfRule type="cellIs" dxfId="725" priority="223" operator="greaterThan">
      <formula>45</formula>
    </cfRule>
    <cfRule type="cellIs" dxfId="724" priority="222" operator="greaterThan">
      <formula>40</formula>
    </cfRule>
  </conditionalFormatting>
  <conditionalFormatting sqref="AJ23">
    <cfRule type="cellIs" dxfId="723" priority="302" operator="greaterThan">
      <formula>40</formula>
    </cfRule>
    <cfRule type="cellIs" dxfId="722" priority="303" operator="greaterThan">
      <formula>45</formula>
    </cfRule>
  </conditionalFormatting>
  <conditionalFormatting sqref="AJ33">
    <cfRule type="cellIs" dxfId="721" priority="382" operator="greaterThan">
      <formula>40</formula>
    </cfRule>
    <cfRule type="cellIs" dxfId="720" priority="383" operator="greaterThan">
      <formula>45</formula>
    </cfRule>
  </conditionalFormatting>
  <conditionalFormatting sqref="AJ48">
    <cfRule type="cellIs" dxfId="719" priority="463" operator="greaterThan">
      <formula>45</formula>
    </cfRule>
    <cfRule type="cellIs" dxfId="718" priority="462" operator="greaterThan">
      <formula>40</formula>
    </cfRule>
  </conditionalFormatting>
  <conditionalFormatting sqref="AJ52">
    <cfRule type="cellIs" dxfId="717" priority="542" operator="greaterThan">
      <formula>40</formula>
    </cfRule>
    <cfRule type="cellIs" dxfId="716" priority="543" operator="greaterThan">
      <formula>45</formula>
    </cfRule>
  </conditionalFormatting>
  <conditionalFormatting sqref="AJ61">
    <cfRule type="cellIs" dxfId="715" priority="622" operator="greaterThan">
      <formula>40</formula>
    </cfRule>
    <cfRule type="cellIs" dxfId="714" priority="623" operator="greaterThan">
      <formula>45</formula>
    </cfRule>
  </conditionalFormatting>
  <conditionalFormatting sqref="AJ74">
    <cfRule type="cellIs" dxfId="713" priority="703" operator="greaterThan">
      <formula>45</formula>
    </cfRule>
    <cfRule type="cellIs" dxfId="712" priority="702" operator="greaterThan">
      <formula>40</formula>
    </cfRule>
  </conditionalFormatting>
  <conditionalFormatting sqref="AJ76">
    <cfRule type="cellIs" dxfId="711" priority="782" operator="greaterThan">
      <formula>40</formula>
    </cfRule>
    <cfRule type="cellIs" dxfId="710" priority="783" operator="greaterThan">
      <formula>45</formula>
    </cfRule>
  </conditionalFormatting>
  <conditionalFormatting sqref="AJ86">
    <cfRule type="cellIs" dxfId="709" priority="862" operator="greaterThan">
      <formula>40</formula>
    </cfRule>
    <cfRule type="cellIs" dxfId="708" priority="863" operator="greaterThan">
      <formula>45</formula>
    </cfRule>
  </conditionalFormatting>
  <conditionalFormatting sqref="AJ96">
    <cfRule type="cellIs" dxfId="707" priority="943" operator="greaterThan">
      <formula>45</formula>
    </cfRule>
  </conditionalFormatting>
  <conditionalFormatting sqref="AJ101">
    <cfRule type="cellIs" dxfId="706" priority="1023" operator="greaterThan">
      <formula>45</formula>
    </cfRule>
  </conditionalFormatting>
  <conditionalFormatting sqref="AJ110">
    <cfRule type="cellIs" dxfId="705" priority="1103" operator="greaterThan">
      <formula>45</formula>
    </cfRule>
  </conditionalFormatting>
  <conditionalFormatting sqref="AJ117">
    <cfRule type="cellIs" dxfId="704" priority="1183" operator="greaterThan">
      <formula>45</formula>
    </cfRule>
  </conditionalFormatting>
  <conditionalFormatting sqref="AJ124">
    <cfRule type="cellIs" dxfId="703" priority="1263" operator="greaterThan">
      <formula>45</formula>
    </cfRule>
  </conditionalFormatting>
  <conditionalFormatting sqref="AJ128">
    <cfRule type="cellIs" dxfId="702" priority="1343" operator="greaterThan">
      <formula>45</formula>
    </cfRule>
  </conditionalFormatting>
  <conditionalFormatting sqref="AJ133">
    <cfRule type="cellIs" dxfId="701" priority="1423" operator="greaterThan">
      <formula>45</formula>
    </cfRule>
  </conditionalFormatting>
  <conditionalFormatting sqref="AJ136">
    <cfRule type="cellIs" dxfId="700" priority="1503" operator="greaterThan">
      <formula>45</formula>
    </cfRule>
  </conditionalFormatting>
  <conditionalFormatting sqref="AJ143">
    <cfRule type="cellIs" dxfId="699" priority="1583" operator="greaterThan">
      <formula>45</formula>
    </cfRule>
  </conditionalFormatting>
  <conditionalFormatting sqref="AJ157">
    <cfRule type="cellIs" dxfId="698" priority="1663" operator="greaterThan">
      <formula>45</formula>
    </cfRule>
  </conditionalFormatting>
  <conditionalFormatting sqref="AJ160">
    <cfRule type="cellIs" dxfId="697" priority="1743" operator="greaterThan">
      <formula>45</formula>
    </cfRule>
  </conditionalFormatting>
  <conditionalFormatting sqref="AJ170">
    <cfRule type="cellIs" dxfId="696" priority="1823" operator="greaterThan">
      <formula>45</formula>
    </cfRule>
  </conditionalFormatting>
  <conditionalFormatting sqref="AJ182">
    <cfRule type="cellIs" dxfId="695" priority="1903" operator="greaterThan">
      <formula>45</formula>
    </cfRule>
  </conditionalFormatting>
  <conditionalFormatting sqref="AJ185">
    <cfRule type="cellIs" dxfId="694" priority="1983" operator="greaterThan">
      <formula>45</formula>
    </cfRule>
  </conditionalFormatting>
  <conditionalFormatting sqref="AJ188">
    <cfRule type="cellIs" dxfId="693" priority="2063" operator="greaterThan">
      <formula>45</formula>
    </cfRule>
  </conditionalFormatting>
  <conditionalFormatting sqref="AJ194">
    <cfRule type="cellIs" dxfId="692" priority="2143" operator="greaterThan">
      <formula>45</formula>
    </cfRule>
  </conditionalFormatting>
  <conditionalFormatting sqref="AJ198">
    <cfRule type="cellIs" dxfId="691" priority="2223" operator="greaterThan">
      <formula>45</formula>
    </cfRule>
  </conditionalFormatting>
  <conditionalFormatting sqref="AJ206">
    <cfRule type="cellIs" dxfId="690" priority="2303" operator="greaterThan">
      <formula>45</formula>
    </cfRule>
  </conditionalFormatting>
  <conditionalFormatting sqref="AJ211">
    <cfRule type="cellIs" dxfId="689" priority="2383" operator="greaterThan">
      <formula>45</formula>
    </cfRule>
  </conditionalFormatting>
  <conditionalFormatting sqref="AJ213">
    <cfRule type="cellIs" dxfId="688" priority="2463" operator="greaterThan">
      <formula>45</formula>
    </cfRule>
  </conditionalFormatting>
  <conditionalFormatting sqref="AJ217">
    <cfRule type="cellIs" dxfId="687" priority="2543" operator="greaterThan">
      <formula>45</formula>
    </cfRule>
  </conditionalFormatting>
  <conditionalFormatting sqref="AJ220">
    <cfRule type="cellIs" dxfId="686" priority="2623" operator="greaterThan">
      <formula>45</formula>
    </cfRule>
  </conditionalFormatting>
  <conditionalFormatting sqref="AJ223">
    <cfRule type="cellIs" dxfId="685" priority="2703" operator="greaterThan">
      <formula>45</formula>
    </cfRule>
  </conditionalFormatting>
  <conditionalFormatting sqref="AJ226">
    <cfRule type="cellIs" dxfId="684" priority="2783" operator="greaterThan">
      <formula>45</formula>
    </cfRule>
  </conditionalFormatting>
  <conditionalFormatting sqref="AJ229">
    <cfRule type="cellIs" dxfId="683" priority="2863" operator="greaterThan">
      <formula>45</formula>
    </cfRule>
  </conditionalFormatting>
  <conditionalFormatting sqref="AJ232">
    <cfRule type="cellIs" dxfId="682" priority="2943" operator="greaterThan">
      <formula>45</formula>
    </cfRule>
  </conditionalFormatting>
  <conditionalFormatting sqref="AJ234">
    <cfRule type="cellIs" dxfId="681" priority="3023" operator="greaterThan">
      <formula>45</formula>
    </cfRule>
  </conditionalFormatting>
  <conditionalFormatting sqref="AJ248">
    <cfRule type="cellIs" dxfId="680" priority="3103" operator="greaterThan">
      <formula>45</formula>
    </cfRule>
  </conditionalFormatting>
  <conditionalFormatting sqref="AJ252">
    <cfRule type="cellIs" dxfId="679" priority="3183" operator="greaterThan">
      <formula>45</formula>
    </cfRule>
  </conditionalFormatting>
  <conditionalFormatting sqref="AJ261">
    <cfRule type="cellIs" dxfId="678" priority="3263" operator="greaterThan">
      <formula>45</formula>
    </cfRule>
  </conditionalFormatting>
  <conditionalFormatting sqref="AJ271">
    <cfRule type="cellIs" dxfId="677" priority="3343" operator="greaterThan">
      <formula>45</formula>
    </cfRule>
  </conditionalFormatting>
  <conditionalFormatting sqref="AJ280">
    <cfRule type="cellIs" dxfId="676" priority="3423" operator="greaterThan">
      <formula>45</formula>
    </cfRule>
  </conditionalFormatting>
  <conditionalFormatting sqref="AJ283">
    <cfRule type="cellIs" dxfId="675" priority="3503" operator="greaterThan">
      <formula>45</formula>
    </cfRule>
  </conditionalFormatting>
  <conditionalFormatting sqref="AJ292">
    <cfRule type="cellIs" dxfId="674" priority="3583" operator="greaterThan">
      <formula>45</formula>
    </cfRule>
  </conditionalFormatting>
  <conditionalFormatting sqref="AJ294">
    <cfRule type="cellIs" dxfId="673" priority="3663" operator="greaterThan">
      <formula>45</formula>
    </cfRule>
  </conditionalFormatting>
  <conditionalFormatting sqref="AJ296">
    <cfRule type="cellIs" dxfId="672" priority="3743" operator="greaterThan">
      <formula>45</formula>
    </cfRule>
  </conditionalFormatting>
  <conditionalFormatting sqref="AJ298">
    <cfRule type="cellIs" dxfId="671" priority="3823" operator="greaterThan">
      <formula>45</formula>
    </cfRule>
  </conditionalFormatting>
  <conditionalFormatting sqref="AJ300">
    <cfRule type="cellIs" dxfId="670" priority="3903" operator="greaterThan">
      <formula>45</formula>
    </cfRule>
  </conditionalFormatting>
  <conditionalFormatting sqref="AJ302">
    <cfRule type="cellIs" dxfId="669" priority="3983" operator="greaterThan">
      <formula>45</formula>
    </cfRule>
  </conditionalFormatting>
  <conditionalFormatting sqref="AJ304">
    <cfRule type="cellIs" dxfId="668" priority="4063" operator="greaterThan">
      <formula>45</formula>
    </cfRule>
  </conditionalFormatting>
  <conditionalFormatting sqref="AJ306">
    <cfRule type="cellIs" dxfId="667" priority="4143" operator="greaterThan">
      <formula>45</formula>
    </cfRule>
  </conditionalFormatting>
  <conditionalFormatting sqref="AJ308">
    <cfRule type="cellIs" dxfId="666" priority="4223" operator="greaterThan">
      <formula>45</formula>
    </cfRule>
  </conditionalFormatting>
  <conditionalFormatting sqref="AJ310">
    <cfRule type="cellIs" dxfId="665" priority="4303" operator="greaterThan">
      <formula>45</formula>
    </cfRule>
  </conditionalFormatting>
  <conditionalFormatting sqref="AJ312">
    <cfRule type="cellIs" dxfId="664" priority="4383" operator="greaterThan">
      <formula>45</formula>
    </cfRule>
  </conditionalFormatting>
  <conditionalFormatting sqref="AJ314">
    <cfRule type="cellIs" dxfId="663" priority="4463" operator="greaterThan">
      <formula>45</formula>
    </cfRule>
  </conditionalFormatting>
  <conditionalFormatting sqref="AJ316">
    <cfRule type="cellIs" dxfId="662" priority="4543" operator="greaterThan">
      <formula>45</formula>
    </cfRule>
  </conditionalFormatting>
  <conditionalFormatting sqref="AJ318">
    <cfRule type="cellIs" dxfId="661" priority="4623" operator="greaterThan">
      <formula>45</formula>
    </cfRule>
  </conditionalFormatting>
  <conditionalFormatting sqref="AJ320">
    <cfRule type="cellIs" dxfId="660" priority="4703" operator="greaterThan">
      <formula>45</formula>
    </cfRule>
  </conditionalFormatting>
  <conditionalFormatting sqref="AJ322">
    <cfRule type="cellIs" dxfId="659" priority="4783" operator="greaterThan">
      <formula>45</formula>
    </cfRule>
  </conditionalFormatting>
  <conditionalFormatting sqref="AJ324">
    <cfRule type="cellIs" dxfId="658" priority="4863" operator="greaterThan">
      <formula>45</formula>
    </cfRule>
  </conditionalFormatting>
  <conditionalFormatting sqref="AJ326">
    <cfRule type="cellIs" dxfId="657" priority="4943" operator="greaterThan">
      <formula>45</formula>
    </cfRule>
  </conditionalFormatting>
  <conditionalFormatting sqref="AK2">
    <cfRule type="cellIs" dxfId="656" priority="65" operator="greaterThan">
      <formula>45</formula>
    </cfRule>
    <cfRule type="cellIs" dxfId="655" priority="64" operator="greaterThan">
      <formula>40</formula>
    </cfRule>
  </conditionalFormatting>
  <conditionalFormatting sqref="AK4">
    <cfRule type="cellIs" dxfId="654" priority="145" operator="greaterThan">
      <formula>45</formula>
    </cfRule>
    <cfRule type="cellIs" dxfId="653" priority="144" operator="greaterThan">
      <formula>40</formula>
    </cfRule>
  </conditionalFormatting>
  <conditionalFormatting sqref="AK13">
    <cfRule type="cellIs" dxfId="652" priority="224" operator="greaterThan">
      <formula>40</formula>
    </cfRule>
    <cfRule type="cellIs" dxfId="651" priority="225" operator="greaterThan">
      <formula>45</formula>
    </cfRule>
  </conditionalFormatting>
  <conditionalFormatting sqref="AK23">
    <cfRule type="cellIs" dxfId="650" priority="304" operator="greaterThan">
      <formula>40</formula>
    </cfRule>
    <cfRule type="cellIs" dxfId="649" priority="305" operator="greaterThan">
      <formula>45</formula>
    </cfRule>
  </conditionalFormatting>
  <conditionalFormatting sqref="AK33">
    <cfRule type="cellIs" dxfId="648" priority="385" operator="greaterThan">
      <formula>45</formula>
    </cfRule>
    <cfRule type="cellIs" dxfId="647" priority="384" operator="greaterThan">
      <formula>40</formula>
    </cfRule>
  </conditionalFormatting>
  <conditionalFormatting sqref="AK48">
    <cfRule type="cellIs" dxfId="646" priority="464" operator="greaterThan">
      <formula>40</formula>
    </cfRule>
    <cfRule type="cellIs" dxfId="645" priority="465" operator="greaterThan">
      <formula>45</formula>
    </cfRule>
  </conditionalFormatting>
  <conditionalFormatting sqref="AK52">
    <cfRule type="cellIs" dxfId="644" priority="545" operator="greaterThan">
      <formula>45</formula>
    </cfRule>
    <cfRule type="cellIs" dxfId="643" priority="544" operator="greaterThan">
      <formula>40</formula>
    </cfRule>
  </conditionalFormatting>
  <conditionalFormatting sqref="AK61">
    <cfRule type="cellIs" dxfId="642" priority="624" operator="greaterThan">
      <formula>40</formula>
    </cfRule>
    <cfRule type="cellIs" dxfId="641" priority="625" operator="greaterThan">
      <formula>45</formula>
    </cfRule>
  </conditionalFormatting>
  <conditionalFormatting sqref="AK74">
    <cfRule type="cellIs" dxfId="640" priority="704" operator="greaterThan">
      <formula>40</formula>
    </cfRule>
    <cfRule type="cellIs" dxfId="639" priority="705" operator="greaterThan">
      <formula>45</formula>
    </cfRule>
  </conditionalFormatting>
  <conditionalFormatting sqref="AK76">
    <cfRule type="cellIs" dxfId="638" priority="785" operator="greaterThan">
      <formula>45</formula>
    </cfRule>
    <cfRule type="cellIs" dxfId="637" priority="784" operator="greaterThan">
      <formula>40</formula>
    </cfRule>
  </conditionalFormatting>
  <conditionalFormatting sqref="AK86">
    <cfRule type="cellIs" dxfId="636" priority="864" operator="greaterThan">
      <formula>40</formula>
    </cfRule>
    <cfRule type="cellIs" dxfId="635" priority="865" operator="greaterThan">
      <formula>45</formula>
    </cfRule>
  </conditionalFormatting>
  <conditionalFormatting sqref="AK96">
    <cfRule type="cellIs" dxfId="634" priority="945" operator="greaterThan">
      <formula>45</formula>
    </cfRule>
  </conditionalFormatting>
  <conditionalFormatting sqref="AK101">
    <cfRule type="cellIs" dxfId="633" priority="1025" operator="greaterThan">
      <formula>45</formula>
    </cfRule>
  </conditionalFormatting>
  <conditionalFormatting sqref="AK110">
    <cfRule type="cellIs" dxfId="632" priority="1105" operator="greaterThan">
      <formula>45</formula>
    </cfRule>
  </conditionalFormatting>
  <conditionalFormatting sqref="AK117">
    <cfRule type="cellIs" dxfId="631" priority="1185" operator="greaterThan">
      <formula>45</formula>
    </cfRule>
  </conditionalFormatting>
  <conditionalFormatting sqref="AK124">
    <cfRule type="cellIs" dxfId="630" priority="1265" operator="greaterThan">
      <formula>45</formula>
    </cfRule>
  </conditionalFormatting>
  <conditionalFormatting sqref="AK128">
    <cfRule type="cellIs" dxfId="629" priority="1345" operator="greaterThan">
      <formula>45</formula>
    </cfRule>
  </conditionalFormatting>
  <conditionalFormatting sqref="AK133">
    <cfRule type="cellIs" dxfId="628" priority="1425" operator="greaterThan">
      <formula>45</formula>
    </cfRule>
  </conditionalFormatting>
  <conditionalFormatting sqref="AK136">
    <cfRule type="cellIs" dxfId="627" priority="1505" operator="greaterThan">
      <formula>45</formula>
    </cfRule>
  </conditionalFormatting>
  <conditionalFormatting sqref="AK143">
    <cfRule type="cellIs" dxfId="626" priority="1585" operator="greaterThan">
      <formula>45</formula>
    </cfRule>
  </conditionalFormatting>
  <conditionalFormatting sqref="AK157">
    <cfRule type="cellIs" dxfId="625" priority="1665" operator="greaterThan">
      <formula>45</formula>
    </cfRule>
  </conditionalFormatting>
  <conditionalFormatting sqref="AK160">
    <cfRule type="cellIs" dxfId="624" priority="1745" operator="greaterThan">
      <formula>45</formula>
    </cfRule>
  </conditionalFormatting>
  <conditionalFormatting sqref="AK170">
    <cfRule type="cellIs" dxfId="623" priority="1825" operator="greaterThan">
      <formula>45</formula>
    </cfRule>
  </conditionalFormatting>
  <conditionalFormatting sqref="AK182">
    <cfRule type="cellIs" dxfId="622" priority="1905" operator="greaterThan">
      <formula>45</formula>
    </cfRule>
  </conditionalFormatting>
  <conditionalFormatting sqref="AK185">
    <cfRule type="cellIs" dxfId="621" priority="1985" operator="greaterThan">
      <formula>45</formula>
    </cfRule>
  </conditionalFormatting>
  <conditionalFormatting sqref="AK188">
    <cfRule type="cellIs" dxfId="620" priority="2065" operator="greaterThan">
      <formula>45</formula>
    </cfRule>
  </conditionalFormatting>
  <conditionalFormatting sqref="AK194">
    <cfRule type="cellIs" dxfId="619" priority="2145" operator="greaterThan">
      <formula>45</formula>
    </cfRule>
  </conditionalFormatting>
  <conditionalFormatting sqref="AK198">
    <cfRule type="cellIs" dxfId="618" priority="2225" operator="greaterThan">
      <formula>45</formula>
    </cfRule>
  </conditionalFormatting>
  <conditionalFormatting sqref="AK206">
    <cfRule type="cellIs" dxfId="617" priority="2305" operator="greaterThan">
      <formula>45</formula>
    </cfRule>
  </conditionalFormatting>
  <conditionalFormatting sqref="AK211">
    <cfRule type="cellIs" dxfId="616" priority="2385" operator="greaterThan">
      <formula>45</formula>
    </cfRule>
  </conditionalFormatting>
  <conditionalFormatting sqref="AK213">
    <cfRule type="cellIs" dxfId="615" priority="2465" operator="greaterThan">
      <formula>45</formula>
    </cfRule>
  </conditionalFormatting>
  <conditionalFormatting sqref="AK217">
    <cfRule type="cellIs" dxfId="614" priority="2545" operator="greaterThan">
      <formula>45</formula>
    </cfRule>
  </conditionalFormatting>
  <conditionalFormatting sqref="AK220">
    <cfRule type="cellIs" dxfId="613" priority="2625" operator="greaterThan">
      <formula>45</formula>
    </cfRule>
  </conditionalFormatting>
  <conditionalFormatting sqref="AK223">
    <cfRule type="cellIs" dxfId="612" priority="2705" operator="greaterThan">
      <formula>45</formula>
    </cfRule>
  </conditionalFormatting>
  <conditionalFormatting sqref="AK226">
    <cfRule type="cellIs" dxfId="611" priority="2785" operator="greaterThan">
      <formula>45</formula>
    </cfRule>
  </conditionalFormatting>
  <conditionalFormatting sqref="AK229">
    <cfRule type="cellIs" dxfId="610" priority="2865" operator="greaterThan">
      <formula>45</formula>
    </cfRule>
  </conditionalFormatting>
  <conditionalFormatting sqref="AK232">
    <cfRule type="cellIs" dxfId="609" priority="2945" operator="greaterThan">
      <formula>45</formula>
    </cfRule>
  </conditionalFormatting>
  <conditionalFormatting sqref="AK234">
    <cfRule type="cellIs" dxfId="608" priority="3025" operator="greaterThan">
      <formula>45</formula>
    </cfRule>
  </conditionalFormatting>
  <conditionalFormatting sqref="AK248">
    <cfRule type="cellIs" dxfId="607" priority="3105" operator="greaterThan">
      <formula>45</formula>
    </cfRule>
  </conditionalFormatting>
  <conditionalFormatting sqref="AK252">
    <cfRule type="cellIs" dxfId="606" priority="3185" operator="greaterThan">
      <formula>45</formula>
    </cfRule>
  </conditionalFormatting>
  <conditionalFormatting sqref="AK261">
    <cfRule type="cellIs" dxfId="605" priority="3265" operator="greaterThan">
      <formula>45</formula>
    </cfRule>
  </conditionalFormatting>
  <conditionalFormatting sqref="AK271">
    <cfRule type="cellIs" dxfId="604" priority="3345" operator="greaterThan">
      <formula>45</formula>
    </cfRule>
  </conditionalFormatting>
  <conditionalFormatting sqref="AK280">
    <cfRule type="cellIs" dxfId="603" priority="3425" operator="greaterThan">
      <formula>45</formula>
    </cfRule>
  </conditionalFormatting>
  <conditionalFormatting sqref="AK283">
    <cfRule type="cellIs" dxfId="602" priority="3505" operator="greaterThan">
      <formula>45</formula>
    </cfRule>
  </conditionalFormatting>
  <conditionalFormatting sqref="AK292">
    <cfRule type="cellIs" dxfId="601" priority="3585" operator="greaterThan">
      <formula>45</formula>
    </cfRule>
  </conditionalFormatting>
  <conditionalFormatting sqref="AK294">
    <cfRule type="cellIs" dxfId="600" priority="3665" operator="greaterThan">
      <formula>45</formula>
    </cfRule>
  </conditionalFormatting>
  <conditionalFormatting sqref="AK296">
    <cfRule type="cellIs" dxfId="599" priority="3745" operator="greaterThan">
      <formula>45</formula>
    </cfRule>
  </conditionalFormatting>
  <conditionalFormatting sqref="AK298">
    <cfRule type="cellIs" dxfId="598" priority="3825" operator="greaterThan">
      <formula>45</formula>
    </cfRule>
  </conditionalFormatting>
  <conditionalFormatting sqref="AK300">
    <cfRule type="cellIs" dxfId="597" priority="3905" operator="greaterThan">
      <formula>45</formula>
    </cfRule>
  </conditionalFormatting>
  <conditionalFormatting sqref="AK302">
    <cfRule type="cellIs" dxfId="596" priority="3985" operator="greaterThan">
      <formula>45</formula>
    </cfRule>
  </conditionalFormatting>
  <conditionalFormatting sqref="AK304">
    <cfRule type="cellIs" dxfId="595" priority="4065" operator="greaterThan">
      <formula>45</formula>
    </cfRule>
  </conditionalFormatting>
  <conditionalFormatting sqref="AK306">
    <cfRule type="cellIs" dxfId="594" priority="4145" operator="greaterThan">
      <formula>45</formula>
    </cfRule>
  </conditionalFormatting>
  <conditionalFormatting sqref="AK308">
    <cfRule type="cellIs" dxfId="593" priority="4225" operator="greaterThan">
      <formula>45</formula>
    </cfRule>
  </conditionalFormatting>
  <conditionalFormatting sqref="AK310">
    <cfRule type="cellIs" dxfId="592" priority="4305" operator="greaterThan">
      <formula>45</formula>
    </cfRule>
  </conditionalFormatting>
  <conditionalFormatting sqref="AK312">
    <cfRule type="cellIs" dxfId="591" priority="4385" operator="greaterThan">
      <formula>45</formula>
    </cfRule>
  </conditionalFormatting>
  <conditionalFormatting sqref="AK314">
    <cfRule type="cellIs" dxfId="590" priority="4465" operator="greaterThan">
      <formula>45</formula>
    </cfRule>
  </conditionalFormatting>
  <conditionalFormatting sqref="AK316">
    <cfRule type="cellIs" dxfId="589" priority="4545" operator="greaterThan">
      <formula>45</formula>
    </cfRule>
  </conditionalFormatting>
  <conditionalFormatting sqref="AK318">
    <cfRule type="cellIs" dxfId="588" priority="4625" operator="greaterThan">
      <formula>45</formula>
    </cfRule>
  </conditionalFormatting>
  <conditionalFormatting sqref="AK320">
    <cfRule type="cellIs" dxfId="587" priority="4705" operator="greaterThan">
      <formula>45</formula>
    </cfRule>
  </conditionalFormatting>
  <conditionalFormatting sqref="AK322">
    <cfRule type="cellIs" dxfId="586" priority="4785" operator="greaterThan">
      <formula>45</formula>
    </cfRule>
  </conditionalFormatting>
  <conditionalFormatting sqref="AK324">
    <cfRule type="cellIs" dxfId="585" priority="4865" operator="greaterThan">
      <formula>45</formula>
    </cfRule>
  </conditionalFormatting>
  <conditionalFormatting sqref="AK326">
    <cfRule type="cellIs" dxfId="584" priority="4945" operator="greaterThan">
      <formula>45</formula>
    </cfRule>
  </conditionalFormatting>
  <conditionalFormatting sqref="AL2">
    <cfRule type="cellIs" dxfId="583" priority="67" operator="greaterThan">
      <formula>45</formula>
    </cfRule>
    <cfRule type="cellIs" dxfId="582" priority="66" operator="greaterThan">
      <formula>40</formula>
    </cfRule>
  </conditionalFormatting>
  <conditionalFormatting sqref="AL4">
    <cfRule type="cellIs" dxfId="581" priority="146" operator="greaterThan">
      <formula>40</formula>
    </cfRule>
    <cfRule type="cellIs" dxfId="580" priority="147" operator="greaterThan">
      <formula>45</formula>
    </cfRule>
  </conditionalFormatting>
  <conditionalFormatting sqref="AL13">
    <cfRule type="cellIs" dxfId="579" priority="227" operator="greaterThan">
      <formula>45</formula>
    </cfRule>
    <cfRule type="cellIs" dxfId="578" priority="226" operator="greaterThan">
      <formula>40</formula>
    </cfRule>
  </conditionalFormatting>
  <conditionalFormatting sqref="AL23">
    <cfRule type="cellIs" dxfId="577" priority="307" operator="greaterThan">
      <formula>45</formula>
    </cfRule>
    <cfRule type="cellIs" dxfId="576" priority="306" operator="greaterThan">
      <formula>40</formula>
    </cfRule>
  </conditionalFormatting>
  <conditionalFormatting sqref="AL33">
    <cfRule type="cellIs" dxfId="575" priority="386" operator="greaterThan">
      <formula>40</formula>
    </cfRule>
    <cfRule type="cellIs" dxfId="574" priority="387" operator="greaterThan">
      <formula>45</formula>
    </cfRule>
  </conditionalFormatting>
  <conditionalFormatting sqref="AL48">
    <cfRule type="cellIs" dxfId="573" priority="466" operator="greaterThan">
      <formula>40</formula>
    </cfRule>
    <cfRule type="cellIs" dxfId="572" priority="467" operator="greaterThan">
      <formula>45</formula>
    </cfRule>
  </conditionalFormatting>
  <conditionalFormatting sqref="AL52">
    <cfRule type="cellIs" dxfId="571" priority="546" operator="greaterThan">
      <formula>40</formula>
    </cfRule>
    <cfRule type="cellIs" dxfId="570" priority="547" operator="greaterThan">
      <formula>45</formula>
    </cfRule>
  </conditionalFormatting>
  <conditionalFormatting sqref="AL61">
    <cfRule type="cellIs" dxfId="569" priority="627" operator="greaterThan">
      <formula>45</formula>
    </cfRule>
    <cfRule type="cellIs" dxfId="568" priority="626" operator="greaterThan">
      <formula>40</formula>
    </cfRule>
  </conditionalFormatting>
  <conditionalFormatting sqref="AL74">
    <cfRule type="cellIs" dxfId="567" priority="707" operator="greaterThan">
      <formula>45</formula>
    </cfRule>
    <cfRule type="cellIs" dxfId="566" priority="706" operator="greaterThan">
      <formula>40</formula>
    </cfRule>
  </conditionalFormatting>
  <conditionalFormatting sqref="AL76">
    <cfRule type="cellIs" dxfId="565" priority="786" operator="greaterThan">
      <formula>40</formula>
    </cfRule>
    <cfRule type="cellIs" dxfId="564" priority="787" operator="greaterThan">
      <formula>45</formula>
    </cfRule>
  </conditionalFormatting>
  <conditionalFormatting sqref="AL86">
    <cfRule type="cellIs" dxfId="563" priority="866" operator="greaterThan">
      <formula>40</formula>
    </cfRule>
    <cfRule type="cellIs" dxfId="562" priority="867" operator="greaterThan">
      <formula>45</formula>
    </cfRule>
  </conditionalFormatting>
  <conditionalFormatting sqref="AL96">
    <cfRule type="cellIs" dxfId="561" priority="947" operator="greaterThan">
      <formula>45</formula>
    </cfRule>
  </conditionalFormatting>
  <conditionalFormatting sqref="AL101">
    <cfRule type="cellIs" dxfId="560" priority="1027" operator="greaterThan">
      <formula>45</formula>
    </cfRule>
  </conditionalFormatting>
  <conditionalFormatting sqref="AL110">
    <cfRule type="cellIs" dxfId="559" priority="1107" operator="greaterThan">
      <formula>45</formula>
    </cfRule>
  </conditionalFormatting>
  <conditionalFormatting sqref="AL117">
    <cfRule type="cellIs" dxfId="558" priority="1187" operator="greaterThan">
      <formula>45</formula>
    </cfRule>
  </conditionalFormatting>
  <conditionalFormatting sqref="AL124">
    <cfRule type="cellIs" dxfId="557" priority="1267" operator="greaterThan">
      <formula>45</formula>
    </cfRule>
  </conditionalFormatting>
  <conditionalFormatting sqref="AL128">
    <cfRule type="cellIs" dxfId="556" priority="1347" operator="greaterThan">
      <formula>45</formula>
    </cfRule>
  </conditionalFormatting>
  <conditionalFormatting sqref="AL133">
    <cfRule type="cellIs" dxfId="555" priority="1427" operator="greaterThan">
      <formula>45</formula>
    </cfRule>
  </conditionalFormatting>
  <conditionalFormatting sqref="AL136">
    <cfRule type="cellIs" dxfId="554" priority="1507" operator="greaterThan">
      <formula>45</formula>
    </cfRule>
  </conditionalFormatting>
  <conditionalFormatting sqref="AL143">
    <cfRule type="cellIs" dxfId="553" priority="1587" operator="greaterThan">
      <formula>45</formula>
    </cfRule>
  </conditionalFormatting>
  <conditionalFormatting sqref="AL157">
    <cfRule type="cellIs" dxfId="552" priority="1667" operator="greaterThan">
      <formula>45</formula>
    </cfRule>
  </conditionalFormatting>
  <conditionalFormatting sqref="AL160">
    <cfRule type="cellIs" dxfId="551" priority="1747" operator="greaterThan">
      <formula>45</formula>
    </cfRule>
  </conditionalFormatting>
  <conditionalFormatting sqref="AL170">
    <cfRule type="cellIs" dxfId="550" priority="1827" operator="greaterThan">
      <formula>45</formula>
    </cfRule>
  </conditionalFormatting>
  <conditionalFormatting sqref="AL182">
    <cfRule type="cellIs" dxfId="549" priority="1907" operator="greaterThan">
      <formula>45</formula>
    </cfRule>
  </conditionalFormatting>
  <conditionalFormatting sqref="AL185">
    <cfRule type="cellIs" dxfId="548" priority="1987" operator="greaterThan">
      <formula>45</formula>
    </cfRule>
  </conditionalFormatting>
  <conditionalFormatting sqref="AL188">
    <cfRule type="cellIs" dxfId="547" priority="2067" operator="greaterThan">
      <formula>45</formula>
    </cfRule>
  </conditionalFormatting>
  <conditionalFormatting sqref="AL194">
    <cfRule type="cellIs" dxfId="546" priority="2147" operator="greaterThan">
      <formula>45</formula>
    </cfRule>
  </conditionalFormatting>
  <conditionalFormatting sqref="AL198">
    <cfRule type="cellIs" dxfId="545" priority="2227" operator="greaterThan">
      <formula>45</formula>
    </cfRule>
  </conditionalFormatting>
  <conditionalFormatting sqref="AL206">
    <cfRule type="cellIs" dxfId="544" priority="2307" operator="greaterThan">
      <formula>45</formula>
    </cfRule>
  </conditionalFormatting>
  <conditionalFormatting sqref="AL211">
    <cfRule type="cellIs" dxfId="543" priority="2387" operator="greaterThan">
      <formula>45</formula>
    </cfRule>
  </conditionalFormatting>
  <conditionalFormatting sqref="AL213">
    <cfRule type="cellIs" dxfId="542" priority="2467" operator="greaterThan">
      <formula>45</formula>
    </cfRule>
  </conditionalFormatting>
  <conditionalFormatting sqref="AL217">
    <cfRule type="cellIs" dxfId="541" priority="2547" operator="greaterThan">
      <formula>45</formula>
    </cfRule>
  </conditionalFormatting>
  <conditionalFormatting sqref="AL220">
    <cfRule type="cellIs" dxfId="540" priority="2627" operator="greaterThan">
      <formula>45</formula>
    </cfRule>
  </conditionalFormatting>
  <conditionalFormatting sqref="AL223">
    <cfRule type="cellIs" dxfId="539" priority="2707" operator="greaterThan">
      <formula>45</formula>
    </cfRule>
  </conditionalFormatting>
  <conditionalFormatting sqref="AL226">
    <cfRule type="cellIs" dxfId="538" priority="2787" operator="greaterThan">
      <formula>45</formula>
    </cfRule>
  </conditionalFormatting>
  <conditionalFormatting sqref="AL229">
    <cfRule type="cellIs" dxfId="537" priority="2867" operator="greaterThan">
      <formula>45</formula>
    </cfRule>
  </conditionalFormatting>
  <conditionalFormatting sqref="AL232">
    <cfRule type="cellIs" dxfId="536" priority="2947" operator="greaterThan">
      <formula>45</formula>
    </cfRule>
  </conditionalFormatting>
  <conditionalFormatting sqref="AL234">
    <cfRule type="cellIs" dxfId="535" priority="3027" operator="greaterThan">
      <formula>45</formula>
    </cfRule>
  </conditionalFormatting>
  <conditionalFormatting sqref="AL248">
    <cfRule type="cellIs" dxfId="534" priority="3107" operator="greaterThan">
      <formula>45</formula>
    </cfRule>
  </conditionalFormatting>
  <conditionalFormatting sqref="AL252">
    <cfRule type="cellIs" dxfId="533" priority="3187" operator="greaterThan">
      <formula>45</formula>
    </cfRule>
  </conditionalFormatting>
  <conditionalFormatting sqref="AL261">
    <cfRule type="cellIs" dxfId="532" priority="3267" operator="greaterThan">
      <formula>45</formula>
    </cfRule>
  </conditionalFormatting>
  <conditionalFormatting sqref="AL271">
    <cfRule type="cellIs" dxfId="531" priority="3347" operator="greaterThan">
      <formula>45</formula>
    </cfRule>
  </conditionalFormatting>
  <conditionalFormatting sqref="AL280">
    <cfRule type="cellIs" dxfId="530" priority="3427" operator="greaterThan">
      <formula>45</formula>
    </cfRule>
  </conditionalFormatting>
  <conditionalFormatting sqref="AL283">
    <cfRule type="cellIs" dxfId="529" priority="3507" operator="greaterThan">
      <formula>45</formula>
    </cfRule>
  </conditionalFormatting>
  <conditionalFormatting sqref="AL292">
    <cfRule type="cellIs" dxfId="528" priority="3587" operator="greaterThan">
      <formula>45</formula>
    </cfRule>
  </conditionalFormatting>
  <conditionalFormatting sqref="AL294">
    <cfRule type="cellIs" dxfId="527" priority="3667" operator="greaterThan">
      <formula>45</formula>
    </cfRule>
  </conditionalFormatting>
  <conditionalFormatting sqref="AL296">
    <cfRule type="cellIs" dxfId="526" priority="3747" operator="greaterThan">
      <formula>45</formula>
    </cfRule>
  </conditionalFormatting>
  <conditionalFormatting sqref="AL298">
    <cfRule type="cellIs" dxfId="525" priority="3827" operator="greaterThan">
      <formula>45</formula>
    </cfRule>
  </conditionalFormatting>
  <conditionalFormatting sqref="AL300">
    <cfRule type="cellIs" dxfId="524" priority="3907" operator="greaterThan">
      <formula>45</formula>
    </cfRule>
  </conditionalFormatting>
  <conditionalFormatting sqref="AL302">
    <cfRule type="cellIs" dxfId="523" priority="3987" operator="greaterThan">
      <formula>45</formula>
    </cfRule>
  </conditionalFormatting>
  <conditionalFormatting sqref="AL304">
    <cfRule type="cellIs" dxfId="522" priority="4067" operator="greaterThan">
      <formula>45</formula>
    </cfRule>
  </conditionalFormatting>
  <conditionalFormatting sqref="AL306">
    <cfRule type="cellIs" dxfId="521" priority="4147" operator="greaterThan">
      <formula>45</formula>
    </cfRule>
  </conditionalFormatting>
  <conditionalFormatting sqref="AL308">
    <cfRule type="cellIs" dxfId="520" priority="4227" operator="greaterThan">
      <formula>45</formula>
    </cfRule>
  </conditionalFormatting>
  <conditionalFormatting sqref="AL310">
    <cfRule type="cellIs" dxfId="519" priority="4307" operator="greaterThan">
      <formula>45</formula>
    </cfRule>
  </conditionalFormatting>
  <conditionalFormatting sqref="AL312">
    <cfRule type="cellIs" dxfId="518" priority="4387" operator="greaterThan">
      <formula>45</formula>
    </cfRule>
  </conditionalFormatting>
  <conditionalFormatting sqref="AL314">
    <cfRule type="cellIs" dxfId="517" priority="4467" operator="greaterThan">
      <formula>45</formula>
    </cfRule>
  </conditionalFormatting>
  <conditionalFormatting sqref="AL316">
    <cfRule type="cellIs" dxfId="516" priority="4547" operator="greaterThan">
      <formula>45</formula>
    </cfRule>
  </conditionalFormatting>
  <conditionalFormatting sqref="AL318">
    <cfRule type="cellIs" dxfId="515" priority="4627" operator="greaterThan">
      <formula>45</formula>
    </cfRule>
  </conditionalFormatting>
  <conditionalFormatting sqref="AL320">
    <cfRule type="cellIs" dxfId="514" priority="4707" operator="greaterThan">
      <formula>45</formula>
    </cfRule>
  </conditionalFormatting>
  <conditionalFormatting sqref="AL322">
    <cfRule type="cellIs" dxfId="513" priority="4787" operator="greaterThan">
      <formula>45</formula>
    </cfRule>
  </conditionalFormatting>
  <conditionalFormatting sqref="AL324">
    <cfRule type="cellIs" dxfId="512" priority="4867" operator="greaterThan">
      <formula>45</formula>
    </cfRule>
  </conditionalFormatting>
  <conditionalFormatting sqref="AL326">
    <cfRule type="cellIs" dxfId="511" priority="4947" operator="greaterThan">
      <formula>45</formula>
    </cfRule>
  </conditionalFormatting>
  <conditionalFormatting sqref="AM2">
    <cfRule type="cellIs" dxfId="510" priority="69" operator="greaterThan">
      <formula>45</formula>
    </cfRule>
    <cfRule type="cellIs" dxfId="509" priority="68" operator="greaterThan">
      <formula>40</formula>
    </cfRule>
  </conditionalFormatting>
  <conditionalFormatting sqref="AM4">
    <cfRule type="cellIs" dxfId="508" priority="149" operator="greaterThan">
      <formula>45</formula>
    </cfRule>
    <cfRule type="cellIs" dxfId="507" priority="148" operator="greaterThan">
      <formula>40</formula>
    </cfRule>
  </conditionalFormatting>
  <conditionalFormatting sqref="AM13">
    <cfRule type="cellIs" dxfId="506" priority="228" operator="greaterThan">
      <formula>40</formula>
    </cfRule>
    <cfRule type="cellIs" dxfId="505" priority="229" operator="greaterThan">
      <formula>45</formula>
    </cfRule>
  </conditionalFormatting>
  <conditionalFormatting sqref="AM23">
    <cfRule type="cellIs" dxfId="504" priority="309" operator="greaterThan">
      <formula>45</formula>
    </cfRule>
    <cfRule type="cellIs" dxfId="503" priority="308" operator="greaterThan">
      <formula>40</formula>
    </cfRule>
  </conditionalFormatting>
  <conditionalFormatting sqref="AM33">
    <cfRule type="cellIs" dxfId="502" priority="389" operator="greaterThan">
      <formula>45</formula>
    </cfRule>
    <cfRule type="cellIs" dxfId="501" priority="388" operator="greaterThan">
      <formula>40</formula>
    </cfRule>
  </conditionalFormatting>
  <conditionalFormatting sqref="AM48">
    <cfRule type="cellIs" dxfId="500" priority="469" operator="greaterThan">
      <formula>45</formula>
    </cfRule>
    <cfRule type="cellIs" dxfId="499" priority="468" operator="greaterThan">
      <formula>40</formula>
    </cfRule>
  </conditionalFormatting>
  <conditionalFormatting sqref="AM52">
    <cfRule type="cellIs" dxfId="498" priority="549" operator="greaterThan">
      <formula>45</formula>
    </cfRule>
    <cfRule type="cellIs" dxfId="497" priority="548" operator="greaterThan">
      <formula>40</formula>
    </cfRule>
  </conditionalFormatting>
  <conditionalFormatting sqref="AM61">
    <cfRule type="cellIs" dxfId="496" priority="628" operator="greaterThan">
      <formula>40</formula>
    </cfRule>
    <cfRule type="cellIs" dxfId="495" priority="629" operator="greaterThan">
      <formula>45</formula>
    </cfRule>
  </conditionalFormatting>
  <conditionalFormatting sqref="AM74">
    <cfRule type="cellIs" dxfId="494" priority="709" operator="greaterThan">
      <formula>45</formula>
    </cfRule>
    <cfRule type="cellIs" dxfId="493" priority="708" operator="greaterThan">
      <formula>40</formula>
    </cfRule>
  </conditionalFormatting>
  <conditionalFormatting sqref="AM76">
    <cfRule type="cellIs" dxfId="492" priority="788" operator="greaterThan">
      <formula>40</formula>
    </cfRule>
    <cfRule type="cellIs" dxfId="491" priority="789" operator="greaterThan">
      <formula>45</formula>
    </cfRule>
  </conditionalFormatting>
  <conditionalFormatting sqref="AM86">
    <cfRule type="cellIs" dxfId="490" priority="869" operator="greaterThan">
      <formula>45</formula>
    </cfRule>
    <cfRule type="cellIs" dxfId="489" priority="868" operator="greaterThan">
      <formula>40</formula>
    </cfRule>
  </conditionalFormatting>
  <conditionalFormatting sqref="AM96">
    <cfRule type="cellIs" dxfId="488" priority="949" operator="greaterThan">
      <formula>45</formula>
    </cfRule>
  </conditionalFormatting>
  <conditionalFormatting sqref="AM101">
    <cfRule type="cellIs" dxfId="487" priority="1029" operator="greaterThan">
      <formula>45</formula>
    </cfRule>
  </conditionalFormatting>
  <conditionalFormatting sqref="AM110">
    <cfRule type="cellIs" dxfId="486" priority="1109" operator="greaterThan">
      <formula>45</formula>
    </cfRule>
  </conditionalFormatting>
  <conditionalFormatting sqref="AM117">
    <cfRule type="cellIs" dxfId="485" priority="1189" operator="greaterThan">
      <formula>45</formula>
    </cfRule>
  </conditionalFormatting>
  <conditionalFormatting sqref="AM124">
    <cfRule type="cellIs" dxfId="484" priority="1269" operator="greaterThan">
      <formula>45</formula>
    </cfRule>
  </conditionalFormatting>
  <conditionalFormatting sqref="AM128">
    <cfRule type="cellIs" dxfId="483" priority="1349" operator="greaterThan">
      <formula>45</formula>
    </cfRule>
  </conditionalFormatting>
  <conditionalFormatting sqref="AM133">
    <cfRule type="cellIs" dxfId="482" priority="1429" operator="greaterThan">
      <formula>45</formula>
    </cfRule>
  </conditionalFormatting>
  <conditionalFormatting sqref="AM136">
    <cfRule type="cellIs" dxfId="481" priority="1509" operator="greaterThan">
      <formula>45</formula>
    </cfRule>
  </conditionalFormatting>
  <conditionalFormatting sqref="AM143">
    <cfRule type="cellIs" dxfId="480" priority="1589" operator="greaterThan">
      <formula>45</formula>
    </cfRule>
  </conditionalFormatting>
  <conditionalFormatting sqref="AM157">
    <cfRule type="cellIs" dxfId="479" priority="1669" operator="greaterThan">
      <formula>45</formula>
    </cfRule>
  </conditionalFormatting>
  <conditionalFormatting sqref="AM160">
    <cfRule type="cellIs" dxfId="478" priority="1749" operator="greaterThan">
      <formula>45</formula>
    </cfRule>
  </conditionalFormatting>
  <conditionalFormatting sqref="AM170">
    <cfRule type="cellIs" dxfId="477" priority="1829" operator="greaterThan">
      <formula>45</formula>
    </cfRule>
  </conditionalFormatting>
  <conditionalFormatting sqref="AM182">
    <cfRule type="cellIs" dxfId="476" priority="1909" operator="greaterThan">
      <formula>45</formula>
    </cfRule>
  </conditionalFormatting>
  <conditionalFormatting sqref="AM185">
    <cfRule type="cellIs" dxfId="475" priority="1989" operator="greaterThan">
      <formula>45</formula>
    </cfRule>
  </conditionalFormatting>
  <conditionalFormatting sqref="AM188">
    <cfRule type="cellIs" dxfId="474" priority="2069" operator="greaterThan">
      <formula>45</formula>
    </cfRule>
  </conditionalFormatting>
  <conditionalFormatting sqref="AM194">
    <cfRule type="cellIs" dxfId="473" priority="2149" operator="greaterThan">
      <formula>45</formula>
    </cfRule>
  </conditionalFormatting>
  <conditionalFormatting sqref="AM198">
    <cfRule type="cellIs" dxfId="472" priority="2229" operator="greaterThan">
      <formula>45</formula>
    </cfRule>
  </conditionalFormatting>
  <conditionalFormatting sqref="AM206">
    <cfRule type="cellIs" dxfId="471" priority="2309" operator="greaterThan">
      <formula>45</formula>
    </cfRule>
  </conditionalFormatting>
  <conditionalFormatting sqref="AM211">
    <cfRule type="cellIs" dxfId="470" priority="2389" operator="greaterThan">
      <formula>45</formula>
    </cfRule>
  </conditionalFormatting>
  <conditionalFormatting sqref="AM213">
    <cfRule type="cellIs" dxfId="469" priority="2469" operator="greaterThan">
      <formula>45</formula>
    </cfRule>
  </conditionalFormatting>
  <conditionalFormatting sqref="AM217">
    <cfRule type="cellIs" dxfId="468" priority="2549" operator="greaterThan">
      <formula>45</formula>
    </cfRule>
  </conditionalFormatting>
  <conditionalFormatting sqref="AM220">
    <cfRule type="cellIs" dxfId="467" priority="2629" operator="greaterThan">
      <formula>45</formula>
    </cfRule>
  </conditionalFormatting>
  <conditionalFormatting sqref="AM223">
    <cfRule type="cellIs" dxfId="466" priority="2709" operator="greaterThan">
      <formula>45</formula>
    </cfRule>
  </conditionalFormatting>
  <conditionalFormatting sqref="AM226">
    <cfRule type="cellIs" dxfId="465" priority="2789" operator="greaterThan">
      <formula>45</formula>
    </cfRule>
  </conditionalFormatting>
  <conditionalFormatting sqref="AM229">
    <cfRule type="cellIs" dxfId="464" priority="2869" operator="greaterThan">
      <formula>45</formula>
    </cfRule>
  </conditionalFormatting>
  <conditionalFormatting sqref="AM232">
    <cfRule type="cellIs" dxfId="463" priority="2949" operator="greaterThan">
      <formula>45</formula>
    </cfRule>
  </conditionalFormatting>
  <conditionalFormatting sqref="AM234">
    <cfRule type="cellIs" dxfId="462" priority="3029" operator="greaterThan">
      <formula>45</formula>
    </cfRule>
  </conditionalFormatting>
  <conditionalFormatting sqref="AM248">
    <cfRule type="cellIs" dxfId="461" priority="3109" operator="greaterThan">
      <formula>45</formula>
    </cfRule>
  </conditionalFormatting>
  <conditionalFormatting sqref="AM252">
    <cfRule type="cellIs" dxfId="460" priority="3189" operator="greaterThan">
      <formula>45</formula>
    </cfRule>
  </conditionalFormatting>
  <conditionalFormatting sqref="AM261">
    <cfRule type="cellIs" dxfId="459" priority="3269" operator="greaterThan">
      <formula>45</formula>
    </cfRule>
  </conditionalFormatting>
  <conditionalFormatting sqref="AM271">
    <cfRule type="cellIs" dxfId="458" priority="3349" operator="greaterThan">
      <formula>45</formula>
    </cfRule>
  </conditionalFormatting>
  <conditionalFormatting sqref="AM280">
    <cfRule type="cellIs" dxfId="457" priority="3429" operator="greaterThan">
      <formula>45</formula>
    </cfRule>
  </conditionalFormatting>
  <conditionalFormatting sqref="AM283">
    <cfRule type="cellIs" dxfId="456" priority="3509" operator="greaterThan">
      <formula>45</formula>
    </cfRule>
  </conditionalFormatting>
  <conditionalFormatting sqref="AM292">
    <cfRule type="cellIs" dxfId="455" priority="3589" operator="greaterThan">
      <formula>45</formula>
    </cfRule>
  </conditionalFormatting>
  <conditionalFormatting sqref="AM294">
    <cfRule type="cellIs" dxfId="454" priority="3669" operator="greaterThan">
      <formula>45</formula>
    </cfRule>
  </conditionalFormatting>
  <conditionalFormatting sqref="AM296">
    <cfRule type="cellIs" dxfId="453" priority="3749" operator="greaterThan">
      <formula>45</formula>
    </cfRule>
  </conditionalFormatting>
  <conditionalFormatting sqref="AM298">
    <cfRule type="cellIs" dxfId="452" priority="3829" operator="greaterThan">
      <formula>45</formula>
    </cfRule>
  </conditionalFormatting>
  <conditionalFormatting sqref="AM300">
    <cfRule type="cellIs" dxfId="451" priority="3909" operator="greaterThan">
      <formula>45</formula>
    </cfRule>
  </conditionalFormatting>
  <conditionalFormatting sqref="AM302">
    <cfRule type="cellIs" dxfId="450" priority="3989" operator="greaterThan">
      <formula>45</formula>
    </cfRule>
  </conditionalFormatting>
  <conditionalFormatting sqref="AM304">
    <cfRule type="cellIs" dxfId="449" priority="4069" operator="greaterThan">
      <formula>45</formula>
    </cfRule>
  </conditionalFormatting>
  <conditionalFormatting sqref="AM306">
    <cfRule type="cellIs" dxfId="448" priority="4149" operator="greaterThan">
      <formula>45</formula>
    </cfRule>
  </conditionalFormatting>
  <conditionalFormatting sqref="AM308">
    <cfRule type="cellIs" dxfId="447" priority="4229" operator="greaterThan">
      <formula>45</formula>
    </cfRule>
  </conditionalFormatting>
  <conditionalFormatting sqref="AM310">
    <cfRule type="cellIs" dxfId="446" priority="4309" operator="greaterThan">
      <formula>45</formula>
    </cfRule>
  </conditionalFormatting>
  <conditionalFormatting sqref="AM312">
    <cfRule type="cellIs" dxfId="445" priority="4389" operator="greaterThan">
      <formula>45</formula>
    </cfRule>
  </conditionalFormatting>
  <conditionalFormatting sqref="AM314">
    <cfRule type="cellIs" dxfId="444" priority="4469" operator="greaterThan">
      <formula>45</formula>
    </cfRule>
  </conditionalFormatting>
  <conditionalFormatting sqref="AM316">
    <cfRule type="cellIs" dxfId="443" priority="4549" operator="greaterThan">
      <formula>45</formula>
    </cfRule>
  </conditionalFormatting>
  <conditionalFormatting sqref="AM318">
    <cfRule type="cellIs" dxfId="442" priority="4629" operator="greaterThan">
      <formula>45</formula>
    </cfRule>
  </conditionalFormatting>
  <conditionalFormatting sqref="AM320">
    <cfRule type="cellIs" dxfId="441" priority="4709" operator="greaterThan">
      <formula>45</formula>
    </cfRule>
  </conditionalFormatting>
  <conditionalFormatting sqref="AM322">
    <cfRule type="cellIs" dxfId="440" priority="4789" operator="greaterThan">
      <formula>45</formula>
    </cfRule>
  </conditionalFormatting>
  <conditionalFormatting sqref="AM324">
    <cfRule type="cellIs" dxfId="439" priority="4869" operator="greaterThan">
      <formula>45</formula>
    </cfRule>
  </conditionalFormatting>
  <conditionalFormatting sqref="AM326">
    <cfRule type="cellIs" dxfId="438" priority="4949" operator="greaterThan">
      <formula>45</formula>
    </cfRule>
  </conditionalFormatting>
  <conditionalFormatting sqref="AN2">
    <cfRule type="cellIs" dxfId="437" priority="70" operator="greaterThan">
      <formula>40</formula>
    </cfRule>
    <cfRule type="cellIs" dxfId="436" priority="71" operator="greaterThan">
      <formula>45</formula>
    </cfRule>
  </conditionalFormatting>
  <conditionalFormatting sqref="AN4">
    <cfRule type="cellIs" dxfId="435" priority="151" operator="greaterThan">
      <formula>45</formula>
    </cfRule>
    <cfRule type="cellIs" dxfId="434" priority="150" operator="greaterThan">
      <formula>40</formula>
    </cfRule>
  </conditionalFormatting>
  <conditionalFormatting sqref="AN13">
    <cfRule type="cellIs" dxfId="433" priority="231" operator="greaterThan">
      <formula>45</formula>
    </cfRule>
    <cfRule type="cellIs" dxfId="432" priority="230" operator="greaterThan">
      <formula>40</formula>
    </cfRule>
  </conditionalFormatting>
  <conditionalFormatting sqref="AN23">
    <cfRule type="cellIs" dxfId="431" priority="310" operator="greaterThan">
      <formula>40</formula>
    </cfRule>
    <cfRule type="cellIs" dxfId="430" priority="311" operator="greaterThan">
      <formula>45</formula>
    </cfRule>
  </conditionalFormatting>
  <conditionalFormatting sqref="AN33">
    <cfRule type="cellIs" dxfId="429" priority="391" operator="greaterThan">
      <formula>45</formula>
    </cfRule>
    <cfRule type="cellIs" dxfId="428" priority="390" operator="greaterThan">
      <formula>40</formula>
    </cfRule>
  </conditionalFormatting>
  <conditionalFormatting sqref="AN48">
    <cfRule type="cellIs" dxfId="427" priority="470" operator="greaterThan">
      <formula>40</formula>
    </cfRule>
    <cfRule type="cellIs" dxfId="426" priority="471" operator="greaterThan">
      <formula>45</formula>
    </cfRule>
  </conditionalFormatting>
  <conditionalFormatting sqref="AN52">
    <cfRule type="cellIs" dxfId="425" priority="551" operator="greaterThan">
      <formula>45</formula>
    </cfRule>
    <cfRule type="cellIs" dxfId="424" priority="550" operator="greaterThan">
      <formula>40</formula>
    </cfRule>
  </conditionalFormatting>
  <conditionalFormatting sqref="AN61">
    <cfRule type="cellIs" dxfId="423" priority="631" operator="greaterThan">
      <formula>45</formula>
    </cfRule>
    <cfRule type="cellIs" dxfId="422" priority="630" operator="greaterThan">
      <formula>40</formula>
    </cfRule>
  </conditionalFormatting>
  <conditionalFormatting sqref="AN74">
    <cfRule type="cellIs" dxfId="421" priority="711" operator="greaterThan">
      <formula>45</formula>
    </cfRule>
    <cfRule type="cellIs" dxfId="420" priority="710" operator="greaterThan">
      <formula>40</formula>
    </cfRule>
  </conditionalFormatting>
  <conditionalFormatting sqref="AN76">
    <cfRule type="cellIs" dxfId="419" priority="790" operator="greaterThan">
      <formula>40</formula>
    </cfRule>
    <cfRule type="cellIs" dxfId="418" priority="791" operator="greaterThan">
      <formula>45</formula>
    </cfRule>
  </conditionalFormatting>
  <conditionalFormatting sqref="AN86">
    <cfRule type="cellIs" dxfId="417" priority="871" operator="greaterThan">
      <formula>45</formula>
    </cfRule>
    <cfRule type="cellIs" dxfId="416" priority="870" operator="greaterThan">
      <formula>40</formula>
    </cfRule>
  </conditionalFormatting>
  <conditionalFormatting sqref="AN96">
    <cfRule type="cellIs" dxfId="415" priority="951" operator="greaterThan">
      <formula>45</formula>
    </cfRule>
  </conditionalFormatting>
  <conditionalFormatting sqref="AN101">
    <cfRule type="cellIs" dxfId="414" priority="1031" operator="greaterThan">
      <formula>45</formula>
    </cfRule>
  </conditionalFormatting>
  <conditionalFormatting sqref="AN110">
    <cfRule type="cellIs" dxfId="413" priority="1111" operator="greaterThan">
      <formula>45</formula>
    </cfRule>
  </conditionalFormatting>
  <conditionalFormatting sqref="AN117">
    <cfRule type="cellIs" dxfId="412" priority="1191" operator="greaterThan">
      <formula>45</formula>
    </cfRule>
  </conditionalFormatting>
  <conditionalFormatting sqref="AN124">
    <cfRule type="cellIs" dxfId="411" priority="1271" operator="greaterThan">
      <formula>45</formula>
    </cfRule>
  </conditionalFormatting>
  <conditionalFormatting sqref="AN128">
    <cfRule type="cellIs" dxfId="410" priority="1351" operator="greaterThan">
      <formula>45</formula>
    </cfRule>
  </conditionalFormatting>
  <conditionalFormatting sqref="AN133">
    <cfRule type="cellIs" dxfId="409" priority="1431" operator="greaterThan">
      <formula>45</formula>
    </cfRule>
  </conditionalFormatting>
  <conditionalFormatting sqref="AN136">
    <cfRule type="cellIs" dxfId="408" priority="1511" operator="greaterThan">
      <formula>45</formula>
    </cfRule>
  </conditionalFormatting>
  <conditionalFormatting sqref="AN143">
    <cfRule type="cellIs" dxfId="407" priority="1591" operator="greaterThan">
      <formula>45</formula>
    </cfRule>
  </conditionalFormatting>
  <conditionalFormatting sqref="AN157">
    <cfRule type="cellIs" dxfId="406" priority="1671" operator="greaterThan">
      <formula>45</formula>
    </cfRule>
  </conditionalFormatting>
  <conditionalFormatting sqref="AN160">
    <cfRule type="cellIs" dxfId="405" priority="1751" operator="greaterThan">
      <formula>45</formula>
    </cfRule>
  </conditionalFormatting>
  <conditionalFormatting sqref="AN170">
    <cfRule type="cellIs" dxfId="404" priority="1831" operator="greaterThan">
      <formula>45</formula>
    </cfRule>
  </conditionalFormatting>
  <conditionalFormatting sqref="AN182">
    <cfRule type="cellIs" dxfId="403" priority="1911" operator="greaterThan">
      <formula>45</formula>
    </cfRule>
  </conditionalFormatting>
  <conditionalFormatting sqref="AN185">
    <cfRule type="cellIs" dxfId="402" priority="1991" operator="greaterThan">
      <formula>45</formula>
    </cfRule>
  </conditionalFormatting>
  <conditionalFormatting sqref="AN188">
    <cfRule type="cellIs" dxfId="401" priority="2071" operator="greaterThan">
      <formula>45</formula>
    </cfRule>
  </conditionalFormatting>
  <conditionalFormatting sqref="AN194">
    <cfRule type="cellIs" dxfId="400" priority="2151" operator="greaterThan">
      <formula>45</formula>
    </cfRule>
  </conditionalFormatting>
  <conditionalFormatting sqref="AN198">
    <cfRule type="cellIs" dxfId="399" priority="2231" operator="greaterThan">
      <formula>45</formula>
    </cfRule>
  </conditionalFormatting>
  <conditionalFormatting sqref="AN206">
    <cfRule type="cellIs" dxfId="398" priority="2311" operator="greaterThan">
      <formula>45</formula>
    </cfRule>
  </conditionalFormatting>
  <conditionalFormatting sqref="AN211">
    <cfRule type="cellIs" dxfId="397" priority="2391" operator="greaterThan">
      <formula>45</formula>
    </cfRule>
  </conditionalFormatting>
  <conditionalFormatting sqref="AN213">
    <cfRule type="cellIs" dxfId="396" priority="2471" operator="greaterThan">
      <formula>45</formula>
    </cfRule>
  </conditionalFormatting>
  <conditionalFormatting sqref="AN217">
    <cfRule type="cellIs" dxfId="395" priority="2551" operator="greaterThan">
      <formula>45</formula>
    </cfRule>
  </conditionalFormatting>
  <conditionalFormatting sqref="AN220">
    <cfRule type="cellIs" dxfId="394" priority="2631" operator="greaterThan">
      <formula>45</formula>
    </cfRule>
  </conditionalFormatting>
  <conditionalFormatting sqref="AN223">
    <cfRule type="cellIs" dxfId="393" priority="2711" operator="greaterThan">
      <formula>45</formula>
    </cfRule>
  </conditionalFormatting>
  <conditionalFormatting sqref="AN226">
    <cfRule type="cellIs" dxfId="392" priority="2791" operator="greaterThan">
      <formula>45</formula>
    </cfRule>
  </conditionalFormatting>
  <conditionalFormatting sqref="AN229">
    <cfRule type="cellIs" dxfId="391" priority="2871" operator="greaterThan">
      <formula>45</formula>
    </cfRule>
  </conditionalFormatting>
  <conditionalFormatting sqref="AN232">
    <cfRule type="cellIs" dxfId="390" priority="2951" operator="greaterThan">
      <formula>45</formula>
    </cfRule>
  </conditionalFormatting>
  <conditionalFormatting sqref="AN234">
    <cfRule type="cellIs" dxfId="389" priority="3031" operator="greaterThan">
      <formula>45</formula>
    </cfRule>
  </conditionalFormatting>
  <conditionalFormatting sqref="AN248">
    <cfRule type="cellIs" dxfId="388" priority="3111" operator="greaterThan">
      <formula>45</formula>
    </cfRule>
  </conditionalFormatting>
  <conditionalFormatting sqref="AN252">
    <cfRule type="cellIs" dxfId="387" priority="3191" operator="greaterThan">
      <formula>45</formula>
    </cfRule>
  </conditionalFormatting>
  <conditionalFormatting sqref="AN261">
    <cfRule type="cellIs" dxfId="386" priority="3271" operator="greaterThan">
      <formula>45</formula>
    </cfRule>
  </conditionalFormatting>
  <conditionalFormatting sqref="AN271">
    <cfRule type="cellIs" dxfId="385" priority="3351" operator="greaterThan">
      <formula>45</formula>
    </cfRule>
  </conditionalFormatting>
  <conditionalFormatting sqref="AN280">
    <cfRule type="cellIs" dxfId="384" priority="3431" operator="greaterThan">
      <formula>45</formula>
    </cfRule>
  </conditionalFormatting>
  <conditionalFormatting sqref="AN283">
    <cfRule type="cellIs" dxfId="383" priority="3511" operator="greaterThan">
      <formula>45</formula>
    </cfRule>
  </conditionalFormatting>
  <conditionalFormatting sqref="AN292">
    <cfRule type="cellIs" dxfId="382" priority="3591" operator="greaterThan">
      <formula>45</formula>
    </cfRule>
  </conditionalFormatting>
  <conditionalFormatting sqref="AN294">
    <cfRule type="cellIs" dxfId="381" priority="3671" operator="greaterThan">
      <formula>45</formula>
    </cfRule>
  </conditionalFormatting>
  <conditionalFormatting sqref="AN296">
    <cfRule type="cellIs" dxfId="380" priority="3751" operator="greaterThan">
      <formula>45</formula>
    </cfRule>
  </conditionalFormatting>
  <conditionalFormatting sqref="AN298">
    <cfRule type="cellIs" dxfId="379" priority="3831" operator="greaterThan">
      <formula>45</formula>
    </cfRule>
  </conditionalFormatting>
  <conditionalFormatting sqref="AN300">
    <cfRule type="cellIs" dxfId="378" priority="3911" operator="greaterThan">
      <formula>45</formula>
    </cfRule>
  </conditionalFormatting>
  <conditionalFormatting sqref="AN302">
    <cfRule type="cellIs" dxfId="377" priority="3991" operator="greaterThan">
      <formula>45</formula>
    </cfRule>
  </conditionalFormatting>
  <conditionalFormatting sqref="AN304">
    <cfRule type="cellIs" dxfId="376" priority="4071" operator="greaterThan">
      <formula>45</formula>
    </cfRule>
  </conditionalFormatting>
  <conditionalFormatting sqref="AN306">
    <cfRule type="cellIs" dxfId="375" priority="4151" operator="greaterThan">
      <formula>45</formula>
    </cfRule>
  </conditionalFormatting>
  <conditionalFormatting sqref="AN308">
    <cfRule type="cellIs" dxfId="374" priority="4231" operator="greaterThan">
      <formula>45</formula>
    </cfRule>
  </conditionalFormatting>
  <conditionalFormatting sqref="AN310">
    <cfRule type="cellIs" dxfId="373" priority="4311" operator="greaterThan">
      <formula>45</formula>
    </cfRule>
  </conditionalFormatting>
  <conditionalFormatting sqref="AN312">
    <cfRule type="cellIs" dxfId="372" priority="4391" operator="greaterThan">
      <formula>45</formula>
    </cfRule>
  </conditionalFormatting>
  <conditionalFormatting sqref="AN314">
    <cfRule type="cellIs" dxfId="371" priority="4471" operator="greaterThan">
      <formula>45</formula>
    </cfRule>
  </conditionalFormatting>
  <conditionalFormatting sqref="AN316">
    <cfRule type="cellIs" dxfId="370" priority="4551" operator="greaterThan">
      <formula>45</formula>
    </cfRule>
  </conditionalFormatting>
  <conditionalFormatting sqref="AN318">
    <cfRule type="cellIs" dxfId="369" priority="4631" operator="greaterThan">
      <formula>45</formula>
    </cfRule>
  </conditionalFormatting>
  <conditionalFormatting sqref="AN320">
    <cfRule type="cellIs" dxfId="368" priority="4711" operator="greaterThan">
      <formula>45</formula>
    </cfRule>
  </conditionalFormatting>
  <conditionalFormatting sqref="AN322">
    <cfRule type="cellIs" dxfId="367" priority="4791" operator="greaterThan">
      <formula>45</formula>
    </cfRule>
  </conditionalFormatting>
  <conditionalFormatting sqref="AN324">
    <cfRule type="cellIs" dxfId="366" priority="4871" operator="greaterThan">
      <formula>45</formula>
    </cfRule>
  </conditionalFormatting>
  <conditionalFormatting sqref="AN326">
    <cfRule type="cellIs" dxfId="365" priority="4951" operator="greaterThan">
      <formula>45</formula>
    </cfRule>
  </conditionalFormatting>
  <conditionalFormatting sqref="AO2">
    <cfRule type="cellIs" dxfId="364" priority="72" operator="greaterThan">
      <formula>40</formula>
    </cfRule>
    <cfRule type="cellIs" dxfId="363" priority="73" operator="greaterThan">
      <formula>45</formula>
    </cfRule>
  </conditionalFormatting>
  <conditionalFormatting sqref="AO4">
    <cfRule type="cellIs" dxfId="362" priority="152" operator="greaterThan">
      <formula>40</formula>
    </cfRule>
    <cfRule type="cellIs" dxfId="361" priority="153" operator="greaterThan">
      <formula>45</formula>
    </cfRule>
  </conditionalFormatting>
  <conditionalFormatting sqref="AO13">
    <cfRule type="cellIs" dxfId="360" priority="233" operator="greaterThan">
      <formula>45</formula>
    </cfRule>
    <cfRule type="cellIs" dxfId="359" priority="232" operator="greaterThan">
      <formula>40</formula>
    </cfRule>
  </conditionalFormatting>
  <conditionalFormatting sqref="AO23">
    <cfRule type="cellIs" dxfId="358" priority="312" operator="greaterThan">
      <formula>40</formula>
    </cfRule>
    <cfRule type="cellIs" dxfId="357" priority="313" operator="greaterThan">
      <formula>45</formula>
    </cfRule>
  </conditionalFormatting>
  <conditionalFormatting sqref="AO33">
    <cfRule type="cellIs" dxfId="356" priority="393" operator="greaterThan">
      <formula>45</formula>
    </cfRule>
    <cfRule type="cellIs" dxfId="355" priority="392" operator="greaterThan">
      <formula>40</formula>
    </cfRule>
  </conditionalFormatting>
  <conditionalFormatting sqref="AO48">
    <cfRule type="cellIs" dxfId="354" priority="473" operator="greaterThan">
      <formula>45</formula>
    </cfRule>
    <cfRule type="cellIs" dxfId="353" priority="472" operator="greaterThan">
      <formula>40</formula>
    </cfRule>
  </conditionalFormatting>
  <conditionalFormatting sqref="AO52">
    <cfRule type="cellIs" dxfId="352" priority="552" operator="greaterThan">
      <formula>40</formula>
    </cfRule>
    <cfRule type="cellIs" dxfId="351" priority="553" operator="greaterThan">
      <formula>45</formula>
    </cfRule>
  </conditionalFormatting>
  <conditionalFormatting sqref="AO61">
    <cfRule type="cellIs" dxfId="350" priority="632" operator="greaterThan">
      <formula>40</formula>
    </cfRule>
    <cfRule type="cellIs" dxfId="349" priority="633" operator="greaterThan">
      <formula>45</formula>
    </cfRule>
  </conditionalFormatting>
  <conditionalFormatting sqref="AO74">
    <cfRule type="cellIs" dxfId="348" priority="712" operator="greaterThan">
      <formula>40</formula>
    </cfRule>
    <cfRule type="cellIs" dxfId="347" priority="713" operator="greaterThan">
      <formula>45</formula>
    </cfRule>
  </conditionalFormatting>
  <conditionalFormatting sqref="AO76">
    <cfRule type="cellIs" dxfId="346" priority="793" operator="greaterThan">
      <formula>45</formula>
    </cfRule>
    <cfRule type="cellIs" dxfId="345" priority="792" operator="greaterThan">
      <formula>40</formula>
    </cfRule>
  </conditionalFormatting>
  <conditionalFormatting sqref="AO86">
    <cfRule type="cellIs" dxfId="344" priority="872" operator="greaterThan">
      <formula>40</formula>
    </cfRule>
    <cfRule type="cellIs" dxfId="343" priority="873" operator="greaterThan">
      <formula>45</formula>
    </cfRule>
  </conditionalFormatting>
  <conditionalFormatting sqref="AO96">
    <cfRule type="cellIs" dxfId="342" priority="953" operator="greaterThan">
      <formula>45</formula>
    </cfRule>
  </conditionalFormatting>
  <conditionalFormatting sqref="AO101">
    <cfRule type="cellIs" dxfId="341" priority="1033" operator="greaterThan">
      <formula>45</formula>
    </cfRule>
  </conditionalFormatting>
  <conditionalFormatting sqref="AO110">
    <cfRule type="cellIs" dxfId="340" priority="1113" operator="greaterThan">
      <formula>45</formula>
    </cfRule>
  </conditionalFormatting>
  <conditionalFormatting sqref="AO117">
    <cfRule type="cellIs" dxfId="339" priority="1193" operator="greaterThan">
      <formula>45</formula>
    </cfRule>
  </conditionalFormatting>
  <conditionalFormatting sqref="AO124">
    <cfRule type="cellIs" dxfId="338" priority="1273" operator="greaterThan">
      <formula>45</formula>
    </cfRule>
  </conditionalFormatting>
  <conditionalFormatting sqref="AO128">
    <cfRule type="cellIs" dxfId="337" priority="1353" operator="greaterThan">
      <formula>45</formula>
    </cfRule>
  </conditionalFormatting>
  <conditionalFormatting sqref="AO133">
    <cfRule type="cellIs" dxfId="336" priority="1433" operator="greaterThan">
      <formula>45</formula>
    </cfRule>
  </conditionalFormatting>
  <conditionalFormatting sqref="AO136">
    <cfRule type="cellIs" dxfId="335" priority="1513" operator="greaterThan">
      <formula>45</formula>
    </cfRule>
  </conditionalFormatting>
  <conditionalFormatting sqref="AO143">
    <cfRule type="cellIs" dxfId="334" priority="1593" operator="greaterThan">
      <formula>45</formula>
    </cfRule>
  </conditionalFormatting>
  <conditionalFormatting sqref="AO157">
    <cfRule type="cellIs" dxfId="333" priority="1673" operator="greaterThan">
      <formula>45</formula>
    </cfRule>
  </conditionalFormatting>
  <conditionalFormatting sqref="AO160">
    <cfRule type="cellIs" dxfId="332" priority="1753" operator="greaterThan">
      <formula>45</formula>
    </cfRule>
  </conditionalFormatting>
  <conditionalFormatting sqref="AO170">
    <cfRule type="cellIs" dxfId="331" priority="1833" operator="greaterThan">
      <formula>45</formula>
    </cfRule>
  </conditionalFormatting>
  <conditionalFormatting sqref="AO182">
    <cfRule type="cellIs" dxfId="330" priority="1913" operator="greaterThan">
      <formula>45</formula>
    </cfRule>
  </conditionalFormatting>
  <conditionalFormatting sqref="AO185">
    <cfRule type="cellIs" dxfId="329" priority="1993" operator="greaterThan">
      <formula>45</formula>
    </cfRule>
  </conditionalFormatting>
  <conditionalFormatting sqref="AO188">
    <cfRule type="cellIs" dxfId="328" priority="2073" operator="greaterThan">
      <formula>45</formula>
    </cfRule>
  </conditionalFormatting>
  <conditionalFormatting sqref="AO194">
    <cfRule type="cellIs" dxfId="327" priority="2153" operator="greaterThan">
      <formula>45</formula>
    </cfRule>
  </conditionalFormatting>
  <conditionalFormatting sqref="AO198">
    <cfRule type="cellIs" dxfId="326" priority="2233" operator="greaterThan">
      <formula>45</formula>
    </cfRule>
  </conditionalFormatting>
  <conditionalFormatting sqref="AO206">
    <cfRule type="cellIs" dxfId="325" priority="2313" operator="greaterThan">
      <formula>45</formula>
    </cfRule>
  </conditionalFormatting>
  <conditionalFormatting sqref="AO211">
    <cfRule type="cellIs" dxfId="324" priority="2393" operator="greaterThan">
      <formula>45</formula>
    </cfRule>
  </conditionalFormatting>
  <conditionalFormatting sqref="AO213">
    <cfRule type="cellIs" dxfId="323" priority="2473" operator="greaterThan">
      <formula>45</formula>
    </cfRule>
  </conditionalFormatting>
  <conditionalFormatting sqref="AO217">
    <cfRule type="cellIs" dxfId="322" priority="2553" operator="greaterThan">
      <formula>45</formula>
    </cfRule>
  </conditionalFormatting>
  <conditionalFormatting sqref="AO220">
    <cfRule type="cellIs" dxfId="321" priority="2633" operator="greaterThan">
      <formula>45</formula>
    </cfRule>
  </conditionalFormatting>
  <conditionalFormatting sqref="AO223">
    <cfRule type="cellIs" dxfId="320" priority="2713" operator="greaterThan">
      <formula>45</formula>
    </cfRule>
  </conditionalFormatting>
  <conditionalFormatting sqref="AO226">
    <cfRule type="cellIs" dxfId="319" priority="2793" operator="greaterThan">
      <formula>45</formula>
    </cfRule>
  </conditionalFormatting>
  <conditionalFormatting sqref="AO229">
    <cfRule type="cellIs" dxfId="318" priority="2873" operator="greaterThan">
      <formula>45</formula>
    </cfRule>
  </conditionalFormatting>
  <conditionalFormatting sqref="AO232">
    <cfRule type="cellIs" dxfId="317" priority="2953" operator="greaterThan">
      <formula>45</formula>
    </cfRule>
  </conditionalFormatting>
  <conditionalFormatting sqref="AO234">
    <cfRule type="cellIs" dxfId="316" priority="3033" operator="greaterThan">
      <formula>45</formula>
    </cfRule>
  </conditionalFormatting>
  <conditionalFormatting sqref="AO248">
    <cfRule type="cellIs" dxfId="315" priority="3113" operator="greaterThan">
      <formula>45</formula>
    </cfRule>
  </conditionalFormatting>
  <conditionalFormatting sqref="AO252">
    <cfRule type="cellIs" dxfId="314" priority="3193" operator="greaterThan">
      <formula>45</formula>
    </cfRule>
  </conditionalFormatting>
  <conditionalFormatting sqref="AO261">
    <cfRule type="cellIs" dxfId="313" priority="3273" operator="greaterThan">
      <formula>45</formula>
    </cfRule>
  </conditionalFormatting>
  <conditionalFormatting sqref="AO271">
    <cfRule type="cellIs" dxfId="312" priority="3353" operator="greaterThan">
      <formula>45</formula>
    </cfRule>
  </conditionalFormatting>
  <conditionalFormatting sqref="AO280">
    <cfRule type="cellIs" dxfId="311" priority="3433" operator="greaterThan">
      <formula>45</formula>
    </cfRule>
  </conditionalFormatting>
  <conditionalFormatting sqref="AO283">
    <cfRule type="cellIs" dxfId="310" priority="3513" operator="greaterThan">
      <formula>45</formula>
    </cfRule>
  </conditionalFormatting>
  <conditionalFormatting sqref="AO292">
    <cfRule type="cellIs" dxfId="309" priority="3593" operator="greaterThan">
      <formula>45</formula>
    </cfRule>
  </conditionalFormatting>
  <conditionalFormatting sqref="AO294">
    <cfRule type="cellIs" dxfId="308" priority="3673" operator="greaterThan">
      <formula>45</formula>
    </cfRule>
  </conditionalFormatting>
  <conditionalFormatting sqref="AO296">
    <cfRule type="cellIs" dxfId="307" priority="3753" operator="greaterThan">
      <formula>45</formula>
    </cfRule>
  </conditionalFormatting>
  <conditionalFormatting sqref="AO298">
    <cfRule type="cellIs" dxfId="306" priority="3833" operator="greaterThan">
      <formula>45</formula>
    </cfRule>
  </conditionalFormatting>
  <conditionalFormatting sqref="AO300">
    <cfRule type="cellIs" dxfId="305" priority="3913" operator="greaterThan">
      <formula>45</formula>
    </cfRule>
  </conditionalFormatting>
  <conditionalFormatting sqref="AO302">
    <cfRule type="cellIs" dxfId="304" priority="3993" operator="greaterThan">
      <formula>45</formula>
    </cfRule>
  </conditionalFormatting>
  <conditionalFormatting sqref="AO304">
    <cfRule type="cellIs" dxfId="303" priority="4073" operator="greaterThan">
      <formula>45</formula>
    </cfRule>
  </conditionalFormatting>
  <conditionalFormatting sqref="AO306">
    <cfRule type="cellIs" dxfId="302" priority="4153" operator="greaterThan">
      <formula>45</formula>
    </cfRule>
  </conditionalFormatting>
  <conditionalFormatting sqref="AO308">
    <cfRule type="cellIs" dxfId="301" priority="4233" operator="greaterThan">
      <formula>45</formula>
    </cfRule>
  </conditionalFormatting>
  <conditionalFormatting sqref="AO310">
    <cfRule type="cellIs" dxfId="300" priority="4313" operator="greaterThan">
      <formula>45</formula>
    </cfRule>
  </conditionalFormatting>
  <conditionalFormatting sqref="AO312">
    <cfRule type="cellIs" dxfId="299" priority="4393" operator="greaterThan">
      <formula>45</formula>
    </cfRule>
  </conditionalFormatting>
  <conditionalFormatting sqref="AO314">
    <cfRule type="cellIs" dxfId="298" priority="4473" operator="greaterThan">
      <formula>45</formula>
    </cfRule>
  </conditionalFormatting>
  <conditionalFormatting sqref="AO316">
    <cfRule type="cellIs" dxfId="297" priority="4553" operator="greaterThan">
      <formula>45</formula>
    </cfRule>
  </conditionalFormatting>
  <conditionalFormatting sqref="AO318">
    <cfRule type="cellIs" dxfId="296" priority="4633" operator="greaterThan">
      <formula>45</formula>
    </cfRule>
  </conditionalFormatting>
  <conditionalFormatting sqref="AO320">
    <cfRule type="cellIs" dxfId="295" priority="4713" operator="greaterThan">
      <formula>45</formula>
    </cfRule>
  </conditionalFormatting>
  <conditionalFormatting sqref="AO322">
    <cfRule type="cellIs" dxfId="294" priority="4793" operator="greaterThan">
      <formula>45</formula>
    </cfRule>
  </conditionalFormatting>
  <conditionalFormatting sqref="AO324">
    <cfRule type="cellIs" dxfId="293" priority="4873" operator="greaterThan">
      <formula>45</formula>
    </cfRule>
  </conditionalFormatting>
  <conditionalFormatting sqref="AO326">
    <cfRule type="cellIs" dxfId="292" priority="4953" operator="greaterThan">
      <formula>45</formula>
    </cfRule>
  </conditionalFormatting>
  <conditionalFormatting sqref="AP2">
    <cfRule type="cellIs" dxfId="291" priority="75" operator="greaterThan">
      <formula>45</formula>
    </cfRule>
    <cfRule type="cellIs" dxfId="290" priority="74" operator="greaterThan">
      <formula>40</formula>
    </cfRule>
  </conditionalFormatting>
  <conditionalFormatting sqref="AP4">
    <cfRule type="cellIs" dxfId="289" priority="155" operator="greaterThan">
      <formula>45</formula>
    </cfRule>
    <cfRule type="cellIs" dxfId="288" priority="154" operator="greaterThan">
      <formula>40</formula>
    </cfRule>
  </conditionalFormatting>
  <conditionalFormatting sqref="AP13">
    <cfRule type="cellIs" dxfId="287" priority="235" operator="greaterThan">
      <formula>45</formula>
    </cfRule>
    <cfRule type="cellIs" dxfId="286" priority="234" operator="greaterThan">
      <formula>40</formula>
    </cfRule>
  </conditionalFormatting>
  <conditionalFormatting sqref="AP23">
    <cfRule type="cellIs" dxfId="285" priority="314" operator="greaterThan">
      <formula>40</formula>
    </cfRule>
    <cfRule type="cellIs" dxfId="284" priority="315" operator="greaterThan">
      <formula>45</formula>
    </cfRule>
  </conditionalFormatting>
  <conditionalFormatting sqref="AP33">
    <cfRule type="cellIs" dxfId="283" priority="395" operator="greaterThan">
      <formula>45</formula>
    </cfRule>
    <cfRule type="cellIs" dxfId="282" priority="394" operator="greaterThan">
      <formula>40</formula>
    </cfRule>
  </conditionalFormatting>
  <conditionalFormatting sqref="AP48">
    <cfRule type="cellIs" dxfId="281" priority="475" operator="greaterThan">
      <formula>45</formula>
    </cfRule>
    <cfRule type="cellIs" dxfId="280" priority="474" operator="greaterThan">
      <formula>40</formula>
    </cfRule>
  </conditionalFormatting>
  <conditionalFormatting sqref="AP52">
    <cfRule type="cellIs" dxfId="279" priority="554" operator="greaterThan">
      <formula>40</formula>
    </cfRule>
    <cfRule type="cellIs" dxfId="278" priority="555" operator="greaterThan">
      <formula>45</formula>
    </cfRule>
  </conditionalFormatting>
  <conditionalFormatting sqref="AP61">
    <cfRule type="cellIs" dxfId="277" priority="634" operator="greaterThan">
      <formula>40</formula>
    </cfRule>
    <cfRule type="cellIs" dxfId="276" priority="635" operator="greaterThan">
      <formula>45</formula>
    </cfRule>
  </conditionalFormatting>
  <conditionalFormatting sqref="AP74">
    <cfRule type="cellIs" dxfId="275" priority="715" operator="greaterThan">
      <formula>45</formula>
    </cfRule>
    <cfRule type="cellIs" dxfId="274" priority="714" operator="greaterThan">
      <formula>40</formula>
    </cfRule>
  </conditionalFormatting>
  <conditionalFormatting sqref="AP76">
    <cfRule type="cellIs" dxfId="273" priority="794" operator="greaterThan">
      <formula>40</formula>
    </cfRule>
    <cfRule type="cellIs" dxfId="272" priority="795" operator="greaterThan">
      <formula>45</formula>
    </cfRule>
  </conditionalFormatting>
  <conditionalFormatting sqref="AP86">
    <cfRule type="cellIs" dxfId="271" priority="874" operator="greaterThan">
      <formula>40</formula>
    </cfRule>
    <cfRule type="cellIs" dxfId="270" priority="875" operator="greaterThan">
      <formula>45</formula>
    </cfRule>
  </conditionalFormatting>
  <conditionalFormatting sqref="AP96">
    <cfRule type="cellIs" dxfId="269" priority="955" operator="greaterThan">
      <formula>45</formula>
    </cfRule>
  </conditionalFormatting>
  <conditionalFormatting sqref="AP101">
    <cfRule type="cellIs" dxfId="268" priority="1035" operator="greaterThan">
      <formula>45</formula>
    </cfRule>
  </conditionalFormatting>
  <conditionalFormatting sqref="AP110">
    <cfRule type="cellIs" dxfId="267" priority="1115" operator="greaterThan">
      <formula>45</formula>
    </cfRule>
  </conditionalFormatting>
  <conditionalFormatting sqref="AP117">
    <cfRule type="cellIs" dxfId="266" priority="1195" operator="greaterThan">
      <formula>45</formula>
    </cfRule>
  </conditionalFormatting>
  <conditionalFormatting sqref="AP124">
    <cfRule type="cellIs" dxfId="265" priority="1275" operator="greaterThan">
      <formula>45</formula>
    </cfRule>
  </conditionalFormatting>
  <conditionalFormatting sqref="AP128">
    <cfRule type="cellIs" dxfId="264" priority="1355" operator="greaterThan">
      <formula>45</formula>
    </cfRule>
  </conditionalFormatting>
  <conditionalFormatting sqref="AP133">
    <cfRule type="cellIs" dxfId="263" priority="1435" operator="greaterThan">
      <formula>45</formula>
    </cfRule>
  </conditionalFormatting>
  <conditionalFormatting sqref="AP136">
    <cfRule type="cellIs" dxfId="262" priority="1515" operator="greaterThan">
      <formula>45</formula>
    </cfRule>
  </conditionalFormatting>
  <conditionalFormatting sqref="AP143">
    <cfRule type="cellIs" dxfId="261" priority="1595" operator="greaterThan">
      <formula>45</formula>
    </cfRule>
  </conditionalFormatting>
  <conditionalFormatting sqref="AP157">
    <cfRule type="cellIs" dxfId="260" priority="1675" operator="greaterThan">
      <formula>45</formula>
    </cfRule>
  </conditionalFormatting>
  <conditionalFormatting sqref="AP160">
    <cfRule type="cellIs" dxfId="259" priority="1755" operator="greaterThan">
      <formula>45</formula>
    </cfRule>
  </conditionalFormatting>
  <conditionalFormatting sqref="AP170">
    <cfRule type="cellIs" dxfId="258" priority="1835" operator="greaterThan">
      <formula>45</formula>
    </cfRule>
  </conditionalFormatting>
  <conditionalFormatting sqref="AP182">
    <cfRule type="cellIs" dxfId="257" priority="1915" operator="greaterThan">
      <formula>45</formula>
    </cfRule>
  </conditionalFormatting>
  <conditionalFormatting sqref="AP185">
    <cfRule type="cellIs" dxfId="256" priority="1995" operator="greaterThan">
      <formula>45</formula>
    </cfRule>
  </conditionalFormatting>
  <conditionalFormatting sqref="AP188">
    <cfRule type="cellIs" dxfId="255" priority="2075" operator="greaterThan">
      <formula>45</formula>
    </cfRule>
  </conditionalFormatting>
  <conditionalFormatting sqref="AP194">
    <cfRule type="cellIs" dxfId="254" priority="2155" operator="greaterThan">
      <formula>45</formula>
    </cfRule>
  </conditionalFormatting>
  <conditionalFormatting sqref="AP198">
    <cfRule type="cellIs" dxfId="253" priority="2235" operator="greaterThan">
      <formula>45</formula>
    </cfRule>
  </conditionalFormatting>
  <conditionalFormatting sqref="AP206">
    <cfRule type="cellIs" dxfId="252" priority="2315" operator="greaterThan">
      <formula>45</formula>
    </cfRule>
  </conditionalFormatting>
  <conditionalFormatting sqref="AP211">
    <cfRule type="cellIs" dxfId="251" priority="2395" operator="greaterThan">
      <formula>45</formula>
    </cfRule>
  </conditionalFormatting>
  <conditionalFormatting sqref="AP213">
    <cfRule type="cellIs" dxfId="250" priority="2475" operator="greaterThan">
      <formula>45</formula>
    </cfRule>
  </conditionalFormatting>
  <conditionalFormatting sqref="AP217">
    <cfRule type="cellIs" dxfId="249" priority="2555" operator="greaterThan">
      <formula>45</formula>
    </cfRule>
  </conditionalFormatting>
  <conditionalFormatting sqref="AP220">
    <cfRule type="cellIs" dxfId="248" priority="2635" operator="greaterThan">
      <formula>45</formula>
    </cfRule>
  </conditionalFormatting>
  <conditionalFormatting sqref="AP223">
    <cfRule type="cellIs" dxfId="247" priority="2715" operator="greaterThan">
      <formula>45</formula>
    </cfRule>
  </conditionalFormatting>
  <conditionalFormatting sqref="AP226">
    <cfRule type="cellIs" dxfId="246" priority="2795" operator="greaterThan">
      <formula>45</formula>
    </cfRule>
  </conditionalFormatting>
  <conditionalFormatting sqref="AP229">
    <cfRule type="cellIs" dxfId="245" priority="2875" operator="greaterThan">
      <formula>45</formula>
    </cfRule>
  </conditionalFormatting>
  <conditionalFormatting sqref="AP232">
    <cfRule type="cellIs" dxfId="244" priority="2955" operator="greaterThan">
      <formula>45</formula>
    </cfRule>
  </conditionalFormatting>
  <conditionalFormatting sqref="AP234">
    <cfRule type="cellIs" dxfId="243" priority="3035" operator="greaterThan">
      <formula>45</formula>
    </cfRule>
  </conditionalFormatting>
  <conditionalFormatting sqref="AP248">
    <cfRule type="cellIs" dxfId="242" priority="3115" operator="greaterThan">
      <formula>45</formula>
    </cfRule>
  </conditionalFormatting>
  <conditionalFormatting sqref="AP252">
    <cfRule type="cellIs" dxfId="241" priority="3195" operator="greaterThan">
      <formula>45</formula>
    </cfRule>
  </conditionalFormatting>
  <conditionalFormatting sqref="AP261">
    <cfRule type="cellIs" dxfId="240" priority="3275" operator="greaterThan">
      <formula>45</formula>
    </cfRule>
  </conditionalFormatting>
  <conditionalFormatting sqref="AP271">
    <cfRule type="cellIs" dxfId="239" priority="3355" operator="greaterThan">
      <formula>45</formula>
    </cfRule>
  </conditionalFormatting>
  <conditionalFormatting sqref="AP280">
    <cfRule type="cellIs" dxfId="238" priority="3435" operator="greaterThan">
      <formula>45</formula>
    </cfRule>
  </conditionalFormatting>
  <conditionalFormatting sqref="AP283">
    <cfRule type="cellIs" dxfId="237" priority="3515" operator="greaterThan">
      <formula>45</formula>
    </cfRule>
  </conditionalFormatting>
  <conditionalFormatting sqref="AP292">
    <cfRule type="cellIs" dxfId="236" priority="3595" operator="greaterThan">
      <formula>45</formula>
    </cfRule>
  </conditionalFormatting>
  <conditionalFormatting sqref="AP294">
    <cfRule type="cellIs" dxfId="235" priority="3675" operator="greaterThan">
      <formula>45</formula>
    </cfRule>
  </conditionalFormatting>
  <conditionalFormatting sqref="AP296">
    <cfRule type="cellIs" dxfId="234" priority="3755" operator="greaterThan">
      <formula>45</formula>
    </cfRule>
  </conditionalFormatting>
  <conditionalFormatting sqref="AP298">
    <cfRule type="cellIs" dxfId="233" priority="3835" operator="greaterThan">
      <formula>45</formula>
    </cfRule>
  </conditionalFormatting>
  <conditionalFormatting sqref="AP300">
    <cfRule type="cellIs" dxfId="232" priority="3915" operator="greaterThan">
      <formula>45</formula>
    </cfRule>
  </conditionalFormatting>
  <conditionalFormatting sqref="AP302">
    <cfRule type="cellIs" dxfId="231" priority="3995" operator="greaterThan">
      <formula>45</formula>
    </cfRule>
  </conditionalFormatting>
  <conditionalFormatting sqref="AP304">
    <cfRule type="cellIs" dxfId="230" priority="4075" operator="greaterThan">
      <formula>45</formula>
    </cfRule>
  </conditionalFormatting>
  <conditionalFormatting sqref="AP306">
    <cfRule type="cellIs" dxfId="229" priority="4155" operator="greaterThan">
      <formula>45</formula>
    </cfRule>
  </conditionalFormatting>
  <conditionalFormatting sqref="AP308">
    <cfRule type="cellIs" dxfId="228" priority="4235" operator="greaterThan">
      <formula>45</formula>
    </cfRule>
  </conditionalFormatting>
  <conditionalFormatting sqref="AP310">
    <cfRule type="cellIs" dxfId="227" priority="4315" operator="greaterThan">
      <formula>45</formula>
    </cfRule>
  </conditionalFormatting>
  <conditionalFormatting sqref="AP312">
    <cfRule type="cellIs" dxfId="226" priority="4395" operator="greaterThan">
      <formula>45</formula>
    </cfRule>
  </conditionalFormatting>
  <conditionalFormatting sqref="AP314">
    <cfRule type="cellIs" dxfId="225" priority="4475" operator="greaterThan">
      <formula>45</formula>
    </cfRule>
  </conditionalFormatting>
  <conditionalFormatting sqref="AP316">
    <cfRule type="cellIs" dxfId="224" priority="4555" operator="greaterThan">
      <formula>45</formula>
    </cfRule>
  </conditionalFormatting>
  <conditionalFormatting sqref="AP318">
    <cfRule type="cellIs" dxfId="223" priority="4635" operator="greaterThan">
      <formula>45</formula>
    </cfRule>
  </conditionalFormatting>
  <conditionalFormatting sqref="AP320">
    <cfRule type="cellIs" dxfId="222" priority="4715" operator="greaterThan">
      <formula>45</formula>
    </cfRule>
  </conditionalFormatting>
  <conditionalFormatting sqref="AP322">
    <cfRule type="cellIs" dxfId="221" priority="4795" operator="greaterThan">
      <formula>45</formula>
    </cfRule>
  </conditionalFormatting>
  <conditionalFormatting sqref="AP324">
    <cfRule type="cellIs" dxfId="220" priority="4875" operator="greaterThan">
      <formula>45</formula>
    </cfRule>
  </conditionalFormatting>
  <conditionalFormatting sqref="AP326">
    <cfRule type="cellIs" dxfId="219" priority="4955" operator="greaterThan">
      <formula>45</formula>
    </cfRule>
  </conditionalFormatting>
  <conditionalFormatting sqref="AQ2">
    <cfRule type="cellIs" dxfId="218" priority="77" operator="greaterThan">
      <formula>45</formula>
    </cfRule>
    <cfRule type="cellIs" dxfId="217" priority="76" operator="greaterThan">
      <formula>40</formula>
    </cfRule>
  </conditionalFormatting>
  <conditionalFormatting sqref="AQ4">
    <cfRule type="cellIs" dxfId="216" priority="157" operator="greaterThan">
      <formula>45</formula>
    </cfRule>
    <cfRule type="cellIs" dxfId="215" priority="156" operator="greaterThan">
      <formula>40</formula>
    </cfRule>
  </conditionalFormatting>
  <conditionalFormatting sqref="AQ13">
    <cfRule type="cellIs" dxfId="214" priority="237" operator="greaterThan">
      <formula>45</formula>
    </cfRule>
    <cfRule type="cellIs" dxfId="213" priority="236" operator="greaterThan">
      <formula>40</formula>
    </cfRule>
  </conditionalFormatting>
  <conditionalFormatting sqref="AQ23">
    <cfRule type="cellIs" dxfId="212" priority="316" operator="greaterThan">
      <formula>40</formula>
    </cfRule>
    <cfRule type="cellIs" dxfId="211" priority="317" operator="greaterThan">
      <formula>45</formula>
    </cfRule>
  </conditionalFormatting>
  <conditionalFormatting sqref="AQ33">
    <cfRule type="cellIs" dxfId="210" priority="397" operator="greaterThan">
      <formula>45</formula>
    </cfRule>
    <cfRule type="cellIs" dxfId="209" priority="396" operator="greaterThan">
      <formula>40</formula>
    </cfRule>
  </conditionalFormatting>
  <conditionalFormatting sqref="AQ48">
    <cfRule type="cellIs" dxfId="208" priority="476" operator="greaterThan">
      <formula>40</formula>
    </cfRule>
    <cfRule type="cellIs" dxfId="207" priority="477" operator="greaterThan">
      <formula>45</formula>
    </cfRule>
  </conditionalFormatting>
  <conditionalFormatting sqref="AQ52">
    <cfRule type="cellIs" dxfId="206" priority="556" operator="greaterThan">
      <formula>40</formula>
    </cfRule>
    <cfRule type="cellIs" dxfId="205" priority="557" operator="greaterThan">
      <formula>45</formula>
    </cfRule>
  </conditionalFormatting>
  <conditionalFormatting sqref="AQ61">
    <cfRule type="cellIs" dxfId="204" priority="637" operator="greaterThan">
      <formula>45</formula>
    </cfRule>
    <cfRule type="cellIs" dxfId="203" priority="636" operator="greaterThan">
      <formula>40</formula>
    </cfRule>
  </conditionalFormatting>
  <conditionalFormatting sqref="AQ74">
    <cfRule type="cellIs" dxfId="202" priority="717" operator="greaterThan">
      <formula>45</formula>
    </cfRule>
    <cfRule type="cellIs" dxfId="201" priority="716" operator="greaterThan">
      <formula>40</formula>
    </cfRule>
  </conditionalFormatting>
  <conditionalFormatting sqref="AQ76">
    <cfRule type="cellIs" dxfId="200" priority="797" operator="greaterThan">
      <formula>45</formula>
    </cfRule>
    <cfRule type="cellIs" dxfId="199" priority="796" operator="greaterThan">
      <formula>40</formula>
    </cfRule>
  </conditionalFormatting>
  <conditionalFormatting sqref="AQ86">
    <cfRule type="cellIs" dxfId="198" priority="876" operator="greaterThan">
      <formula>40</formula>
    </cfRule>
    <cfRule type="cellIs" dxfId="197" priority="877" operator="greaterThan">
      <formula>45</formula>
    </cfRule>
  </conditionalFormatting>
  <conditionalFormatting sqref="AQ96">
    <cfRule type="cellIs" dxfId="196" priority="957" operator="greaterThan">
      <formula>45</formula>
    </cfRule>
  </conditionalFormatting>
  <conditionalFormatting sqref="AQ101">
    <cfRule type="cellIs" dxfId="195" priority="1037" operator="greaterThan">
      <formula>45</formula>
    </cfRule>
  </conditionalFormatting>
  <conditionalFormatting sqref="AQ110">
    <cfRule type="cellIs" dxfId="194" priority="1117" operator="greaterThan">
      <formula>45</formula>
    </cfRule>
  </conditionalFormatting>
  <conditionalFormatting sqref="AQ117">
    <cfRule type="cellIs" dxfId="193" priority="1197" operator="greaterThan">
      <formula>45</formula>
    </cfRule>
  </conditionalFormatting>
  <conditionalFormatting sqref="AQ124">
    <cfRule type="cellIs" dxfId="192" priority="1277" operator="greaterThan">
      <formula>45</formula>
    </cfRule>
  </conditionalFormatting>
  <conditionalFormatting sqref="AQ128">
    <cfRule type="cellIs" dxfId="191" priority="1357" operator="greaterThan">
      <formula>45</formula>
    </cfRule>
  </conditionalFormatting>
  <conditionalFormatting sqref="AQ133">
    <cfRule type="cellIs" dxfId="190" priority="1437" operator="greaterThan">
      <formula>45</formula>
    </cfRule>
  </conditionalFormatting>
  <conditionalFormatting sqref="AQ136">
    <cfRule type="cellIs" dxfId="189" priority="1517" operator="greaterThan">
      <formula>45</formula>
    </cfRule>
  </conditionalFormatting>
  <conditionalFormatting sqref="AQ143">
    <cfRule type="cellIs" dxfId="188" priority="1597" operator="greaterThan">
      <formula>45</formula>
    </cfRule>
  </conditionalFormatting>
  <conditionalFormatting sqref="AQ157">
    <cfRule type="cellIs" dxfId="187" priority="1677" operator="greaterThan">
      <formula>45</formula>
    </cfRule>
  </conditionalFormatting>
  <conditionalFormatting sqref="AQ160">
    <cfRule type="cellIs" dxfId="186" priority="1757" operator="greaterThan">
      <formula>45</formula>
    </cfRule>
  </conditionalFormatting>
  <conditionalFormatting sqref="AQ170">
    <cfRule type="cellIs" dxfId="185" priority="1837" operator="greaterThan">
      <formula>45</formula>
    </cfRule>
  </conditionalFormatting>
  <conditionalFormatting sqref="AQ182">
    <cfRule type="cellIs" dxfId="184" priority="1917" operator="greaterThan">
      <formula>45</formula>
    </cfRule>
  </conditionalFormatting>
  <conditionalFormatting sqref="AQ185">
    <cfRule type="cellIs" dxfId="183" priority="1997" operator="greaterThan">
      <formula>45</formula>
    </cfRule>
  </conditionalFormatting>
  <conditionalFormatting sqref="AQ188">
    <cfRule type="cellIs" dxfId="182" priority="2077" operator="greaterThan">
      <formula>45</formula>
    </cfRule>
  </conditionalFormatting>
  <conditionalFormatting sqref="AQ194">
    <cfRule type="cellIs" dxfId="181" priority="2157" operator="greaterThan">
      <formula>45</formula>
    </cfRule>
  </conditionalFormatting>
  <conditionalFormatting sqref="AQ198">
    <cfRule type="cellIs" dxfId="180" priority="2237" operator="greaterThan">
      <formula>45</formula>
    </cfRule>
  </conditionalFormatting>
  <conditionalFormatting sqref="AQ206">
    <cfRule type="cellIs" dxfId="179" priority="2317" operator="greaterThan">
      <formula>45</formula>
    </cfRule>
  </conditionalFormatting>
  <conditionalFormatting sqref="AQ211">
    <cfRule type="cellIs" dxfId="178" priority="2397" operator="greaterThan">
      <formula>45</formula>
    </cfRule>
  </conditionalFormatting>
  <conditionalFormatting sqref="AQ213">
    <cfRule type="cellIs" dxfId="177" priority="2477" operator="greaterThan">
      <formula>45</formula>
    </cfRule>
  </conditionalFormatting>
  <conditionalFormatting sqref="AQ217">
    <cfRule type="cellIs" dxfId="176" priority="2557" operator="greaterThan">
      <formula>45</formula>
    </cfRule>
  </conditionalFormatting>
  <conditionalFormatting sqref="AQ220">
    <cfRule type="cellIs" dxfId="175" priority="2637" operator="greaterThan">
      <formula>45</formula>
    </cfRule>
  </conditionalFormatting>
  <conditionalFormatting sqref="AQ223">
    <cfRule type="cellIs" dxfId="174" priority="2717" operator="greaterThan">
      <formula>45</formula>
    </cfRule>
  </conditionalFormatting>
  <conditionalFormatting sqref="AQ226">
    <cfRule type="cellIs" dxfId="173" priority="2797" operator="greaterThan">
      <formula>45</formula>
    </cfRule>
  </conditionalFormatting>
  <conditionalFormatting sqref="AQ229">
    <cfRule type="cellIs" dxfId="172" priority="2877" operator="greaterThan">
      <formula>45</formula>
    </cfRule>
  </conditionalFormatting>
  <conditionalFormatting sqref="AQ232">
    <cfRule type="cellIs" dxfId="171" priority="2957" operator="greaterThan">
      <formula>45</formula>
    </cfRule>
  </conditionalFormatting>
  <conditionalFormatting sqref="AQ234">
    <cfRule type="cellIs" dxfId="170" priority="3037" operator="greaterThan">
      <formula>45</formula>
    </cfRule>
  </conditionalFormatting>
  <conditionalFormatting sqref="AQ248">
    <cfRule type="cellIs" dxfId="169" priority="3117" operator="greaterThan">
      <formula>45</formula>
    </cfRule>
  </conditionalFormatting>
  <conditionalFormatting sqref="AQ252">
    <cfRule type="cellIs" dxfId="168" priority="3197" operator="greaterThan">
      <formula>45</formula>
    </cfRule>
  </conditionalFormatting>
  <conditionalFormatting sqref="AQ261">
    <cfRule type="cellIs" dxfId="167" priority="3277" operator="greaterThan">
      <formula>45</formula>
    </cfRule>
  </conditionalFormatting>
  <conditionalFormatting sqref="AQ271">
    <cfRule type="cellIs" dxfId="166" priority="3357" operator="greaterThan">
      <formula>45</formula>
    </cfRule>
  </conditionalFormatting>
  <conditionalFormatting sqref="AQ280">
    <cfRule type="cellIs" dxfId="165" priority="3437" operator="greaterThan">
      <formula>45</formula>
    </cfRule>
  </conditionalFormatting>
  <conditionalFormatting sqref="AQ283">
    <cfRule type="cellIs" dxfId="164" priority="3517" operator="greaterThan">
      <formula>45</formula>
    </cfRule>
  </conditionalFormatting>
  <conditionalFormatting sqref="AQ292">
    <cfRule type="cellIs" dxfId="163" priority="3597" operator="greaterThan">
      <formula>45</formula>
    </cfRule>
  </conditionalFormatting>
  <conditionalFormatting sqref="AQ294">
    <cfRule type="cellIs" dxfId="162" priority="3677" operator="greaterThan">
      <formula>45</formula>
    </cfRule>
  </conditionalFormatting>
  <conditionalFormatting sqref="AQ296">
    <cfRule type="cellIs" dxfId="161" priority="3757" operator="greaterThan">
      <formula>45</formula>
    </cfRule>
  </conditionalFormatting>
  <conditionalFormatting sqref="AQ298">
    <cfRule type="cellIs" dxfId="160" priority="3837" operator="greaterThan">
      <formula>45</formula>
    </cfRule>
  </conditionalFormatting>
  <conditionalFormatting sqref="AQ300">
    <cfRule type="cellIs" dxfId="159" priority="3917" operator="greaterThan">
      <formula>45</formula>
    </cfRule>
  </conditionalFormatting>
  <conditionalFormatting sqref="AQ302">
    <cfRule type="cellIs" dxfId="158" priority="3997" operator="greaterThan">
      <formula>45</formula>
    </cfRule>
  </conditionalFormatting>
  <conditionalFormatting sqref="AQ304">
    <cfRule type="cellIs" dxfId="157" priority="4077" operator="greaterThan">
      <formula>45</formula>
    </cfRule>
  </conditionalFormatting>
  <conditionalFormatting sqref="AQ306">
    <cfRule type="cellIs" dxfId="156" priority="4157" operator="greaterThan">
      <formula>45</formula>
    </cfRule>
  </conditionalFormatting>
  <conditionalFormatting sqref="AQ308">
    <cfRule type="cellIs" dxfId="155" priority="4237" operator="greaterThan">
      <formula>45</formula>
    </cfRule>
  </conditionalFormatting>
  <conditionalFormatting sqref="AQ310">
    <cfRule type="cellIs" dxfId="154" priority="4317" operator="greaterThan">
      <formula>45</formula>
    </cfRule>
  </conditionalFormatting>
  <conditionalFormatting sqref="AQ312">
    <cfRule type="cellIs" dxfId="153" priority="4397" operator="greaterThan">
      <formula>45</formula>
    </cfRule>
  </conditionalFormatting>
  <conditionalFormatting sqref="AQ314">
    <cfRule type="cellIs" dxfId="152" priority="4477" operator="greaterThan">
      <formula>45</formula>
    </cfRule>
  </conditionalFormatting>
  <conditionalFormatting sqref="AQ316">
    <cfRule type="cellIs" dxfId="151" priority="4557" operator="greaterThan">
      <formula>45</formula>
    </cfRule>
  </conditionalFormatting>
  <conditionalFormatting sqref="AQ318">
    <cfRule type="cellIs" dxfId="150" priority="4637" operator="greaterThan">
      <formula>45</formula>
    </cfRule>
  </conditionalFormatting>
  <conditionalFormatting sqref="AQ320">
    <cfRule type="cellIs" dxfId="149" priority="4717" operator="greaterThan">
      <formula>45</formula>
    </cfRule>
  </conditionalFormatting>
  <conditionalFormatting sqref="AQ322">
    <cfRule type="cellIs" dxfId="148" priority="4797" operator="greaterThan">
      <formula>45</formula>
    </cfRule>
  </conditionalFormatting>
  <conditionalFormatting sqref="AQ324">
    <cfRule type="cellIs" dxfId="147" priority="4877" operator="greaterThan">
      <formula>45</formula>
    </cfRule>
  </conditionalFormatting>
  <conditionalFormatting sqref="AQ326">
    <cfRule type="cellIs" dxfId="146" priority="4957" operator="greaterThan">
      <formula>45</formula>
    </cfRule>
  </conditionalFormatting>
  <conditionalFormatting sqref="AR2">
    <cfRule type="cellIs" dxfId="145" priority="79" operator="greaterThan">
      <formula>45</formula>
    </cfRule>
    <cfRule type="cellIs" dxfId="144" priority="78" operator="greaterThan">
      <formula>40</formula>
    </cfRule>
  </conditionalFormatting>
  <conditionalFormatting sqref="AR4">
    <cfRule type="cellIs" dxfId="143" priority="159" operator="greaterThan">
      <formula>45</formula>
    </cfRule>
    <cfRule type="cellIs" dxfId="142" priority="158" operator="greaterThan">
      <formula>40</formula>
    </cfRule>
  </conditionalFormatting>
  <conditionalFormatting sqref="AR13">
    <cfRule type="cellIs" dxfId="141" priority="239" operator="greaterThan">
      <formula>45</formula>
    </cfRule>
    <cfRule type="cellIs" dxfId="140" priority="238" operator="greaterThan">
      <formula>40</formula>
    </cfRule>
  </conditionalFormatting>
  <conditionalFormatting sqref="AR23">
    <cfRule type="cellIs" dxfId="139" priority="319" operator="greaterThan">
      <formula>45</formula>
    </cfRule>
    <cfRule type="cellIs" dxfId="138" priority="318" operator="greaterThan">
      <formula>40</formula>
    </cfRule>
  </conditionalFormatting>
  <conditionalFormatting sqref="AR33">
    <cfRule type="cellIs" dxfId="137" priority="398" operator="greaterThan">
      <formula>40</formula>
    </cfRule>
    <cfRule type="cellIs" dxfId="136" priority="399" operator="greaterThan">
      <formula>45</formula>
    </cfRule>
  </conditionalFormatting>
  <conditionalFormatting sqref="AR48">
    <cfRule type="cellIs" dxfId="135" priority="478" operator="greaterThan">
      <formula>40</formula>
    </cfRule>
    <cfRule type="cellIs" dxfId="134" priority="479" operator="greaterThan">
      <formula>45</formula>
    </cfRule>
  </conditionalFormatting>
  <conditionalFormatting sqref="AR52">
    <cfRule type="cellIs" dxfId="133" priority="558" operator="greaterThan">
      <formula>40</formula>
    </cfRule>
    <cfRule type="cellIs" dxfId="132" priority="559" operator="greaterThan">
      <formula>45</formula>
    </cfRule>
  </conditionalFormatting>
  <conditionalFormatting sqref="AR61">
    <cfRule type="cellIs" dxfId="131" priority="638" operator="greaterThan">
      <formula>40</formula>
    </cfRule>
    <cfRule type="cellIs" dxfId="130" priority="639" operator="greaterThan">
      <formula>45</formula>
    </cfRule>
  </conditionalFormatting>
  <conditionalFormatting sqref="AR74">
    <cfRule type="cellIs" dxfId="129" priority="719" operator="greaterThan">
      <formula>45</formula>
    </cfRule>
    <cfRule type="cellIs" dxfId="128" priority="718" operator="greaterThan">
      <formula>40</formula>
    </cfRule>
  </conditionalFormatting>
  <conditionalFormatting sqref="AR76">
    <cfRule type="cellIs" dxfId="127" priority="799" operator="greaterThan">
      <formula>45</formula>
    </cfRule>
    <cfRule type="cellIs" dxfId="126" priority="798" operator="greaterThan">
      <formula>40</formula>
    </cfRule>
  </conditionalFormatting>
  <conditionalFormatting sqref="AR86">
    <cfRule type="cellIs" dxfId="125" priority="879" operator="greaterThan">
      <formula>45</formula>
    </cfRule>
    <cfRule type="cellIs" dxfId="124" priority="878" operator="greaterThan">
      <formula>40</formula>
    </cfRule>
  </conditionalFormatting>
  <conditionalFormatting sqref="AR96">
    <cfRule type="cellIs" dxfId="123" priority="959" operator="greaterThan">
      <formula>45</formula>
    </cfRule>
  </conditionalFormatting>
  <conditionalFormatting sqref="AR101">
    <cfRule type="cellIs" dxfId="122" priority="1039" operator="greaterThan">
      <formula>45</formula>
    </cfRule>
  </conditionalFormatting>
  <conditionalFormatting sqref="AR110">
    <cfRule type="cellIs" dxfId="121" priority="1119" operator="greaterThan">
      <formula>45</formula>
    </cfRule>
  </conditionalFormatting>
  <conditionalFormatting sqref="AR117">
    <cfRule type="cellIs" dxfId="120" priority="1199" operator="greaterThan">
      <formula>45</formula>
    </cfRule>
  </conditionalFormatting>
  <conditionalFormatting sqref="AR124">
    <cfRule type="cellIs" dxfId="119" priority="1279" operator="greaterThan">
      <formula>45</formula>
    </cfRule>
  </conditionalFormatting>
  <conditionalFormatting sqref="AR128">
    <cfRule type="cellIs" dxfId="118" priority="1359" operator="greaterThan">
      <formula>45</formula>
    </cfRule>
  </conditionalFormatting>
  <conditionalFormatting sqref="AR133">
    <cfRule type="cellIs" dxfId="117" priority="1439" operator="greaterThan">
      <formula>45</formula>
    </cfRule>
  </conditionalFormatting>
  <conditionalFormatting sqref="AR136">
    <cfRule type="cellIs" dxfId="116" priority="1519" operator="greaterThan">
      <formula>45</formula>
    </cfRule>
  </conditionalFormatting>
  <conditionalFormatting sqref="AR143">
    <cfRule type="cellIs" dxfId="115" priority="1599" operator="greaterThan">
      <formula>45</formula>
    </cfRule>
  </conditionalFormatting>
  <conditionalFormatting sqref="AR157">
    <cfRule type="cellIs" dxfId="114" priority="1679" operator="greaterThan">
      <formula>45</formula>
    </cfRule>
  </conditionalFormatting>
  <conditionalFormatting sqref="AR160">
    <cfRule type="cellIs" dxfId="113" priority="1759" operator="greaterThan">
      <formula>45</formula>
    </cfRule>
  </conditionalFormatting>
  <conditionalFormatting sqref="AR170">
    <cfRule type="cellIs" dxfId="112" priority="1839" operator="greaterThan">
      <formula>45</formula>
    </cfRule>
  </conditionalFormatting>
  <conditionalFormatting sqref="AR182">
    <cfRule type="cellIs" dxfId="111" priority="1919" operator="greaterThan">
      <formula>45</formula>
    </cfRule>
  </conditionalFormatting>
  <conditionalFormatting sqref="AR185">
    <cfRule type="cellIs" dxfId="110" priority="1999" operator="greaterThan">
      <formula>45</formula>
    </cfRule>
  </conditionalFormatting>
  <conditionalFormatting sqref="AR188">
    <cfRule type="cellIs" dxfId="109" priority="2079" operator="greaterThan">
      <formula>45</formula>
    </cfRule>
  </conditionalFormatting>
  <conditionalFormatting sqref="AR194">
    <cfRule type="cellIs" dxfId="108" priority="2159" operator="greaterThan">
      <formula>45</formula>
    </cfRule>
  </conditionalFormatting>
  <conditionalFormatting sqref="AR198">
    <cfRule type="cellIs" dxfId="107" priority="2239" operator="greaterThan">
      <formula>45</formula>
    </cfRule>
  </conditionalFormatting>
  <conditionalFormatting sqref="AR206">
    <cfRule type="cellIs" dxfId="106" priority="2319" operator="greaterThan">
      <formula>45</formula>
    </cfRule>
  </conditionalFormatting>
  <conditionalFormatting sqref="AR211">
    <cfRule type="cellIs" dxfId="105" priority="2399" operator="greaterThan">
      <formula>45</formula>
    </cfRule>
  </conditionalFormatting>
  <conditionalFormatting sqref="AR213">
    <cfRule type="cellIs" dxfId="104" priority="2479" operator="greaterThan">
      <formula>45</formula>
    </cfRule>
  </conditionalFormatting>
  <conditionalFormatting sqref="AR217">
    <cfRule type="cellIs" dxfId="103" priority="2559" operator="greaterThan">
      <formula>45</formula>
    </cfRule>
  </conditionalFormatting>
  <conditionalFormatting sqref="AR220">
    <cfRule type="cellIs" dxfId="102" priority="2639" operator="greaterThan">
      <formula>45</formula>
    </cfRule>
  </conditionalFormatting>
  <conditionalFormatting sqref="AR223">
    <cfRule type="cellIs" dxfId="101" priority="2719" operator="greaterThan">
      <formula>45</formula>
    </cfRule>
  </conditionalFormatting>
  <conditionalFormatting sqref="AR226">
    <cfRule type="cellIs" dxfId="100" priority="2799" operator="greaterThan">
      <formula>45</formula>
    </cfRule>
  </conditionalFormatting>
  <conditionalFormatting sqref="AR229">
    <cfRule type="cellIs" dxfId="99" priority="2879" operator="greaterThan">
      <formula>45</formula>
    </cfRule>
  </conditionalFormatting>
  <conditionalFormatting sqref="AR232">
    <cfRule type="cellIs" dxfId="98" priority="2959" operator="greaterThan">
      <formula>45</formula>
    </cfRule>
  </conditionalFormatting>
  <conditionalFormatting sqref="AR234">
    <cfRule type="cellIs" dxfId="97" priority="3039" operator="greaterThan">
      <formula>45</formula>
    </cfRule>
  </conditionalFormatting>
  <conditionalFormatting sqref="AR248">
    <cfRule type="cellIs" dxfId="96" priority="3119" operator="greaterThan">
      <formula>45</formula>
    </cfRule>
  </conditionalFormatting>
  <conditionalFormatting sqref="AR252">
    <cfRule type="cellIs" dxfId="95" priority="3199" operator="greaterThan">
      <formula>45</formula>
    </cfRule>
  </conditionalFormatting>
  <conditionalFormatting sqref="AR261">
    <cfRule type="cellIs" dxfId="94" priority="3279" operator="greaterThan">
      <formula>45</formula>
    </cfRule>
  </conditionalFormatting>
  <conditionalFormatting sqref="AR271">
    <cfRule type="cellIs" dxfId="93" priority="3359" operator="greaterThan">
      <formula>45</formula>
    </cfRule>
  </conditionalFormatting>
  <conditionalFormatting sqref="AR280">
    <cfRule type="cellIs" dxfId="92" priority="3439" operator="greaterThan">
      <formula>45</formula>
    </cfRule>
  </conditionalFormatting>
  <conditionalFormatting sqref="AR283">
    <cfRule type="cellIs" dxfId="91" priority="3519" operator="greaterThan">
      <formula>45</formula>
    </cfRule>
  </conditionalFormatting>
  <conditionalFormatting sqref="AR292">
    <cfRule type="cellIs" dxfId="90" priority="3599" operator="greaterThan">
      <formula>45</formula>
    </cfRule>
  </conditionalFormatting>
  <conditionalFormatting sqref="AR294">
    <cfRule type="cellIs" dxfId="89" priority="3679" operator="greaterThan">
      <formula>45</formula>
    </cfRule>
  </conditionalFormatting>
  <conditionalFormatting sqref="AR296">
    <cfRule type="cellIs" dxfId="88" priority="3759" operator="greaterThan">
      <formula>45</formula>
    </cfRule>
  </conditionalFormatting>
  <conditionalFormatting sqref="AR298">
    <cfRule type="cellIs" dxfId="87" priority="3839" operator="greaterThan">
      <formula>45</formula>
    </cfRule>
  </conditionalFormatting>
  <conditionalFormatting sqref="AR300">
    <cfRule type="cellIs" dxfId="86" priority="3919" operator="greaterThan">
      <formula>45</formula>
    </cfRule>
  </conditionalFormatting>
  <conditionalFormatting sqref="AR302">
    <cfRule type="cellIs" dxfId="85" priority="3999" operator="greaterThan">
      <formula>45</formula>
    </cfRule>
  </conditionalFormatting>
  <conditionalFormatting sqref="AR304">
    <cfRule type="cellIs" dxfId="84" priority="4079" operator="greaterThan">
      <formula>45</formula>
    </cfRule>
  </conditionalFormatting>
  <conditionalFormatting sqref="AR306">
    <cfRule type="cellIs" dxfId="83" priority="4159" operator="greaterThan">
      <formula>45</formula>
    </cfRule>
  </conditionalFormatting>
  <conditionalFormatting sqref="AR308">
    <cfRule type="cellIs" dxfId="82" priority="4239" operator="greaterThan">
      <formula>45</formula>
    </cfRule>
  </conditionalFormatting>
  <conditionalFormatting sqref="AR310">
    <cfRule type="cellIs" dxfId="81" priority="4319" operator="greaterThan">
      <formula>45</formula>
    </cfRule>
  </conditionalFormatting>
  <conditionalFormatting sqref="AR312">
    <cfRule type="cellIs" dxfId="80" priority="4399" operator="greaterThan">
      <formula>45</formula>
    </cfRule>
  </conditionalFormatting>
  <conditionalFormatting sqref="AR314">
    <cfRule type="cellIs" dxfId="79" priority="4479" operator="greaterThan">
      <formula>45</formula>
    </cfRule>
  </conditionalFormatting>
  <conditionalFormatting sqref="AR316">
    <cfRule type="cellIs" dxfId="78" priority="4559" operator="greaterThan">
      <formula>45</formula>
    </cfRule>
  </conditionalFormatting>
  <conditionalFormatting sqref="AR318">
    <cfRule type="cellIs" dxfId="77" priority="4639" operator="greaterThan">
      <formula>45</formula>
    </cfRule>
  </conditionalFormatting>
  <conditionalFormatting sqref="AR320">
    <cfRule type="cellIs" dxfId="76" priority="4719" operator="greaterThan">
      <formula>45</formula>
    </cfRule>
  </conditionalFormatting>
  <conditionalFormatting sqref="AR322">
    <cfRule type="cellIs" dxfId="75" priority="4799" operator="greaterThan">
      <formula>45</formula>
    </cfRule>
  </conditionalFormatting>
  <conditionalFormatting sqref="AR324">
    <cfRule type="cellIs" dxfId="74" priority="4879" operator="greaterThan">
      <formula>45</formula>
    </cfRule>
  </conditionalFormatting>
  <conditionalFormatting sqref="AR326">
    <cfRule type="cellIs" dxfId="73" priority="4959" operator="greaterThan">
      <formula>45</formula>
    </cfRule>
  </conditionalFormatting>
  <conditionalFormatting sqref="AS2">
    <cfRule type="cellIs" dxfId="72" priority="80" operator="greaterThan">
      <formula>40</formula>
    </cfRule>
    <cfRule type="cellIs" dxfId="71" priority="81" operator="greaterThan">
      <formula>45</formula>
    </cfRule>
  </conditionalFormatting>
  <conditionalFormatting sqref="AS4">
    <cfRule type="cellIs" dxfId="70" priority="161" operator="greaterThan">
      <formula>45</formula>
    </cfRule>
    <cfRule type="cellIs" dxfId="69" priority="160" operator="greaterThan">
      <formula>40</formula>
    </cfRule>
  </conditionalFormatting>
  <conditionalFormatting sqref="AS13">
    <cfRule type="cellIs" dxfId="68" priority="240" operator="greaterThan">
      <formula>40</formula>
    </cfRule>
    <cfRule type="cellIs" dxfId="67" priority="241" operator="greaterThan">
      <formula>45</formula>
    </cfRule>
  </conditionalFormatting>
  <conditionalFormatting sqref="AS23">
    <cfRule type="cellIs" dxfId="66" priority="320" operator="greaterThan">
      <formula>40</formula>
    </cfRule>
    <cfRule type="cellIs" dxfId="65" priority="321" operator="greaterThan">
      <formula>45</formula>
    </cfRule>
  </conditionalFormatting>
  <conditionalFormatting sqref="AS33">
    <cfRule type="cellIs" dxfId="64" priority="400" operator="greaterThan">
      <formula>40</formula>
    </cfRule>
    <cfRule type="cellIs" dxfId="63" priority="401" operator="greaterThan">
      <formula>45</formula>
    </cfRule>
  </conditionalFormatting>
  <conditionalFormatting sqref="AS48">
    <cfRule type="cellIs" dxfId="62" priority="480" operator="greaterThan">
      <formula>40</formula>
    </cfRule>
    <cfRule type="cellIs" dxfId="61" priority="481" operator="greaterThan">
      <formula>45</formula>
    </cfRule>
  </conditionalFormatting>
  <conditionalFormatting sqref="AS52">
    <cfRule type="cellIs" dxfId="60" priority="560" operator="greaterThan">
      <formula>40</formula>
    </cfRule>
    <cfRule type="cellIs" dxfId="59" priority="561" operator="greaterThan">
      <formula>45</formula>
    </cfRule>
  </conditionalFormatting>
  <conditionalFormatting sqref="AS61">
    <cfRule type="cellIs" dxfId="58" priority="640" operator="greaterThan">
      <formula>40</formula>
    </cfRule>
    <cfRule type="cellIs" dxfId="57" priority="641" operator="greaterThan">
      <formula>45</formula>
    </cfRule>
  </conditionalFormatting>
  <conditionalFormatting sqref="AS74">
    <cfRule type="cellIs" dxfId="56" priority="720" operator="greaterThan">
      <formula>40</formula>
    </cfRule>
    <cfRule type="cellIs" dxfId="55" priority="721" operator="greaterThan">
      <formula>45</formula>
    </cfRule>
  </conditionalFormatting>
  <conditionalFormatting sqref="AS76">
    <cfRule type="cellIs" dxfId="54" priority="801" operator="greaterThan">
      <formula>45</formula>
    </cfRule>
    <cfRule type="cellIs" dxfId="53" priority="800" operator="greaterThan">
      <formula>40</formula>
    </cfRule>
  </conditionalFormatting>
  <conditionalFormatting sqref="AS86">
    <cfRule type="cellIs" dxfId="52" priority="881" operator="greaterThan">
      <formula>45</formula>
    </cfRule>
    <cfRule type="cellIs" dxfId="51" priority="880" operator="greaterThan">
      <formula>40</formula>
    </cfRule>
  </conditionalFormatting>
  <conditionalFormatting sqref="AS96">
    <cfRule type="cellIs" dxfId="50" priority="961" operator="greaterThan">
      <formula>45</formula>
    </cfRule>
  </conditionalFormatting>
  <conditionalFormatting sqref="AS101">
    <cfRule type="cellIs" dxfId="49" priority="1041" operator="greaterThan">
      <formula>45</formula>
    </cfRule>
  </conditionalFormatting>
  <conditionalFormatting sqref="AS110">
    <cfRule type="cellIs" dxfId="48" priority="1121" operator="greaterThan">
      <formula>45</formula>
    </cfRule>
  </conditionalFormatting>
  <conditionalFormatting sqref="AS117">
    <cfRule type="cellIs" dxfId="47" priority="1201" operator="greaterThan">
      <formula>45</formula>
    </cfRule>
  </conditionalFormatting>
  <conditionalFormatting sqref="AS124">
    <cfRule type="cellIs" dxfId="46" priority="1281" operator="greaterThan">
      <formula>45</formula>
    </cfRule>
  </conditionalFormatting>
  <conditionalFormatting sqref="AS128">
    <cfRule type="cellIs" dxfId="45" priority="1361" operator="greaterThan">
      <formula>45</formula>
    </cfRule>
  </conditionalFormatting>
  <conditionalFormatting sqref="AS133">
    <cfRule type="cellIs" dxfId="44" priority="1441" operator="greaterThan">
      <formula>45</formula>
    </cfRule>
  </conditionalFormatting>
  <conditionalFormatting sqref="AS136">
    <cfRule type="cellIs" dxfId="43" priority="1521" operator="greaterThan">
      <formula>45</formula>
    </cfRule>
  </conditionalFormatting>
  <conditionalFormatting sqref="AS143">
    <cfRule type="cellIs" dxfId="42" priority="1601" operator="greaterThan">
      <formula>45</formula>
    </cfRule>
  </conditionalFormatting>
  <conditionalFormatting sqref="AS157">
    <cfRule type="cellIs" dxfId="41" priority="1681" operator="greaterThan">
      <formula>45</formula>
    </cfRule>
  </conditionalFormatting>
  <conditionalFormatting sqref="AS160">
    <cfRule type="cellIs" dxfId="40" priority="1761" operator="greaterThan">
      <formula>45</formula>
    </cfRule>
  </conditionalFormatting>
  <conditionalFormatting sqref="AS170">
    <cfRule type="cellIs" dxfId="39" priority="1841" operator="greaterThan">
      <formula>45</formula>
    </cfRule>
  </conditionalFormatting>
  <conditionalFormatting sqref="AS182">
    <cfRule type="cellIs" dxfId="38" priority="1921" operator="greaterThan">
      <formula>45</formula>
    </cfRule>
  </conditionalFormatting>
  <conditionalFormatting sqref="AS185">
    <cfRule type="cellIs" dxfId="37" priority="2001" operator="greaterThan">
      <formula>45</formula>
    </cfRule>
  </conditionalFormatting>
  <conditionalFormatting sqref="AS188">
    <cfRule type="cellIs" dxfId="36" priority="2081" operator="greaterThan">
      <formula>45</formula>
    </cfRule>
  </conditionalFormatting>
  <conditionalFormatting sqref="AS194">
    <cfRule type="cellIs" dxfId="35" priority="2161" operator="greaterThan">
      <formula>45</formula>
    </cfRule>
  </conditionalFormatting>
  <conditionalFormatting sqref="AS198">
    <cfRule type="cellIs" dxfId="34" priority="2241" operator="greaterThan">
      <formula>45</formula>
    </cfRule>
  </conditionalFormatting>
  <conditionalFormatting sqref="AS206">
    <cfRule type="cellIs" dxfId="33" priority="2321" operator="greaterThan">
      <formula>45</formula>
    </cfRule>
  </conditionalFormatting>
  <conditionalFormatting sqref="AS211">
    <cfRule type="cellIs" dxfId="32" priority="2401" operator="greaterThan">
      <formula>45</formula>
    </cfRule>
  </conditionalFormatting>
  <conditionalFormatting sqref="AS213">
    <cfRule type="cellIs" dxfId="31" priority="2481" operator="greaterThan">
      <formula>45</formula>
    </cfRule>
  </conditionalFormatting>
  <conditionalFormatting sqref="AS217">
    <cfRule type="cellIs" dxfId="30" priority="2561" operator="greaterThan">
      <formula>45</formula>
    </cfRule>
  </conditionalFormatting>
  <conditionalFormatting sqref="AS220">
    <cfRule type="cellIs" dxfId="29" priority="2641" operator="greaterThan">
      <formula>45</formula>
    </cfRule>
  </conditionalFormatting>
  <conditionalFormatting sqref="AS223">
    <cfRule type="cellIs" dxfId="28" priority="2721" operator="greaterThan">
      <formula>45</formula>
    </cfRule>
  </conditionalFormatting>
  <conditionalFormatting sqref="AS226">
    <cfRule type="cellIs" dxfId="27" priority="2801" operator="greaterThan">
      <formula>45</formula>
    </cfRule>
  </conditionalFormatting>
  <conditionalFormatting sqref="AS229">
    <cfRule type="cellIs" dxfId="26" priority="2881" operator="greaterThan">
      <formula>45</formula>
    </cfRule>
  </conditionalFormatting>
  <conditionalFormatting sqref="AS232">
    <cfRule type="cellIs" dxfId="25" priority="2961" operator="greaterThan">
      <formula>45</formula>
    </cfRule>
  </conditionalFormatting>
  <conditionalFormatting sqref="AS234">
    <cfRule type="cellIs" dxfId="24" priority="3041" operator="greaterThan">
      <formula>45</formula>
    </cfRule>
  </conditionalFormatting>
  <conditionalFormatting sqref="AS248">
    <cfRule type="cellIs" dxfId="23" priority="3121" operator="greaterThan">
      <formula>45</formula>
    </cfRule>
  </conditionalFormatting>
  <conditionalFormatting sqref="AS252">
    <cfRule type="cellIs" dxfId="22" priority="3201" operator="greaterThan">
      <formula>45</formula>
    </cfRule>
  </conditionalFormatting>
  <conditionalFormatting sqref="AS261">
    <cfRule type="cellIs" dxfId="21" priority="3281" operator="greaterThan">
      <formula>45</formula>
    </cfRule>
  </conditionalFormatting>
  <conditionalFormatting sqref="AS271">
    <cfRule type="cellIs" dxfId="20" priority="3361" operator="greaterThan">
      <formula>45</formula>
    </cfRule>
  </conditionalFormatting>
  <conditionalFormatting sqref="AS280">
    <cfRule type="cellIs" dxfId="19" priority="3441" operator="greaterThan">
      <formula>45</formula>
    </cfRule>
  </conditionalFormatting>
  <conditionalFormatting sqref="AS283">
    <cfRule type="cellIs" dxfId="18" priority="3521" operator="greaterThan">
      <formula>45</formula>
    </cfRule>
  </conditionalFormatting>
  <conditionalFormatting sqref="AS292">
    <cfRule type="cellIs" dxfId="17" priority="3601" operator="greaterThan">
      <formula>45</formula>
    </cfRule>
  </conditionalFormatting>
  <conditionalFormatting sqref="AS294">
    <cfRule type="cellIs" dxfId="16" priority="3681" operator="greaterThan">
      <formula>45</formula>
    </cfRule>
  </conditionalFormatting>
  <conditionalFormatting sqref="AS296">
    <cfRule type="cellIs" dxfId="15" priority="3761" operator="greaterThan">
      <formula>45</formula>
    </cfRule>
  </conditionalFormatting>
  <conditionalFormatting sqref="AS298">
    <cfRule type="cellIs" dxfId="14" priority="3841" operator="greaterThan">
      <formula>45</formula>
    </cfRule>
  </conditionalFormatting>
  <conditionalFormatting sqref="AS300">
    <cfRule type="cellIs" dxfId="13" priority="3921" operator="greaterThan">
      <formula>45</formula>
    </cfRule>
  </conditionalFormatting>
  <conditionalFormatting sqref="AS302">
    <cfRule type="cellIs" dxfId="12" priority="4001" operator="greaterThan">
      <formula>45</formula>
    </cfRule>
  </conditionalFormatting>
  <conditionalFormatting sqref="AS304">
    <cfRule type="cellIs" dxfId="11" priority="4081" operator="greaterThan">
      <formula>45</formula>
    </cfRule>
  </conditionalFormatting>
  <conditionalFormatting sqref="AS306">
    <cfRule type="cellIs" dxfId="10" priority="4161" operator="greaterThan">
      <formula>45</formula>
    </cfRule>
  </conditionalFormatting>
  <conditionalFormatting sqref="AS308">
    <cfRule type="cellIs" dxfId="9" priority="4241" operator="greaterThan">
      <formula>45</formula>
    </cfRule>
  </conditionalFormatting>
  <conditionalFormatting sqref="AS310">
    <cfRule type="cellIs" dxfId="8" priority="4321" operator="greaterThan">
      <formula>45</formula>
    </cfRule>
  </conditionalFormatting>
  <conditionalFormatting sqref="AS312">
    <cfRule type="cellIs" dxfId="7" priority="4401" operator="greaterThan">
      <formula>45</formula>
    </cfRule>
  </conditionalFormatting>
  <conditionalFormatting sqref="AS314">
    <cfRule type="cellIs" dxfId="6" priority="4481" operator="greaterThan">
      <formula>45</formula>
    </cfRule>
  </conditionalFormatting>
  <conditionalFormatting sqref="AS316">
    <cfRule type="cellIs" dxfId="5" priority="4561" operator="greaterThan">
      <formula>45</formula>
    </cfRule>
  </conditionalFormatting>
  <conditionalFormatting sqref="AS318">
    <cfRule type="cellIs" dxfId="4" priority="4641" operator="greaterThan">
      <formula>45</formula>
    </cfRule>
  </conditionalFormatting>
  <conditionalFormatting sqref="AS320">
    <cfRule type="cellIs" dxfId="3" priority="4721" operator="greaterThan">
      <formula>45</formula>
    </cfRule>
  </conditionalFormatting>
  <conditionalFormatting sqref="AS322">
    <cfRule type="cellIs" dxfId="2" priority="4801" operator="greaterThan">
      <formula>45</formula>
    </cfRule>
  </conditionalFormatting>
  <conditionalFormatting sqref="AS324">
    <cfRule type="cellIs" dxfId="1" priority="4881" operator="greaterThan">
      <formula>45</formula>
    </cfRule>
  </conditionalFormatting>
  <conditionalFormatting sqref="AS326">
    <cfRule type="cellIs" dxfId="0" priority="4961" operator="greaterThan">
      <formula>45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2" customWidth="1"/>
    <col min="2" max="4" width="34" customWidth="1"/>
    <col min="5" max="6" width="46" customWidth="1"/>
    <col min="7" max="7" width="16" customWidth="1"/>
    <col min="8" max="8" width="20" customWidth="1"/>
    <col min="9" max="9" width="34" customWidth="1"/>
    <col min="10" max="12" width="13" customWidth="1"/>
  </cols>
  <sheetData>
    <row r="1" spans="1:12" ht="31.5" customHeight="1" x14ac:dyDescent="0.35">
      <c r="A1" s="4" t="s">
        <v>68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70</v>
      </c>
      <c r="G1" s="4" t="s">
        <v>170</v>
      </c>
      <c r="H1" s="4" t="s">
        <v>171</v>
      </c>
      <c r="I1" s="4" t="s">
        <v>172</v>
      </c>
      <c r="J1" s="4" t="s">
        <v>173</v>
      </c>
      <c r="K1" s="4" t="s">
        <v>174</v>
      </c>
      <c r="L1" s="4" t="s">
        <v>175</v>
      </c>
    </row>
    <row r="2" spans="1:12" ht="15" customHeight="1" x14ac:dyDescent="0.35">
      <c r="A2" t="s">
        <v>12</v>
      </c>
      <c r="B2" t="s">
        <v>13</v>
      </c>
      <c r="C2" t="s">
        <v>14</v>
      </c>
      <c r="D2" t="s">
        <v>123</v>
      </c>
      <c r="E2" t="s">
        <v>14</v>
      </c>
      <c r="F2" t="s">
        <v>81</v>
      </c>
      <c r="G2" s="12">
        <v>46265</v>
      </c>
      <c r="H2" s="13">
        <v>16</v>
      </c>
      <c r="I2" t="s">
        <v>176</v>
      </c>
      <c r="J2" t="s">
        <v>177</v>
      </c>
      <c r="K2">
        <v>17.384615</v>
      </c>
      <c r="L2" t="s">
        <v>178</v>
      </c>
    </row>
    <row r="3" spans="1:12" ht="15" customHeight="1" x14ac:dyDescent="0.35">
      <c r="A3" t="s">
        <v>12</v>
      </c>
      <c r="B3" t="s">
        <v>13</v>
      </c>
      <c r="C3" t="s">
        <v>14</v>
      </c>
      <c r="D3" t="s">
        <v>163</v>
      </c>
      <c r="E3" t="s">
        <v>14</v>
      </c>
      <c r="F3" t="s">
        <v>98</v>
      </c>
      <c r="G3" s="12">
        <v>46265</v>
      </c>
      <c r="H3" s="13">
        <v>8</v>
      </c>
      <c r="I3" t="s">
        <v>179</v>
      </c>
      <c r="J3" t="s">
        <v>180</v>
      </c>
      <c r="K3">
        <v>8</v>
      </c>
      <c r="L3" t="s">
        <v>181</v>
      </c>
    </row>
    <row r="4" spans="1:12" ht="15" customHeight="1" x14ac:dyDescent="0.35">
      <c r="A4" t="s">
        <v>12</v>
      </c>
      <c r="B4" t="s">
        <v>13</v>
      </c>
      <c r="C4" t="s">
        <v>14</v>
      </c>
      <c r="D4" t="s">
        <v>30</v>
      </c>
      <c r="E4" t="s">
        <v>14</v>
      </c>
      <c r="F4" t="s">
        <v>99</v>
      </c>
      <c r="G4" s="12">
        <v>46265</v>
      </c>
      <c r="H4" s="13">
        <v>6</v>
      </c>
      <c r="I4" t="s">
        <v>176</v>
      </c>
      <c r="J4" t="s">
        <v>177</v>
      </c>
      <c r="K4">
        <v>31</v>
      </c>
      <c r="L4" t="s">
        <v>178</v>
      </c>
    </row>
    <row r="5" spans="1:12" ht="15" customHeight="1" x14ac:dyDescent="0.35">
      <c r="A5" t="s">
        <v>12</v>
      </c>
      <c r="B5" t="s">
        <v>13</v>
      </c>
      <c r="C5" t="s">
        <v>14</v>
      </c>
      <c r="D5" t="s">
        <v>135</v>
      </c>
      <c r="E5" t="s">
        <v>14</v>
      </c>
      <c r="F5" t="s">
        <v>43</v>
      </c>
      <c r="G5" s="12">
        <v>46265</v>
      </c>
      <c r="H5" s="13">
        <v>4</v>
      </c>
      <c r="I5" t="s">
        <v>176</v>
      </c>
      <c r="J5" t="s">
        <v>177</v>
      </c>
      <c r="K5">
        <v>4</v>
      </c>
      <c r="L5" t="s">
        <v>178</v>
      </c>
    </row>
    <row r="6" spans="1:12" ht="15" customHeight="1" x14ac:dyDescent="0.35">
      <c r="A6" t="s">
        <v>12</v>
      </c>
      <c r="B6" t="s">
        <v>13</v>
      </c>
      <c r="C6" t="s">
        <v>14</v>
      </c>
      <c r="D6" t="s">
        <v>30</v>
      </c>
      <c r="E6" t="s">
        <v>14</v>
      </c>
      <c r="F6" t="s">
        <v>100</v>
      </c>
      <c r="G6" s="12">
        <v>46265</v>
      </c>
      <c r="H6" s="13">
        <v>2</v>
      </c>
      <c r="I6" t="s">
        <v>176</v>
      </c>
      <c r="J6" t="s">
        <v>177</v>
      </c>
      <c r="K6">
        <v>25</v>
      </c>
      <c r="L6" t="s">
        <v>178</v>
      </c>
    </row>
    <row r="7" spans="1:12" ht="15" customHeight="1" x14ac:dyDescent="0.35">
      <c r="A7" t="s">
        <v>12</v>
      </c>
      <c r="B7" t="s">
        <v>26</v>
      </c>
      <c r="C7" t="s">
        <v>14</v>
      </c>
      <c r="D7" t="s">
        <v>161</v>
      </c>
      <c r="E7" t="s">
        <v>14</v>
      </c>
      <c r="F7" t="s">
        <v>97</v>
      </c>
      <c r="G7" s="12">
        <v>46265</v>
      </c>
      <c r="H7" s="13">
        <v>2.5</v>
      </c>
      <c r="I7" t="s">
        <v>179</v>
      </c>
      <c r="J7" t="s">
        <v>180</v>
      </c>
      <c r="K7">
        <v>2.5</v>
      </c>
      <c r="L7" t="s">
        <v>181</v>
      </c>
    </row>
    <row r="8" spans="1:12" ht="15" customHeight="1" x14ac:dyDescent="0.35">
      <c r="A8" t="s">
        <v>12</v>
      </c>
      <c r="B8" t="s">
        <v>26</v>
      </c>
      <c r="C8" t="s">
        <v>14</v>
      </c>
      <c r="D8" t="s">
        <v>163</v>
      </c>
      <c r="E8" t="s">
        <v>14</v>
      </c>
      <c r="F8" t="s">
        <v>98</v>
      </c>
      <c r="G8" s="12">
        <v>46265</v>
      </c>
      <c r="H8" s="13">
        <v>1</v>
      </c>
      <c r="I8" t="s">
        <v>179</v>
      </c>
      <c r="J8" t="s">
        <v>180</v>
      </c>
      <c r="K8">
        <v>1</v>
      </c>
      <c r="L8" t="s">
        <v>181</v>
      </c>
    </row>
    <row r="9" spans="1:12" ht="15" customHeight="1" x14ac:dyDescent="0.35">
      <c r="A9" t="s">
        <v>12</v>
      </c>
      <c r="B9" t="s">
        <v>26</v>
      </c>
      <c r="C9" t="s">
        <v>14</v>
      </c>
      <c r="D9" t="s">
        <v>17</v>
      </c>
      <c r="E9" t="s">
        <v>14</v>
      </c>
      <c r="F9" t="s">
        <v>111</v>
      </c>
      <c r="G9" s="12">
        <v>46265</v>
      </c>
      <c r="H9" s="13">
        <v>10</v>
      </c>
      <c r="I9" t="s">
        <v>176</v>
      </c>
      <c r="J9" t="s">
        <v>180</v>
      </c>
      <c r="K9">
        <v>35</v>
      </c>
      <c r="L9" t="s">
        <v>178</v>
      </c>
    </row>
    <row r="10" spans="1:12" ht="15" customHeight="1" x14ac:dyDescent="0.35">
      <c r="A10" t="s">
        <v>12</v>
      </c>
      <c r="B10" t="s">
        <v>26</v>
      </c>
      <c r="C10" t="s">
        <v>14</v>
      </c>
      <c r="D10" t="s">
        <v>164</v>
      </c>
      <c r="E10" t="s">
        <v>14</v>
      </c>
      <c r="F10" t="s">
        <v>112</v>
      </c>
      <c r="G10" s="12">
        <v>46265</v>
      </c>
      <c r="H10" s="13">
        <v>4</v>
      </c>
      <c r="I10" t="s">
        <v>179</v>
      </c>
      <c r="J10" t="s">
        <v>180</v>
      </c>
      <c r="K10">
        <v>4</v>
      </c>
      <c r="L10" t="s">
        <v>181</v>
      </c>
    </row>
    <row r="11" spans="1:12" ht="15" customHeight="1" x14ac:dyDescent="0.35">
      <c r="A11" t="s">
        <v>12</v>
      </c>
      <c r="B11" t="s">
        <v>26</v>
      </c>
      <c r="C11" t="s">
        <v>14</v>
      </c>
      <c r="D11" t="s">
        <v>126</v>
      </c>
      <c r="E11" t="s">
        <v>14</v>
      </c>
      <c r="F11" t="s">
        <v>107</v>
      </c>
      <c r="G11" s="12">
        <v>46265</v>
      </c>
      <c r="H11" s="13">
        <v>8</v>
      </c>
      <c r="I11" t="s">
        <v>176</v>
      </c>
      <c r="J11" t="s">
        <v>180</v>
      </c>
      <c r="K11">
        <v>8</v>
      </c>
      <c r="L11" t="s">
        <v>178</v>
      </c>
    </row>
    <row r="12" spans="1:12" ht="15" customHeight="1" x14ac:dyDescent="0.35">
      <c r="A12" t="s">
        <v>12</v>
      </c>
      <c r="B12" t="s">
        <v>20</v>
      </c>
      <c r="C12" t="s">
        <v>10</v>
      </c>
      <c r="D12" t="s">
        <v>116</v>
      </c>
      <c r="E12" t="s">
        <v>10</v>
      </c>
      <c r="F12" t="s">
        <v>43</v>
      </c>
      <c r="G12" s="12">
        <v>46265</v>
      </c>
      <c r="H12" s="13">
        <v>3</v>
      </c>
      <c r="I12" t="s">
        <v>176</v>
      </c>
      <c r="J12" t="s">
        <v>177</v>
      </c>
      <c r="K12">
        <v>23</v>
      </c>
      <c r="L12" t="s">
        <v>178</v>
      </c>
    </row>
    <row r="13" spans="1:12" ht="15" customHeight="1" x14ac:dyDescent="0.35">
      <c r="A13" t="s">
        <v>12</v>
      </c>
      <c r="B13" t="s">
        <v>20</v>
      </c>
      <c r="C13" t="s">
        <v>10</v>
      </c>
      <c r="D13" t="s">
        <v>33</v>
      </c>
      <c r="E13" t="s">
        <v>10</v>
      </c>
      <c r="F13" t="s">
        <v>100</v>
      </c>
      <c r="G13" s="12">
        <v>46265</v>
      </c>
      <c r="H13" s="13">
        <v>2</v>
      </c>
      <c r="I13" t="s">
        <v>176</v>
      </c>
      <c r="J13" t="s">
        <v>177</v>
      </c>
      <c r="K13">
        <v>24</v>
      </c>
      <c r="L13" t="s">
        <v>178</v>
      </c>
    </row>
    <row r="14" spans="1:12" ht="15" customHeight="1" x14ac:dyDescent="0.35">
      <c r="A14" t="s">
        <v>12</v>
      </c>
      <c r="B14" t="s">
        <v>21</v>
      </c>
      <c r="C14" t="s">
        <v>14</v>
      </c>
      <c r="D14" t="s">
        <v>27</v>
      </c>
      <c r="E14" t="s">
        <v>14</v>
      </c>
      <c r="F14" t="s">
        <v>85</v>
      </c>
      <c r="G14" s="12">
        <v>46265</v>
      </c>
      <c r="H14" s="13">
        <v>13.178571</v>
      </c>
      <c r="I14" t="s">
        <v>176</v>
      </c>
      <c r="J14" t="s">
        <v>180</v>
      </c>
      <c r="K14">
        <v>40</v>
      </c>
      <c r="L14" t="s">
        <v>178</v>
      </c>
    </row>
    <row r="15" spans="1:12" ht="15" customHeight="1" x14ac:dyDescent="0.35">
      <c r="A15" t="s">
        <v>12</v>
      </c>
      <c r="B15" t="s">
        <v>21</v>
      </c>
      <c r="C15" t="s">
        <v>14</v>
      </c>
      <c r="D15" t="s">
        <v>30</v>
      </c>
      <c r="E15" t="s">
        <v>14</v>
      </c>
      <c r="F15" t="s">
        <v>85</v>
      </c>
      <c r="G15" s="12">
        <v>46265</v>
      </c>
      <c r="H15" s="13">
        <v>9</v>
      </c>
      <c r="I15" t="s">
        <v>176</v>
      </c>
      <c r="J15" t="s">
        <v>177</v>
      </c>
      <c r="K15">
        <v>40</v>
      </c>
      <c r="L15" t="s">
        <v>178</v>
      </c>
    </row>
    <row r="16" spans="1:12" ht="15" customHeight="1" x14ac:dyDescent="0.35">
      <c r="A16" t="s">
        <v>12</v>
      </c>
      <c r="B16" t="s">
        <v>21</v>
      </c>
      <c r="C16" t="s">
        <v>14</v>
      </c>
      <c r="D16" t="s">
        <v>130</v>
      </c>
      <c r="E16" t="s">
        <v>14</v>
      </c>
      <c r="F16" t="s">
        <v>85</v>
      </c>
      <c r="G16" s="12">
        <v>46265</v>
      </c>
      <c r="H16" s="13">
        <v>8.8214290000000002</v>
      </c>
      <c r="I16" t="s">
        <v>179</v>
      </c>
      <c r="J16" t="s">
        <v>177</v>
      </c>
      <c r="K16">
        <v>8.8214290000000002</v>
      </c>
      <c r="L16" t="s">
        <v>181</v>
      </c>
    </row>
    <row r="17" spans="1:12" ht="15" customHeight="1" x14ac:dyDescent="0.35">
      <c r="A17" t="s">
        <v>12</v>
      </c>
      <c r="B17" t="s">
        <v>138</v>
      </c>
      <c r="C17" t="s">
        <v>14</v>
      </c>
      <c r="D17" t="s">
        <v>17</v>
      </c>
      <c r="E17" t="s">
        <v>14</v>
      </c>
      <c r="F17" t="s">
        <v>81</v>
      </c>
      <c r="G17" s="12">
        <v>46265</v>
      </c>
      <c r="H17" s="13">
        <v>2.230769</v>
      </c>
      <c r="I17" t="s">
        <v>182</v>
      </c>
      <c r="J17" t="s">
        <v>180</v>
      </c>
      <c r="K17">
        <v>37.230769000000002</v>
      </c>
      <c r="L17" t="s">
        <v>178</v>
      </c>
    </row>
    <row r="18" spans="1:12" ht="15" customHeight="1" x14ac:dyDescent="0.35">
      <c r="A18" t="s">
        <v>12</v>
      </c>
      <c r="B18" t="s">
        <v>138</v>
      </c>
      <c r="C18" t="s">
        <v>14</v>
      </c>
      <c r="D18" t="s">
        <v>123</v>
      </c>
      <c r="E18" t="s">
        <v>14</v>
      </c>
      <c r="F18" t="s">
        <v>81</v>
      </c>
      <c r="G18" s="12">
        <v>46265</v>
      </c>
      <c r="H18" s="13">
        <v>2.6153849999999998</v>
      </c>
      <c r="I18" t="s">
        <v>182</v>
      </c>
      <c r="J18" t="s">
        <v>177</v>
      </c>
      <c r="K18">
        <v>20</v>
      </c>
      <c r="L18" t="s">
        <v>178</v>
      </c>
    </row>
    <row r="19" spans="1:12" ht="15" customHeight="1" x14ac:dyDescent="0.35">
      <c r="A19" t="s">
        <v>12</v>
      </c>
      <c r="B19" t="s">
        <v>138</v>
      </c>
      <c r="C19" t="s">
        <v>14</v>
      </c>
      <c r="D19" t="s">
        <v>24</v>
      </c>
      <c r="E19" t="s">
        <v>14</v>
      </c>
      <c r="F19" t="s">
        <v>81</v>
      </c>
      <c r="G19" s="12">
        <v>46265</v>
      </c>
      <c r="H19" s="13">
        <v>1.1538459999999999</v>
      </c>
      <c r="I19" t="s">
        <v>182</v>
      </c>
      <c r="J19" t="s">
        <v>177</v>
      </c>
      <c r="K19">
        <v>40</v>
      </c>
      <c r="L19" t="s">
        <v>178</v>
      </c>
    </row>
    <row r="20" spans="1:12" ht="15" customHeight="1" x14ac:dyDescent="0.35">
      <c r="A20" t="s">
        <v>12</v>
      </c>
      <c r="B20" t="s">
        <v>128</v>
      </c>
      <c r="C20" t="s">
        <v>14</v>
      </c>
      <c r="D20" t="s">
        <v>128</v>
      </c>
      <c r="E20" t="s">
        <v>14</v>
      </c>
      <c r="F20" t="s">
        <v>108</v>
      </c>
      <c r="G20" s="12">
        <v>46265</v>
      </c>
      <c r="H20" s="13">
        <v>2</v>
      </c>
      <c r="I20" t="s">
        <v>183</v>
      </c>
      <c r="J20" t="s">
        <v>180</v>
      </c>
      <c r="K20">
        <v>2</v>
      </c>
      <c r="L20" t="s">
        <v>181</v>
      </c>
    </row>
    <row r="21" spans="1:12" ht="15" customHeight="1" x14ac:dyDescent="0.35">
      <c r="A21" t="s">
        <v>12</v>
      </c>
      <c r="B21" t="s">
        <v>20</v>
      </c>
      <c r="C21" t="s">
        <v>10</v>
      </c>
      <c r="D21" t="s">
        <v>36</v>
      </c>
      <c r="E21" t="s">
        <v>10</v>
      </c>
      <c r="F21" t="s">
        <v>85</v>
      </c>
      <c r="G21" s="12">
        <v>46272</v>
      </c>
      <c r="H21" s="13">
        <v>5.5</v>
      </c>
      <c r="I21" t="s">
        <v>176</v>
      </c>
      <c r="J21" t="s">
        <v>177</v>
      </c>
      <c r="K21">
        <v>23.5</v>
      </c>
      <c r="L21" t="s">
        <v>178</v>
      </c>
    </row>
    <row r="22" spans="1:12" ht="15" customHeight="1" x14ac:dyDescent="0.35">
      <c r="A22" t="s">
        <v>12</v>
      </c>
      <c r="B22" t="s">
        <v>20</v>
      </c>
      <c r="C22" t="s">
        <v>10</v>
      </c>
      <c r="D22" t="s">
        <v>116</v>
      </c>
      <c r="E22" t="s">
        <v>10</v>
      </c>
      <c r="F22" t="s">
        <v>43</v>
      </c>
      <c r="G22" s="12">
        <v>46272</v>
      </c>
      <c r="H22" s="13">
        <v>10</v>
      </c>
      <c r="I22" t="s">
        <v>176</v>
      </c>
      <c r="J22" t="s">
        <v>177</v>
      </c>
      <c r="K22">
        <v>31</v>
      </c>
      <c r="L22" t="s">
        <v>178</v>
      </c>
    </row>
    <row r="23" spans="1:12" ht="15" customHeight="1" x14ac:dyDescent="0.35">
      <c r="A23" t="s">
        <v>12</v>
      </c>
      <c r="B23" t="s">
        <v>20</v>
      </c>
      <c r="C23" t="s">
        <v>10</v>
      </c>
      <c r="D23" t="s">
        <v>33</v>
      </c>
      <c r="E23" t="s">
        <v>10</v>
      </c>
      <c r="F23" t="s">
        <v>100</v>
      </c>
      <c r="G23" s="12">
        <v>46272</v>
      </c>
      <c r="H23" s="13">
        <v>1</v>
      </c>
      <c r="I23" t="s">
        <v>176</v>
      </c>
      <c r="J23" t="s">
        <v>177</v>
      </c>
      <c r="K23">
        <v>8</v>
      </c>
      <c r="L23" t="s">
        <v>178</v>
      </c>
    </row>
    <row r="24" spans="1:12" ht="15" customHeight="1" x14ac:dyDescent="0.35">
      <c r="A24" t="s">
        <v>12</v>
      </c>
      <c r="B24" t="s">
        <v>21</v>
      </c>
      <c r="C24" t="s">
        <v>14</v>
      </c>
      <c r="D24" t="s">
        <v>30</v>
      </c>
      <c r="E24" t="s">
        <v>14</v>
      </c>
      <c r="F24" t="s">
        <v>85</v>
      </c>
      <c r="G24" s="12">
        <v>46272</v>
      </c>
      <c r="H24" s="13">
        <v>9</v>
      </c>
      <c r="I24" t="s">
        <v>176</v>
      </c>
      <c r="J24" t="s">
        <v>177</v>
      </c>
      <c r="K24">
        <v>28</v>
      </c>
      <c r="L24" t="s">
        <v>178</v>
      </c>
    </row>
    <row r="25" spans="1:12" ht="15" customHeight="1" x14ac:dyDescent="0.35">
      <c r="A25" t="s">
        <v>12</v>
      </c>
      <c r="B25" t="s">
        <v>21</v>
      </c>
      <c r="C25" t="s">
        <v>14</v>
      </c>
      <c r="D25" t="s">
        <v>13</v>
      </c>
      <c r="E25" t="s">
        <v>14</v>
      </c>
      <c r="F25" t="s">
        <v>43</v>
      </c>
      <c r="G25" s="12">
        <v>46272</v>
      </c>
      <c r="H25" s="13">
        <v>15</v>
      </c>
      <c r="I25" t="s">
        <v>176</v>
      </c>
      <c r="J25" t="s">
        <v>177</v>
      </c>
      <c r="K25">
        <v>32</v>
      </c>
      <c r="L25" t="s">
        <v>178</v>
      </c>
    </row>
    <row r="26" spans="1:12" ht="15" customHeight="1" x14ac:dyDescent="0.35">
      <c r="A26" t="s">
        <v>12</v>
      </c>
      <c r="B26" t="s">
        <v>130</v>
      </c>
      <c r="C26" t="s">
        <v>14</v>
      </c>
      <c r="D26" t="s">
        <v>30</v>
      </c>
      <c r="E26" t="s">
        <v>14</v>
      </c>
      <c r="F26" t="s">
        <v>85</v>
      </c>
      <c r="G26" s="12">
        <v>46272</v>
      </c>
      <c r="H26" s="13">
        <v>12</v>
      </c>
      <c r="I26" t="s">
        <v>182</v>
      </c>
      <c r="J26" t="s">
        <v>177</v>
      </c>
      <c r="K26">
        <v>40</v>
      </c>
      <c r="L26" t="s">
        <v>178</v>
      </c>
    </row>
    <row r="27" spans="1:12" ht="15" customHeight="1" x14ac:dyDescent="0.35">
      <c r="A27" t="s">
        <v>12</v>
      </c>
      <c r="B27" t="s">
        <v>130</v>
      </c>
      <c r="C27" t="s">
        <v>14</v>
      </c>
      <c r="D27" t="s">
        <v>130</v>
      </c>
      <c r="E27" t="s">
        <v>14</v>
      </c>
      <c r="F27" t="s">
        <v>85</v>
      </c>
      <c r="G27" s="12">
        <v>46272</v>
      </c>
      <c r="H27" s="13">
        <v>12</v>
      </c>
      <c r="I27" t="s">
        <v>183</v>
      </c>
      <c r="J27" t="s">
        <v>177</v>
      </c>
      <c r="K27">
        <v>12</v>
      </c>
      <c r="L27" t="s">
        <v>181</v>
      </c>
    </row>
    <row r="28" spans="1:12" ht="15" customHeight="1" x14ac:dyDescent="0.35">
      <c r="A28" t="s">
        <v>12</v>
      </c>
      <c r="B28" t="s">
        <v>128</v>
      </c>
      <c r="C28" t="s">
        <v>14</v>
      </c>
      <c r="D28" t="s">
        <v>17</v>
      </c>
      <c r="E28" t="s">
        <v>14</v>
      </c>
      <c r="F28" t="s">
        <v>108</v>
      </c>
      <c r="G28" s="12">
        <v>46272</v>
      </c>
      <c r="H28" s="13">
        <v>5</v>
      </c>
      <c r="I28" t="s">
        <v>182</v>
      </c>
      <c r="J28" t="s">
        <v>180</v>
      </c>
      <c r="K28">
        <v>8</v>
      </c>
      <c r="L28" t="s">
        <v>178</v>
      </c>
    </row>
    <row r="29" spans="1:12" ht="15" customHeight="1" x14ac:dyDescent="0.35">
      <c r="A29" t="s">
        <v>12</v>
      </c>
      <c r="B29" t="s">
        <v>129</v>
      </c>
      <c r="C29" t="s">
        <v>14</v>
      </c>
      <c r="D29" t="s">
        <v>27</v>
      </c>
      <c r="E29" t="s">
        <v>14</v>
      </c>
      <c r="F29" t="s">
        <v>102</v>
      </c>
      <c r="G29" s="12">
        <v>46272</v>
      </c>
      <c r="H29" s="13">
        <v>20</v>
      </c>
      <c r="I29" t="s">
        <v>182</v>
      </c>
      <c r="J29" t="s">
        <v>180</v>
      </c>
      <c r="K29">
        <v>25.821428999999998</v>
      </c>
      <c r="L29" t="s">
        <v>178</v>
      </c>
    </row>
    <row r="30" spans="1:12" ht="15" customHeight="1" x14ac:dyDescent="0.35">
      <c r="A30" t="s">
        <v>12</v>
      </c>
      <c r="B30" t="s">
        <v>20</v>
      </c>
      <c r="C30" t="s">
        <v>10</v>
      </c>
      <c r="D30" t="s">
        <v>36</v>
      </c>
      <c r="E30" t="s">
        <v>10</v>
      </c>
      <c r="F30" t="s">
        <v>85</v>
      </c>
      <c r="G30" s="12">
        <v>46279</v>
      </c>
      <c r="H30" s="13">
        <v>5.5</v>
      </c>
      <c r="I30" t="s">
        <v>176</v>
      </c>
      <c r="J30" t="s">
        <v>177</v>
      </c>
      <c r="K30">
        <v>13.5</v>
      </c>
      <c r="L30" t="s">
        <v>178</v>
      </c>
    </row>
    <row r="31" spans="1:12" ht="15" customHeight="1" x14ac:dyDescent="0.35">
      <c r="A31" t="s">
        <v>12</v>
      </c>
      <c r="B31" t="s">
        <v>20</v>
      </c>
      <c r="C31" t="s">
        <v>10</v>
      </c>
      <c r="D31" t="s">
        <v>9</v>
      </c>
      <c r="E31" t="s">
        <v>10</v>
      </c>
      <c r="F31" t="s">
        <v>43</v>
      </c>
      <c r="G31" s="12">
        <v>46279</v>
      </c>
      <c r="H31" s="13">
        <v>10</v>
      </c>
      <c r="I31" t="s">
        <v>176</v>
      </c>
      <c r="J31" t="s">
        <v>177</v>
      </c>
      <c r="K31">
        <v>12</v>
      </c>
      <c r="L31" t="s">
        <v>178</v>
      </c>
    </row>
    <row r="32" spans="1:12" ht="15" customHeight="1" x14ac:dyDescent="0.35">
      <c r="A32" t="s">
        <v>12</v>
      </c>
      <c r="B32" t="s">
        <v>20</v>
      </c>
      <c r="C32" t="s">
        <v>10</v>
      </c>
      <c r="D32" t="s">
        <v>9</v>
      </c>
      <c r="E32" t="s">
        <v>10</v>
      </c>
      <c r="F32" t="s">
        <v>100</v>
      </c>
      <c r="G32" s="12">
        <v>46279</v>
      </c>
      <c r="H32" s="13">
        <v>2</v>
      </c>
      <c r="I32" t="s">
        <v>176</v>
      </c>
      <c r="J32" t="s">
        <v>177</v>
      </c>
      <c r="K32">
        <v>2</v>
      </c>
      <c r="L32" t="s">
        <v>178</v>
      </c>
    </row>
    <row r="33" spans="1:12" ht="15" customHeight="1" x14ac:dyDescent="0.35">
      <c r="A33" t="s">
        <v>12</v>
      </c>
      <c r="B33" t="s">
        <v>21</v>
      </c>
      <c r="C33" t="s">
        <v>14</v>
      </c>
      <c r="D33" t="s">
        <v>27</v>
      </c>
      <c r="E33" t="s">
        <v>14</v>
      </c>
      <c r="F33" t="s">
        <v>85</v>
      </c>
      <c r="G33" s="12">
        <v>46279</v>
      </c>
      <c r="H33" s="13">
        <v>4</v>
      </c>
      <c r="I33" t="s">
        <v>176</v>
      </c>
      <c r="J33" t="s">
        <v>180</v>
      </c>
      <c r="K33">
        <v>8.8214290000000002</v>
      </c>
      <c r="L33" t="s">
        <v>178</v>
      </c>
    </row>
    <row r="34" spans="1:12" ht="15" customHeight="1" x14ac:dyDescent="0.35">
      <c r="A34" t="s">
        <v>12</v>
      </c>
      <c r="B34" t="s">
        <v>21</v>
      </c>
      <c r="C34" t="s">
        <v>14</v>
      </c>
      <c r="D34" t="s">
        <v>30</v>
      </c>
      <c r="E34" t="s">
        <v>14</v>
      </c>
      <c r="F34" t="s">
        <v>85</v>
      </c>
      <c r="G34" s="12">
        <v>46279</v>
      </c>
      <c r="H34" s="13">
        <v>6</v>
      </c>
      <c r="I34" t="s">
        <v>176</v>
      </c>
      <c r="J34" t="s">
        <v>177</v>
      </c>
      <c r="K34">
        <v>40</v>
      </c>
      <c r="L34" t="s">
        <v>178</v>
      </c>
    </row>
    <row r="35" spans="1:12" ht="15" customHeight="1" x14ac:dyDescent="0.35">
      <c r="A35" t="s">
        <v>12</v>
      </c>
      <c r="B35" t="s">
        <v>21</v>
      </c>
      <c r="C35" t="s">
        <v>14</v>
      </c>
      <c r="D35" t="s">
        <v>13</v>
      </c>
      <c r="E35" t="s">
        <v>14</v>
      </c>
      <c r="F35" t="s">
        <v>43</v>
      </c>
      <c r="G35" s="12">
        <v>46279</v>
      </c>
      <c r="H35" s="13">
        <v>2</v>
      </c>
      <c r="I35" t="s">
        <v>176</v>
      </c>
      <c r="J35" t="s">
        <v>177</v>
      </c>
      <c r="K35">
        <v>40</v>
      </c>
      <c r="L35" t="s">
        <v>178</v>
      </c>
    </row>
    <row r="36" spans="1:12" ht="15" customHeight="1" x14ac:dyDescent="0.35">
      <c r="A36" t="s">
        <v>12</v>
      </c>
      <c r="B36" t="s">
        <v>21</v>
      </c>
      <c r="C36" t="s">
        <v>14</v>
      </c>
      <c r="D36" t="s">
        <v>135</v>
      </c>
      <c r="E36" t="s">
        <v>14</v>
      </c>
      <c r="F36" t="s">
        <v>43</v>
      </c>
      <c r="G36" s="12">
        <v>46279</v>
      </c>
      <c r="H36" s="13">
        <v>13</v>
      </c>
      <c r="I36" t="s">
        <v>176</v>
      </c>
      <c r="J36" t="s">
        <v>177</v>
      </c>
      <c r="K36">
        <v>13</v>
      </c>
      <c r="L36" t="s">
        <v>178</v>
      </c>
    </row>
    <row r="37" spans="1:12" ht="15" customHeight="1" x14ac:dyDescent="0.35">
      <c r="A37" t="s">
        <v>12</v>
      </c>
      <c r="B37" t="s">
        <v>138</v>
      </c>
      <c r="C37" t="s">
        <v>14</v>
      </c>
      <c r="D37" t="s">
        <v>27</v>
      </c>
      <c r="E37" t="s">
        <v>14</v>
      </c>
      <c r="F37" t="s">
        <v>81</v>
      </c>
      <c r="G37" s="12">
        <v>46279</v>
      </c>
      <c r="H37" s="13">
        <v>6</v>
      </c>
      <c r="I37" t="s">
        <v>182</v>
      </c>
      <c r="J37" t="s">
        <v>177</v>
      </c>
      <c r="K37">
        <v>14.821429</v>
      </c>
      <c r="L37" t="s">
        <v>178</v>
      </c>
    </row>
    <row r="38" spans="1:12" ht="15" customHeight="1" x14ac:dyDescent="0.35">
      <c r="A38" t="s">
        <v>12</v>
      </c>
      <c r="B38" t="s">
        <v>130</v>
      </c>
      <c r="C38" t="s">
        <v>14</v>
      </c>
      <c r="D38" t="s">
        <v>17</v>
      </c>
      <c r="E38" t="s">
        <v>14</v>
      </c>
      <c r="F38" t="s">
        <v>85</v>
      </c>
      <c r="G38" s="12">
        <v>46279</v>
      </c>
      <c r="H38" s="13">
        <v>24</v>
      </c>
      <c r="I38" t="s">
        <v>182</v>
      </c>
      <c r="J38" t="s">
        <v>180</v>
      </c>
      <c r="K38">
        <v>29</v>
      </c>
      <c r="L38" t="s">
        <v>178</v>
      </c>
    </row>
    <row r="39" spans="1:12" ht="15" customHeight="1" x14ac:dyDescent="0.35">
      <c r="A39" t="s">
        <v>12</v>
      </c>
      <c r="B39" t="s">
        <v>128</v>
      </c>
      <c r="C39" t="s">
        <v>14</v>
      </c>
      <c r="D39" t="s">
        <v>24</v>
      </c>
      <c r="E39" t="s">
        <v>14</v>
      </c>
      <c r="F39" t="s">
        <v>108</v>
      </c>
      <c r="G39" s="12">
        <v>46279</v>
      </c>
      <c r="H39" s="13">
        <v>5</v>
      </c>
      <c r="I39" t="s">
        <v>182</v>
      </c>
      <c r="J39" t="s">
        <v>180</v>
      </c>
      <c r="K39">
        <v>17.346153999999999</v>
      </c>
      <c r="L39" t="s">
        <v>178</v>
      </c>
    </row>
    <row r="40" spans="1:12" ht="15" customHeight="1" x14ac:dyDescent="0.35">
      <c r="A40" t="s">
        <v>12</v>
      </c>
      <c r="B40" t="s">
        <v>129</v>
      </c>
      <c r="C40" t="s">
        <v>14</v>
      </c>
      <c r="D40" t="s">
        <v>26</v>
      </c>
      <c r="E40" t="s">
        <v>14</v>
      </c>
      <c r="F40" t="s">
        <v>102</v>
      </c>
      <c r="G40" s="12">
        <v>46279</v>
      </c>
      <c r="H40" s="13">
        <v>1</v>
      </c>
      <c r="I40" t="s">
        <v>182</v>
      </c>
      <c r="J40" t="s">
        <v>177</v>
      </c>
      <c r="K40">
        <v>40</v>
      </c>
      <c r="L40" t="s">
        <v>178</v>
      </c>
    </row>
    <row r="41" spans="1:12" ht="15" customHeight="1" x14ac:dyDescent="0.35">
      <c r="A41" t="s">
        <v>12</v>
      </c>
      <c r="B41" t="s">
        <v>129</v>
      </c>
      <c r="C41" t="s">
        <v>14</v>
      </c>
      <c r="D41" t="s">
        <v>129</v>
      </c>
      <c r="E41" t="s">
        <v>14</v>
      </c>
      <c r="F41" t="s">
        <v>102</v>
      </c>
      <c r="G41" s="12">
        <v>46279</v>
      </c>
      <c r="H41" s="13">
        <v>19</v>
      </c>
      <c r="I41" t="s">
        <v>183</v>
      </c>
      <c r="J41" t="s">
        <v>180</v>
      </c>
      <c r="K41">
        <v>19</v>
      </c>
      <c r="L41" t="s">
        <v>181</v>
      </c>
    </row>
    <row r="42" spans="1:12" ht="15" customHeight="1" x14ac:dyDescent="0.35">
      <c r="A42" t="s">
        <v>12</v>
      </c>
      <c r="B42" t="s">
        <v>130</v>
      </c>
      <c r="C42" t="s">
        <v>14</v>
      </c>
      <c r="D42" t="s">
        <v>21</v>
      </c>
      <c r="E42" t="s">
        <v>14</v>
      </c>
      <c r="F42" t="s">
        <v>85</v>
      </c>
      <c r="G42" s="12">
        <v>46286</v>
      </c>
      <c r="H42" s="13">
        <v>2</v>
      </c>
      <c r="I42" t="s">
        <v>182</v>
      </c>
      <c r="J42" t="s">
        <v>177</v>
      </c>
      <c r="K42">
        <v>20</v>
      </c>
      <c r="L42" t="s">
        <v>178</v>
      </c>
    </row>
    <row r="43" spans="1:12" ht="15" customHeight="1" x14ac:dyDescent="0.35">
      <c r="A43" t="s">
        <v>12</v>
      </c>
      <c r="B43" t="s">
        <v>128</v>
      </c>
      <c r="C43" t="s">
        <v>14</v>
      </c>
      <c r="D43" t="s">
        <v>128</v>
      </c>
      <c r="E43" t="s">
        <v>14</v>
      </c>
      <c r="F43" t="s">
        <v>108</v>
      </c>
      <c r="G43" s="12">
        <v>46286</v>
      </c>
      <c r="H43" s="13">
        <v>4</v>
      </c>
      <c r="I43" t="s">
        <v>183</v>
      </c>
      <c r="J43" t="s">
        <v>180</v>
      </c>
      <c r="K43">
        <v>4</v>
      </c>
      <c r="L43" t="s">
        <v>181</v>
      </c>
    </row>
    <row r="44" spans="1:12" ht="15" customHeight="1" x14ac:dyDescent="0.35">
      <c r="A44" t="s">
        <v>12</v>
      </c>
      <c r="B44" t="s">
        <v>129</v>
      </c>
      <c r="C44" t="s">
        <v>14</v>
      </c>
      <c r="D44" t="s">
        <v>17</v>
      </c>
      <c r="E44" t="s">
        <v>14</v>
      </c>
      <c r="F44" t="s">
        <v>102</v>
      </c>
      <c r="G44" s="12">
        <v>46286</v>
      </c>
      <c r="H44" s="13">
        <v>28</v>
      </c>
      <c r="I44" t="s">
        <v>182</v>
      </c>
      <c r="J44" t="s">
        <v>180</v>
      </c>
      <c r="K44">
        <v>31</v>
      </c>
      <c r="L44" t="s">
        <v>178</v>
      </c>
    </row>
    <row r="45" spans="1:12" ht="15" customHeight="1" x14ac:dyDescent="0.35">
      <c r="A45" t="s">
        <v>12</v>
      </c>
      <c r="B45" t="s">
        <v>132</v>
      </c>
      <c r="C45" t="s">
        <v>14</v>
      </c>
      <c r="D45" t="s">
        <v>24</v>
      </c>
      <c r="E45" t="s">
        <v>14</v>
      </c>
      <c r="F45" t="s">
        <v>103</v>
      </c>
      <c r="G45" s="12">
        <v>46286</v>
      </c>
      <c r="H45" s="13">
        <v>15</v>
      </c>
      <c r="I45" t="s">
        <v>182</v>
      </c>
      <c r="J45" t="s">
        <v>177</v>
      </c>
      <c r="K45">
        <v>25.346153999999999</v>
      </c>
      <c r="L45" t="s">
        <v>178</v>
      </c>
    </row>
    <row r="46" spans="1:12" ht="15" customHeight="1" x14ac:dyDescent="0.35">
      <c r="A46" t="s">
        <v>29</v>
      </c>
      <c r="B46" t="s">
        <v>28</v>
      </c>
      <c r="C46" t="s">
        <v>10</v>
      </c>
      <c r="D46" t="s">
        <v>35</v>
      </c>
      <c r="E46" t="s">
        <v>10</v>
      </c>
      <c r="F46" t="s">
        <v>91</v>
      </c>
      <c r="G46" s="12">
        <v>46293</v>
      </c>
      <c r="H46" s="13">
        <v>5</v>
      </c>
      <c r="I46" t="s">
        <v>176</v>
      </c>
      <c r="J46" t="s">
        <v>177</v>
      </c>
      <c r="K46">
        <v>40</v>
      </c>
      <c r="L46" t="s">
        <v>178</v>
      </c>
    </row>
    <row r="47" spans="1:12" ht="15" customHeight="1" x14ac:dyDescent="0.35">
      <c r="A47" t="s">
        <v>12</v>
      </c>
      <c r="B47" t="s">
        <v>130</v>
      </c>
      <c r="C47" t="s">
        <v>14</v>
      </c>
      <c r="D47" t="s">
        <v>21</v>
      </c>
      <c r="E47" t="s">
        <v>14</v>
      </c>
      <c r="F47" t="s">
        <v>85</v>
      </c>
      <c r="G47" s="12">
        <v>46293</v>
      </c>
      <c r="H47" s="13">
        <v>22</v>
      </c>
      <c r="I47" t="s">
        <v>182</v>
      </c>
      <c r="J47" t="s">
        <v>177</v>
      </c>
      <c r="K47">
        <v>34</v>
      </c>
      <c r="L47" t="s">
        <v>178</v>
      </c>
    </row>
    <row r="48" spans="1:12" ht="15" customHeight="1" x14ac:dyDescent="0.35">
      <c r="A48" t="s">
        <v>12</v>
      </c>
      <c r="B48" t="s">
        <v>128</v>
      </c>
      <c r="C48" t="s">
        <v>14</v>
      </c>
      <c r="D48" t="s">
        <v>128</v>
      </c>
      <c r="E48" t="s">
        <v>14</v>
      </c>
      <c r="F48" t="s">
        <v>108</v>
      </c>
      <c r="G48" s="12">
        <v>46293</v>
      </c>
      <c r="H48" s="13">
        <v>3</v>
      </c>
      <c r="I48" t="s">
        <v>183</v>
      </c>
      <c r="J48" t="s">
        <v>180</v>
      </c>
      <c r="K48">
        <v>3</v>
      </c>
      <c r="L48" t="s">
        <v>181</v>
      </c>
    </row>
    <row r="49" spans="1:12" ht="15" customHeight="1" x14ac:dyDescent="0.35">
      <c r="A49" t="s">
        <v>12</v>
      </c>
      <c r="B49" t="s">
        <v>129</v>
      </c>
      <c r="C49" t="s">
        <v>14</v>
      </c>
      <c r="D49" t="s">
        <v>17</v>
      </c>
      <c r="E49" t="s">
        <v>14</v>
      </c>
      <c r="F49" t="s">
        <v>102</v>
      </c>
      <c r="G49" s="12">
        <v>46293</v>
      </c>
      <c r="H49" s="13">
        <v>16</v>
      </c>
      <c r="I49" t="s">
        <v>182</v>
      </c>
      <c r="J49" t="s">
        <v>180</v>
      </c>
      <c r="K49">
        <v>19</v>
      </c>
      <c r="L49" t="s">
        <v>178</v>
      </c>
    </row>
    <row r="50" spans="1:12" ht="15" customHeight="1" x14ac:dyDescent="0.35">
      <c r="A50" t="s">
        <v>12</v>
      </c>
      <c r="B50" t="s">
        <v>132</v>
      </c>
      <c r="C50" t="s">
        <v>14</v>
      </c>
      <c r="D50" t="s">
        <v>24</v>
      </c>
      <c r="E50" t="s">
        <v>14</v>
      </c>
      <c r="F50" t="s">
        <v>103</v>
      </c>
      <c r="G50" s="12">
        <v>46293</v>
      </c>
      <c r="H50" s="13">
        <v>15</v>
      </c>
      <c r="I50" t="s">
        <v>182</v>
      </c>
      <c r="J50" t="s">
        <v>177</v>
      </c>
      <c r="K50">
        <v>31.346153999999999</v>
      </c>
      <c r="L50" t="s">
        <v>178</v>
      </c>
    </row>
    <row r="51" spans="1:12" ht="15" customHeight="1" x14ac:dyDescent="0.35">
      <c r="A51" t="s">
        <v>12</v>
      </c>
      <c r="B51" t="s">
        <v>130</v>
      </c>
      <c r="C51" t="s">
        <v>14</v>
      </c>
      <c r="D51" t="s">
        <v>21</v>
      </c>
      <c r="E51" t="s">
        <v>14</v>
      </c>
      <c r="F51" t="s">
        <v>85</v>
      </c>
      <c r="G51" s="12">
        <v>46300</v>
      </c>
      <c r="H51" s="13">
        <v>24</v>
      </c>
      <c r="I51" t="s">
        <v>182</v>
      </c>
      <c r="J51" t="s">
        <v>177</v>
      </c>
      <c r="K51">
        <v>40</v>
      </c>
      <c r="L51" t="s">
        <v>178</v>
      </c>
    </row>
    <row r="52" spans="1:12" ht="15" customHeight="1" x14ac:dyDescent="0.35">
      <c r="A52" t="s">
        <v>12</v>
      </c>
      <c r="B52" t="s">
        <v>130</v>
      </c>
      <c r="C52" t="s">
        <v>14</v>
      </c>
      <c r="D52" t="s">
        <v>30</v>
      </c>
      <c r="E52" t="s">
        <v>14</v>
      </c>
      <c r="F52" t="s">
        <v>85</v>
      </c>
      <c r="G52" s="12">
        <v>46300</v>
      </c>
      <c r="H52" s="13">
        <v>2</v>
      </c>
      <c r="I52" t="s">
        <v>182</v>
      </c>
      <c r="J52" t="s">
        <v>177</v>
      </c>
      <c r="K52">
        <v>26</v>
      </c>
      <c r="L52" t="s">
        <v>178</v>
      </c>
    </row>
    <row r="53" spans="1:12" ht="15" customHeight="1" x14ac:dyDescent="0.35">
      <c r="A53" t="s">
        <v>12</v>
      </c>
      <c r="B53" t="s">
        <v>133</v>
      </c>
      <c r="C53" t="s">
        <v>14</v>
      </c>
      <c r="D53" t="s">
        <v>17</v>
      </c>
      <c r="E53" t="s">
        <v>14</v>
      </c>
      <c r="F53" t="s">
        <v>46</v>
      </c>
      <c r="G53" s="12">
        <v>46300</v>
      </c>
      <c r="H53" s="13">
        <v>1.5</v>
      </c>
      <c r="I53" t="s">
        <v>184</v>
      </c>
      <c r="J53" t="s">
        <v>177</v>
      </c>
      <c r="K53">
        <v>14.5</v>
      </c>
      <c r="L53" t="s">
        <v>178</v>
      </c>
    </row>
    <row r="54" spans="1:12" ht="15" customHeight="1" x14ac:dyDescent="0.35">
      <c r="A54" t="s">
        <v>12</v>
      </c>
      <c r="B54" t="s">
        <v>128</v>
      </c>
      <c r="C54" t="s">
        <v>14</v>
      </c>
      <c r="D54" t="s">
        <v>128</v>
      </c>
      <c r="E54" t="s">
        <v>14</v>
      </c>
      <c r="F54" t="s">
        <v>108</v>
      </c>
      <c r="G54" s="12">
        <v>46300</v>
      </c>
      <c r="H54" s="13">
        <v>0.9</v>
      </c>
      <c r="I54" t="s">
        <v>183</v>
      </c>
      <c r="J54" t="s">
        <v>180</v>
      </c>
      <c r="K54">
        <v>0.9</v>
      </c>
      <c r="L54" t="s">
        <v>181</v>
      </c>
    </row>
    <row r="55" spans="1:12" ht="15" customHeight="1" x14ac:dyDescent="0.35">
      <c r="A55" t="s">
        <v>12</v>
      </c>
      <c r="B55" t="s">
        <v>129</v>
      </c>
      <c r="C55" t="s">
        <v>14</v>
      </c>
      <c r="D55" t="s">
        <v>26</v>
      </c>
      <c r="E55" t="s">
        <v>14</v>
      </c>
      <c r="F55" t="s">
        <v>102</v>
      </c>
      <c r="G55" s="12">
        <v>46300</v>
      </c>
      <c r="H55" s="13">
        <v>20</v>
      </c>
      <c r="I55" t="s">
        <v>182</v>
      </c>
      <c r="J55" t="s">
        <v>177</v>
      </c>
      <c r="K55">
        <v>40</v>
      </c>
      <c r="L55" t="s">
        <v>178</v>
      </c>
    </row>
    <row r="56" spans="1:12" ht="15" customHeight="1" x14ac:dyDescent="0.35">
      <c r="A56" t="s">
        <v>12</v>
      </c>
      <c r="B56" t="s">
        <v>132</v>
      </c>
      <c r="C56" t="s">
        <v>14</v>
      </c>
      <c r="D56" t="s">
        <v>24</v>
      </c>
      <c r="E56" t="s">
        <v>14</v>
      </c>
      <c r="F56" t="s">
        <v>103</v>
      </c>
      <c r="G56" s="12">
        <v>46300</v>
      </c>
      <c r="H56" s="13">
        <v>10</v>
      </c>
      <c r="I56" t="s">
        <v>182</v>
      </c>
      <c r="J56" t="s">
        <v>177</v>
      </c>
      <c r="K56">
        <v>26.346153999999999</v>
      </c>
      <c r="L56" t="s">
        <v>178</v>
      </c>
    </row>
    <row r="57" spans="1:12" ht="15" customHeight="1" x14ac:dyDescent="0.35">
      <c r="A57" t="s">
        <v>29</v>
      </c>
      <c r="B57" t="s">
        <v>31</v>
      </c>
      <c r="C57" t="s">
        <v>14</v>
      </c>
      <c r="D57" t="s">
        <v>120</v>
      </c>
      <c r="E57" t="s">
        <v>14</v>
      </c>
      <c r="F57" t="s">
        <v>92</v>
      </c>
      <c r="G57" s="12">
        <v>46307</v>
      </c>
      <c r="H57" s="13">
        <v>10</v>
      </c>
      <c r="I57" t="s">
        <v>176</v>
      </c>
      <c r="J57" t="s">
        <v>177</v>
      </c>
      <c r="K57">
        <v>30</v>
      </c>
      <c r="L57" t="s">
        <v>178</v>
      </c>
    </row>
    <row r="58" spans="1:12" ht="15" customHeight="1" x14ac:dyDescent="0.35">
      <c r="A58" t="s">
        <v>29</v>
      </c>
      <c r="B58" t="s">
        <v>32</v>
      </c>
      <c r="C58" t="s">
        <v>14</v>
      </c>
      <c r="D58" t="s">
        <v>120</v>
      </c>
      <c r="E58" t="s">
        <v>14</v>
      </c>
      <c r="F58" t="s">
        <v>92</v>
      </c>
      <c r="G58" s="12">
        <v>46307</v>
      </c>
      <c r="H58" s="13">
        <v>10</v>
      </c>
      <c r="I58" t="s">
        <v>176</v>
      </c>
      <c r="J58" t="s">
        <v>177</v>
      </c>
      <c r="K58">
        <v>40</v>
      </c>
      <c r="L58" t="s">
        <v>178</v>
      </c>
    </row>
    <row r="59" spans="1:12" ht="15" customHeight="1" x14ac:dyDescent="0.35">
      <c r="A59" t="s">
        <v>12</v>
      </c>
      <c r="B59" t="s">
        <v>30</v>
      </c>
      <c r="C59" t="s">
        <v>14</v>
      </c>
      <c r="D59" t="s">
        <v>13</v>
      </c>
      <c r="E59" t="s">
        <v>14</v>
      </c>
      <c r="F59" t="s">
        <v>100</v>
      </c>
      <c r="G59" s="12">
        <v>46307</v>
      </c>
      <c r="H59" s="13">
        <v>15</v>
      </c>
      <c r="I59" t="s">
        <v>176</v>
      </c>
      <c r="J59" t="s">
        <v>177</v>
      </c>
      <c r="K59">
        <v>40</v>
      </c>
      <c r="L59" t="s">
        <v>178</v>
      </c>
    </row>
    <row r="60" spans="1:12" ht="15" customHeight="1" x14ac:dyDescent="0.35">
      <c r="A60" t="s">
        <v>12</v>
      </c>
      <c r="B60" t="s">
        <v>130</v>
      </c>
      <c r="C60" t="s">
        <v>14</v>
      </c>
      <c r="D60" t="s">
        <v>21</v>
      </c>
      <c r="E60" t="s">
        <v>14</v>
      </c>
      <c r="F60" t="s">
        <v>85</v>
      </c>
      <c r="G60" s="12">
        <v>46307</v>
      </c>
      <c r="H60" s="13">
        <v>3</v>
      </c>
      <c r="I60" t="s">
        <v>182</v>
      </c>
      <c r="J60" t="s">
        <v>177</v>
      </c>
      <c r="K60">
        <v>40</v>
      </c>
      <c r="L60" t="s">
        <v>178</v>
      </c>
    </row>
    <row r="61" spans="1:12" ht="15" customHeight="1" x14ac:dyDescent="0.35">
      <c r="A61" t="s">
        <v>12</v>
      </c>
      <c r="B61" t="s">
        <v>130</v>
      </c>
      <c r="C61" t="s">
        <v>14</v>
      </c>
      <c r="D61" t="s">
        <v>130</v>
      </c>
      <c r="E61" t="s">
        <v>14</v>
      </c>
      <c r="F61" t="s">
        <v>85</v>
      </c>
      <c r="G61" s="12">
        <v>46307</v>
      </c>
      <c r="H61" s="13">
        <v>19</v>
      </c>
      <c r="I61" t="s">
        <v>183</v>
      </c>
      <c r="J61" t="s">
        <v>177</v>
      </c>
      <c r="K61">
        <v>19</v>
      </c>
      <c r="L61" t="s">
        <v>181</v>
      </c>
    </row>
    <row r="62" spans="1:12" ht="15" customHeight="1" x14ac:dyDescent="0.35">
      <c r="A62" t="s">
        <v>12</v>
      </c>
      <c r="B62" t="s">
        <v>134</v>
      </c>
      <c r="C62" t="s">
        <v>14</v>
      </c>
      <c r="D62" t="s">
        <v>17</v>
      </c>
      <c r="E62" t="s">
        <v>14</v>
      </c>
      <c r="F62" t="s">
        <v>99</v>
      </c>
      <c r="G62" s="12">
        <v>46307</v>
      </c>
      <c r="H62" s="13">
        <v>2.3461539999999999</v>
      </c>
      <c r="I62" t="s">
        <v>182</v>
      </c>
      <c r="J62" t="s">
        <v>180</v>
      </c>
      <c r="K62">
        <v>15.346154</v>
      </c>
      <c r="L62" t="s">
        <v>178</v>
      </c>
    </row>
    <row r="63" spans="1:12" ht="15" customHeight="1" x14ac:dyDescent="0.35">
      <c r="A63" t="s">
        <v>12</v>
      </c>
      <c r="B63" t="s">
        <v>134</v>
      </c>
      <c r="C63" t="s">
        <v>14</v>
      </c>
      <c r="D63" t="s">
        <v>27</v>
      </c>
      <c r="E63" t="s">
        <v>14</v>
      </c>
      <c r="F63" t="s">
        <v>99</v>
      </c>
      <c r="G63" s="12">
        <v>46307</v>
      </c>
      <c r="H63" s="13">
        <v>22.653846000000001</v>
      </c>
      <c r="I63" t="s">
        <v>182</v>
      </c>
      <c r="J63" t="s">
        <v>177</v>
      </c>
      <c r="K63">
        <v>40</v>
      </c>
      <c r="L63" t="s">
        <v>178</v>
      </c>
    </row>
    <row r="64" spans="1:12" ht="15" customHeight="1" x14ac:dyDescent="0.35">
      <c r="A64" t="s">
        <v>12</v>
      </c>
      <c r="B64" t="s">
        <v>133</v>
      </c>
      <c r="C64" t="s">
        <v>14</v>
      </c>
      <c r="D64" t="s">
        <v>17</v>
      </c>
      <c r="E64" t="s">
        <v>14</v>
      </c>
      <c r="F64" t="s">
        <v>46</v>
      </c>
      <c r="G64" s="12">
        <v>46307</v>
      </c>
      <c r="H64" s="13">
        <v>1.5</v>
      </c>
      <c r="I64" t="s">
        <v>184</v>
      </c>
      <c r="J64" t="s">
        <v>177</v>
      </c>
      <c r="K64">
        <v>16.846153999999999</v>
      </c>
      <c r="L64" t="s">
        <v>178</v>
      </c>
    </row>
    <row r="65" spans="1:12" ht="15" customHeight="1" x14ac:dyDescent="0.35">
      <c r="A65" t="s">
        <v>12</v>
      </c>
      <c r="B65" t="s">
        <v>129</v>
      </c>
      <c r="C65" t="s">
        <v>14</v>
      </c>
      <c r="D65" t="s">
        <v>17</v>
      </c>
      <c r="E65" t="s">
        <v>14</v>
      </c>
      <c r="F65" t="s">
        <v>102</v>
      </c>
      <c r="G65" s="12">
        <v>46307</v>
      </c>
      <c r="H65" s="13">
        <v>20</v>
      </c>
      <c r="I65" t="s">
        <v>182</v>
      </c>
      <c r="J65" t="s">
        <v>180</v>
      </c>
      <c r="K65">
        <v>36.846153999999999</v>
      </c>
      <c r="L65" t="s">
        <v>178</v>
      </c>
    </row>
    <row r="66" spans="1:12" ht="15" customHeight="1" x14ac:dyDescent="0.35">
      <c r="A66" t="s">
        <v>12</v>
      </c>
      <c r="B66" t="s">
        <v>132</v>
      </c>
      <c r="C66" t="s">
        <v>14</v>
      </c>
      <c r="D66" t="s">
        <v>24</v>
      </c>
      <c r="E66" t="s">
        <v>14</v>
      </c>
      <c r="F66" t="s">
        <v>103</v>
      </c>
      <c r="G66" s="12">
        <v>46307</v>
      </c>
      <c r="H66" s="13">
        <v>8.6538459999999997</v>
      </c>
      <c r="I66" t="s">
        <v>182</v>
      </c>
      <c r="J66" t="s">
        <v>177</v>
      </c>
      <c r="K66">
        <v>40</v>
      </c>
      <c r="L66" t="s">
        <v>178</v>
      </c>
    </row>
    <row r="67" spans="1:12" ht="15" customHeight="1" x14ac:dyDescent="0.35">
      <c r="A67" t="s">
        <v>12</v>
      </c>
      <c r="B67" t="s">
        <v>132</v>
      </c>
      <c r="C67" t="s">
        <v>14</v>
      </c>
      <c r="D67" t="s">
        <v>27</v>
      </c>
      <c r="E67" t="s">
        <v>14</v>
      </c>
      <c r="F67" t="s">
        <v>103</v>
      </c>
      <c r="G67" s="12">
        <v>46307</v>
      </c>
      <c r="H67" s="13">
        <v>6.3461540000000003</v>
      </c>
      <c r="I67" t="s">
        <v>182</v>
      </c>
      <c r="J67" t="s">
        <v>180</v>
      </c>
      <c r="K67">
        <v>17.346153999999999</v>
      </c>
      <c r="L67" t="s">
        <v>178</v>
      </c>
    </row>
    <row r="68" spans="1:12" ht="15" customHeight="1" x14ac:dyDescent="0.35">
      <c r="A68" t="s">
        <v>29</v>
      </c>
      <c r="B68" t="s">
        <v>28</v>
      </c>
      <c r="C68" t="s">
        <v>10</v>
      </c>
      <c r="D68" t="s">
        <v>143</v>
      </c>
      <c r="E68" t="s">
        <v>10</v>
      </c>
      <c r="F68" t="s">
        <v>92</v>
      </c>
      <c r="G68" s="12">
        <v>46314</v>
      </c>
      <c r="H68" s="13">
        <v>10</v>
      </c>
      <c r="I68" t="s">
        <v>176</v>
      </c>
      <c r="J68" t="s">
        <v>180</v>
      </c>
      <c r="K68">
        <v>10</v>
      </c>
      <c r="L68" t="s">
        <v>181</v>
      </c>
    </row>
    <row r="69" spans="1:12" ht="15" customHeight="1" x14ac:dyDescent="0.35">
      <c r="A69" t="s">
        <v>29</v>
      </c>
      <c r="B69" t="s">
        <v>18</v>
      </c>
      <c r="C69" t="s">
        <v>16</v>
      </c>
      <c r="D69" t="s">
        <v>90</v>
      </c>
      <c r="E69" t="s">
        <v>16</v>
      </c>
      <c r="F69" t="s">
        <v>91</v>
      </c>
      <c r="G69" s="12">
        <v>46314</v>
      </c>
      <c r="H69" s="13">
        <v>5</v>
      </c>
      <c r="I69" t="s">
        <v>176</v>
      </c>
      <c r="J69" t="s">
        <v>177</v>
      </c>
      <c r="K69">
        <v>31.5</v>
      </c>
      <c r="L69" t="s">
        <v>178</v>
      </c>
    </row>
    <row r="70" spans="1:12" ht="15" customHeight="1" x14ac:dyDescent="0.35">
      <c r="A70" t="s">
        <v>12</v>
      </c>
      <c r="B70" t="s">
        <v>36</v>
      </c>
      <c r="C70" t="s">
        <v>10</v>
      </c>
      <c r="D70" t="s">
        <v>9</v>
      </c>
      <c r="E70" t="s">
        <v>10</v>
      </c>
      <c r="F70" t="s">
        <v>84</v>
      </c>
      <c r="G70" s="12">
        <v>46314</v>
      </c>
      <c r="H70" s="13">
        <v>2.5</v>
      </c>
      <c r="I70" t="s">
        <v>176</v>
      </c>
      <c r="J70" t="s">
        <v>177</v>
      </c>
      <c r="K70">
        <v>17.5</v>
      </c>
      <c r="L70" t="s">
        <v>178</v>
      </c>
    </row>
    <row r="71" spans="1:12" ht="15" customHeight="1" x14ac:dyDescent="0.35">
      <c r="A71" t="s">
        <v>12</v>
      </c>
      <c r="B71" t="s">
        <v>23</v>
      </c>
      <c r="C71" t="s">
        <v>10</v>
      </c>
      <c r="D71" t="s">
        <v>9</v>
      </c>
      <c r="E71" t="s">
        <v>10</v>
      </c>
      <c r="F71" t="s">
        <v>81</v>
      </c>
      <c r="G71" s="12">
        <v>46314</v>
      </c>
      <c r="H71" s="13">
        <v>0.614035</v>
      </c>
      <c r="I71" t="s">
        <v>176</v>
      </c>
      <c r="J71" t="s">
        <v>177</v>
      </c>
      <c r="K71">
        <v>18.114035000000001</v>
      </c>
      <c r="L71" t="s">
        <v>178</v>
      </c>
    </row>
    <row r="72" spans="1:12" ht="15" customHeight="1" x14ac:dyDescent="0.35">
      <c r="A72" t="s">
        <v>12</v>
      </c>
      <c r="B72" t="s">
        <v>23</v>
      </c>
      <c r="C72" t="s">
        <v>10</v>
      </c>
      <c r="D72" t="s">
        <v>22</v>
      </c>
      <c r="E72" t="s">
        <v>10</v>
      </c>
      <c r="F72" t="s">
        <v>102</v>
      </c>
      <c r="G72" s="12">
        <v>46314</v>
      </c>
      <c r="H72" s="13">
        <v>1</v>
      </c>
      <c r="I72" t="s">
        <v>176</v>
      </c>
      <c r="J72" t="s">
        <v>177</v>
      </c>
      <c r="K72">
        <v>14</v>
      </c>
      <c r="L72" t="s">
        <v>178</v>
      </c>
    </row>
    <row r="73" spans="1:12" ht="15" customHeight="1" x14ac:dyDescent="0.35">
      <c r="A73" t="s">
        <v>12</v>
      </c>
      <c r="B73" t="s">
        <v>23</v>
      </c>
      <c r="C73" t="s">
        <v>10</v>
      </c>
      <c r="D73" t="s">
        <v>9</v>
      </c>
      <c r="E73" t="s">
        <v>10</v>
      </c>
      <c r="F73" t="s">
        <v>84</v>
      </c>
      <c r="G73" s="12">
        <v>46314</v>
      </c>
      <c r="H73" s="13">
        <v>5</v>
      </c>
      <c r="I73" t="s">
        <v>176</v>
      </c>
      <c r="J73" t="s">
        <v>177</v>
      </c>
      <c r="K73">
        <v>23.114035000000001</v>
      </c>
      <c r="L73" t="s">
        <v>178</v>
      </c>
    </row>
    <row r="74" spans="1:12" ht="15" customHeight="1" x14ac:dyDescent="0.35">
      <c r="A74" t="s">
        <v>12</v>
      </c>
      <c r="B74" t="s">
        <v>23</v>
      </c>
      <c r="C74" t="s">
        <v>10</v>
      </c>
      <c r="D74" t="s">
        <v>20</v>
      </c>
      <c r="E74" t="s">
        <v>10</v>
      </c>
      <c r="F74" t="s">
        <v>88</v>
      </c>
      <c r="G74" s="12">
        <v>46314</v>
      </c>
      <c r="H74" s="13">
        <v>1.5</v>
      </c>
      <c r="I74" t="s">
        <v>176</v>
      </c>
      <c r="J74" t="s">
        <v>177</v>
      </c>
      <c r="K74">
        <v>40</v>
      </c>
      <c r="L74" t="s">
        <v>178</v>
      </c>
    </row>
    <row r="75" spans="1:12" ht="15" customHeight="1" x14ac:dyDescent="0.35">
      <c r="A75" t="s">
        <v>12</v>
      </c>
      <c r="B75" t="s">
        <v>23</v>
      </c>
      <c r="C75" t="s">
        <v>10</v>
      </c>
      <c r="D75" t="s">
        <v>117</v>
      </c>
      <c r="E75" t="s">
        <v>10</v>
      </c>
      <c r="F75" t="s">
        <v>88</v>
      </c>
      <c r="G75" s="12">
        <v>46314</v>
      </c>
      <c r="H75" s="13">
        <v>6.5</v>
      </c>
      <c r="I75" t="s">
        <v>176</v>
      </c>
      <c r="J75" t="s">
        <v>180</v>
      </c>
      <c r="K75">
        <v>6.5</v>
      </c>
      <c r="L75" t="s">
        <v>178</v>
      </c>
    </row>
    <row r="76" spans="1:12" ht="15" customHeight="1" x14ac:dyDescent="0.35">
      <c r="A76" t="s">
        <v>12</v>
      </c>
      <c r="B76" t="s">
        <v>17</v>
      </c>
      <c r="C76" t="s">
        <v>14</v>
      </c>
      <c r="D76" t="s">
        <v>27</v>
      </c>
      <c r="E76" t="s">
        <v>14</v>
      </c>
      <c r="F76" t="s">
        <v>84</v>
      </c>
      <c r="G76" s="12">
        <v>46314</v>
      </c>
      <c r="H76" s="13">
        <v>2</v>
      </c>
      <c r="I76" t="s">
        <v>176</v>
      </c>
      <c r="J76" t="s">
        <v>177</v>
      </c>
      <c r="K76">
        <v>18</v>
      </c>
      <c r="L76" t="s">
        <v>178</v>
      </c>
    </row>
    <row r="77" spans="1:12" ht="15" customHeight="1" x14ac:dyDescent="0.35">
      <c r="A77" t="s">
        <v>12</v>
      </c>
      <c r="B77" t="s">
        <v>17</v>
      </c>
      <c r="C77" t="s">
        <v>14</v>
      </c>
      <c r="D77" t="s">
        <v>123</v>
      </c>
      <c r="E77" t="s">
        <v>14</v>
      </c>
      <c r="F77" t="s">
        <v>46</v>
      </c>
      <c r="G77" s="12">
        <v>46314</v>
      </c>
      <c r="H77" s="13">
        <v>3</v>
      </c>
      <c r="I77" t="s">
        <v>176</v>
      </c>
      <c r="J77" t="s">
        <v>177</v>
      </c>
      <c r="K77">
        <v>4.3846150000000002</v>
      </c>
      <c r="L77" t="s">
        <v>178</v>
      </c>
    </row>
    <row r="78" spans="1:12" ht="15" customHeight="1" x14ac:dyDescent="0.35">
      <c r="A78" t="s">
        <v>12</v>
      </c>
      <c r="B78" t="s">
        <v>24</v>
      </c>
      <c r="C78" t="s">
        <v>14</v>
      </c>
      <c r="D78" t="s">
        <v>13</v>
      </c>
      <c r="E78" t="s">
        <v>14</v>
      </c>
      <c r="F78" t="s">
        <v>81</v>
      </c>
      <c r="G78" s="12">
        <v>46314</v>
      </c>
      <c r="H78" s="13">
        <v>1.3461540000000001</v>
      </c>
      <c r="I78" t="s">
        <v>176</v>
      </c>
      <c r="J78" t="s">
        <v>177</v>
      </c>
      <c r="K78">
        <v>12.846154</v>
      </c>
      <c r="L78" t="s">
        <v>178</v>
      </c>
    </row>
    <row r="79" spans="1:12" ht="15" customHeight="1" x14ac:dyDescent="0.35">
      <c r="A79" t="s">
        <v>12</v>
      </c>
      <c r="B79" t="s">
        <v>24</v>
      </c>
      <c r="C79" t="s">
        <v>14</v>
      </c>
      <c r="D79" t="s">
        <v>27</v>
      </c>
      <c r="E79" t="s">
        <v>14</v>
      </c>
      <c r="F79" t="s">
        <v>84</v>
      </c>
      <c r="G79" s="12">
        <v>46314</v>
      </c>
      <c r="H79" s="13">
        <v>5</v>
      </c>
      <c r="I79" t="s">
        <v>176</v>
      </c>
      <c r="J79" t="s">
        <v>177</v>
      </c>
      <c r="K79">
        <v>23</v>
      </c>
      <c r="L79" t="s">
        <v>178</v>
      </c>
    </row>
    <row r="80" spans="1:12" ht="15" customHeight="1" x14ac:dyDescent="0.35">
      <c r="A80" t="s">
        <v>12</v>
      </c>
      <c r="B80" t="s">
        <v>18</v>
      </c>
      <c r="C80" t="s">
        <v>16</v>
      </c>
      <c r="D80" t="s">
        <v>15</v>
      </c>
      <c r="E80" t="s">
        <v>16</v>
      </c>
      <c r="F80" t="s">
        <v>79</v>
      </c>
      <c r="G80" s="12">
        <v>46314</v>
      </c>
      <c r="H80" s="13">
        <v>1.4035089999999999</v>
      </c>
      <c r="I80" t="s">
        <v>176</v>
      </c>
      <c r="J80" t="s">
        <v>177</v>
      </c>
      <c r="K80">
        <v>14.057017999999999</v>
      </c>
      <c r="L80" t="s">
        <v>178</v>
      </c>
    </row>
    <row r="81" spans="1:12" ht="15" customHeight="1" x14ac:dyDescent="0.35">
      <c r="A81" t="s">
        <v>12</v>
      </c>
      <c r="B81" t="s">
        <v>18</v>
      </c>
      <c r="C81" t="s">
        <v>16</v>
      </c>
      <c r="D81" t="s">
        <v>15</v>
      </c>
      <c r="E81" t="s">
        <v>16</v>
      </c>
      <c r="F81" t="s">
        <v>81</v>
      </c>
      <c r="G81" s="12">
        <v>46314</v>
      </c>
      <c r="H81" s="13">
        <v>0.25</v>
      </c>
      <c r="I81" t="s">
        <v>176</v>
      </c>
      <c r="J81" t="s">
        <v>177</v>
      </c>
      <c r="K81">
        <v>12.653509</v>
      </c>
      <c r="L81" t="s">
        <v>178</v>
      </c>
    </row>
    <row r="82" spans="1:12" ht="15" customHeight="1" x14ac:dyDescent="0.35">
      <c r="A82" t="s">
        <v>12</v>
      </c>
      <c r="B82" t="s">
        <v>18</v>
      </c>
      <c r="C82" t="s">
        <v>16</v>
      </c>
      <c r="D82" t="s">
        <v>90</v>
      </c>
      <c r="E82" t="s">
        <v>16</v>
      </c>
      <c r="F82" t="s">
        <v>84</v>
      </c>
      <c r="G82" s="12">
        <v>46314</v>
      </c>
      <c r="H82" s="13">
        <v>1</v>
      </c>
      <c r="I82" t="s">
        <v>176</v>
      </c>
      <c r="J82" t="s">
        <v>177</v>
      </c>
      <c r="K82">
        <v>26.5</v>
      </c>
      <c r="L82" t="s">
        <v>178</v>
      </c>
    </row>
    <row r="83" spans="1:12" ht="15" customHeight="1" x14ac:dyDescent="0.35">
      <c r="A83" t="s">
        <v>12</v>
      </c>
      <c r="B83" t="s">
        <v>18</v>
      </c>
      <c r="C83" t="s">
        <v>16</v>
      </c>
      <c r="D83" t="s">
        <v>75</v>
      </c>
      <c r="E83" t="s">
        <v>16</v>
      </c>
      <c r="F83" t="s">
        <v>85</v>
      </c>
      <c r="G83" s="12">
        <v>46314</v>
      </c>
      <c r="H83" s="13">
        <v>1</v>
      </c>
      <c r="I83" t="s">
        <v>176</v>
      </c>
      <c r="J83" t="s">
        <v>177</v>
      </c>
      <c r="K83">
        <v>34.929825000000001</v>
      </c>
      <c r="L83" t="s">
        <v>178</v>
      </c>
    </row>
    <row r="84" spans="1:12" ht="15" customHeight="1" x14ac:dyDescent="0.35">
      <c r="A84" t="s">
        <v>12</v>
      </c>
      <c r="B84" t="s">
        <v>18</v>
      </c>
      <c r="C84" t="s">
        <v>16</v>
      </c>
      <c r="D84" t="s">
        <v>15</v>
      </c>
      <c r="E84" t="s">
        <v>16</v>
      </c>
      <c r="F84" t="s">
        <v>103</v>
      </c>
      <c r="G84" s="12">
        <v>46314</v>
      </c>
      <c r="H84" s="13">
        <v>10</v>
      </c>
      <c r="I84" t="s">
        <v>176</v>
      </c>
      <c r="J84" t="s">
        <v>180</v>
      </c>
      <c r="K84">
        <v>26.057017999999999</v>
      </c>
      <c r="L84" t="s">
        <v>178</v>
      </c>
    </row>
    <row r="85" spans="1:12" ht="15" customHeight="1" x14ac:dyDescent="0.35">
      <c r="A85" t="s">
        <v>12</v>
      </c>
      <c r="B85" t="s">
        <v>18</v>
      </c>
      <c r="C85" t="s">
        <v>16</v>
      </c>
      <c r="D85" t="s">
        <v>15</v>
      </c>
      <c r="E85" t="s">
        <v>16</v>
      </c>
      <c r="F85" t="s">
        <v>99</v>
      </c>
      <c r="G85" s="12">
        <v>46314</v>
      </c>
      <c r="H85" s="13">
        <v>2</v>
      </c>
      <c r="I85" t="s">
        <v>176</v>
      </c>
      <c r="J85" t="s">
        <v>177</v>
      </c>
      <c r="K85">
        <v>16.057017999999999</v>
      </c>
      <c r="L85" t="s">
        <v>178</v>
      </c>
    </row>
    <row r="86" spans="1:12" ht="15" customHeight="1" x14ac:dyDescent="0.35">
      <c r="A86" t="s">
        <v>12</v>
      </c>
      <c r="B86" t="s">
        <v>18</v>
      </c>
      <c r="C86" t="s">
        <v>16</v>
      </c>
      <c r="D86" t="s">
        <v>75</v>
      </c>
      <c r="E86" t="s">
        <v>16</v>
      </c>
      <c r="F86" t="s">
        <v>88</v>
      </c>
      <c r="G86" s="12">
        <v>46314</v>
      </c>
      <c r="H86" s="13">
        <v>1.754386</v>
      </c>
      <c r="I86" t="s">
        <v>176</v>
      </c>
      <c r="J86" t="s">
        <v>177</v>
      </c>
      <c r="K86">
        <v>36.684210999999998</v>
      </c>
      <c r="L86" t="s">
        <v>178</v>
      </c>
    </row>
    <row r="87" spans="1:12" ht="15" customHeight="1" x14ac:dyDescent="0.35">
      <c r="A87" t="s">
        <v>12</v>
      </c>
      <c r="B87" t="s">
        <v>18</v>
      </c>
      <c r="C87" t="s">
        <v>16</v>
      </c>
      <c r="D87" t="s">
        <v>25</v>
      </c>
      <c r="E87" t="s">
        <v>16</v>
      </c>
      <c r="F87" t="s">
        <v>88</v>
      </c>
      <c r="G87" s="12">
        <v>46314</v>
      </c>
      <c r="H87" s="13">
        <v>5.2456139999999998</v>
      </c>
      <c r="I87" t="s">
        <v>176</v>
      </c>
      <c r="J87" t="s">
        <v>177</v>
      </c>
      <c r="K87">
        <v>40</v>
      </c>
      <c r="L87" t="s">
        <v>178</v>
      </c>
    </row>
    <row r="88" spans="1:12" ht="15" customHeight="1" x14ac:dyDescent="0.35">
      <c r="A88" t="s">
        <v>12</v>
      </c>
      <c r="B88" t="s">
        <v>118</v>
      </c>
      <c r="C88" t="s">
        <v>10</v>
      </c>
      <c r="D88" t="s">
        <v>117</v>
      </c>
      <c r="E88" t="s">
        <v>10</v>
      </c>
      <c r="F88" t="s">
        <v>88</v>
      </c>
      <c r="G88" s="12">
        <v>46314</v>
      </c>
      <c r="H88" s="13">
        <v>10</v>
      </c>
      <c r="I88" t="s">
        <v>182</v>
      </c>
      <c r="J88" t="s">
        <v>180</v>
      </c>
      <c r="K88">
        <v>16.5</v>
      </c>
      <c r="L88" t="s">
        <v>178</v>
      </c>
    </row>
    <row r="89" spans="1:12" ht="15" customHeight="1" x14ac:dyDescent="0.35">
      <c r="A89" t="s">
        <v>12</v>
      </c>
      <c r="B89" t="s">
        <v>119</v>
      </c>
      <c r="C89" t="s">
        <v>10</v>
      </c>
      <c r="D89" t="s">
        <v>116</v>
      </c>
      <c r="E89" t="s">
        <v>10</v>
      </c>
      <c r="F89" t="s">
        <v>88</v>
      </c>
      <c r="G89" s="12">
        <v>46314</v>
      </c>
      <c r="H89" s="13">
        <v>10</v>
      </c>
      <c r="I89" t="s">
        <v>182</v>
      </c>
      <c r="J89" t="s">
        <v>180</v>
      </c>
      <c r="K89">
        <v>21</v>
      </c>
      <c r="L89" t="s">
        <v>178</v>
      </c>
    </row>
    <row r="90" spans="1:12" ht="15" customHeight="1" x14ac:dyDescent="0.35">
      <c r="A90" t="s">
        <v>12</v>
      </c>
      <c r="B90" t="s">
        <v>126</v>
      </c>
      <c r="C90" t="s">
        <v>14</v>
      </c>
      <c r="D90" t="s">
        <v>27</v>
      </c>
      <c r="E90" t="s">
        <v>14</v>
      </c>
      <c r="F90" t="s">
        <v>84</v>
      </c>
      <c r="G90" s="12">
        <v>46314</v>
      </c>
      <c r="H90" s="13">
        <v>5</v>
      </c>
      <c r="I90" t="s">
        <v>182</v>
      </c>
      <c r="J90" t="s">
        <v>177</v>
      </c>
      <c r="K90">
        <v>28</v>
      </c>
      <c r="L90" t="s">
        <v>178</v>
      </c>
    </row>
    <row r="91" spans="1:12" ht="15" customHeight="1" x14ac:dyDescent="0.35">
      <c r="A91" t="s">
        <v>12</v>
      </c>
      <c r="B91" t="s">
        <v>130</v>
      </c>
      <c r="C91" t="s">
        <v>14</v>
      </c>
      <c r="D91" t="s">
        <v>30</v>
      </c>
      <c r="E91" t="s">
        <v>14</v>
      </c>
      <c r="F91" t="s">
        <v>85</v>
      </c>
      <c r="G91" s="12">
        <v>46314</v>
      </c>
      <c r="H91" s="13">
        <v>2</v>
      </c>
      <c r="I91" t="s">
        <v>182</v>
      </c>
      <c r="J91" t="s">
        <v>177</v>
      </c>
      <c r="K91">
        <v>31</v>
      </c>
      <c r="L91" t="s">
        <v>178</v>
      </c>
    </row>
    <row r="92" spans="1:12" ht="15" customHeight="1" x14ac:dyDescent="0.35">
      <c r="A92" t="s">
        <v>12</v>
      </c>
      <c r="B92" t="s">
        <v>134</v>
      </c>
      <c r="C92" t="s">
        <v>14</v>
      </c>
      <c r="D92" t="s">
        <v>13</v>
      </c>
      <c r="E92" t="s">
        <v>14</v>
      </c>
      <c r="F92" t="s">
        <v>99</v>
      </c>
      <c r="G92" s="12">
        <v>46314</v>
      </c>
      <c r="H92" s="13">
        <v>25</v>
      </c>
      <c r="I92" t="s">
        <v>182</v>
      </c>
      <c r="J92" t="s">
        <v>177</v>
      </c>
      <c r="K92">
        <v>37.846153999999999</v>
      </c>
      <c r="L92" t="s">
        <v>178</v>
      </c>
    </row>
    <row r="93" spans="1:12" ht="15" customHeight="1" x14ac:dyDescent="0.35">
      <c r="A93" t="s">
        <v>12</v>
      </c>
      <c r="B93" t="s">
        <v>133</v>
      </c>
      <c r="C93" t="s">
        <v>14</v>
      </c>
      <c r="D93" t="s">
        <v>123</v>
      </c>
      <c r="E93" t="s">
        <v>14</v>
      </c>
      <c r="F93" t="s">
        <v>46</v>
      </c>
      <c r="G93" s="12">
        <v>46314</v>
      </c>
      <c r="H93" s="13">
        <v>1.5</v>
      </c>
      <c r="I93" t="s">
        <v>184</v>
      </c>
      <c r="J93" t="s">
        <v>177</v>
      </c>
      <c r="K93">
        <v>5.8846150000000002</v>
      </c>
      <c r="L93" t="s">
        <v>178</v>
      </c>
    </row>
    <row r="94" spans="1:12" ht="15" customHeight="1" x14ac:dyDescent="0.35">
      <c r="A94" t="s">
        <v>12</v>
      </c>
      <c r="B94" t="s">
        <v>129</v>
      </c>
      <c r="C94" t="s">
        <v>14</v>
      </c>
      <c r="D94" t="s">
        <v>26</v>
      </c>
      <c r="E94" t="s">
        <v>14</v>
      </c>
      <c r="F94" t="s">
        <v>102</v>
      </c>
      <c r="G94" s="12">
        <v>46314</v>
      </c>
      <c r="H94" s="13">
        <v>11.9</v>
      </c>
      <c r="I94" t="s">
        <v>182</v>
      </c>
      <c r="J94" t="s">
        <v>177</v>
      </c>
      <c r="K94">
        <v>40</v>
      </c>
      <c r="L94" t="s">
        <v>178</v>
      </c>
    </row>
    <row r="95" spans="1:12" ht="15" customHeight="1" x14ac:dyDescent="0.35">
      <c r="A95" t="s">
        <v>12</v>
      </c>
      <c r="B95" t="s">
        <v>129</v>
      </c>
      <c r="C95" t="s">
        <v>14</v>
      </c>
      <c r="D95" t="s">
        <v>129</v>
      </c>
      <c r="E95" t="s">
        <v>14</v>
      </c>
      <c r="F95" t="s">
        <v>102</v>
      </c>
      <c r="G95" s="12">
        <v>46314</v>
      </c>
      <c r="H95" s="13">
        <v>3.1</v>
      </c>
      <c r="I95" t="s">
        <v>183</v>
      </c>
      <c r="J95" t="s">
        <v>180</v>
      </c>
      <c r="K95">
        <v>3.1</v>
      </c>
      <c r="L95" t="s">
        <v>181</v>
      </c>
    </row>
    <row r="96" spans="1:12" ht="15" customHeight="1" x14ac:dyDescent="0.35">
      <c r="A96" t="s">
        <v>12</v>
      </c>
      <c r="B96" t="s">
        <v>132</v>
      </c>
      <c r="C96" t="s">
        <v>14</v>
      </c>
      <c r="D96" t="s">
        <v>162</v>
      </c>
      <c r="E96" t="s">
        <v>14</v>
      </c>
      <c r="F96" t="s">
        <v>103</v>
      </c>
      <c r="G96" s="12">
        <v>46314</v>
      </c>
      <c r="H96" s="13">
        <v>15</v>
      </c>
      <c r="I96" t="s">
        <v>183</v>
      </c>
      <c r="J96" t="s">
        <v>177</v>
      </c>
      <c r="K96">
        <v>15</v>
      </c>
      <c r="L96" t="s">
        <v>181</v>
      </c>
    </row>
    <row r="97" spans="1:12" ht="15" customHeight="1" x14ac:dyDescent="0.35">
      <c r="A97" t="s">
        <v>29</v>
      </c>
      <c r="B97" t="s">
        <v>28</v>
      </c>
      <c r="C97" t="s">
        <v>10</v>
      </c>
      <c r="D97" t="s">
        <v>143</v>
      </c>
      <c r="E97" t="s">
        <v>10</v>
      </c>
      <c r="F97" t="s">
        <v>92</v>
      </c>
      <c r="G97" s="12">
        <v>46321</v>
      </c>
      <c r="H97" s="13">
        <v>10</v>
      </c>
      <c r="I97" t="s">
        <v>176</v>
      </c>
      <c r="J97" t="s">
        <v>177</v>
      </c>
      <c r="K97">
        <v>10</v>
      </c>
      <c r="L97" t="s">
        <v>181</v>
      </c>
    </row>
    <row r="98" spans="1:12" ht="15" customHeight="1" x14ac:dyDescent="0.35">
      <c r="A98" t="s">
        <v>29</v>
      </c>
      <c r="B98" t="s">
        <v>18</v>
      </c>
      <c r="C98" t="s">
        <v>16</v>
      </c>
      <c r="D98" t="s">
        <v>90</v>
      </c>
      <c r="E98" t="s">
        <v>16</v>
      </c>
      <c r="F98" t="s">
        <v>91</v>
      </c>
      <c r="G98" s="12">
        <v>46321</v>
      </c>
      <c r="H98" s="13">
        <v>5</v>
      </c>
      <c r="I98" t="s">
        <v>176</v>
      </c>
      <c r="J98" t="s">
        <v>177</v>
      </c>
      <c r="K98">
        <v>32.5</v>
      </c>
      <c r="L98" t="s">
        <v>178</v>
      </c>
    </row>
    <row r="99" spans="1:12" ht="15" customHeight="1" x14ac:dyDescent="0.35">
      <c r="A99" t="s">
        <v>12</v>
      </c>
      <c r="B99" t="s">
        <v>23</v>
      </c>
      <c r="C99" t="s">
        <v>10</v>
      </c>
      <c r="D99" t="s">
        <v>9</v>
      </c>
      <c r="E99" t="s">
        <v>10</v>
      </c>
      <c r="F99" t="s">
        <v>81</v>
      </c>
      <c r="G99" s="12">
        <v>46321</v>
      </c>
      <c r="H99" s="13">
        <v>0.614035</v>
      </c>
      <c r="I99" t="s">
        <v>176</v>
      </c>
      <c r="J99" t="s">
        <v>177</v>
      </c>
      <c r="K99">
        <v>15.614034999999999</v>
      </c>
      <c r="L99" t="s">
        <v>178</v>
      </c>
    </row>
    <row r="100" spans="1:12" ht="15" customHeight="1" x14ac:dyDescent="0.35">
      <c r="A100" t="s">
        <v>12</v>
      </c>
      <c r="B100" t="s">
        <v>23</v>
      </c>
      <c r="C100" t="s">
        <v>10</v>
      </c>
      <c r="D100" t="s">
        <v>22</v>
      </c>
      <c r="E100" t="s">
        <v>10</v>
      </c>
      <c r="F100" t="s">
        <v>102</v>
      </c>
      <c r="G100" s="12">
        <v>46321</v>
      </c>
      <c r="H100" s="13">
        <v>6</v>
      </c>
      <c r="I100" t="s">
        <v>176</v>
      </c>
      <c r="J100" t="s">
        <v>177</v>
      </c>
      <c r="K100">
        <v>6</v>
      </c>
      <c r="L100" t="s">
        <v>178</v>
      </c>
    </row>
    <row r="101" spans="1:12" ht="15" customHeight="1" x14ac:dyDescent="0.35">
      <c r="A101" t="s">
        <v>12</v>
      </c>
      <c r="B101" t="s">
        <v>23</v>
      </c>
      <c r="C101" t="s">
        <v>10</v>
      </c>
      <c r="D101" t="s">
        <v>9</v>
      </c>
      <c r="E101" t="s">
        <v>10</v>
      </c>
      <c r="F101" t="s">
        <v>84</v>
      </c>
      <c r="G101" s="12">
        <v>46321</v>
      </c>
      <c r="H101" s="13">
        <v>5</v>
      </c>
      <c r="I101" t="s">
        <v>176</v>
      </c>
      <c r="J101" t="s">
        <v>177</v>
      </c>
      <c r="K101">
        <v>20.614035000000001</v>
      </c>
      <c r="L101" t="s">
        <v>178</v>
      </c>
    </row>
    <row r="102" spans="1:12" ht="15" customHeight="1" x14ac:dyDescent="0.35">
      <c r="A102" t="s">
        <v>12</v>
      </c>
      <c r="B102" t="s">
        <v>23</v>
      </c>
      <c r="C102" t="s">
        <v>10</v>
      </c>
      <c r="D102" t="s">
        <v>20</v>
      </c>
      <c r="E102" t="s">
        <v>10</v>
      </c>
      <c r="F102" t="s">
        <v>88</v>
      </c>
      <c r="G102" s="12">
        <v>46321</v>
      </c>
      <c r="H102" s="13">
        <v>6</v>
      </c>
      <c r="I102" t="s">
        <v>176</v>
      </c>
      <c r="J102" t="s">
        <v>177</v>
      </c>
      <c r="K102">
        <v>36.5</v>
      </c>
      <c r="L102" t="s">
        <v>178</v>
      </c>
    </row>
    <row r="103" spans="1:12" ht="15" customHeight="1" x14ac:dyDescent="0.35">
      <c r="A103" t="s">
        <v>12</v>
      </c>
      <c r="B103" t="s">
        <v>17</v>
      </c>
      <c r="C103" t="s">
        <v>14</v>
      </c>
      <c r="D103" t="s">
        <v>27</v>
      </c>
      <c r="E103" t="s">
        <v>14</v>
      </c>
      <c r="F103" t="s">
        <v>84</v>
      </c>
      <c r="G103" s="12">
        <v>46321</v>
      </c>
      <c r="H103" s="13">
        <v>3</v>
      </c>
      <c r="I103" t="s">
        <v>176</v>
      </c>
      <c r="J103" t="s">
        <v>177</v>
      </c>
      <c r="K103">
        <v>14</v>
      </c>
      <c r="L103" t="s">
        <v>178</v>
      </c>
    </row>
    <row r="104" spans="1:12" ht="15" customHeight="1" x14ac:dyDescent="0.35">
      <c r="A104" t="s">
        <v>12</v>
      </c>
      <c r="B104" t="s">
        <v>17</v>
      </c>
      <c r="C104" t="s">
        <v>14</v>
      </c>
      <c r="D104" t="s">
        <v>123</v>
      </c>
      <c r="E104" t="s">
        <v>14</v>
      </c>
      <c r="F104" t="s">
        <v>46</v>
      </c>
      <c r="G104" s="12">
        <v>46321</v>
      </c>
      <c r="H104" s="13">
        <v>3</v>
      </c>
      <c r="I104" t="s">
        <v>176</v>
      </c>
      <c r="J104" t="s">
        <v>177</v>
      </c>
      <c r="K104">
        <v>4.3846150000000002</v>
      </c>
      <c r="L104" t="s">
        <v>178</v>
      </c>
    </row>
    <row r="105" spans="1:12" ht="15" customHeight="1" x14ac:dyDescent="0.35">
      <c r="A105" t="s">
        <v>12</v>
      </c>
      <c r="B105" t="s">
        <v>21</v>
      </c>
      <c r="C105" t="s">
        <v>14</v>
      </c>
      <c r="D105" t="s">
        <v>27</v>
      </c>
      <c r="E105" t="s">
        <v>14</v>
      </c>
      <c r="F105" t="s">
        <v>84</v>
      </c>
      <c r="G105" s="12">
        <v>46321</v>
      </c>
      <c r="H105" s="13">
        <v>5</v>
      </c>
      <c r="I105" t="s">
        <v>176</v>
      </c>
      <c r="J105" t="s">
        <v>177</v>
      </c>
      <c r="K105">
        <v>19</v>
      </c>
      <c r="L105" t="s">
        <v>178</v>
      </c>
    </row>
    <row r="106" spans="1:12" ht="15" customHeight="1" x14ac:dyDescent="0.35">
      <c r="A106" t="s">
        <v>12</v>
      </c>
      <c r="B106" t="s">
        <v>21</v>
      </c>
      <c r="C106" t="s">
        <v>14</v>
      </c>
      <c r="D106" t="s">
        <v>13</v>
      </c>
      <c r="E106" t="s">
        <v>14</v>
      </c>
      <c r="F106" t="s">
        <v>43</v>
      </c>
      <c r="G106" s="12">
        <v>46321</v>
      </c>
      <c r="H106" s="13">
        <v>1</v>
      </c>
      <c r="I106" t="s">
        <v>176</v>
      </c>
      <c r="J106" t="s">
        <v>177</v>
      </c>
      <c r="K106">
        <v>30</v>
      </c>
      <c r="L106" t="s">
        <v>178</v>
      </c>
    </row>
    <row r="107" spans="1:12" ht="15" customHeight="1" x14ac:dyDescent="0.35">
      <c r="A107" t="s">
        <v>12</v>
      </c>
      <c r="B107" t="s">
        <v>18</v>
      </c>
      <c r="C107" t="s">
        <v>16</v>
      </c>
      <c r="D107" t="s">
        <v>15</v>
      </c>
      <c r="E107" t="s">
        <v>16</v>
      </c>
      <c r="F107" t="s">
        <v>79</v>
      </c>
      <c r="G107" s="12">
        <v>46321</v>
      </c>
      <c r="H107" s="13">
        <v>1.4035089999999999</v>
      </c>
      <c r="I107" t="s">
        <v>176</v>
      </c>
      <c r="J107" t="s">
        <v>177</v>
      </c>
      <c r="K107">
        <v>10.057017999999999</v>
      </c>
      <c r="L107" t="s">
        <v>178</v>
      </c>
    </row>
    <row r="108" spans="1:12" ht="15" customHeight="1" x14ac:dyDescent="0.35">
      <c r="A108" t="s">
        <v>12</v>
      </c>
      <c r="B108" t="s">
        <v>18</v>
      </c>
      <c r="C108" t="s">
        <v>16</v>
      </c>
      <c r="D108" t="s">
        <v>15</v>
      </c>
      <c r="E108" t="s">
        <v>16</v>
      </c>
      <c r="F108" t="s">
        <v>81</v>
      </c>
      <c r="G108" s="12">
        <v>46321</v>
      </c>
      <c r="H108" s="13">
        <v>0.25</v>
      </c>
      <c r="I108" t="s">
        <v>176</v>
      </c>
      <c r="J108" t="s">
        <v>177</v>
      </c>
      <c r="K108">
        <v>8.6535089999999997</v>
      </c>
      <c r="L108" t="s">
        <v>178</v>
      </c>
    </row>
    <row r="109" spans="1:12" ht="15" customHeight="1" x14ac:dyDescent="0.35">
      <c r="A109" t="s">
        <v>12</v>
      </c>
      <c r="B109" t="s">
        <v>18</v>
      </c>
      <c r="C109" t="s">
        <v>16</v>
      </c>
      <c r="D109" t="s">
        <v>90</v>
      </c>
      <c r="E109" t="s">
        <v>16</v>
      </c>
      <c r="F109" t="s">
        <v>84</v>
      </c>
      <c r="G109" s="12">
        <v>46321</v>
      </c>
      <c r="H109" s="13">
        <v>2</v>
      </c>
      <c r="I109" t="s">
        <v>176</v>
      </c>
      <c r="J109" t="s">
        <v>177</v>
      </c>
      <c r="K109">
        <v>27.5</v>
      </c>
      <c r="L109" t="s">
        <v>178</v>
      </c>
    </row>
    <row r="110" spans="1:12" ht="15" customHeight="1" x14ac:dyDescent="0.35">
      <c r="A110" t="s">
        <v>12</v>
      </c>
      <c r="B110" t="s">
        <v>18</v>
      </c>
      <c r="C110" t="s">
        <v>16</v>
      </c>
      <c r="D110" t="s">
        <v>75</v>
      </c>
      <c r="E110" t="s">
        <v>16</v>
      </c>
      <c r="F110" t="s">
        <v>85</v>
      </c>
      <c r="G110" s="12">
        <v>46321</v>
      </c>
      <c r="H110" s="13">
        <v>1</v>
      </c>
      <c r="I110" t="s">
        <v>176</v>
      </c>
      <c r="J110" t="s">
        <v>177</v>
      </c>
      <c r="K110">
        <v>34.929825000000001</v>
      </c>
      <c r="L110" t="s">
        <v>178</v>
      </c>
    </row>
    <row r="111" spans="1:12" ht="15" customHeight="1" x14ac:dyDescent="0.35">
      <c r="A111" t="s">
        <v>12</v>
      </c>
      <c r="B111" t="s">
        <v>18</v>
      </c>
      <c r="C111" t="s">
        <v>16</v>
      </c>
      <c r="D111" t="s">
        <v>15</v>
      </c>
      <c r="E111" t="s">
        <v>16</v>
      </c>
      <c r="F111" t="s">
        <v>103</v>
      </c>
      <c r="G111" s="12">
        <v>46321</v>
      </c>
      <c r="H111" s="13">
        <v>6.8543860000000096</v>
      </c>
      <c r="I111" t="s">
        <v>176</v>
      </c>
      <c r="J111" t="s">
        <v>180</v>
      </c>
      <c r="K111">
        <v>16.911404000000001</v>
      </c>
      <c r="L111" t="s">
        <v>178</v>
      </c>
    </row>
    <row r="112" spans="1:12" ht="15" customHeight="1" x14ac:dyDescent="0.35">
      <c r="A112" t="s">
        <v>12</v>
      </c>
      <c r="B112" t="s">
        <v>18</v>
      </c>
      <c r="C112" t="s">
        <v>16</v>
      </c>
      <c r="D112" t="s">
        <v>25</v>
      </c>
      <c r="E112" t="s">
        <v>16</v>
      </c>
      <c r="F112" t="s">
        <v>103</v>
      </c>
      <c r="G112" s="12">
        <v>46321</v>
      </c>
      <c r="H112" s="13">
        <v>3.1456140000000001</v>
      </c>
      <c r="I112" t="s">
        <v>176</v>
      </c>
      <c r="J112" t="s">
        <v>177</v>
      </c>
      <c r="K112">
        <v>40</v>
      </c>
      <c r="L112" t="s">
        <v>178</v>
      </c>
    </row>
    <row r="113" spans="1:12" ht="15" customHeight="1" x14ac:dyDescent="0.35">
      <c r="A113" t="s">
        <v>12</v>
      </c>
      <c r="B113" t="s">
        <v>18</v>
      </c>
      <c r="C113" t="s">
        <v>16</v>
      </c>
      <c r="D113" t="s">
        <v>75</v>
      </c>
      <c r="E113" t="s">
        <v>16</v>
      </c>
      <c r="F113" t="s">
        <v>88</v>
      </c>
      <c r="G113" s="12">
        <v>46321</v>
      </c>
      <c r="H113" s="13">
        <v>5.0701749999999999</v>
      </c>
      <c r="I113" t="s">
        <v>176</v>
      </c>
      <c r="J113" t="s">
        <v>177</v>
      </c>
      <c r="K113">
        <v>40</v>
      </c>
      <c r="L113" t="s">
        <v>178</v>
      </c>
    </row>
    <row r="114" spans="1:12" ht="15" customHeight="1" x14ac:dyDescent="0.35">
      <c r="A114" t="s">
        <v>12</v>
      </c>
      <c r="B114" t="s">
        <v>18</v>
      </c>
      <c r="C114" t="s">
        <v>16</v>
      </c>
      <c r="D114" t="s">
        <v>15</v>
      </c>
      <c r="E114" t="s">
        <v>16</v>
      </c>
      <c r="F114" t="s">
        <v>88</v>
      </c>
      <c r="G114" s="12">
        <v>46321</v>
      </c>
      <c r="H114" s="13">
        <v>4.9298250000000001</v>
      </c>
      <c r="I114" t="s">
        <v>176</v>
      </c>
      <c r="J114" t="s">
        <v>180</v>
      </c>
      <c r="K114">
        <v>21.841228999999998</v>
      </c>
      <c r="L114" t="s">
        <v>178</v>
      </c>
    </row>
    <row r="115" spans="1:12" ht="15" customHeight="1" x14ac:dyDescent="0.35">
      <c r="A115" t="s">
        <v>12</v>
      </c>
      <c r="B115" t="s">
        <v>118</v>
      </c>
      <c r="C115" t="s">
        <v>10</v>
      </c>
      <c r="D115" t="s">
        <v>36</v>
      </c>
      <c r="E115" t="s">
        <v>10</v>
      </c>
      <c r="F115" t="s">
        <v>88</v>
      </c>
      <c r="G115" s="12">
        <v>46321</v>
      </c>
      <c r="H115" s="13">
        <v>8</v>
      </c>
      <c r="I115" t="s">
        <v>182</v>
      </c>
      <c r="J115" t="s">
        <v>177</v>
      </c>
      <c r="K115">
        <v>39.5</v>
      </c>
      <c r="L115" t="s">
        <v>178</v>
      </c>
    </row>
    <row r="116" spans="1:12" ht="15" customHeight="1" x14ac:dyDescent="0.35">
      <c r="A116" t="s">
        <v>12</v>
      </c>
      <c r="B116" t="s">
        <v>119</v>
      </c>
      <c r="C116" t="s">
        <v>10</v>
      </c>
      <c r="D116" t="s">
        <v>36</v>
      </c>
      <c r="E116" t="s">
        <v>10</v>
      </c>
      <c r="F116" t="s">
        <v>88</v>
      </c>
      <c r="G116" s="12">
        <v>46321</v>
      </c>
      <c r="H116" s="13">
        <v>0.5</v>
      </c>
      <c r="I116" t="s">
        <v>182</v>
      </c>
      <c r="J116" t="s">
        <v>177</v>
      </c>
      <c r="K116">
        <v>40</v>
      </c>
      <c r="L116" t="s">
        <v>178</v>
      </c>
    </row>
    <row r="117" spans="1:12" ht="15" customHeight="1" x14ac:dyDescent="0.35">
      <c r="A117" t="s">
        <v>12</v>
      </c>
      <c r="B117" t="s">
        <v>119</v>
      </c>
      <c r="C117" t="s">
        <v>10</v>
      </c>
      <c r="D117" t="s">
        <v>20</v>
      </c>
      <c r="E117" t="s">
        <v>10</v>
      </c>
      <c r="F117" t="s">
        <v>88</v>
      </c>
      <c r="G117" s="12">
        <v>46321</v>
      </c>
      <c r="H117" s="13">
        <v>3.5</v>
      </c>
      <c r="I117" t="s">
        <v>182</v>
      </c>
      <c r="J117" t="s">
        <v>177</v>
      </c>
      <c r="K117">
        <v>40</v>
      </c>
      <c r="L117" t="s">
        <v>178</v>
      </c>
    </row>
    <row r="118" spans="1:12" ht="15" customHeight="1" x14ac:dyDescent="0.35">
      <c r="A118" t="s">
        <v>12</v>
      </c>
      <c r="B118" t="s">
        <v>119</v>
      </c>
      <c r="C118" t="s">
        <v>10</v>
      </c>
      <c r="D118" t="s">
        <v>117</v>
      </c>
      <c r="E118" t="s">
        <v>10</v>
      </c>
      <c r="F118" t="s">
        <v>88</v>
      </c>
      <c r="G118" s="12">
        <v>46321</v>
      </c>
      <c r="H118" s="13">
        <v>6</v>
      </c>
      <c r="I118" t="s">
        <v>182</v>
      </c>
      <c r="J118" t="s">
        <v>180</v>
      </c>
      <c r="K118">
        <v>6</v>
      </c>
      <c r="L118" t="s">
        <v>178</v>
      </c>
    </row>
    <row r="119" spans="1:12" ht="15" customHeight="1" x14ac:dyDescent="0.35">
      <c r="A119" t="s">
        <v>12</v>
      </c>
      <c r="B119" t="s">
        <v>126</v>
      </c>
      <c r="C119" t="s">
        <v>14</v>
      </c>
      <c r="D119" t="s">
        <v>27</v>
      </c>
      <c r="E119" t="s">
        <v>14</v>
      </c>
      <c r="F119" t="s">
        <v>84</v>
      </c>
      <c r="G119" s="12">
        <v>46321</v>
      </c>
      <c r="H119" s="13">
        <v>5</v>
      </c>
      <c r="I119" t="s">
        <v>182</v>
      </c>
      <c r="J119" t="s">
        <v>177</v>
      </c>
      <c r="K119">
        <v>24</v>
      </c>
      <c r="L119" t="s">
        <v>178</v>
      </c>
    </row>
    <row r="120" spans="1:12" ht="15" customHeight="1" x14ac:dyDescent="0.35">
      <c r="A120" t="s">
        <v>12</v>
      </c>
      <c r="B120" t="s">
        <v>130</v>
      </c>
      <c r="C120" t="s">
        <v>14</v>
      </c>
      <c r="D120" t="s">
        <v>30</v>
      </c>
      <c r="E120" t="s">
        <v>14</v>
      </c>
      <c r="F120" t="s">
        <v>85</v>
      </c>
      <c r="G120" s="12">
        <v>46321</v>
      </c>
      <c r="H120" s="13">
        <v>2</v>
      </c>
      <c r="I120" t="s">
        <v>182</v>
      </c>
      <c r="J120" t="s">
        <v>177</v>
      </c>
      <c r="K120">
        <v>19</v>
      </c>
      <c r="L120" t="s">
        <v>178</v>
      </c>
    </row>
    <row r="121" spans="1:12" ht="15" customHeight="1" x14ac:dyDescent="0.35">
      <c r="A121" t="s">
        <v>12</v>
      </c>
      <c r="B121" t="s">
        <v>133</v>
      </c>
      <c r="C121" t="s">
        <v>14</v>
      </c>
      <c r="D121" t="s">
        <v>123</v>
      </c>
      <c r="E121" t="s">
        <v>14</v>
      </c>
      <c r="F121" t="s">
        <v>46</v>
      </c>
      <c r="G121" s="12">
        <v>46321</v>
      </c>
      <c r="H121" s="13">
        <v>1.5</v>
      </c>
      <c r="I121" t="s">
        <v>184</v>
      </c>
      <c r="J121" t="s">
        <v>177</v>
      </c>
      <c r="K121">
        <v>5.8846150000000002</v>
      </c>
      <c r="L121" t="s">
        <v>178</v>
      </c>
    </row>
    <row r="122" spans="1:12" ht="15" customHeight="1" x14ac:dyDescent="0.35">
      <c r="A122" t="s">
        <v>12</v>
      </c>
      <c r="B122" t="s">
        <v>129</v>
      </c>
      <c r="C122" t="s">
        <v>14</v>
      </c>
      <c r="D122" t="s">
        <v>26</v>
      </c>
      <c r="E122" t="s">
        <v>14</v>
      </c>
      <c r="F122" t="s">
        <v>102</v>
      </c>
      <c r="G122" s="12">
        <v>46321</v>
      </c>
      <c r="H122" s="13">
        <v>15</v>
      </c>
      <c r="I122" t="s">
        <v>182</v>
      </c>
      <c r="J122" t="s">
        <v>177</v>
      </c>
      <c r="K122">
        <v>34.200000000000003</v>
      </c>
      <c r="L122" t="s">
        <v>178</v>
      </c>
    </row>
    <row r="123" spans="1:12" ht="15" customHeight="1" x14ac:dyDescent="0.35">
      <c r="A123" t="s">
        <v>12</v>
      </c>
      <c r="B123" t="s">
        <v>132</v>
      </c>
      <c r="C123" t="s">
        <v>14</v>
      </c>
      <c r="D123" t="s">
        <v>24</v>
      </c>
      <c r="E123" t="s">
        <v>14</v>
      </c>
      <c r="F123" t="s">
        <v>103</v>
      </c>
      <c r="G123" s="12">
        <v>46321</v>
      </c>
      <c r="H123" s="13">
        <v>15</v>
      </c>
      <c r="I123" t="s">
        <v>182</v>
      </c>
      <c r="J123" t="s">
        <v>177</v>
      </c>
      <c r="K123">
        <v>36.346153999999999</v>
      </c>
      <c r="L123" t="s">
        <v>178</v>
      </c>
    </row>
    <row r="124" spans="1:12" ht="15" customHeight="1" x14ac:dyDescent="0.35">
      <c r="A124" t="s">
        <v>29</v>
      </c>
      <c r="B124" t="s">
        <v>28</v>
      </c>
      <c r="C124" t="s">
        <v>10</v>
      </c>
      <c r="D124" t="s">
        <v>35</v>
      </c>
      <c r="E124" t="s">
        <v>10</v>
      </c>
      <c r="F124" t="s">
        <v>92</v>
      </c>
      <c r="G124" s="12">
        <v>46328</v>
      </c>
      <c r="H124" s="13">
        <v>10</v>
      </c>
      <c r="I124" t="s">
        <v>176</v>
      </c>
      <c r="J124" t="s">
        <v>177</v>
      </c>
      <c r="K124">
        <v>30</v>
      </c>
      <c r="L124" t="s">
        <v>178</v>
      </c>
    </row>
    <row r="125" spans="1:12" ht="15" customHeight="1" x14ac:dyDescent="0.35">
      <c r="A125" t="s">
        <v>12</v>
      </c>
      <c r="B125" t="s">
        <v>13</v>
      </c>
      <c r="C125" t="s">
        <v>14</v>
      </c>
      <c r="D125" t="s">
        <v>17</v>
      </c>
      <c r="E125" t="s">
        <v>14</v>
      </c>
      <c r="F125" t="s">
        <v>40</v>
      </c>
      <c r="G125" s="12">
        <v>46328</v>
      </c>
      <c r="H125" s="13">
        <v>8</v>
      </c>
      <c r="I125" t="s">
        <v>176</v>
      </c>
      <c r="J125" t="s">
        <v>177</v>
      </c>
      <c r="K125">
        <v>23</v>
      </c>
      <c r="L125" t="s">
        <v>178</v>
      </c>
    </row>
    <row r="126" spans="1:12" ht="15" customHeight="1" x14ac:dyDescent="0.35">
      <c r="A126" t="s">
        <v>12</v>
      </c>
      <c r="B126" t="s">
        <v>13</v>
      </c>
      <c r="C126" t="s">
        <v>14</v>
      </c>
      <c r="D126" t="s">
        <v>26</v>
      </c>
      <c r="E126" t="s">
        <v>14</v>
      </c>
      <c r="F126" t="s">
        <v>98</v>
      </c>
      <c r="G126" s="12">
        <v>46328</v>
      </c>
      <c r="H126" s="13">
        <v>5</v>
      </c>
      <c r="I126" t="s">
        <v>176</v>
      </c>
      <c r="J126" t="s">
        <v>177</v>
      </c>
      <c r="K126">
        <v>39.4</v>
      </c>
      <c r="L126" t="s">
        <v>178</v>
      </c>
    </row>
    <row r="127" spans="1:12" ht="15" customHeight="1" x14ac:dyDescent="0.35">
      <c r="A127" t="s">
        <v>12</v>
      </c>
      <c r="B127" t="s">
        <v>13</v>
      </c>
      <c r="C127" t="s">
        <v>14</v>
      </c>
      <c r="D127" t="s">
        <v>27</v>
      </c>
      <c r="E127" t="s">
        <v>14</v>
      </c>
      <c r="F127" t="s">
        <v>99</v>
      </c>
      <c r="G127" s="12">
        <v>46328</v>
      </c>
      <c r="H127" s="13">
        <v>9</v>
      </c>
      <c r="I127" t="s">
        <v>176</v>
      </c>
      <c r="J127" t="s">
        <v>177</v>
      </c>
      <c r="K127">
        <v>19</v>
      </c>
      <c r="L127" t="s">
        <v>178</v>
      </c>
    </row>
    <row r="128" spans="1:12" ht="15" customHeight="1" x14ac:dyDescent="0.35">
      <c r="A128" t="s">
        <v>12</v>
      </c>
      <c r="B128" t="s">
        <v>13</v>
      </c>
      <c r="C128" t="s">
        <v>14</v>
      </c>
      <c r="D128" t="s">
        <v>30</v>
      </c>
      <c r="E128" t="s">
        <v>14</v>
      </c>
      <c r="F128" t="s">
        <v>100</v>
      </c>
      <c r="G128" s="12">
        <v>46328</v>
      </c>
      <c r="H128" s="13">
        <v>7</v>
      </c>
      <c r="I128" t="s">
        <v>176</v>
      </c>
      <c r="J128" t="s">
        <v>177</v>
      </c>
      <c r="K128">
        <v>12</v>
      </c>
      <c r="L128" t="s">
        <v>178</v>
      </c>
    </row>
    <row r="129" spans="1:12" ht="15" customHeight="1" x14ac:dyDescent="0.35">
      <c r="A129" t="s">
        <v>12</v>
      </c>
      <c r="B129" t="s">
        <v>18</v>
      </c>
      <c r="C129" t="s">
        <v>16</v>
      </c>
      <c r="D129" t="s">
        <v>75</v>
      </c>
      <c r="E129" t="s">
        <v>16</v>
      </c>
      <c r="F129" t="s">
        <v>79</v>
      </c>
      <c r="G129" s="12">
        <v>46328</v>
      </c>
      <c r="H129" s="13">
        <v>1.4035089999999999</v>
      </c>
      <c r="I129" t="s">
        <v>176</v>
      </c>
      <c r="J129" t="s">
        <v>177</v>
      </c>
      <c r="K129">
        <v>12.583334000000001</v>
      </c>
      <c r="L129" t="s">
        <v>178</v>
      </c>
    </row>
    <row r="130" spans="1:12" ht="15" customHeight="1" x14ac:dyDescent="0.35">
      <c r="A130" t="s">
        <v>12</v>
      </c>
      <c r="B130" t="s">
        <v>18</v>
      </c>
      <c r="C130" t="s">
        <v>16</v>
      </c>
      <c r="D130" t="s">
        <v>75</v>
      </c>
      <c r="E130" t="s">
        <v>16</v>
      </c>
      <c r="F130" t="s">
        <v>81</v>
      </c>
      <c r="G130" s="12">
        <v>46328</v>
      </c>
      <c r="H130" s="13">
        <v>0.25</v>
      </c>
      <c r="I130" t="s">
        <v>176</v>
      </c>
      <c r="J130" t="s">
        <v>177</v>
      </c>
      <c r="K130">
        <v>10.179824999999999</v>
      </c>
      <c r="L130" t="s">
        <v>178</v>
      </c>
    </row>
    <row r="131" spans="1:12" ht="15" customHeight="1" x14ac:dyDescent="0.35">
      <c r="A131" t="s">
        <v>12</v>
      </c>
      <c r="B131" t="s">
        <v>18</v>
      </c>
      <c r="C131" t="s">
        <v>16</v>
      </c>
      <c r="D131" t="s">
        <v>75</v>
      </c>
      <c r="E131" t="s">
        <v>16</v>
      </c>
      <c r="F131" t="s">
        <v>85</v>
      </c>
      <c r="G131" s="12">
        <v>46328</v>
      </c>
      <c r="H131" s="13">
        <v>1</v>
      </c>
      <c r="I131" t="s">
        <v>176</v>
      </c>
      <c r="J131" t="s">
        <v>177</v>
      </c>
      <c r="K131">
        <v>11.179824999999999</v>
      </c>
      <c r="L131" t="s">
        <v>178</v>
      </c>
    </row>
    <row r="132" spans="1:12" ht="15" customHeight="1" x14ac:dyDescent="0.35">
      <c r="A132" t="s">
        <v>12</v>
      </c>
      <c r="B132" t="s">
        <v>130</v>
      </c>
      <c r="C132" t="s">
        <v>14</v>
      </c>
      <c r="D132" t="s">
        <v>30</v>
      </c>
      <c r="E132" t="s">
        <v>14</v>
      </c>
      <c r="F132" t="s">
        <v>85</v>
      </c>
      <c r="G132" s="12">
        <v>46328</v>
      </c>
      <c r="H132" s="13">
        <v>2</v>
      </c>
      <c r="I132" t="s">
        <v>182</v>
      </c>
      <c r="J132" t="s">
        <v>177</v>
      </c>
      <c r="K132">
        <v>14</v>
      </c>
      <c r="L132" t="s">
        <v>178</v>
      </c>
    </row>
    <row r="133" spans="1:12" ht="15" customHeight="1" x14ac:dyDescent="0.35">
      <c r="A133" t="s">
        <v>12</v>
      </c>
      <c r="B133" t="s">
        <v>133</v>
      </c>
      <c r="C133" t="s">
        <v>14</v>
      </c>
      <c r="D133" t="s">
        <v>17</v>
      </c>
      <c r="E133" t="s">
        <v>14</v>
      </c>
      <c r="F133" t="s">
        <v>46</v>
      </c>
      <c r="G133" s="12">
        <v>46328</v>
      </c>
      <c r="H133" s="13">
        <v>3.8846150000000002</v>
      </c>
      <c r="I133" t="s">
        <v>184</v>
      </c>
      <c r="J133" t="s">
        <v>177</v>
      </c>
      <c r="K133">
        <v>26.884615</v>
      </c>
      <c r="L133" t="s">
        <v>178</v>
      </c>
    </row>
    <row r="134" spans="1:12" ht="15" customHeight="1" x14ac:dyDescent="0.35">
      <c r="A134" t="s">
        <v>12</v>
      </c>
      <c r="B134" t="s">
        <v>133</v>
      </c>
      <c r="C134" t="s">
        <v>14</v>
      </c>
      <c r="D134" t="s">
        <v>123</v>
      </c>
      <c r="E134" t="s">
        <v>14</v>
      </c>
      <c r="F134" t="s">
        <v>46</v>
      </c>
      <c r="G134" s="12">
        <v>46328</v>
      </c>
      <c r="H134" s="13">
        <v>18.615385</v>
      </c>
      <c r="I134" t="s">
        <v>184</v>
      </c>
      <c r="J134" t="s">
        <v>177</v>
      </c>
      <c r="K134">
        <v>20</v>
      </c>
      <c r="L134" t="s">
        <v>178</v>
      </c>
    </row>
    <row r="135" spans="1:12" ht="15" customHeight="1" x14ac:dyDescent="0.35">
      <c r="A135" t="s">
        <v>12</v>
      </c>
      <c r="B135" t="s">
        <v>129</v>
      </c>
      <c r="C135" t="s">
        <v>14</v>
      </c>
      <c r="D135" t="s">
        <v>26</v>
      </c>
      <c r="E135" t="s">
        <v>14</v>
      </c>
      <c r="F135" t="s">
        <v>102</v>
      </c>
      <c r="G135" s="12">
        <v>46328</v>
      </c>
      <c r="H135" s="13">
        <v>0.60000000000000098</v>
      </c>
      <c r="I135" t="s">
        <v>182</v>
      </c>
      <c r="J135" t="s">
        <v>177</v>
      </c>
      <c r="K135">
        <v>40</v>
      </c>
      <c r="L135" t="s">
        <v>178</v>
      </c>
    </row>
    <row r="136" spans="1:12" ht="15" customHeight="1" x14ac:dyDescent="0.35">
      <c r="A136" t="s">
        <v>12</v>
      </c>
      <c r="B136" t="s">
        <v>129</v>
      </c>
      <c r="C136" t="s">
        <v>14</v>
      </c>
      <c r="D136" t="s">
        <v>129</v>
      </c>
      <c r="E136" t="s">
        <v>14</v>
      </c>
      <c r="F136" t="s">
        <v>102</v>
      </c>
      <c r="G136" s="12">
        <v>46328</v>
      </c>
      <c r="H136" s="13">
        <v>13.4</v>
      </c>
      <c r="I136" t="s">
        <v>183</v>
      </c>
      <c r="J136" t="s">
        <v>180</v>
      </c>
      <c r="K136">
        <v>13.4</v>
      </c>
      <c r="L136" t="s">
        <v>181</v>
      </c>
    </row>
    <row r="137" spans="1:12" ht="15" customHeight="1" x14ac:dyDescent="0.35">
      <c r="A137" t="s">
        <v>12</v>
      </c>
      <c r="B137" t="s">
        <v>132</v>
      </c>
      <c r="C137" t="s">
        <v>14</v>
      </c>
      <c r="D137" t="s">
        <v>24</v>
      </c>
      <c r="E137" t="s">
        <v>14</v>
      </c>
      <c r="F137" t="s">
        <v>103</v>
      </c>
      <c r="G137" s="12">
        <v>46328</v>
      </c>
      <c r="H137" s="13">
        <v>8.6538459999999997</v>
      </c>
      <c r="I137" t="s">
        <v>182</v>
      </c>
      <c r="J137" t="s">
        <v>177</v>
      </c>
      <c r="K137">
        <v>40</v>
      </c>
      <c r="L137" t="s">
        <v>178</v>
      </c>
    </row>
    <row r="138" spans="1:12" ht="15" customHeight="1" x14ac:dyDescent="0.35">
      <c r="A138" t="s">
        <v>12</v>
      </c>
      <c r="B138" t="s">
        <v>132</v>
      </c>
      <c r="C138" t="s">
        <v>14</v>
      </c>
      <c r="D138" t="s">
        <v>162</v>
      </c>
      <c r="E138" t="s">
        <v>14</v>
      </c>
      <c r="F138" t="s">
        <v>103</v>
      </c>
      <c r="G138" s="12">
        <v>46328</v>
      </c>
      <c r="H138" s="13">
        <v>6.3461540000000003</v>
      </c>
      <c r="I138" t="s">
        <v>183</v>
      </c>
      <c r="J138" t="s">
        <v>177</v>
      </c>
      <c r="K138">
        <v>6.3461540000000003</v>
      </c>
      <c r="L138" t="s">
        <v>181</v>
      </c>
    </row>
    <row r="139" spans="1:12" ht="15" customHeight="1" x14ac:dyDescent="0.35">
      <c r="A139" t="s">
        <v>12</v>
      </c>
      <c r="B139" t="s">
        <v>13</v>
      </c>
      <c r="C139" t="s">
        <v>14</v>
      </c>
      <c r="D139" t="s">
        <v>17</v>
      </c>
      <c r="E139" t="s">
        <v>14</v>
      </c>
      <c r="F139" t="s">
        <v>40</v>
      </c>
      <c r="G139" s="12">
        <v>46335</v>
      </c>
      <c r="H139" s="13">
        <v>15</v>
      </c>
      <c r="I139" t="s">
        <v>176</v>
      </c>
      <c r="J139" t="s">
        <v>177</v>
      </c>
      <c r="K139">
        <v>30</v>
      </c>
      <c r="L139" t="s">
        <v>178</v>
      </c>
    </row>
    <row r="140" spans="1:12" ht="15" customHeight="1" x14ac:dyDescent="0.35">
      <c r="A140" t="s">
        <v>12</v>
      </c>
      <c r="B140" t="s">
        <v>13</v>
      </c>
      <c r="C140" t="s">
        <v>14</v>
      </c>
      <c r="D140" t="s">
        <v>26</v>
      </c>
      <c r="E140" t="s">
        <v>14</v>
      </c>
      <c r="F140" t="s">
        <v>98</v>
      </c>
      <c r="G140" s="12">
        <v>46335</v>
      </c>
      <c r="H140" s="13">
        <v>2</v>
      </c>
      <c r="I140" t="s">
        <v>176</v>
      </c>
      <c r="J140" t="s">
        <v>177</v>
      </c>
      <c r="K140">
        <v>40</v>
      </c>
      <c r="L140" t="s">
        <v>178</v>
      </c>
    </row>
    <row r="141" spans="1:12" ht="15" customHeight="1" x14ac:dyDescent="0.35">
      <c r="A141" t="s">
        <v>12</v>
      </c>
      <c r="B141" t="s">
        <v>13</v>
      </c>
      <c r="C141" t="s">
        <v>14</v>
      </c>
      <c r="D141" t="s">
        <v>163</v>
      </c>
      <c r="E141" t="s">
        <v>14</v>
      </c>
      <c r="F141" t="s">
        <v>98</v>
      </c>
      <c r="G141" s="12">
        <v>46335</v>
      </c>
      <c r="H141" s="13">
        <v>3</v>
      </c>
      <c r="I141" t="s">
        <v>179</v>
      </c>
      <c r="J141" t="s">
        <v>180</v>
      </c>
      <c r="K141">
        <v>3</v>
      </c>
      <c r="L141" t="s">
        <v>181</v>
      </c>
    </row>
    <row r="142" spans="1:12" ht="15" customHeight="1" x14ac:dyDescent="0.35">
      <c r="A142" t="s">
        <v>12</v>
      </c>
      <c r="B142" t="s">
        <v>13</v>
      </c>
      <c r="C142" t="s">
        <v>14</v>
      </c>
      <c r="D142" t="s">
        <v>30</v>
      </c>
      <c r="E142" t="s">
        <v>14</v>
      </c>
      <c r="F142" t="s">
        <v>99</v>
      </c>
      <c r="G142" s="12">
        <v>46335</v>
      </c>
      <c r="H142" s="13">
        <v>11</v>
      </c>
      <c r="I142" t="s">
        <v>176</v>
      </c>
      <c r="J142" t="s">
        <v>177</v>
      </c>
      <c r="K142">
        <v>20</v>
      </c>
      <c r="L142" t="s">
        <v>178</v>
      </c>
    </row>
    <row r="143" spans="1:12" ht="15" customHeight="1" x14ac:dyDescent="0.35">
      <c r="A143" t="s">
        <v>12</v>
      </c>
      <c r="B143" t="s">
        <v>13</v>
      </c>
      <c r="C143" t="s">
        <v>14</v>
      </c>
      <c r="D143" t="s">
        <v>21</v>
      </c>
      <c r="E143" t="s">
        <v>14</v>
      </c>
      <c r="F143" t="s">
        <v>43</v>
      </c>
      <c r="G143" s="12">
        <v>46335</v>
      </c>
      <c r="H143" s="13">
        <v>9</v>
      </c>
      <c r="I143" t="s">
        <v>176</v>
      </c>
      <c r="J143" t="s">
        <v>177</v>
      </c>
      <c r="K143">
        <v>31</v>
      </c>
      <c r="L143" t="s">
        <v>178</v>
      </c>
    </row>
    <row r="144" spans="1:12" ht="15" customHeight="1" x14ac:dyDescent="0.35">
      <c r="A144" t="s">
        <v>12</v>
      </c>
      <c r="B144" t="s">
        <v>13</v>
      </c>
      <c r="C144" t="s">
        <v>14</v>
      </c>
      <c r="D144" t="s">
        <v>30</v>
      </c>
      <c r="E144" t="s">
        <v>14</v>
      </c>
      <c r="F144" t="s">
        <v>100</v>
      </c>
      <c r="G144" s="12">
        <v>46335</v>
      </c>
      <c r="H144" s="13">
        <v>6</v>
      </c>
      <c r="I144" t="s">
        <v>176</v>
      </c>
      <c r="J144" t="s">
        <v>177</v>
      </c>
      <c r="K144">
        <v>9</v>
      </c>
      <c r="L144" t="s">
        <v>178</v>
      </c>
    </row>
    <row r="145" spans="1:12" ht="15" customHeight="1" x14ac:dyDescent="0.35">
      <c r="A145" t="s">
        <v>12</v>
      </c>
      <c r="B145" t="s">
        <v>130</v>
      </c>
      <c r="C145" t="s">
        <v>14</v>
      </c>
      <c r="D145" t="s">
        <v>30</v>
      </c>
      <c r="E145" t="s">
        <v>14</v>
      </c>
      <c r="F145" t="s">
        <v>85</v>
      </c>
      <c r="G145" s="12">
        <v>46335</v>
      </c>
      <c r="H145" s="13">
        <v>2</v>
      </c>
      <c r="I145" t="s">
        <v>182</v>
      </c>
      <c r="J145" t="s">
        <v>177</v>
      </c>
      <c r="K145">
        <v>22</v>
      </c>
      <c r="L145" t="s">
        <v>178</v>
      </c>
    </row>
    <row r="146" spans="1:12" ht="15" customHeight="1" x14ac:dyDescent="0.35">
      <c r="A146" t="s">
        <v>12</v>
      </c>
      <c r="B146" t="s">
        <v>133</v>
      </c>
      <c r="C146" t="s">
        <v>14</v>
      </c>
      <c r="D146" t="s">
        <v>17</v>
      </c>
      <c r="E146" t="s">
        <v>14</v>
      </c>
      <c r="F146" t="s">
        <v>46</v>
      </c>
      <c r="G146" s="12">
        <v>46335</v>
      </c>
      <c r="H146" s="13">
        <v>9.8846150000000002</v>
      </c>
      <c r="I146" t="s">
        <v>184</v>
      </c>
      <c r="J146" t="s">
        <v>177</v>
      </c>
      <c r="K146">
        <v>39.884614999999997</v>
      </c>
      <c r="L146" t="s">
        <v>178</v>
      </c>
    </row>
    <row r="147" spans="1:12" ht="15" customHeight="1" x14ac:dyDescent="0.35">
      <c r="A147" t="s">
        <v>12</v>
      </c>
      <c r="B147" t="s">
        <v>133</v>
      </c>
      <c r="C147" t="s">
        <v>14</v>
      </c>
      <c r="D147" t="s">
        <v>123</v>
      </c>
      <c r="E147" t="s">
        <v>14</v>
      </c>
      <c r="F147" t="s">
        <v>46</v>
      </c>
      <c r="G147" s="12">
        <v>46335</v>
      </c>
      <c r="H147" s="13">
        <v>18.615385</v>
      </c>
      <c r="I147" t="s">
        <v>184</v>
      </c>
      <c r="J147" t="s">
        <v>177</v>
      </c>
      <c r="K147">
        <v>20</v>
      </c>
      <c r="L147" t="s">
        <v>178</v>
      </c>
    </row>
    <row r="148" spans="1:12" ht="15" customHeight="1" x14ac:dyDescent="0.35">
      <c r="A148" t="s">
        <v>12</v>
      </c>
      <c r="B148" t="s">
        <v>129</v>
      </c>
      <c r="C148" t="s">
        <v>14</v>
      </c>
      <c r="D148" t="s">
        <v>129</v>
      </c>
      <c r="E148" t="s">
        <v>14</v>
      </c>
      <c r="F148" t="s">
        <v>102</v>
      </c>
      <c r="G148" s="12">
        <v>46335</v>
      </c>
      <c r="H148" s="13">
        <v>15</v>
      </c>
      <c r="I148" t="s">
        <v>183</v>
      </c>
      <c r="J148" t="s">
        <v>180</v>
      </c>
      <c r="K148">
        <v>15</v>
      </c>
      <c r="L148" t="s">
        <v>181</v>
      </c>
    </row>
    <row r="149" spans="1:12" ht="15" customHeight="1" x14ac:dyDescent="0.35">
      <c r="A149" t="s">
        <v>12</v>
      </c>
      <c r="B149" t="s">
        <v>132</v>
      </c>
      <c r="C149" t="s">
        <v>14</v>
      </c>
      <c r="D149" t="s">
        <v>24</v>
      </c>
      <c r="E149" t="s">
        <v>14</v>
      </c>
      <c r="F149" t="s">
        <v>103</v>
      </c>
      <c r="G149" s="12">
        <v>46335</v>
      </c>
      <c r="H149" s="13">
        <v>8.6538459999999997</v>
      </c>
      <c r="I149" t="s">
        <v>182</v>
      </c>
      <c r="J149" t="s">
        <v>177</v>
      </c>
      <c r="K149">
        <v>40</v>
      </c>
      <c r="L149" t="s">
        <v>178</v>
      </c>
    </row>
    <row r="150" spans="1:12" ht="15" customHeight="1" x14ac:dyDescent="0.35">
      <c r="A150" t="s">
        <v>12</v>
      </c>
      <c r="B150" t="s">
        <v>132</v>
      </c>
      <c r="C150" t="s">
        <v>14</v>
      </c>
      <c r="D150" t="s">
        <v>162</v>
      </c>
      <c r="E150" t="s">
        <v>14</v>
      </c>
      <c r="F150" t="s">
        <v>103</v>
      </c>
      <c r="G150" s="12">
        <v>46335</v>
      </c>
      <c r="H150" s="13">
        <v>11.346154</v>
      </c>
      <c r="I150" t="s">
        <v>183</v>
      </c>
      <c r="J150" t="s">
        <v>177</v>
      </c>
      <c r="K150">
        <v>11.346154</v>
      </c>
      <c r="L150" t="s">
        <v>181</v>
      </c>
    </row>
    <row r="151" spans="1:12" ht="15" customHeight="1" x14ac:dyDescent="0.35">
      <c r="A151" t="s">
        <v>12</v>
      </c>
      <c r="B151" t="s">
        <v>13</v>
      </c>
      <c r="C151" t="s">
        <v>14</v>
      </c>
      <c r="D151" t="s">
        <v>123</v>
      </c>
      <c r="E151" t="s">
        <v>14</v>
      </c>
      <c r="F151" t="s">
        <v>81</v>
      </c>
      <c r="G151" s="12">
        <v>46342</v>
      </c>
      <c r="H151" s="13">
        <v>16</v>
      </c>
      <c r="I151" t="s">
        <v>176</v>
      </c>
      <c r="J151" t="s">
        <v>177</v>
      </c>
      <c r="K151">
        <v>17.384615</v>
      </c>
      <c r="L151" t="s">
        <v>178</v>
      </c>
    </row>
    <row r="152" spans="1:12" ht="15" customHeight="1" x14ac:dyDescent="0.35">
      <c r="A152" t="s">
        <v>12</v>
      </c>
      <c r="B152" t="s">
        <v>13</v>
      </c>
      <c r="C152" t="s">
        <v>14</v>
      </c>
      <c r="D152" t="s">
        <v>17</v>
      </c>
      <c r="E152" t="s">
        <v>14</v>
      </c>
      <c r="F152" t="s">
        <v>40</v>
      </c>
      <c r="G152" s="12">
        <v>46342</v>
      </c>
      <c r="H152" s="13">
        <v>10</v>
      </c>
      <c r="I152" t="s">
        <v>176</v>
      </c>
      <c r="J152" t="s">
        <v>177</v>
      </c>
      <c r="K152">
        <v>20</v>
      </c>
      <c r="L152" t="s">
        <v>178</v>
      </c>
    </row>
    <row r="153" spans="1:12" ht="15" customHeight="1" x14ac:dyDescent="0.35">
      <c r="A153" t="s">
        <v>12</v>
      </c>
      <c r="B153" t="s">
        <v>13</v>
      </c>
      <c r="C153" t="s">
        <v>14</v>
      </c>
      <c r="D153" t="s">
        <v>163</v>
      </c>
      <c r="E153" t="s">
        <v>14</v>
      </c>
      <c r="F153" t="s">
        <v>98</v>
      </c>
      <c r="G153" s="12">
        <v>46342</v>
      </c>
      <c r="H153" s="13">
        <v>5</v>
      </c>
      <c r="I153" t="s">
        <v>179</v>
      </c>
      <c r="J153" t="s">
        <v>180</v>
      </c>
      <c r="K153">
        <v>5</v>
      </c>
      <c r="L153" t="s">
        <v>181</v>
      </c>
    </row>
    <row r="154" spans="1:12" ht="15" customHeight="1" x14ac:dyDescent="0.35">
      <c r="A154" t="s">
        <v>12</v>
      </c>
      <c r="B154" t="s">
        <v>13</v>
      </c>
      <c r="C154" t="s">
        <v>14</v>
      </c>
      <c r="D154" t="s">
        <v>30</v>
      </c>
      <c r="E154" t="s">
        <v>14</v>
      </c>
      <c r="F154" t="s">
        <v>99</v>
      </c>
      <c r="G154" s="12">
        <v>46342</v>
      </c>
      <c r="H154" s="13">
        <v>7</v>
      </c>
      <c r="I154" t="s">
        <v>176</v>
      </c>
      <c r="J154" t="s">
        <v>177</v>
      </c>
      <c r="K154">
        <v>12</v>
      </c>
      <c r="L154" t="s">
        <v>178</v>
      </c>
    </row>
    <row r="155" spans="1:12" ht="15" customHeight="1" x14ac:dyDescent="0.35">
      <c r="A155" t="s">
        <v>12</v>
      </c>
      <c r="B155" t="s">
        <v>13</v>
      </c>
      <c r="C155" t="s">
        <v>14</v>
      </c>
      <c r="D155" t="s">
        <v>135</v>
      </c>
      <c r="E155" t="s">
        <v>14</v>
      </c>
      <c r="F155" t="s">
        <v>43</v>
      </c>
      <c r="G155" s="12">
        <v>46342</v>
      </c>
      <c r="H155" s="13">
        <v>1</v>
      </c>
      <c r="I155" t="s">
        <v>176</v>
      </c>
      <c r="J155" t="s">
        <v>177</v>
      </c>
      <c r="K155">
        <v>1</v>
      </c>
      <c r="L155" t="s">
        <v>178</v>
      </c>
    </row>
    <row r="156" spans="1:12" ht="15" customHeight="1" x14ac:dyDescent="0.35">
      <c r="A156" t="s">
        <v>12</v>
      </c>
      <c r="B156" t="s">
        <v>13</v>
      </c>
      <c r="C156" t="s">
        <v>14</v>
      </c>
      <c r="D156" t="s">
        <v>30</v>
      </c>
      <c r="E156" t="s">
        <v>14</v>
      </c>
      <c r="F156" t="s">
        <v>100</v>
      </c>
      <c r="G156" s="12">
        <v>46342</v>
      </c>
      <c r="H156" s="13">
        <v>3</v>
      </c>
      <c r="I156" t="s">
        <v>176</v>
      </c>
      <c r="J156" t="s">
        <v>177</v>
      </c>
      <c r="K156">
        <v>5</v>
      </c>
      <c r="L156" t="s">
        <v>178</v>
      </c>
    </row>
    <row r="157" spans="1:12" ht="15" customHeight="1" x14ac:dyDescent="0.35">
      <c r="A157" t="s">
        <v>12</v>
      </c>
      <c r="B157" t="s">
        <v>27</v>
      </c>
      <c r="C157" t="s">
        <v>14</v>
      </c>
      <c r="D157" t="s">
        <v>160</v>
      </c>
      <c r="E157" t="s">
        <v>14</v>
      </c>
      <c r="F157" t="s">
        <v>94</v>
      </c>
      <c r="G157" s="12">
        <v>46342</v>
      </c>
      <c r="H157" s="13">
        <v>6</v>
      </c>
      <c r="I157" t="s">
        <v>179</v>
      </c>
      <c r="J157" t="s">
        <v>180</v>
      </c>
      <c r="K157">
        <v>6</v>
      </c>
      <c r="L157" t="s">
        <v>181</v>
      </c>
    </row>
    <row r="158" spans="1:12" ht="15" customHeight="1" x14ac:dyDescent="0.35">
      <c r="A158" t="s">
        <v>12</v>
      </c>
      <c r="B158" t="s">
        <v>21</v>
      </c>
      <c r="C158" t="s">
        <v>14</v>
      </c>
      <c r="D158" t="s">
        <v>30</v>
      </c>
      <c r="E158" t="s">
        <v>14</v>
      </c>
      <c r="F158" t="s">
        <v>85</v>
      </c>
      <c r="G158" s="12">
        <v>46342</v>
      </c>
      <c r="H158" s="13">
        <v>27</v>
      </c>
      <c r="I158" t="s">
        <v>176</v>
      </c>
      <c r="J158" t="s">
        <v>177</v>
      </c>
      <c r="K158">
        <v>39</v>
      </c>
      <c r="L158" t="s">
        <v>178</v>
      </c>
    </row>
    <row r="159" spans="1:12" ht="15" customHeight="1" x14ac:dyDescent="0.35">
      <c r="A159" t="s">
        <v>12</v>
      </c>
      <c r="B159" t="s">
        <v>18</v>
      </c>
      <c r="C159" t="s">
        <v>16</v>
      </c>
      <c r="D159" t="s">
        <v>25</v>
      </c>
      <c r="E159" t="s">
        <v>16</v>
      </c>
      <c r="F159" t="s">
        <v>79</v>
      </c>
      <c r="G159" s="12">
        <v>46342</v>
      </c>
      <c r="H159" s="13">
        <v>1.4035089999999999</v>
      </c>
      <c r="I159" t="s">
        <v>176</v>
      </c>
      <c r="J159" t="s">
        <v>177</v>
      </c>
      <c r="K159">
        <v>9.4078949999999999</v>
      </c>
      <c r="L159" t="s">
        <v>178</v>
      </c>
    </row>
    <row r="160" spans="1:12" ht="15" customHeight="1" x14ac:dyDescent="0.35">
      <c r="A160" t="s">
        <v>12</v>
      </c>
      <c r="B160" t="s">
        <v>18</v>
      </c>
      <c r="C160" t="s">
        <v>16</v>
      </c>
      <c r="D160" t="s">
        <v>25</v>
      </c>
      <c r="E160" t="s">
        <v>16</v>
      </c>
      <c r="F160" t="s">
        <v>81</v>
      </c>
      <c r="G160" s="12">
        <v>46342</v>
      </c>
      <c r="H160" s="13">
        <v>0.25</v>
      </c>
      <c r="I160" t="s">
        <v>176</v>
      </c>
      <c r="J160" t="s">
        <v>177</v>
      </c>
      <c r="K160">
        <v>8.0043860000000002</v>
      </c>
      <c r="L160" t="s">
        <v>178</v>
      </c>
    </row>
    <row r="161" spans="1:12" ht="15" customHeight="1" x14ac:dyDescent="0.35">
      <c r="A161" t="s">
        <v>12</v>
      </c>
      <c r="B161" t="s">
        <v>18</v>
      </c>
      <c r="C161" t="s">
        <v>16</v>
      </c>
      <c r="D161" t="s">
        <v>75</v>
      </c>
      <c r="E161" t="s">
        <v>16</v>
      </c>
      <c r="F161" t="s">
        <v>85</v>
      </c>
      <c r="G161" s="12">
        <v>46342</v>
      </c>
      <c r="H161" s="13">
        <v>2.5</v>
      </c>
      <c r="I161" t="s">
        <v>176</v>
      </c>
      <c r="J161" t="s">
        <v>177</v>
      </c>
      <c r="K161">
        <v>16.429825000000001</v>
      </c>
      <c r="L161" t="s">
        <v>178</v>
      </c>
    </row>
    <row r="162" spans="1:12" ht="15" customHeight="1" x14ac:dyDescent="0.35">
      <c r="A162" t="s">
        <v>12</v>
      </c>
      <c r="B162" t="s">
        <v>18</v>
      </c>
      <c r="C162" t="s">
        <v>16</v>
      </c>
      <c r="D162" t="s">
        <v>25</v>
      </c>
      <c r="E162" t="s">
        <v>16</v>
      </c>
      <c r="F162" t="s">
        <v>103</v>
      </c>
      <c r="G162" s="12">
        <v>46342</v>
      </c>
      <c r="H162" s="13">
        <v>5</v>
      </c>
      <c r="I162" t="s">
        <v>176</v>
      </c>
      <c r="J162" t="s">
        <v>177</v>
      </c>
      <c r="K162">
        <v>14.407895</v>
      </c>
      <c r="L162" t="s">
        <v>178</v>
      </c>
    </row>
    <row r="163" spans="1:12" ht="15" customHeight="1" x14ac:dyDescent="0.35">
      <c r="A163" t="s">
        <v>12</v>
      </c>
      <c r="B163" t="s">
        <v>130</v>
      </c>
      <c r="C163" t="s">
        <v>14</v>
      </c>
      <c r="D163" t="s">
        <v>30</v>
      </c>
      <c r="E163" t="s">
        <v>14</v>
      </c>
      <c r="F163" t="s">
        <v>85</v>
      </c>
      <c r="G163" s="12">
        <v>46342</v>
      </c>
      <c r="H163" s="13">
        <v>1</v>
      </c>
      <c r="I163" t="s">
        <v>182</v>
      </c>
      <c r="J163" t="s">
        <v>177</v>
      </c>
      <c r="K163">
        <v>40</v>
      </c>
      <c r="L163" t="s">
        <v>178</v>
      </c>
    </row>
    <row r="164" spans="1:12" ht="15" customHeight="1" x14ac:dyDescent="0.35">
      <c r="A164" t="s">
        <v>12</v>
      </c>
      <c r="B164" t="s">
        <v>130</v>
      </c>
      <c r="C164" t="s">
        <v>14</v>
      </c>
      <c r="D164" t="s">
        <v>130</v>
      </c>
      <c r="E164" t="s">
        <v>14</v>
      </c>
      <c r="F164" t="s">
        <v>85</v>
      </c>
      <c r="G164" s="12">
        <v>46342</v>
      </c>
      <c r="H164" s="13">
        <v>1</v>
      </c>
      <c r="I164" t="s">
        <v>183</v>
      </c>
      <c r="J164" t="s">
        <v>177</v>
      </c>
      <c r="K164">
        <v>1</v>
      </c>
      <c r="L164" t="s">
        <v>181</v>
      </c>
    </row>
    <row r="165" spans="1:12" ht="15" customHeight="1" x14ac:dyDescent="0.35">
      <c r="A165" t="s">
        <v>12</v>
      </c>
      <c r="B165" t="s">
        <v>133</v>
      </c>
      <c r="C165" t="s">
        <v>14</v>
      </c>
      <c r="D165" t="s">
        <v>17</v>
      </c>
      <c r="E165" t="s">
        <v>14</v>
      </c>
      <c r="F165" t="s">
        <v>46</v>
      </c>
      <c r="G165" s="12">
        <v>46342</v>
      </c>
      <c r="H165" s="13">
        <v>1.5</v>
      </c>
      <c r="I165" t="s">
        <v>184</v>
      </c>
      <c r="J165" t="s">
        <v>177</v>
      </c>
      <c r="K165">
        <v>21.5</v>
      </c>
      <c r="L165" t="s">
        <v>178</v>
      </c>
    </row>
    <row r="166" spans="1:12" ht="15" customHeight="1" x14ac:dyDescent="0.35">
      <c r="A166" t="s">
        <v>12</v>
      </c>
      <c r="B166" t="s">
        <v>129</v>
      </c>
      <c r="C166" t="s">
        <v>14</v>
      </c>
      <c r="D166" t="s">
        <v>17</v>
      </c>
      <c r="E166" t="s">
        <v>14</v>
      </c>
      <c r="F166" t="s">
        <v>102</v>
      </c>
      <c r="G166" s="12">
        <v>46342</v>
      </c>
      <c r="H166" s="13">
        <v>15</v>
      </c>
      <c r="I166" t="s">
        <v>182</v>
      </c>
      <c r="J166" t="s">
        <v>180</v>
      </c>
      <c r="K166">
        <v>36.5</v>
      </c>
      <c r="L166" t="s">
        <v>178</v>
      </c>
    </row>
    <row r="167" spans="1:12" ht="15" customHeight="1" x14ac:dyDescent="0.35">
      <c r="A167" t="s">
        <v>12</v>
      </c>
      <c r="B167" t="s">
        <v>132</v>
      </c>
      <c r="C167" t="s">
        <v>14</v>
      </c>
      <c r="D167" t="s">
        <v>24</v>
      </c>
      <c r="E167" t="s">
        <v>14</v>
      </c>
      <c r="F167" t="s">
        <v>103</v>
      </c>
      <c r="G167" s="12">
        <v>46342</v>
      </c>
      <c r="H167" s="13">
        <v>8.6538459999999997</v>
      </c>
      <c r="I167" t="s">
        <v>182</v>
      </c>
      <c r="J167" t="s">
        <v>177</v>
      </c>
      <c r="K167">
        <v>40</v>
      </c>
      <c r="L167" t="s">
        <v>178</v>
      </c>
    </row>
    <row r="168" spans="1:12" ht="15" customHeight="1" x14ac:dyDescent="0.35">
      <c r="A168" t="s">
        <v>12</v>
      </c>
      <c r="B168" t="s">
        <v>132</v>
      </c>
      <c r="C168" t="s">
        <v>14</v>
      </c>
      <c r="D168" t="s">
        <v>162</v>
      </c>
      <c r="E168" t="s">
        <v>14</v>
      </c>
      <c r="F168" t="s">
        <v>103</v>
      </c>
      <c r="G168" s="12">
        <v>46342</v>
      </c>
      <c r="H168" s="13">
        <v>11.346154</v>
      </c>
      <c r="I168" t="s">
        <v>183</v>
      </c>
      <c r="J168" t="s">
        <v>177</v>
      </c>
      <c r="K168">
        <v>11.346154</v>
      </c>
      <c r="L168" t="s">
        <v>181</v>
      </c>
    </row>
    <row r="169" spans="1:12" ht="15" customHeight="1" x14ac:dyDescent="0.35">
      <c r="A169" t="s">
        <v>12</v>
      </c>
      <c r="B169" t="s">
        <v>20</v>
      </c>
      <c r="C169" t="s">
        <v>10</v>
      </c>
      <c r="D169" t="s">
        <v>36</v>
      </c>
      <c r="E169" t="s">
        <v>10</v>
      </c>
      <c r="F169" t="s">
        <v>85</v>
      </c>
      <c r="G169" s="12">
        <v>46349</v>
      </c>
      <c r="H169" s="13">
        <v>2.5</v>
      </c>
      <c r="I169" t="s">
        <v>176</v>
      </c>
      <c r="J169" t="s">
        <v>177</v>
      </c>
      <c r="K169">
        <v>2.5</v>
      </c>
      <c r="L169" t="s">
        <v>178</v>
      </c>
    </row>
    <row r="170" spans="1:12" ht="15" customHeight="1" x14ac:dyDescent="0.35">
      <c r="A170" t="s">
        <v>12</v>
      </c>
      <c r="B170" t="s">
        <v>20</v>
      </c>
      <c r="C170" t="s">
        <v>10</v>
      </c>
      <c r="D170" t="s">
        <v>9</v>
      </c>
      <c r="E170" t="s">
        <v>10</v>
      </c>
      <c r="F170" t="s">
        <v>43</v>
      </c>
      <c r="G170" s="12">
        <v>46349</v>
      </c>
      <c r="H170" s="13">
        <v>10</v>
      </c>
      <c r="I170" t="s">
        <v>176</v>
      </c>
      <c r="J170" t="s">
        <v>177</v>
      </c>
      <c r="K170">
        <v>22</v>
      </c>
      <c r="L170" t="s">
        <v>178</v>
      </c>
    </row>
    <row r="171" spans="1:12" ht="15" customHeight="1" x14ac:dyDescent="0.35">
      <c r="A171" t="s">
        <v>12</v>
      </c>
      <c r="B171" t="s">
        <v>27</v>
      </c>
      <c r="C171" t="s">
        <v>14</v>
      </c>
      <c r="D171" t="s">
        <v>26</v>
      </c>
      <c r="E171" t="s">
        <v>14</v>
      </c>
      <c r="F171" t="s">
        <v>94</v>
      </c>
      <c r="G171" s="12">
        <v>46349</v>
      </c>
      <c r="H171" s="13">
        <v>6</v>
      </c>
      <c r="I171" t="s">
        <v>176</v>
      </c>
      <c r="J171" t="s">
        <v>180</v>
      </c>
      <c r="K171">
        <v>6</v>
      </c>
      <c r="L171" t="s">
        <v>178</v>
      </c>
    </row>
    <row r="172" spans="1:12" ht="15" customHeight="1" x14ac:dyDescent="0.35">
      <c r="A172" t="s">
        <v>12</v>
      </c>
      <c r="B172" t="s">
        <v>21</v>
      </c>
      <c r="C172" t="s">
        <v>14</v>
      </c>
      <c r="D172" t="s">
        <v>30</v>
      </c>
      <c r="E172" t="s">
        <v>14</v>
      </c>
      <c r="F172" t="s">
        <v>85</v>
      </c>
      <c r="G172" s="12">
        <v>46349</v>
      </c>
      <c r="H172" s="13">
        <v>4</v>
      </c>
      <c r="I172" t="s">
        <v>176</v>
      </c>
      <c r="J172" t="s">
        <v>177</v>
      </c>
      <c r="K172">
        <v>6</v>
      </c>
      <c r="L172" t="s">
        <v>178</v>
      </c>
    </row>
    <row r="173" spans="1:12" ht="15" customHeight="1" x14ac:dyDescent="0.35">
      <c r="A173" t="s">
        <v>12</v>
      </c>
      <c r="B173" t="s">
        <v>21</v>
      </c>
      <c r="C173" t="s">
        <v>14</v>
      </c>
      <c r="D173" t="s">
        <v>13</v>
      </c>
      <c r="E173" t="s">
        <v>14</v>
      </c>
      <c r="F173" t="s">
        <v>43</v>
      </c>
      <c r="G173" s="12">
        <v>46349</v>
      </c>
      <c r="H173" s="13">
        <v>20</v>
      </c>
      <c r="I173" t="s">
        <v>176</v>
      </c>
      <c r="J173" t="s">
        <v>177</v>
      </c>
      <c r="K173">
        <v>35</v>
      </c>
      <c r="L173" t="s">
        <v>178</v>
      </c>
    </row>
    <row r="174" spans="1:12" ht="15" customHeight="1" x14ac:dyDescent="0.35">
      <c r="A174" t="s">
        <v>12</v>
      </c>
      <c r="B174" t="s">
        <v>130</v>
      </c>
      <c r="C174" t="s">
        <v>14</v>
      </c>
      <c r="D174" t="s">
        <v>30</v>
      </c>
      <c r="E174" t="s">
        <v>14</v>
      </c>
      <c r="F174" t="s">
        <v>85</v>
      </c>
      <c r="G174" s="12">
        <v>46349</v>
      </c>
      <c r="H174" s="13">
        <v>22</v>
      </c>
      <c r="I174" t="s">
        <v>182</v>
      </c>
      <c r="J174" t="s">
        <v>177</v>
      </c>
      <c r="K174">
        <v>28</v>
      </c>
      <c r="L174" t="s">
        <v>178</v>
      </c>
    </row>
    <row r="175" spans="1:12" ht="15" customHeight="1" x14ac:dyDescent="0.35">
      <c r="A175" t="s">
        <v>12</v>
      </c>
      <c r="B175" t="s">
        <v>133</v>
      </c>
      <c r="C175" t="s">
        <v>14</v>
      </c>
      <c r="D175" t="s">
        <v>17</v>
      </c>
      <c r="E175" t="s">
        <v>14</v>
      </c>
      <c r="F175" t="s">
        <v>46</v>
      </c>
      <c r="G175" s="12">
        <v>46349</v>
      </c>
      <c r="H175" s="13">
        <v>1.5</v>
      </c>
      <c r="I175" t="s">
        <v>184</v>
      </c>
      <c r="J175" t="s">
        <v>177</v>
      </c>
      <c r="K175">
        <v>9.5</v>
      </c>
      <c r="L175" t="s">
        <v>178</v>
      </c>
    </row>
    <row r="176" spans="1:12" ht="15" customHeight="1" x14ac:dyDescent="0.35">
      <c r="A176" t="s">
        <v>12</v>
      </c>
      <c r="B176" t="s">
        <v>129</v>
      </c>
      <c r="C176" t="s">
        <v>14</v>
      </c>
      <c r="D176" t="s">
        <v>26</v>
      </c>
      <c r="E176" t="s">
        <v>14</v>
      </c>
      <c r="F176" t="s">
        <v>102</v>
      </c>
      <c r="G176" s="12">
        <v>46349</v>
      </c>
      <c r="H176" s="13">
        <v>15</v>
      </c>
      <c r="I176" t="s">
        <v>182</v>
      </c>
      <c r="J176" t="s">
        <v>177</v>
      </c>
      <c r="K176">
        <v>21</v>
      </c>
      <c r="L176" t="s">
        <v>178</v>
      </c>
    </row>
    <row r="177" spans="1:12" ht="15" customHeight="1" x14ac:dyDescent="0.35">
      <c r="A177" t="s">
        <v>12</v>
      </c>
      <c r="B177" t="s">
        <v>132</v>
      </c>
      <c r="C177" t="s">
        <v>14</v>
      </c>
      <c r="D177" t="s">
        <v>24</v>
      </c>
      <c r="E177" t="s">
        <v>14</v>
      </c>
      <c r="F177" t="s">
        <v>103</v>
      </c>
      <c r="G177" s="12">
        <v>46349</v>
      </c>
      <c r="H177" s="13">
        <v>13.653846</v>
      </c>
      <c r="I177" t="s">
        <v>182</v>
      </c>
      <c r="J177" t="s">
        <v>177</v>
      </c>
      <c r="K177">
        <v>40</v>
      </c>
      <c r="L177" t="s">
        <v>178</v>
      </c>
    </row>
    <row r="178" spans="1:12" ht="15" customHeight="1" x14ac:dyDescent="0.35">
      <c r="A178" t="s">
        <v>12</v>
      </c>
      <c r="B178" t="s">
        <v>132</v>
      </c>
      <c r="C178" t="s">
        <v>14</v>
      </c>
      <c r="D178" t="s">
        <v>162</v>
      </c>
      <c r="E178" t="s">
        <v>14</v>
      </c>
      <c r="F178" t="s">
        <v>103</v>
      </c>
      <c r="G178" s="12">
        <v>46349</v>
      </c>
      <c r="H178" s="13">
        <v>1.3461540000000001</v>
      </c>
      <c r="I178" t="s">
        <v>183</v>
      </c>
      <c r="J178" t="s">
        <v>177</v>
      </c>
      <c r="K178">
        <v>1.3461540000000001</v>
      </c>
      <c r="L178" t="s">
        <v>181</v>
      </c>
    </row>
    <row r="179" spans="1:12" ht="15" customHeight="1" x14ac:dyDescent="0.35">
      <c r="A179" t="s">
        <v>12</v>
      </c>
      <c r="B179" t="s">
        <v>9</v>
      </c>
      <c r="C179" t="s">
        <v>10</v>
      </c>
      <c r="D179" t="s">
        <v>116</v>
      </c>
      <c r="E179" t="s">
        <v>10</v>
      </c>
      <c r="F179" t="s">
        <v>96</v>
      </c>
      <c r="G179" s="12">
        <v>46356</v>
      </c>
      <c r="H179" s="13">
        <v>9.9</v>
      </c>
      <c r="I179" t="s">
        <v>176</v>
      </c>
      <c r="J179" t="s">
        <v>177</v>
      </c>
      <c r="K179">
        <v>28.9</v>
      </c>
      <c r="L179" t="s">
        <v>178</v>
      </c>
    </row>
    <row r="180" spans="1:12" ht="15" customHeight="1" x14ac:dyDescent="0.35">
      <c r="A180" t="s">
        <v>12</v>
      </c>
      <c r="B180" t="s">
        <v>9</v>
      </c>
      <c r="C180" t="s">
        <v>10</v>
      </c>
      <c r="D180" t="s">
        <v>33</v>
      </c>
      <c r="E180" t="s">
        <v>10</v>
      </c>
      <c r="F180" t="s">
        <v>100</v>
      </c>
      <c r="G180" s="12">
        <v>46356</v>
      </c>
      <c r="H180" s="13">
        <v>2.5</v>
      </c>
      <c r="I180" t="s">
        <v>176</v>
      </c>
      <c r="J180" t="s">
        <v>177</v>
      </c>
      <c r="K180">
        <v>34.5</v>
      </c>
      <c r="L180" t="s">
        <v>178</v>
      </c>
    </row>
    <row r="181" spans="1:12" ht="15" customHeight="1" x14ac:dyDescent="0.35">
      <c r="A181" t="s">
        <v>12</v>
      </c>
      <c r="B181" t="s">
        <v>26</v>
      </c>
      <c r="C181" t="s">
        <v>14</v>
      </c>
      <c r="D181" t="s">
        <v>24</v>
      </c>
      <c r="E181" t="s">
        <v>14</v>
      </c>
      <c r="F181" t="s">
        <v>111</v>
      </c>
      <c r="G181" s="12">
        <v>46356</v>
      </c>
      <c r="H181" s="13">
        <v>3</v>
      </c>
      <c r="I181" t="s">
        <v>176</v>
      </c>
      <c r="J181" t="s">
        <v>177</v>
      </c>
      <c r="K181">
        <v>34.346153999999999</v>
      </c>
      <c r="L181" t="s">
        <v>178</v>
      </c>
    </row>
    <row r="182" spans="1:12" ht="15" customHeight="1" x14ac:dyDescent="0.35">
      <c r="A182" t="s">
        <v>12</v>
      </c>
      <c r="B182" t="s">
        <v>20</v>
      </c>
      <c r="C182" t="s">
        <v>10</v>
      </c>
      <c r="D182" t="s">
        <v>36</v>
      </c>
      <c r="E182" t="s">
        <v>10</v>
      </c>
      <c r="F182" t="s">
        <v>85</v>
      </c>
      <c r="G182" s="12">
        <v>46356</v>
      </c>
      <c r="H182" s="13">
        <v>4.5</v>
      </c>
      <c r="I182" t="s">
        <v>176</v>
      </c>
      <c r="J182" t="s">
        <v>177</v>
      </c>
      <c r="K182">
        <v>9.5</v>
      </c>
      <c r="L182" t="s">
        <v>178</v>
      </c>
    </row>
    <row r="183" spans="1:12" ht="15" customHeight="1" x14ac:dyDescent="0.35">
      <c r="A183" t="s">
        <v>12</v>
      </c>
      <c r="B183" t="s">
        <v>20</v>
      </c>
      <c r="C183" t="s">
        <v>10</v>
      </c>
      <c r="D183" t="s">
        <v>116</v>
      </c>
      <c r="E183" t="s">
        <v>10</v>
      </c>
      <c r="F183" t="s">
        <v>43</v>
      </c>
      <c r="G183" s="12">
        <v>46356</v>
      </c>
      <c r="H183" s="13">
        <v>10</v>
      </c>
      <c r="I183" t="s">
        <v>176</v>
      </c>
      <c r="J183" t="s">
        <v>177</v>
      </c>
      <c r="K183">
        <v>38.9</v>
      </c>
      <c r="L183" t="s">
        <v>178</v>
      </c>
    </row>
    <row r="184" spans="1:12" ht="15" customHeight="1" x14ac:dyDescent="0.35">
      <c r="A184" t="s">
        <v>12</v>
      </c>
      <c r="B184" t="s">
        <v>15</v>
      </c>
      <c r="C184" t="s">
        <v>16</v>
      </c>
      <c r="D184" t="s">
        <v>25</v>
      </c>
      <c r="E184" t="s">
        <v>16</v>
      </c>
      <c r="F184" t="s">
        <v>79</v>
      </c>
      <c r="G184" s="12">
        <v>46356</v>
      </c>
      <c r="H184" s="13">
        <v>1.4035089999999999</v>
      </c>
      <c r="I184" t="s">
        <v>176</v>
      </c>
      <c r="J184" t="s">
        <v>177</v>
      </c>
      <c r="K184">
        <v>18.557894999999998</v>
      </c>
      <c r="L184" t="s">
        <v>178</v>
      </c>
    </row>
    <row r="185" spans="1:12" ht="15" customHeight="1" x14ac:dyDescent="0.35">
      <c r="A185" t="s">
        <v>12</v>
      </c>
      <c r="B185" t="s">
        <v>15</v>
      </c>
      <c r="C185" t="s">
        <v>16</v>
      </c>
      <c r="D185" t="s">
        <v>25</v>
      </c>
      <c r="E185" t="s">
        <v>16</v>
      </c>
      <c r="F185" t="s">
        <v>40</v>
      </c>
      <c r="G185" s="12">
        <v>46356</v>
      </c>
      <c r="H185" s="13">
        <v>1.1000000000000001</v>
      </c>
      <c r="I185" t="s">
        <v>176</v>
      </c>
      <c r="J185" t="s">
        <v>177</v>
      </c>
      <c r="K185">
        <v>19.657895</v>
      </c>
      <c r="L185" t="s">
        <v>178</v>
      </c>
    </row>
    <row r="186" spans="1:12" ht="15" customHeight="1" x14ac:dyDescent="0.35">
      <c r="A186" t="s">
        <v>12</v>
      </c>
      <c r="B186" t="s">
        <v>15</v>
      </c>
      <c r="C186" t="s">
        <v>16</v>
      </c>
      <c r="D186" t="s">
        <v>25</v>
      </c>
      <c r="E186" t="s">
        <v>16</v>
      </c>
      <c r="F186" t="s">
        <v>98</v>
      </c>
      <c r="G186" s="12">
        <v>46356</v>
      </c>
      <c r="H186" s="13">
        <v>1</v>
      </c>
      <c r="I186" t="s">
        <v>176</v>
      </c>
      <c r="J186" t="s">
        <v>177</v>
      </c>
      <c r="K186">
        <v>15.754386</v>
      </c>
      <c r="L186" t="s">
        <v>178</v>
      </c>
    </row>
    <row r="187" spans="1:12" ht="15" customHeight="1" x14ac:dyDescent="0.35">
      <c r="A187" t="s">
        <v>12</v>
      </c>
      <c r="B187" t="s">
        <v>15</v>
      </c>
      <c r="C187" t="s">
        <v>16</v>
      </c>
      <c r="D187" t="s">
        <v>25</v>
      </c>
      <c r="E187" t="s">
        <v>16</v>
      </c>
      <c r="F187" t="s">
        <v>99</v>
      </c>
      <c r="G187" s="12">
        <v>46356</v>
      </c>
      <c r="H187" s="13">
        <v>1.4</v>
      </c>
      <c r="I187" t="s">
        <v>176</v>
      </c>
      <c r="J187" t="s">
        <v>177</v>
      </c>
      <c r="K187">
        <v>17.154385999999999</v>
      </c>
      <c r="L187" t="s">
        <v>178</v>
      </c>
    </row>
    <row r="188" spans="1:12" ht="15" customHeight="1" x14ac:dyDescent="0.35">
      <c r="A188" t="s">
        <v>12</v>
      </c>
      <c r="B188" t="s">
        <v>27</v>
      </c>
      <c r="C188" t="s">
        <v>14</v>
      </c>
      <c r="D188" t="s">
        <v>17</v>
      </c>
      <c r="E188" t="s">
        <v>14</v>
      </c>
      <c r="F188" t="s">
        <v>40</v>
      </c>
      <c r="G188" s="12">
        <v>46356</v>
      </c>
      <c r="H188" s="13">
        <v>5</v>
      </c>
      <c r="I188" t="s">
        <v>176</v>
      </c>
      <c r="J188" t="s">
        <v>177</v>
      </c>
      <c r="K188">
        <v>11</v>
      </c>
      <c r="L188" t="s">
        <v>178</v>
      </c>
    </row>
    <row r="189" spans="1:12" ht="15" customHeight="1" x14ac:dyDescent="0.35">
      <c r="A189" t="s">
        <v>12</v>
      </c>
      <c r="B189" t="s">
        <v>21</v>
      </c>
      <c r="C189" t="s">
        <v>14</v>
      </c>
      <c r="D189" t="s">
        <v>30</v>
      </c>
      <c r="E189" t="s">
        <v>14</v>
      </c>
      <c r="F189" t="s">
        <v>85</v>
      </c>
      <c r="G189" s="12">
        <v>46356</v>
      </c>
      <c r="H189" s="13">
        <v>7</v>
      </c>
      <c r="I189" t="s">
        <v>176</v>
      </c>
      <c r="J189" t="s">
        <v>177</v>
      </c>
      <c r="K189">
        <v>19</v>
      </c>
      <c r="L189" t="s">
        <v>178</v>
      </c>
    </row>
    <row r="190" spans="1:12" ht="15" customHeight="1" x14ac:dyDescent="0.35">
      <c r="A190" t="s">
        <v>12</v>
      </c>
      <c r="B190" t="s">
        <v>21</v>
      </c>
      <c r="C190" t="s">
        <v>14</v>
      </c>
      <c r="D190" t="s">
        <v>13</v>
      </c>
      <c r="E190" t="s">
        <v>14</v>
      </c>
      <c r="F190" t="s">
        <v>43</v>
      </c>
      <c r="G190" s="12">
        <v>46356</v>
      </c>
      <c r="H190" s="13">
        <v>10</v>
      </c>
      <c r="I190" t="s">
        <v>176</v>
      </c>
      <c r="J190" t="s">
        <v>177</v>
      </c>
      <c r="K190">
        <v>40</v>
      </c>
      <c r="L190" t="s">
        <v>178</v>
      </c>
    </row>
    <row r="191" spans="1:12" ht="15" customHeight="1" x14ac:dyDescent="0.35">
      <c r="A191" t="s">
        <v>12</v>
      </c>
      <c r="B191" t="s">
        <v>21</v>
      </c>
      <c r="C191" t="s">
        <v>14</v>
      </c>
      <c r="D191" t="s">
        <v>30</v>
      </c>
      <c r="E191" t="s">
        <v>14</v>
      </c>
      <c r="F191" t="s">
        <v>43</v>
      </c>
      <c r="G191" s="12">
        <v>46356</v>
      </c>
      <c r="H191" s="13">
        <v>10</v>
      </c>
      <c r="I191" t="s">
        <v>176</v>
      </c>
      <c r="J191" t="s">
        <v>180</v>
      </c>
      <c r="K191">
        <v>12</v>
      </c>
      <c r="L191" t="s">
        <v>178</v>
      </c>
    </row>
    <row r="192" spans="1:12" ht="15" customHeight="1" x14ac:dyDescent="0.35">
      <c r="A192" t="s">
        <v>12</v>
      </c>
      <c r="B192" t="s">
        <v>130</v>
      </c>
      <c r="C192" t="s">
        <v>14</v>
      </c>
      <c r="D192" t="s">
        <v>30</v>
      </c>
      <c r="E192" t="s">
        <v>14</v>
      </c>
      <c r="F192" t="s">
        <v>85</v>
      </c>
      <c r="G192" s="12">
        <v>46356</v>
      </c>
      <c r="H192" s="13">
        <v>21</v>
      </c>
      <c r="I192" t="s">
        <v>182</v>
      </c>
      <c r="J192" t="s">
        <v>177</v>
      </c>
      <c r="K192">
        <v>40</v>
      </c>
      <c r="L192" t="s">
        <v>178</v>
      </c>
    </row>
    <row r="193" spans="1:12" ht="15" customHeight="1" x14ac:dyDescent="0.35">
      <c r="A193" t="s">
        <v>12</v>
      </c>
      <c r="B193" t="s">
        <v>130</v>
      </c>
      <c r="C193" t="s">
        <v>14</v>
      </c>
      <c r="D193" t="s">
        <v>130</v>
      </c>
      <c r="E193" t="s">
        <v>14</v>
      </c>
      <c r="F193" t="s">
        <v>85</v>
      </c>
      <c r="G193" s="12">
        <v>46356</v>
      </c>
      <c r="H193" s="13">
        <v>1</v>
      </c>
      <c r="I193" t="s">
        <v>183</v>
      </c>
      <c r="J193" t="s">
        <v>177</v>
      </c>
      <c r="K193">
        <v>1</v>
      </c>
      <c r="L193" t="s">
        <v>181</v>
      </c>
    </row>
    <row r="194" spans="1:12" ht="15" customHeight="1" x14ac:dyDescent="0.35">
      <c r="A194" t="s">
        <v>12</v>
      </c>
      <c r="B194" t="s">
        <v>133</v>
      </c>
      <c r="C194" t="s">
        <v>14</v>
      </c>
      <c r="D194" t="s">
        <v>17</v>
      </c>
      <c r="E194" t="s">
        <v>14</v>
      </c>
      <c r="F194" t="s">
        <v>46</v>
      </c>
      <c r="G194" s="12">
        <v>46356</v>
      </c>
      <c r="H194" s="13">
        <v>1.5</v>
      </c>
      <c r="I194" t="s">
        <v>184</v>
      </c>
      <c r="J194" t="s">
        <v>177</v>
      </c>
      <c r="K194">
        <v>12.5</v>
      </c>
      <c r="L194" t="s">
        <v>178</v>
      </c>
    </row>
    <row r="195" spans="1:12" ht="15" customHeight="1" x14ac:dyDescent="0.35">
      <c r="A195" t="s">
        <v>12</v>
      </c>
      <c r="B195" t="s">
        <v>129</v>
      </c>
      <c r="C195" t="s">
        <v>14</v>
      </c>
      <c r="D195" t="s">
        <v>129</v>
      </c>
      <c r="E195" t="s">
        <v>14</v>
      </c>
      <c r="F195" t="s">
        <v>102</v>
      </c>
      <c r="G195" s="12">
        <v>46356</v>
      </c>
      <c r="H195" s="13">
        <v>10</v>
      </c>
      <c r="I195" t="s">
        <v>183</v>
      </c>
      <c r="J195" t="s">
        <v>180</v>
      </c>
      <c r="K195">
        <v>10</v>
      </c>
      <c r="L195" t="s">
        <v>181</v>
      </c>
    </row>
    <row r="196" spans="1:12" ht="15" customHeight="1" x14ac:dyDescent="0.35">
      <c r="A196" t="s">
        <v>12</v>
      </c>
      <c r="B196" t="s">
        <v>132</v>
      </c>
      <c r="C196" t="s">
        <v>14</v>
      </c>
      <c r="D196" t="s">
        <v>24</v>
      </c>
      <c r="E196" t="s">
        <v>14</v>
      </c>
      <c r="F196" t="s">
        <v>103</v>
      </c>
      <c r="G196" s="12">
        <v>46356</v>
      </c>
      <c r="H196" s="13">
        <v>10</v>
      </c>
      <c r="I196" t="s">
        <v>182</v>
      </c>
      <c r="J196" t="s">
        <v>177</v>
      </c>
      <c r="K196">
        <v>31.346153999999999</v>
      </c>
      <c r="L196" t="s">
        <v>178</v>
      </c>
    </row>
    <row r="197" spans="1:12" ht="15" customHeight="1" x14ac:dyDescent="0.35">
      <c r="A197" t="s">
        <v>12</v>
      </c>
      <c r="B197" t="s">
        <v>9</v>
      </c>
      <c r="C197" t="s">
        <v>10</v>
      </c>
      <c r="D197" t="s">
        <v>116</v>
      </c>
      <c r="E197" t="s">
        <v>10</v>
      </c>
      <c r="F197" t="s">
        <v>96</v>
      </c>
      <c r="G197" s="12">
        <v>46363</v>
      </c>
      <c r="H197" s="13">
        <v>11.8</v>
      </c>
      <c r="I197" t="s">
        <v>176</v>
      </c>
      <c r="J197" t="s">
        <v>177</v>
      </c>
      <c r="K197">
        <v>29.8</v>
      </c>
      <c r="L197" t="s">
        <v>178</v>
      </c>
    </row>
    <row r="198" spans="1:12" ht="15" customHeight="1" x14ac:dyDescent="0.35">
      <c r="A198" t="s">
        <v>12</v>
      </c>
      <c r="B198" t="s">
        <v>26</v>
      </c>
      <c r="C198" t="s">
        <v>14</v>
      </c>
      <c r="D198" t="s">
        <v>24</v>
      </c>
      <c r="E198" t="s">
        <v>14</v>
      </c>
      <c r="F198" t="s">
        <v>80</v>
      </c>
      <c r="G198" s="12">
        <v>46363</v>
      </c>
      <c r="H198" s="13">
        <v>5</v>
      </c>
      <c r="I198" t="s">
        <v>176</v>
      </c>
      <c r="J198" t="s">
        <v>177</v>
      </c>
      <c r="K198">
        <v>16.346153999999999</v>
      </c>
      <c r="L198" t="s">
        <v>178</v>
      </c>
    </row>
    <row r="199" spans="1:12" ht="15" customHeight="1" x14ac:dyDescent="0.35">
      <c r="A199" t="s">
        <v>12</v>
      </c>
      <c r="B199" t="s">
        <v>26</v>
      </c>
      <c r="C199" t="s">
        <v>14</v>
      </c>
      <c r="D199" t="s">
        <v>24</v>
      </c>
      <c r="E199" t="s">
        <v>14</v>
      </c>
      <c r="F199" t="s">
        <v>111</v>
      </c>
      <c r="G199" s="12">
        <v>46363</v>
      </c>
      <c r="H199" s="13">
        <v>5</v>
      </c>
      <c r="I199" t="s">
        <v>176</v>
      </c>
      <c r="J199" t="s">
        <v>177</v>
      </c>
      <c r="K199">
        <v>31.346153999999999</v>
      </c>
      <c r="L199" t="s">
        <v>178</v>
      </c>
    </row>
    <row r="200" spans="1:12" ht="15" customHeight="1" x14ac:dyDescent="0.35">
      <c r="A200" t="s">
        <v>12</v>
      </c>
      <c r="B200" t="s">
        <v>130</v>
      </c>
      <c r="C200" t="s">
        <v>14</v>
      </c>
      <c r="D200" t="s">
        <v>30</v>
      </c>
      <c r="E200" t="s">
        <v>14</v>
      </c>
      <c r="F200" t="s">
        <v>85</v>
      </c>
      <c r="G200" s="12">
        <v>46363</v>
      </c>
      <c r="H200" s="13">
        <v>25.5</v>
      </c>
      <c r="I200" t="s">
        <v>182</v>
      </c>
      <c r="J200" t="s">
        <v>177</v>
      </c>
      <c r="K200">
        <v>27.5</v>
      </c>
      <c r="L200" t="s">
        <v>178</v>
      </c>
    </row>
    <row r="201" spans="1:12" ht="15" customHeight="1" x14ac:dyDescent="0.35">
      <c r="A201" t="s">
        <v>12</v>
      </c>
      <c r="B201" t="s">
        <v>133</v>
      </c>
      <c r="C201" t="s">
        <v>14</v>
      </c>
      <c r="D201" t="s">
        <v>17</v>
      </c>
      <c r="E201" t="s">
        <v>14</v>
      </c>
      <c r="F201" t="s">
        <v>46</v>
      </c>
      <c r="G201" s="12">
        <v>46363</v>
      </c>
      <c r="H201" s="13">
        <v>3.8846150000000002</v>
      </c>
      <c r="I201" t="s">
        <v>184</v>
      </c>
      <c r="J201" t="s">
        <v>177</v>
      </c>
      <c r="K201">
        <v>25.884615</v>
      </c>
      <c r="L201" t="s">
        <v>178</v>
      </c>
    </row>
    <row r="202" spans="1:12" ht="15" customHeight="1" x14ac:dyDescent="0.35">
      <c r="A202" t="s">
        <v>12</v>
      </c>
      <c r="B202" t="s">
        <v>133</v>
      </c>
      <c r="C202" t="s">
        <v>14</v>
      </c>
      <c r="D202" t="s">
        <v>123</v>
      </c>
      <c r="E202" t="s">
        <v>14</v>
      </c>
      <c r="F202" t="s">
        <v>46</v>
      </c>
      <c r="G202" s="12">
        <v>46363</v>
      </c>
      <c r="H202" s="13">
        <v>18.615385</v>
      </c>
      <c r="I202" t="s">
        <v>184</v>
      </c>
      <c r="J202" t="s">
        <v>177</v>
      </c>
      <c r="K202">
        <v>20</v>
      </c>
      <c r="L202" t="s">
        <v>178</v>
      </c>
    </row>
    <row r="203" spans="1:12" ht="15" customHeight="1" x14ac:dyDescent="0.35">
      <c r="A203" t="s">
        <v>12</v>
      </c>
      <c r="B203" t="s">
        <v>128</v>
      </c>
      <c r="C203" t="s">
        <v>14</v>
      </c>
      <c r="D203" t="s">
        <v>128</v>
      </c>
      <c r="E203" t="s">
        <v>14</v>
      </c>
      <c r="F203" t="s">
        <v>108</v>
      </c>
      <c r="G203" s="12">
        <v>46363</v>
      </c>
      <c r="H203" s="13">
        <v>1</v>
      </c>
      <c r="I203" t="s">
        <v>183</v>
      </c>
      <c r="J203" t="s">
        <v>180</v>
      </c>
      <c r="K203">
        <v>1</v>
      </c>
      <c r="L203" t="s">
        <v>181</v>
      </c>
    </row>
    <row r="204" spans="1:12" ht="15" customHeight="1" x14ac:dyDescent="0.35">
      <c r="A204" t="s">
        <v>12</v>
      </c>
      <c r="B204" t="s">
        <v>129</v>
      </c>
      <c r="C204" t="s">
        <v>14</v>
      </c>
      <c r="D204" t="s">
        <v>129</v>
      </c>
      <c r="E204" t="s">
        <v>14</v>
      </c>
      <c r="F204" t="s">
        <v>102</v>
      </c>
      <c r="G204" s="12">
        <v>46363</v>
      </c>
      <c r="H204" s="13">
        <v>15</v>
      </c>
      <c r="I204" t="s">
        <v>183</v>
      </c>
      <c r="J204" t="s">
        <v>180</v>
      </c>
      <c r="K204">
        <v>15</v>
      </c>
      <c r="L204" t="s">
        <v>181</v>
      </c>
    </row>
    <row r="205" spans="1:12" ht="15" customHeight="1" x14ac:dyDescent="0.35">
      <c r="A205" t="s">
        <v>12</v>
      </c>
      <c r="B205" t="s">
        <v>132</v>
      </c>
      <c r="C205" t="s">
        <v>14</v>
      </c>
      <c r="D205" t="s">
        <v>24</v>
      </c>
      <c r="E205" t="s">
        <v>14</v>
      </c>
      <c r="F205" t="s">
        <v>103</v>
      </c>
      <c r="G205" s="12">
        <v>46363</v>
      </c>
      <c r="H205" s="13">
        <v>10</v>
      </c>
      <c r="I205" t="s">
        <v>182</v>
      </c>
      <c r="J205" t="s">
        <v>177</v>
      </c>
      <c r="K205">
        <v>26.346153999999999</v>
      </c>
      <c r="L205" t="s">
        <v>178</v>
      </c>
    </row>
    <row r="206" spans="1:12" ht="15" customHeight="1" x14ac:dyDescent="0.35">
      <c r="A206" t="s">
        <v>12</v>
      </c>
      <c r="B206" t="s">
        <v>26</v>
      </c>
      <c r="C206" t="s">
        <v>14</v>
      </c>
      <c r="D206" t="s">
        <v>24</v>
      </c>
      <c r="E206" t="s">
        <v>14</v>
      </c>
      <c r="F206" t="s">
        <v>80</v>
      </c>
      <c r="G206" s="12">
        <v>46370</v>
      </c>
      <c r="H206" s="13">
        <v>6</v>
      </c>
      <c r="I206" t="s">
        <v>176</v>
      </c>
      <c r="J206" t="s">
        <v>177</v>
      </c>
      <c r="K206">
        <v>12.346154</v>
      </c>
      <c r="L206" t="s">
        <v>178</v>
      </c>
    </row>
    <row r="207" spans="1:12" ht="15" customHeight="1" x14ac:dyDescent="0.35">
      <c r="A207" t="s">
        <v>12</v>
      </c>
      <c r="B207" t="s">
        <v>26</v>
      </c>
      <c r="C207" t="s">
        <v>14</v>
      </c>
      <c r="D207" t="s">
        <v>24</v>
      </c>
      <c r="E207" t="s">
        <v>14</v>
      </c>
      <c r="F207" t="s">
        <v>111</v>
      </c>
      <c r="G207" s="12">
        <v>46370</v>
      </c>
      <c r="H207" s="13">
        <v>7</v>
      </c>
      <c r="I207" t="s">
        <v>176</v>
      </c>
      <c r="J207" t="s">
        <v>177</v>
      </c>
      <c r="K207">
        <v>24.346153999999999</v>
      </c>
      <c r="L207" t="s">
        <v>178</v>
      </c>
    </row>
    <row r="208" spans="1:12" ht="15" customHeight="1" x14ac:dyDescent="0.35">
      <c r="A208" t="s">
        <v>12</v>
      </c>
      <c r="B208" t="s">
        <v>15</v>
      </c>
      <c r="C208" t="s">
        <v>16</v>
      </c>
      <c r="D208" t="s">
        <v>75</v>
      </c>
      <c r="E208" t="s">
        <v>16</v>
      </c>
      <c r="F208" t="s">
        <v>79</v>
      </c>
      <c r="G208" s="12">
        <v>46370</v>
      </c>
      <c r="H208" s="13">
        <v>1.4035089999999999</v>
      </c>
      <c r="I208" t="s">
        <v>176</v>
      </c>
      <c r="J208" t="s">
        <v>177</v>
      </c>
      <c r="K208">
        <v>11.333334000000001</v>
      </c>
      <c r="L208" t="s">
        <v>178</v>
      </c>
    </row>
    <row r="209" spans="1:12" ht="15" customHeight="1" x14ac:dyDescent="0.35">
      <c r="A209" t="s">
        <v>12</v>
      </c>
      <c r="B209" t="s">
        <v>15</v>
      </c>
      <c r="C209" t="s">
        <v>16</v>
      </c>
      <c r="D209" t="s">
        <v>75</v>
      </c>
      <c r="E209" t="s">
        <v>16</v>
      </c>
      <c r="F209" t="s">
        <v>40</v>
      </c>
      <c r="G209" s="12">
        <v>46370</v>
      </c>
      <c r="H209" s="13">
        <v>2.5</v>
      </c>
      <c r="I209" t="s">
        <v>176</v>
      </c>
      <c r="J209" t="s">
        <v>177</v>
      </c>
      <c r="K209">
        <v>13.833334000000001</v>
      </c>
      <c r="L209" t="s">
        <v>178</v>
      </c>
    </row>
    <row r="210" spans="1:12" ht="15" customHeight="1" x14ac:dyDescent="0.35">
      <c r="A210" t="s">
        <v>12</v>
      </c>
      <c r="B210" t="s">
        <v>15</v>
      </c>
      <c r="C210" t="s">
        <v>16</v>
      </c>
      <c r="D210" t="s">
        <v>25</v>
      </c>
      <c r="E210" t="s">
        <v>16</v>
      </c>
      <c r="F210" t="s">
        <v>98</v>
      </c>
      <c r="G210" s="12">
        <v>46370</v>
      </c>
      <c r="H210" s="13">
        <v>1</v>
      </c>
      <c r="I210" t="s">
        <v>176</v>
      </c>
      <c r="J210" t="s">
        <v>177</v>
      </c>
      <c r="K210">
        <v>25.754386</v>
      </c>
      <c r="L210" t="s">
        <v>178</v>
      </c>
    </row>
    <row r="211" spans="1:12" ht="15" customHeight="1" x14ac:dyDescent="0.35">
      <c r="A211" t="s">
        <v>12</v>
      </c>
      <c r="B211" t="s">
        <v>130</v>
      </c>
      <c r="C211" t="s">
        <v>14</v>
      </c>
      <c r="D211" t="s">
        <v>30</v>
      </c>
      <c r="E211" t="s">
        <v>14</v>
      </c>
      <c r="F211" t="s">
        <v>85</v>
      </c>
      <c r="G211" s="12">
        <v>46370</v>
      </c>
      <c r="H211" s="13">
        <v>5.5</v>
      </c>
      <c r="I211" t="s">
        <v>182</v>
      </c>
      <c r="J211" t="s">
        <v>177</v>
      </c>
      <c r="K211">
        <v>22.5</v>
      </c>
      <c r="L211" t="s">
        <v>178</v>
      </c>
    </row>
    <row r="212" spans="1:12" ht="15" customHeight="1" x14ac:dyDescent="0.35">
      <c r="A212" t="s">
        <v>12</v>
      </c>
      <c r="B212" t="s">
        <v>134</v>
      </c>
      <c r="C212" t="s">
        <v>14</v>
      </c>
      <c r="D212" t="s">
        <v>27</v>
      </c>
      <c r="E212" t="s">
        <v>14</v>
      </c>
      <c r="F212" t="s">
        <v>99</v>
      </c>
      <c r="G212" s="12">
        <v>46370</v>
      </c>
      <c r="H212" s="13">
        <v>25</v>
      </c>
      <c r="I212" t="s">
        <v>182</v>
      </c>
      <c r="J212" t="s">
        <v>177</v>
      </c>
      <c r="K212">
        <v>36</v>
      </c>
      <c r="L212" t="s">
        <v>178</v>
      </c>
    </row>
    <row r="213" spans="1:12" ht="15" customHeight="1" x14ac:dyDescent="0.35">
      <c r="A213" t="s">
        <v>12</v>
      </c>
      <c r="B213" t="s">
        <v>133</v>
      </c>
      <c r="C213" t="s">
        <v>14</v>
      </c>
      <c r="D213" t="s">
        <v>17</v>
      </c>
      <c r="E213" t="s">
        <v>14</v>
      </c>
      <c r="F213" t="s">
        <v>46</v>
      </c>
      <c r="G213" s="12">
        <v>46370</v>
      </c>
      <c r="H213" s="13">
        <v>1.5</v>
      </c>
      <c r="I213" t="s">
        <v>184</v>
      </c>
      <c r="J213" t="s">
        <v>177</v>
      </c>
      <c r="K213">
        <v>19.5</v>
      </c>
      <c r="L213" t="s">
        <v>178</v>
      </c>
    </row>
    <row r="214" spans="1:12" ht="15" customHeight="1" x14ac:dyDescent="0.35">
      <c r="A214" t="s">
        <v>12</v>
      </c>
      <c r="B214" t="s">
        <v>128</v>
      </c>
      <c r="C214" t="s">
        <v>14</v>
      </c>
      <c r="D214" t="s">
        <v>128</v>
      </c>
      <c r="E214" t="s">
        <v>14</v>
      </c>
      <c r="F214" t="s">
        <v>108</v>
      </c>
      <c r="G214" s="12">
        <v>46370</v>
      </c>
      <c r="H214" s="13">
        <v>1</v>
      </c>
      <c r="I214" t="s">
        <v>183</v>
      </c>
      <c r="J214" t="s">
        <v>180</v>
      </c>
      <c r="K214">
        <v>1</v>
      </c>
      <c r="L214" t="s">
        <v>181</v>
      </c>
    </row>
    <row r="215" spans="1:12" ht="15" customHeight="1" x14ac:dyDescent="0.35">
      <c r="A215" t="s">
        <v>12</v>
      </c>
      <c r="B215" t="s">
        <v>129</v>
      </c>
      <c r="C215" t="s">
        <v>14</v>
      </c>
      <c r="D215" t="s">
        <v>129</v>
      </c>
      <c r="E215" t="s">
        <v>14</v>
      </c>
      <c r="F215" t="s">
        <v>102</v>
      </c>
      <c r="G215" s="12">
        <v>46370</v>
      </c>
      <c r="H215" s="13">
        <v>10</v>
      </c>
      <c r="I215" t="s">
        <v>183</v>
      </c>
      <c r="J215" t="s">
        <v>180</v>
      </c>
      <c r="K215">
        <v>10</v>
      </c>
      <c r="L215" t="s">
        <v>181</v>
      </c>
    </row>
    <row r="216" spans="1:12" ht="15" customHeight="1" x14ac:dyDescent="0.35">
      <c r="A216" t="s">
        <v>12</v>
      </c>
      <c r="B216" t="s">
        <v>132</v>
      </c>
      <c r="C216" t="s">
        <v>14</v>
      </c>
      <c r="D216" t="s">
        <v>24</v>
      </c>
      <c r="E216" t="s">
        <v>14</v>
      </c>
      <c r="F216" t="s">
        <v>103</v>
      </c>
      <c r="G216" s="12">
        <v>46370</v>
      </c>
      <c r="H216" s="13">
        <v>5</v>
      </c>
      <c r="I216" t="s">
        <v>182</v>
      </c>
      <c r="J216" t="s">
        <v>177</v>
      </c>
      <c r="K216">
        <v>17.346153999999999</v>
      </c>
      <c r="L216" t="s">
        <v>178</v>
      </c>
    </row>
    <row r="217" spans="1:12" ht="15" customHeight="1" x14ac:dyDescent="0.35">
      <c r="A217" t="s">
        <v>12</v>
      </c>
      <c r="B217" t="s">
        <v>130</v>
      </c>
      <c r="C217" t="s">
        <v>14</v>
      </c>
      <c r="D217" t="s">
        <v>30</v>
      </c>
      <c r="E217" t="s">
        <v>14</v>
      </c>
      <c r="F217" t="s">
        <v>85</v>
      </c>
      <c r="G217" s="12">
        <v>46377</v>
      </c>
      <c r="H217" s="13">
        <v>2</v>
      </c>
      <c r="I217" t="s">
        <v>182</v>
      </c>
      <c r="J217" t="s">
        <v>177</v>
      </c>
      <c r="K217">
        <v>4</v>
      </c>
      <c r="L217" t="s">
        <v>178</v>
      </c>
    </row>
    <row r="218" spans="1:12" ht="15" customHeight="1" x14ac:dyDescent="0.35">
      <c r="A218" t="s">
        <v>12</v>
      </c>
      <c r="B218" t="s">
        <v>18</v>
      </c>
      <c r="C218" t="s">
        <v>16</v>
      </c>
      <c r="D218" t="s">
        <v>15</v>
      </c>
      <c r="E218" t="s">
        <v>16</v>
      </c>
      <c r="F218" t="s">
        <v>79</v>
      </c>
      <c r="G218" s="12">
        <v>46391</v>
      </c>
      <c r="H218" s="13">
        <v>0.40350900000000001</v>
      </c>
      <c r="I218" t="s">
        <v>176</v>
      </c>
      <c r="J218" t="s">
        <v>177</v>
      </c>
      <c r="K218">
        <v>4.3070180000000002</v>
      </c>
      <c r="L218" t="s">
        <v>178</v>
      </c>
    </row>
    <row r="219" spans="1:12" ht="15" customHeight="1" x14ac:dyDescent="0.35">
      <c r="A219" t="s">
        <v>12</v>
      </c>
      <c r="B219" t="s">
        <v>18</v>
      </c>
      <c r="C219" t="s">
        <v>16</v>
      </c>
      <c r="D219" t="s">
        <v>15</v>
      </c>
      <c r="E219" t="s">
        <v>16</v>
      </c>
      <c r="F219" t="s">
        <v>81</v>
      </c>
      <c r="G219" s="12">
        <v>46391</v>
      </c>
      <c r="H219" s="13">
        <v>0.5</v>
      </c>
      <c r="I219" t="s">
        <v>176</v>
      </c>
      <c r="J219" t="s">
        <v>177</v>
      </c>
      <c r="K219">
        <v>2.9035090000000001</v>
      </c>
      <c r="L219" t="s">
        <v>178</v>
      </c>
    </row>
    <row r="220" spans="1:12" ht="15" customHeight="1" x14ac:dyDescent="0.35">
      <c r="A220" t="s">
        <v>12</v>
      </c>
      <c r="B220" t="s">
        <v>18</v>
      </c>
      <c r="C220" t="s">
        <v>16</v>
      </c>
      <c r="D220" t="s">
        <v>15</v>
      </c>
      <c r="E220" t="s">
        <v>16</v>
      </c>
      <c r="F220" t="s">
        <v>99</v>
      </c>
      <c r="G220" s="12">
        <v>46391</v>
      </c>
      <c r="H220" s="13">
        <v>1</v>
      </c>
      <c r="I220" t="s">
        <v>176</v>
      </c>
      <c r="J220" t="s">
        <v>177</v>
      </c>
      <c r="K220">
        <v>3.9035090000000001</v>
      </c>
      <c r="L220" t="s">
        <v>178</v>
      </c>
    </row>
    <row r="221" spans="1:12" ht="15" customHeight="1" x14ac:dyDescent="0.35">
      <c r="A221" t="s">
        <v>12</v>
      </c>
      <c r="B221" t="s">
        <v>130</v>
      </c>
      <c r="C221" t="s">
        <v>14</v>
      </c>
      <c r="D221" t="s">
        <v>30</v>
      </c>
      <c r="E221" t="s">
        <v>14</v>
      </c>
      <c r="F221" t="s">
        <v>85</v>
      </c>
      <c r="G221" s="12">
        <v>46391</v>
      </c>
      <c r="H221" s="13">
        <v>6</v>
      </c>
      <c r="I221" t="s">
        <v>182</v>
      </c>
      <c r="J221" t="s">
        <v>177</v>
      </c>
      <c r="K221">
        <v>15</v>
      </c>
      <c r="L221" t="s">
        <v>178</v>
      </c>
    </row>
    <row r="222" spans="1:12" ht="15" customHeight="1" x14ac:dyDescent="0.35">
      <c r="A222" t="s">
        <v>12</v>
      </c>
      <c r="B222" t="s">
        <v>134</v>
      </c>
      <c r="C222" t="s">
        <v>14</v>
      </c>
      <c r="D222" t="s">
        <v>30</v>
      </c>
      <c r="E222" t="s">
        <v>14</v>
      </c>
      <c r="F222" t="s">
        <v>99</v>
      </c>
      <c r="G222" s="12">
        <v>46391</v>
      </c>
      <c r="H222" s="13">
        <v>40</v>
      </c>
      <c r="I222" t="s">
        <v>182</v>
      </c>
      <c r="J222" t="s">
        <v>177</v>
      </c>
      <c r="K222">
        <v>55</v>
      </c>
      <c r="L222" t="s">
        <v>178</v>
      </c>
    </row>
    <row r="223" spans="1:12" ht="15" customHeight="1" x14ac:dyDescent="0.35">
      <c r="A223" t="s">
        <v>12</v>
      </c>
      <c r="B223" t="s">
        <v>133</v>
      </c>
      <c r="C223" t="s">
        <v>14</v>
      </c>
      <c r="D223" t="s">
        <v>17</v>
      </c>
      <c r="E223" t="s">
        <v>14</v>
      </c>
      <c r="F223" t="s">
        <v>46</v>
      </c>
      <c r="G223" s="12">
        <v>46391</v>
      </c>
      <c r="H223" s="13">
        <v>1.5</v>
      </c>
      <c r="I223" t="s">
        <v>184</v>
      </c>
      <c r="J223" t="s">
        <v>177</v>
      </c>
      <c r="K223">
        <v>27.5</v>
      </c>
      <c r="L223" t="s">
        <v>178</v>
      </c>
    </row>
    <row r="224" spans="1:12" ht="15" customHeight="1" x14ac:dyDescent="0.35">
      <c r="A224" t="s">
        <v>12</v>
      </c>
      <c r="B224" t="s">
        <v>128</v>
      </c>
      <c r="C224" t="s">
        <v>14</v>
      </c>
      <c r="D224" t="s">
        <v>13</v>
      </c>
      <c r="E224" t="s">
        <v>14</v>
      </c>
      <c r="F224" t="s">
        <v>108</v>
      </c>
      <c r="G224" s="12">
        <v>46391</v>
      </c>
      <c r="H224" s="13">
        <v>21</v>
      </c>
      <c r="I224" t="s">
        <v>182</v>
      </c>
      <c r="J224" t="s">
        <v>180</v>
      </c>
      <c r="K224">
        <v>37</v>
      </c>
      <c r="L224" t="s">
        <v>178</v>
      </c>
    </row>
    <row r="225" spans="1:12" ht="15" customHeight="1" x14ac:dyDescent="0.35">
      <c r="A225" t="s">
        <v>12</v>
      </c>
      <c r="B225" t="s">
        <v>129</v>
      </c>
      <c r="C225" t="s">
        <v>14</v>
      </c>
      <c r="D225" t="s">
        <v>26</v>
      </c>
      <c r="E225" t="s">
        <v>14</v>
      </c>
      <c r="F225" t="s">
        <v>102</v>
      </c>
      <c r="G225" s="12">
        <v>46391</v>
      </c>
      <c r="H225" s="13">
        <v>5.3</v>
      </c>
      <c r="I225" t="s">
        <v>182</v>
      </c>
      <c r="J225" t="s">
        <v>177</v>
      </c>
      <c r="K225">
        <v>55</v>
      </c>
      <c r="L225" t="s">
        <v>178</v>
      </c>
    </row>
    <row r="226" spans="1:12" ht="15" customHeight="1" x14ac:dyDescent="0.35">
      <c r="A226" t="s">
        <v>12</v>
      </c>
      <c r="B226" t="s">
        <v>129</v>
      </c>
      <c r="C226" t="s">
        <v>14</v>
      </c>
      <c r="D226" t="s">
        <v>129</v>
      </c>
      <c r="E226" t="s">
        <v>14</v>
      </c>
      <c r="F226" t="s">
        <v>102</v>
      </c>
      <c r="G226" s="12">
        <v>46391</v>
      </c>
      <c r="H226" s="13">
        <v>30.7</v>
      </c>
      <c r="I226" t="s">
        <v>183</v>
      </c>
      <c r="J226" t="s">
        <v>180</v>
      </c>
      <c r="K226">
        <v>30.7</v>
      </c>
      <c r="L226" t="s">
        <v>181</v>
      </c>
    </row>
    <row r="227" spans="1:12" ht="15" customHeight="1" x14ac:dyDescent="0.35">
      <c r="A227" t="s">
        <v>12</v>
      </c>
      <c r="B227" t="s">
        <v>131</v>
      </c>
      <c r="C227" t="s">
        <v>14</v>
      </c>
      <c r="D227" t="s">
        <v>24</v>
      </c>
      <c r="E227" t="s">
        <v>14</v>
      </c>
      <c r="F227" t="s">
        <v>103</v>
      </c>
      <c r="G227" s="12">
        <v>46391</v>
      </c>
      <c r="H227" s="13">
        <v>17.5</v>
      </c>
      <c r="I227" t="s">
        <v>182</v>
      </c>
      <c r="J227" t="s">
        <v>177</v>
      </c>
      <c r="K227">
        <v>55</v>
      </c>
      <c r="L227" t="s">
        <v>178</v>
      </c>
    </row>
    <row r="228" spans="1:12" ht="15" customHeight="1" x14ac:dyDescent="0.35">
      <c r="A228" t="s">
        <v>12</v>
      </c>
      <c r="B228" t="s">
        <v>131</v>
      </c>
      <c r="C228" t="s">
        <v>14</v>
      </c>
      <c r="D228" t="s">
        <v>162</v>
      </c>
      <c r="E228" t="s">
        <v>14</v>
      </c>
      <c r="F228" t="s">
        <v>103</v>
      </c>
      <c r="G228" s="12">
        <v>46391</v>
      </c>
      <c r="H228" s="13">
        <v>17.5</v>
      </c>
      <c r="I228" t="s">
        <v>183</v>
      </c>
      <c r="J228" t="s">
        <v>177</v>
      </c>
      <c r="K228">
        <v>17.5</v>
      </c>
      <c r="L228" t="s">
        <v>181</v>
      </c>
    </row>
    <row r="229" spans="1:12" ht="15" customHeight="1" x14ac:dyDescent="0.35">
      <c r="A229" t="s">
        <v>12</v>
      </c>
      <c r="B229" t="s">
        <v>132</v>
      </c>
      <c r="C229" t="s">
        <v>14</v>
      </c>
      <c r="D229" t="s">
        <v>17</v>
      </c>
      <c r="E229" t="s">
        <v>14</v>
      </c>
      <c r="F229" t="s">
        <v>103</v>
      </c>
      <c r="G229" s="12">
        <v>46391</v>
      </c>
      <c r="H229" s="13">
        <v>20</v>
      </c>
      <c r="I229" t="s">
        <v>182</v>
      </c>
      <c r="J229" t="s">
        <v>180</v>
      </c>
      <c r="K229">
        <v>26</v>
      </c>
      <c r="L229" t="s">
        <v>178</v>
      </c>
    </row>
    <row r="230" spans="1:12" ht="15" customHeight="1" x14ac:dyDescent="0.35">
      <c r="A230" t="s">
        <v>29</v>
      </c>
      <c r="B230" t="s">
        <v>18</v>
      </c>
      <c r="C230" t="s">
        <v>16</v>
      </c>
      <c r="D230" t="s">
        <v>90</v>
      </c>
      <c r="E230" t="s">
        <v>16</v>
      </c>
      <c r="F230" t="s">
        <v>92</v>
      </c>
      <c r="G230" s="12">
        <v>46398</v>
      </c>
      <c r="H230" s="13">
        <v>5</v>
      </c>
      <c r="I230" t="s">
        <v>176</v>
      </c>
      <c r="J230" t="s">
        <v>177</v>
      </c>
      <c r="K230">
        <v>28</v>
      </c>
      <c r="L230" t="s">
        <v>178</v>
      </c>
    </row>
    <row r="231" spans="1:12" ht="15" customHeight="1" x14ac:dyDescent="0.35">
      <c r="A231" t="s">
        <v>12</v>
      </c>
      <c r="B231" t="s">
        <v>18</v>
      </c>
      <c r="C231" t="s">
        <v>16</v>
      </c>
      <c r="D231" t="s">
        <v>15</v>
      </c>
      <c r="E231" t="s">
        <v>16</v>
      </c>
      <c r="F231" t="s">
        <v>79</v>
      </c>
      <c r="G231" s="12">
        <v>46398</v>
      </c>
      <c r="H231" s="13">
        <v>1.4035089999999999</v>
      </c>
      <c r="I231" t="s">
        <v>176</v>
      </c>
      <c r="J231" t="s">
        <v>177</v>
      </c>
      <c r="K231">
        <v>8.8070179999999993</v>
      </c>
      <c r="L231" t="s">
        <v>178</v>
      </c>
    </row>
    <row r="232" spans="1:12" ht="15" customHeight="1" x14ac:dyDescent="0.35">
      <c r="A232" t="s">
        <v>12</v>
      </c>
      <c r="B232" t="s">
        <v>18</v>
      </c>
      <c r="C232" t="s">
        <v>16</v>
      </c>
      <c r="D232" t="s">
        <v>15</v>
      </c>
      <c r="E232" t="s">
        <v>16</v>
      </c>
      <c r="F232" t="s">
        <v>81</v>
      </c>
      <c r="G232" s="12">
        <v>46398</v>
      </c>
      <c r="H232" s="13">
        <v>0.5</v>
      </c>
      <c r="I232" t="s">
        <v>176</v>
      </c>
      <c r="J232" t="s">
        <v>177</v>
      </c>
      <c r="K232">
        <v>7.4035089999999997</v>
      </c>
      <c r="L232" t="s">
        <v>178</v>
      </c>
    </row>
    <row r="233" spans="1:12" ht="15" customHeight="1" x14ac:dyDescent="0.35">
      <c r="A233" t="s">
        <v>12</v>
      </c>
      <c r="B233" t="s">
        <v>18</v>
      </c>
      <c r="C233" t="s">
        <v>16</v>
      </c>
      <c r="D233" t="s">
        <v>75</v>
      </c>
      <c r="E233" t="s">
        <v>16</v>
      </c>
      <c r="F233" t="s">
        <v>85</v>
      </c>
      <c r="G233" s="12">
        <v>46398</v>
      </c>
      <c r="H233" s="13">
        <v>1</v>
      </c>
      <c r="I233" t="s">
        <v>176</v>
      </c>
      <c r="J233" t="s">
        <v>177</v>
      </c>
      <c r="K233">
        <v>21.903509</v>
      </c>
      <c r="L233" t="s">
        <v>178</v>
      </c>
    </row>
    <row r="234" spans="1:12" ht="15" customHeight="1" x14ac:dyDescent="0.35">
      <c r="A234" t="s">
        <v>12</v>
      </c>
      <c r="B234" t="s">
        <v>18</v>
      </c>
      <c r="C234" t="s">
        <v>16</v>
      </c>
      <c r="D234" t="s">
        <v>15</v>
      </c>
      <c r="E234" t="s">
        <v>16</v>
      </c>
      <c r="F234" t="s">
        <v>99</v>
      </c>
      <c r="G234" s="12">
        <v>46398</v>
      </c>
      <c r="H234" s="13">
        <v>3</v>
      </c>
      <c r="I234" t="s">
        <v>176</v>
      </c>
      <c r="J234" t="s">
        <v>177</v>
      </c>
      <c r="K234">
        <v>11.807017999999999</v>
      </c>
      <c r="L234" t="s">
        <v>178</v>
      </c>
    </row>
    <row r="235" spans="1:12" ht="15" customHeight="1" x14ac:dyDescent="0.35">
      <c r="A235" t="s">
        <v>12</v>
      </c>
      <c r="B235" t="s">
        <v>138</v>
      </c>
      <c r="C235" t="s">
        <v>14</v>
      </c>
      <c r="D235" t="s">
        <v>13</v>
      </c>
      <c r="E235" t="s">
        <v>14</v>
      </c>
      <c r="F235" t="s">
        <v>100</v>
      </c>
      <c r="G235" s="12">
        <v>46398</v>
      </c>
      <c r="H235" s="13">
        <v>10</v>
      </c>
      <c r="I235" t="s">
        <v>182</v>
      </c>
      <c r="J235" t="s">
        <v>177</v>
      </c>
      <c r="K235">
        <v>34</v>
      </c>
      <c r="L235" t="s">
        <v>178</v>
      </c>
    </row>
    <row r="236" spans="1:12" ht="15" customHeight="1" x14ac:dyDescent="0.35">
      <c r="A236" t="s">
        <v>12</v>
      </c>
      <c r="B236" t="s">
        <v>130</v>
      </c>
      <c r="C236" t="s">
        <v>14</v>
      </c>
      <c r="D236" t="s">
        <v>21</v>
      </c>
      <c r="E236" t="s">
        <v>14</v>
      </c>
      <c r="F236" t="s">
        <v>85</v>
      </c>
      <c r="G236" s="12">
        <v>46398</v>
      </c>
      <c r="H236" s="13">
        <v>2</v>
      </c>
      <c r="I236" t="s">
        <v>182</v>
      </c>
      <c r="J236" t="s">
        <v>177</v>
      </c>
      <c r="K236">
        <v>34.5</v>
      </c>
      <c r="L236" t="s">
        <v>178</v>
      </c>
    </row>
    <row r="237" spans="1:12" ht="15" customHeight="1" x14ac:dyDescent="0.35">
      <c r="A237" t="s">
        <v>12</v>
      </c>
      <c r="B237" t="s">
        <v>139</v>
      </c>
      <c r="C237" t="s">
        <v>14</v>
      </c>
      <c r="D237" t="s">
        <v>27</v>
      </c>
      <c r="E237" t="s">
        <v>14</v>
      </c>
      <c r="F237" t="s">
        <v>95</v>
      </c>
      <c r="G237" s="12">
        <v>46398</v>
      </c>
      <c r="H237" s="13">
        <v>17</v>
      </c>
      <c r="I237" t="s">
        <v>182</v>
      </c>
      <c r="J237" t="s">
        <v>177</v>
      </c>
      <c r="K237">
        <v>55</v>
      </c>
      <c r="L237" t="s">
        <v>178</v>
      </c>
    </row>
    <row r="238" spans="1:12" ht="15" customHeight="1" x14ac:dyDescent="0.35">
      <c r="A238" t="s">
        <v>12</v>
      </c>
      <c r="B238" t="s">
        <v>139</v>
      </c>
      <c r="C238" t="s">
        <v>14</v>
      </c>
      <c r="D238" t="s">
        <v>30</v>
      </c>
      <c r="E238" t="s">
        <v>14</v>
      </c>
      <c r="F238" t="s">
        <v>95</v>
      </c>
      <c r="G238" s="12">
        <v>46398</v>
      </c>
      <c r="H238" s="13">
        <v>8</v>
      </c>
      <c r="I238" t="s">
        <v>182</v>
      </c>
      <c r="J238" t="s">
        <v>180</v>
      </c>
      <c r="K238">
        <v>48</v>
      </c>
      <c r="L238" t="s">
        <v>178</v>
      </c>
    </row>
    <row r="239" spans="1:12" ht="15" customHeight="1" x14ac:dyDescent="0.35">
      <c r="A239" t="s">
        <v>12</v>
      </c>
      <c r="B239" t="s">
        <v>134</v>
      </c>
      <c r="C239" t="s">
        <v>14</v>
      </c>
      <c r="D239" t="s">
        <v>26</v>
      </c>
      <c r="E239" t="s">
        <v>14</v>
      </c>
      <c r="F239" t="s">
        <v>99</v>
      </c>
      <c r="G239" s="12">
        <v>46398</v>
      </c>
      <c r="H239" s="13">
        <v>1.8</v>
      </c>
      <c r="I239" t="s">
        <v>182</v>
      </c>
      <c r="J239" t="s">
        <v>180</v>
      </c>
      <c r="K239">
        <v>55</v>
      </c>
      <c r="L239" t="s">
        <v>178</v>
      </c>
    </row>
    <row r="240" spans="1:12" ht="15" customHeight="1" x14ac:dyDescent="0.35">
      <c r="A240" t="s">
        <v>12</v>
      </c>
      <c r="B240" t="s">
        <v>134</v>
      </c>
      <c r="C240" t="s">
        <v>14</v>
      </c>
      <c r="D240" t="s">
        <v>149</v>
      </c>
      <c r="E240" t="s">
        <v>14</v>
      </c>
      <c r="F240" t="s">
        <v>99</v>
      </c>
      <c r="G240" s="12">
        <v>46398</v>
      </c>
      <c r="H240" s="13">
        <v>9.1999999999999993</v>
      </c>
      <c r="I240" t="s">
        <v>185</v>
      </c>
      <c r="J240" t="s">
        <v>180</v>
      </c>
      <c r="K240">
        <v>9.1999999999999993</v>
      </c>
      <c r="L240" t="s">
        <v>181</v>
      </c>
    </row>
    <row r="241" spans="1:12" ht="15" customHeight="1" x14ac:dyDescent="0.35">
      <c r="A241" t="s">
        <v>12</v>
      </c>
      <c r="B241" t="s">
        <v>134</v>
      </c>
      <c r="C241" t="s">
        <v>14</v>
      </c>
      <c r="D241" t="s">
        <v>123</v>
      </c>
      <c r="E241" t="s">
        <v>14</v>
      </c>
      <c r="F241" t="s">
        <v>99</v>
      </c>
      <c r="G241" s="12">
        <v>46398</v>
      </c>
      <c r="H241" s="13">
        <v>7.5</v>
      </c>
      <c r="I241" t="s">
        <v>182</v>
      </c>
      <c r="J241" t="s">
        <v>180</v>
      </c>
      <c r="K241">
        <v>20</v>
      </c>
      <c r="L241" t="s">
        <v>178</v>
      </c>
    </row>
    <row r="242" spans="1:12" ht="15" customHeight="1" x14ac:dyDescent="0.35">
      <c r="A242" t="s">
        <v>12</v>
      </c>
      <c r="B242" t="s">
        <v>134</v>
      </c>
      <c r="C242" t="s">
        <v>14</v>
      </c>
      <c r="D242" t="s">
        <v>21</v>
      </c>
      <c r="E242" t="s">
        <v>14</v>
      </c>
      <c r="F242" t="s">
        <v>99</v>
      </c>
      <c r="G242" s="12">
        <v>46398</v>
      </c>
      <c r="H242" s="13">
        <v>12</v>
      </c>
      <c r="I242" t="s">
        <v>182</v>
      </c>
      <c r="J242" t="s">
        <v>180</v>
      </c>
      <c r="K242">
        <v>55</v>
      </c>
      <c r="L242" t="s">
        <v>178</v>
      </c>
    </row>
    <row r="243" spans="1:12" ht="15" customHeight="1" x14ac:dyDescent="0.35">
      <c r="A243" t="s">
        <v>12</v>
      </c>
      <c r="B243" t="s">
        <v>134</v>
      </c>
      <c r="C243" t="s">
        <v>14</v>
      </c>
      <c r="D243" t="s">
        <v>30</v>
      </c>
      <c r="E243" t="s">
        <v>14</v>
      </c>
      <c r="F243" t="s">
        <v>99</v>
      </c>
      <c r="G243" s="12">
        <v>46398</v>
      </c>
      <c r="H243" s="13">
        <v>7</v>
      </c>
      <c r="I243" t="s">
        <v>182</v>
      </c>
      <c r="J243" t="s">
        <v>177</v>
      </c>
      <c r="K243">
        <v>55</v>
      </c>
      <c r="L243" t="s">
        <v>178</v>
      </c>
    </row>
    <row r="244" spans="1:12" ht="15" customHeight="1" x14ac:dyDescent="0.35">
      <c r="A244" t="s">
        <v>12</v>
      </c>
      <c r="B244" t="s">
        <v>134</v>
      </c>
      <c r="C244" t="s">
        <v>14</v>
      </c>
      <c r="D244" t="s">
        <v>139</v>
      </c>
      <c r="E244" t="s">
        <v>14</v>
      </c>
      <c r="F244" t="s">
        <v>99</v>
      </c>
      <c r="G244" s="12">
        <v>46398</v>
      </c>
      <c r="H244" s="13">
        <v>12.5</v>
      </c>
      <c r="I244" t="s">
        <v>182</v>
      </c>
      <c r="J244" t="s">
        <v>177</v>
      </c>
      <c r="K244">
        <v>12.5</v>
      </c>
      <c r="L244" t="s">
        <v>178</v>
      </c>
    </row>
    <row r="245" spans="1:12" ht="15" customHeight="1" x14ac:dyDescent="0.35">
      <c r="A245" t="s">
        <v>12</v>
      </c>
      <c r="B245" t="s">
        <v>133</v>
      </c>
      <c r="C245" t="s">
        <v>14</v>
      </c>
      <c r="D245" t="s">
        <v>148</v>
      </c>
      <c r="E245" t="s">
        <v>14</v>
      </c>
      <c r="F245" t="s">
        <v>46</v>
      </c>
      <c r="G245" s="12">
        <v>46398</v>
      </c>
      <c r="H245" s="13">
        <v>12.5</v>
      </c>
      <c r="I245" t="s">
        <v>184</v>
      </c>
      <c r="J245" t="s">
        <v>180</v>
      </c>
      <c r="K245">
        <v>12.5</v>
      </c>
      <c r="L245" t="s">
        <v>181</v>
      </c>
    </row>
    <row r="246" spans="1:12" ht="15" customHeight="1" x14ac:dyDescent="0.35">
      <c r="A246" t="s">
        <v>12</v>
      </c>
      <c r="B246" t="s">
        <v>128</v>
      </c>
      <c r="C246" t="s">
        <v>14</v>
      </c>
      <c r="D246" t="s">
        <v>146</v>
      </c>
      <c r="E246" t="s">
        <v>14</v>
      </c>
      <c r="F246" t="s">
        <v>108</v>
      </c>
      <c r="G246" s="12">
        <v>46398</v>
      </c>
      <c r="H246" s="13">
        <v>31</v>
      </c>
      <c r="I246" t="s">
        <v>185</v>
      </c>
      <c r="J246" t="s">
        <v>180</v>
      </c>
      <c r="K246">
        <v>31</v>
      </c>
      <c r="L246" t="s">
        <v>181</v>
      </c>
    </row>
    <row r="247" spans="1:12" ht="15" customHeight="1" x14ac:dyDescent="0.35">
      <c r="A247" t="s">
        <v>12</v>
      </c>
      <c r="B247" t="s">
        <v>129</v>
      </c>
      <c r="C247" t="s">
        <v>14</v>
      </c>
      <c r="D247" t="s">
        <v>146</v>
      </c>
      <c r="E247" t="s">
        <v>14</v>
      </c>
      <c r="F247" t="s">
        <v>102</v>
      </c>
      <c r="G247" s="12">
        <v>46398</v>
      </c>
      <c r="H247" s="13">
        <v>24</v>
      </c>
      <c r="I247" t="s">
        <v>185</v>
      </c>
      <c r="J247" t="s">
        <v>180</v>
      </c>
      <c r="K247">
        <v>55</v>
      </c>
      <c r="L247" t="s">
        <v>181</v>
      </c>
    </row>
    <row r="248" spans="1:12" ht="15" customHeight="1" x14ac:dyDescent="0.35">
      <c r="A248" t="s">
        <v>12</v>
      </c>
      <c r="B248" t="s">
        <v>129</v>
      </c>
      <c r="C248" t="s">
        <v>14</v>
      </c>
      <c r="D248" t="s">
        <v>147</v>
      </c>
      <c r="E248" t="s">
        <v>14</v>
      </c>
      <c r="F248" t="s">
        <v>102</v>
      </c>
      <c r="G248" s="12">
        <v>46398</v>
      </c>
      <c r="H248" s="13">
        <v>17</v>
      </c>
      <c r="I248" t="s">
        <v>185</v>
      </c>
      <c r="J248" t="s">
        <v>180</v>
      </c>
      <c r="K248">
        <v>17</v>
      </c>
      <c r="L248" t="s">
        <v>181</v>
      </c>
    </row>
    <row r="249" spans="1:12" ht="15" customHeight="1" x14ac:dyDescent="0.35">
      <c r="A249" t="s">
        <v>12</v>
      </c>
      <c r="B249" t="s">
        <v>131</v>
      </c>
      <c r="C249" t="s">
        <v>14</v>
      </c>
      <c r="D249" t="s">
        <v>24</v>
      </c>
      <c r="E249" t="s">
        <v>14</v>
      </c>
      <c r="F249" t="s">
        <v>103</v>
      </c>
      <c r="G249" s="12">
        <v>46398</v>
      </c>
      <c r="H249" s="13">
        <v>2.5</v>
      </c>
      <c r="I249" t="s">
        <v>182</v>
      </c>
      <c r="J249" t="s">
        <v>177</v>
      </c>
      <c r="K249">
        <v>55</v>
      </c>
      <c r="L249" t="s">
        <v>178</v>
      </c>
    </row>
    <row r="250" spans="1:12" ht="15" customHeight="1" x14ac:dyDescent="0.35">
      <c r="A250" t="s">
        <v>12</v>
      </c>
      <c r="B250" t="s">
        <v>131</v>
      </c>
      <c r="C250" t="s">
        <v>14</v>
      </c>
      <c r="D250" t="s">
        <v>162</v>
      </c>
      <c r="E250" t="s">
        <v>14</v>
      </c>
      <c r="F250" t="s">
        <v>103</v>
      </c>
      <c r="G250" s="12">
        <v>46398</v>
      </c>
      <c r="H250" s="13">
        <v>42.5</v>
      </c>
      <c r="I250" t="s">
        <v>183</v>
      </c>
      <c r="J250" t="s">
        <v>177</v>
      </c>
      <c r="K250">
        <v>42.5</v>
      </c>
      <c r="L250" t="s">
        <v>181</v>
      </c>
    </row>
    <row r="251" spans="1:12" ht="15" customHeight="1" x14ac:dyDescent="0.35">
      <c r="A251" t="s">
        <v>12</v>
      </c>
      <c r="B251" t="s">
        <v>132</v>
      </c>
      <c r="C251" t="s">
        <v>14</v>
      </c>
      <c r="D251" t="s">
        <v>13</v>
      </c>
      <c r="E251" t="s">
        <v>14</v>
      </c>
      <c r="F251" t="s">
        <v>103</v>
      </c>
      <c r="G251" s="12">
        <v>46398</v>
      </c>
      <c r="H251" s="13">
        <v>21</v>
      </c>
      <c r="I251" t="s">
        <v>182</v>
      </c>
      <c r="J251" t="s">
        <v>180</v>
      </c>
      <c r="K251">
        <v>55</v>
      </c>
      <c r="L251" t="s">
        <v>178</v>
      </c>
    </row>
    <row r="252" spans="1:12" ht="15" customHeight="1" x14ac:dyDescent="0.35">
      <c r="A252" t="s">
        <v>12</v>
      </c>
      <c r="B252" t="s">
        <v>132</v>
      </c>
      <c r="C252" t="s">
        <v>14</v>
      </c>
      <c r="D252" t="s">
        <v>17</v>
      </c>
      <c r="E252" t="s">
        <v>14</v>
      </c>
      <c r="F252" t="s">
        <v>103</v>
      </c>
      <c r="G252" s="12">
        <v>46398</v>
      </c>
      <c r="H252" s="13">
        <v>20.5</v>
      </c>
      <c r="I252" t="s">
        <v>182</v>
      </c>
      <c r="J252" t="s">
        <v>180</v>
      </c>
      <c r="K252">
        <v>55</v>
      </c>
      <c r="L252" t="s">
        <v>178</v>
      </c>
    </row>
    <row r="253" spans="1:12" ht="15" customHeight="1" x14ac:dyDescent="0.35">
      <c r="A253" t="s">
        <v>12</v>
      </c>
      <c r="B253" t="s">
        <v>132</v>
      </c>
      <c r="C253" t="s">
        <v>14</v>
      </c>
      <c r="D253" t="s">
        <v>21</v>
      </c>
      <c r="E253" t="s">
        <v>14</v>
      </c>
      <c r="F253" t="s">
        <v>103</v>
      </c>
      <c r="G253" s="12">
        <v>46398</v>
      </c>
      <c r="H253" s="13">
        <v>8.5</v>
      </c>
      <c r="I253" t="s">
        <v>182</v>
      </c>
      <c r="J253" t="s">
        <v>180</v>
      </c>
      <c r="K253">
        <v>43</v>
      </c>
      <c r="L253" t="s">
        <v>178</v>
      </c>
    </row>
    <row r="254" spans="1:12" ht="15" customHeight="1" x14ac:dyDescent="0.35">
      <c r="A254" t="s">
        <v>12</v>
      </c>
      <c r="B254" t="s">
        <v>25</v>
      </c>
      <c r="C254" t="s">
        <v>16</v>
      </c>
      <c r="D254" t="s">
        <v>15</v>
      </c>
      <c r="E254" t="s">
        <v>16</v>
      </c>
      <c r="F254" t="s">
        <v>79</v>
      </c>
      <c r="G254" s="12">
        <v>46398</v>
      </c>
      <c r="H254" s="13">
        <v>1.4035089999999999</v>
      </c>
      <c r="I254" t="s">
        <v>176</v>
      </c>
      <c r="J254" t="s">
        <v>177</v>
      </c>
      <c r="K254">
        <v>13.810527</v>
      </c>
      <c r="L254" t="s">
        <v>178</v>
      </c>
    </row>
    <row r="255" spans="1:12" ht="15" customHeight="1" x14ac:dyDescent="0.35">
      <c r="A255" t="s">
        <v>12</v>
      </c>
      <c r="B255" t="s">
        <v>25</v>
      </c>
      <c r="C255" t="s">
        <v>16</v>
      </c>
      <c r="D255" t="s">
        <v>75</v>
      </c>
      <c r="E255" t="s">
        <v>16</v>
      </c>
      <c r="F255" t="s">
        <v>80</v>
      </c>
      <c r="G255" s="12">
        <v>46398</v>
      </c>
      <c r="H255" s="13">
        <v>0.100000000000003</v>
      </c>
      <c r="I255" t="s">
        <v>176</v>
      </c>
      <c r="J255" t="s">
        <v>177</v>
      </c>
      <c r="K255">
        <v>22.003509000000001</v>
      </c>
      <c r="L255" t="s">
        <v>178</v>
      </c>
    </row>
    <row r="256" spans="1:12" ht="15" customHeight="1" x14ac:dyDescent="0.35">
      <c r="A256" t="s">
        <v>12</v>
      </c>
      <c r="B256" t="s">
        <v>25</v>
      </c>
      <c r="C256" t="s">
        <v>16</v>
      </c>
      <c r="D256" t="s">
        <v>15</v>
      </c>
      <c r="E256" t="s">
        <v>16</v>
      </c>
      <c r="F256" t="s">
        <v>81</v>
      </c>
      <c r="G256" s="12">
        <v>46398</v>
      </c>
      <c r="H256" s="13">
        <v>0.6</v>
      </c>
      <c r="I256" t="s">
        <v>176</v>
      </c>
      <c r="J256" t="s">
        <v>177</v>
      </c>
      <c r="K256">
        <v>12.407018000000001</v>
      </c>
      <c r="L256" t="s">
        <v>178</v>
      </c>
    </row>
    <row r="257" spans="1:12" ht="15" customHeight="1" x14ac:dyDescent="0.35">
      <c r="A257" t="s">
        <v>12</v>
      </c>
      <c r="B257" t="s">
        <v>26</v>
      </c>
      <c r="C257" t="s">
        <v>14</v>
      </c>
      <c r="D257" t="s">
        <v>13</v>
      </c>
      <c r="E257" t="s">
        <v>14</v>
      </c>
      <c r="F257" t="s">
        <v>98</v>
      </c>
      <c r="G257" s="12">
        <v>46405</v>
      </c>
      <c r="H257" s="13">
        <v>3</v>
      </c>
      <c r="I257" t="s">
        <v>176</v>
      </c>
      <c r="J257" t="s">
        <v>177</v>
      </c>
      <c r="K257">
        <v>27</v>
      </c>
      <c r="L257" t="s">
        <v>178</v>
      </c>
    </row>
    <row r="258" spans="1:12" ht="15" customHeight="1" x14ac:dyDescent="0.35">
      <c r="A258" t="s">
        <v>12</v>
      </c>
      <c r="B258" t="s">
        <v>22</v>
      </c>
      <c r="C258" t="s">
        <v>10</v>
      </c>
      <c r="D258" t="s">
        <v>116</v>
      </c>
      <c r="E258" t="s">
        <v>10</v>
      </c>
      <c r="F258" t="s">
        <v>99</v>
      </c>
      <c r="G258" s="12">
        <v>46405</v>
      </c>
      <c r="H258" s="13">
        <v>5</v>
      </c>
      <c r="I258" t="s">
        <v>176</v>
      </c>
      <c r="J258" t="s">
        <v>177</v>
      </c>
      <c r="K258">
        <v>32</v>
      </c>
      <c r="L258" t="s">
        <v>178</v>
      </c>
    </row>
    <row r="259" spans="1:12" ht="15" customHeight="1" x14ac:dyDescent="0.35">
      <c r="A259" t="s">
        <v>12</v>
      </c>
      <c r="B259" t="s">
        <v>23</v>
      </c>
      <c r="C259" t="s">
        <v>10</v>
      </c>
      <c r="D259" t="s">
        <v>117</v>
      </c>
      <c r="E259" t="s">
        <v>10</v>
      </c>
      <c r="F259" t="s">
        <v>80</v>
      </c>
      <c r="G259" s="12">
        <v>46405</v>
      </c>
      <c r="H259" s="13">
        <v>2</v>
      </c>
      <c r="I259" t="s">
        <v>176</v>
      </c>
      <c r="J259" t="s">
        <v>180</v>
      </c>
      <c r="K259">
        <v>2</v>
      </c>
      <c r="L259" t="s">
        <v>178</v>
      </c>
    </row>
    <row r="260" spans="1:12" ht="15" customHeight="1" x14ac:dyDescent="0.35">
      <c r="A260" t="s">
        <v>12</v>
      </c>
      <c r="B260" t="s">
        <v>23</v>
      </c>
      <c r="C260" t="s">
        <v>10</v>
      </c>
      <c r="D260" t="s">
        <v>9</v>
      </c>
      <c r="E260" t="s">
        <v>10</v>
      </c>
      <c r="F260" t="s">
        <v>81</v>
      </c>
      <c r="G260" s="12">
        <v>46405</v>
      </c>
      <c r="H260" s="13">
        <v>1.5</v>
      </c>
      <c r="I260" t="s">
        <v>176</v>
      </c>
      <c r="J260" t="s">
        <v>177</v>
      </c>
      <c r="K260">
        <v>31.5</v>
      </c>
      <c r="L260" t="s">
        <v>178</v>
      </c>
    </row>
    <row r="261" spans="1:12" ht="15" customHeight="1" x14ac:dyDescent="0.35">
      <c r="A261" t="s">
        <v>12</v>
      </c>
      <c r="B261" t="s">
        <v>123</v>
      </c>
      <c r="C261" t="s">
        <v>14</v>
      </c>
      <c r="D261" t="s">
        <v>13</v>
      </c>
      <c r="E261" t="s">
        <v>14</v>
      </c>
      <c r="F261" t="s">
        <v>81</v>
      </c>
      <c r="G261" s="12">
        <v>46405</v>
      </c>
      <c r="H261" s="13">
        <v>2</v>
      </c>
      <c r="I261" t="s">
        <v>176</v>
      </c>
      <c r="J261" t="s">
        <v>177</v>
      </c>
      <c r="K261">
        <v>29</v>
      </c>
      <c r="L261" t="s">
        <v>178</v>
      </c>
    </row>
    <row r="262" spans="1:12" ht="15" customHeight="1" x14ac:dyDescent="0.35">
      <c r="A262" t="s">
        <v>12</v>
      </c>
      <c r="B262" t="s">
        <v>123</v>
      </c>
      <c r="C262" t="s">
        <v>14</v>
      </c>
      <c r="D262" t="s">
        <v>17</v>
      </c>
      <c r="E262" t="s">
        <v>14</v>
      </c>
      <c r="F262" t="s">
        <v>46</v>
      </c>
      <c r="G262" s="12">
        <v>46405</v>
      </c>
      <c r="H262" s="13">
        <v>7</v>
      </c>
      <c r="I262" t="s">
        <v>176</v>
      </c>
      <c r="J262" t="s">
        <v>177</v>
      </c>
      <c r="K262">
        <v>42</v>
      </c>
      <c r="L262" t="s">
        <v>178</v>
      </c>
    </row>
    <row r="263" spans="1:12" ht="15" customHeight="1" x14ac:dyDescent="0.35">
      <c r="A263" t="s">
        <v>12</v>
      </c>
      <c r="B263" t="s">
        <v>33</v>
      </c>
      <c r="C263" t="s">
        <v>10</v>
      </c>
      <c r="D263" t="s">
        <v>117</v>
      </c>
      <c r="E263" t="s">
        <v>10</v>
      </c>
      <c r="F263" t="s">
        <v>103</v>
      </c>
      <c r="G263" s="12">
        <v>46405</v>
      </c>
      <c r="H263" s="13">
        <v>10</v>
      </c>
      <c r="I263" t="s">
        <v>176</v>
      </c>
      <c r="J263" t="s">
        <v>180</v>
      </c>
      <c r="K263">
        <v>12</v>
      </c>
      <c r="L263" t="s">
        <v>178</v>
      </c>
    </row>
    <row r="264" spans="1:12" ht="15" customHeight="1" x14ac:dyDescent="0.35">
      <c r="A264" t="s">
        <v>12</v>
      </c>
      <c r="B264" t="s">
        <v>24</v>
      </c>
      <c r="C264" t="s">
        <v>14</v>
      </c>
      <c r="D264" t="s">
        <v>13</v>
      </c>
      <c r="E264" t="s">
        <v>14</v>
      </c>
      <c r="F264" t="s">
        <v>81</v>
      </c>
      <c r="G264" s="12">
        <v>46405</v>
      </c>
      <c r="H264" s="13">
        <v>3.1</v>
      </c>
      <c r="I264" t="s">
        <v>176</v>
      </c>
      <c r="J264" t="s">
        <v>177</v>
      </c>
      <c r="K264">
        <v>32.1</v>
      </c>
      <c r="L264" t="s">
        <v>178</v>
      </c>
    </row>
    <row r="265" spans="1:12" ht="15" customHeight="1" x14ac:dyDescent="0.35">
      <c r="A265" t="s">
        <v>12</v>
      </c>
      <c r="B265" t="s">
        <v>24</v>
      </c>
      <c r="C265" t="s">
        <v>14</v>
      </c>
      <c r="D265" t="s">
        <v>162</v>
      </c>
      <c r="E265" t="s">
        <v>14</v>
      </c>
      <c r="F265" t="s">
        <v>103</v>
      </c>
      <c r="G265" s="12">
        <v>46405</v>
      </c>
      <c r="H265" s="13">
        <v>5</v>
      </c>
      <c r="I265" t="s">
        <v>179</v>
      </c>
      <c r="J265" t="s">
        <v>177</v>
      </c>
      <c r="K265">
        <v>5</v>
      </c>
      <c r="L265" t="s">
        <v>181</v>
      </c>
    </row>
    <row r="266" spans="1:12" ht="15" customHeight="1" x14ac:dyDescent="0.35">
      <c r="A266" t="s">
        <v>12</v>
      </c>
      <c r="B266" t="s">
        <v>138</v>
      </c>
      <c r="C266" t="s">
        <v>14</v>
      </c>
      <c r="D266" t="s">
        <v>13</v>
      </c>
      <c r="E266" t="s">
        <v>14</v>
      </c>
      <c r="F266" t="s">
        <v>81</v>
      </c>
      <c r="G266" s="12">
        <v>46405</v>
      </c>
      <c r="H266" s="13">
        <v>8</v>
      </c>
      <c r="I266" t="s">
        <v>182</v>
      </c>
      <c r="J266" t="s">
        <v>177</v>
      </c>
      <c r="K266">
        <v>40.1</v>
      </c>
      <c r="L266" t="s">
        <v>178</v>
      </c>
    </row>
    <row r="267" spans="1:12" ht="15" customHeight="1" x14ac:dyDescent="0.35">
      <c r="A267" t="s">
        <v>12</v>
      </c>
      <c r="B267" t="s">
        <v>138</v>
      </c>
      <c r="C267" t="s">
        <v>14</v>
      </c>
      <c r="D267" t="s">
        <v>30</v>
      </c>
      <c r="E267" t="s">
        <v>14</v>
      </c>
      <c r="F267" t="s">
        <v>100</v>
      </c>
      <c r="G267" s="12">
        <v>46405</v>
      </c>
      <c r="H267" s="13">
        <v>15</v>
      </c>
      <c r="I267" t="s">
        <v>182</v>
      </c>
      <c r="J267" t="s">
        <v>177</v>
      </c>
      <c r="K267">
        <v>27</v>
      </c>
      <c r="L267" t="s">
        <v>178</v>
      </c>
    </row>
    <row r="268" spans="1:12" ht="15" customHeight="1" x14ac:dyDescent="0.35">
      <c r="A268" t="s">
        <v>12</v>
      </c>
      <c r="B268" t="s">
        <v>135</v>
      </c>
      <c r="C268" t="s">
        <v>14</v>
      </c>
      <c r="D268" t="s">
        <v>21</v>
      </c>
      <c r="E268" t="s">
        <v>14</v>
      </c>
      <c r="F268" t="s">
        <v>43</v>
      </c>
      <c r="G268" s="12">
        <v>46405</v>
      </c>
      <c r="H268" s="13">
        <v>27</v>
      </c>
      <c r="I268" t="s">
        <v>182</v>
      </c>
      <c r="J268" t="s">
        <v>177</v>
      </c>
      <c r="K268">
        <v>49.5</v>
      </c>
      <c r="L268" t="s">
        <v>178</v>
      </c>
    </row>
    <row r="269" spans="1:12" ht="15" customHeight="1" x14ac:dyDescent="0.35">
      <c r="A269" t="s">
        <v>12</v>
      </c>
      <c r="B269" t="s">
        <v>130</v>
      </c>
      <c r="C269" t="s">
        <v>14</v>
      </c>
      <c r="D269" t="s">
        <v>21</v>
      </c>
      <c r="E269" t="s">
        <v>14</v>
      </c>
      <c r="F269" t="s">
        <v>85</v>
      </c>
      <c r="G269" s="12">
        <v>46405</v>
      </c>
      <c r="H269" s="13">
        <v>1</v>
      </c>
      <c r="I269" t="s">
        <v>182</v>
      </c>
      <c r="J269" t="s">
        <v>177</v>
      </c>
      <c r="K269">
        <v>50.5</v>
      </c>
      <c r="L269" t="s">
        <v>178</v>
      </c>
    </row>
    <row r="270" spans="1:12" ht="15" customHeight="1" x14ac:dyDescent="0.35">
      <c r="A270" t="s">
        <v>12</v>
      </c>
      <c r="B270" t="s">
        <v>130</v>
      </c>
      <c r="C270" t="s">
        <v>14</v>
      </c>
      <c r="D270" t="s">
        <v>30</v>
      </c>
      <c r="E270" t="s">
        <v>14</v>
      </c>
      <c r="F270" t="s">
        <v>85</v>
      </c>
      <c r="G270" s="12">
        <v>46405</v>
      </c>
      <c r="H270" s="13">
        <v>28</v>
      </c>
      <c r="I270" t="s">
        <v>182</v>
      </c>
      <c r="J270" t="s">
        <v>177</v>
      </c>
      <c r="K270">
        <v>55</v>
      </c>
      <c r="L270" t="s">
        <v>178</v>
      </c>
    </row>
    <row r="271" spans="1:12" ht="15" customHeight="1" x14ac:dyDescent="0.35">
      <c r="A271" t="s">
        <v>12</v>
      </c>
      <c r="B271" t="s">
        <v>139</v>
      </c>
      <c r="C271" t="s">
        <v>14</v>
      </c>
      <c r="D271" t="s">
        <v>146</v>
      </c>
      <c r="E271" t="s">
        <v>14</v>
      </c>
      <c r="F271" t="s">
        <v>95</v>
      </c>
      <c r="G271" s="12">
        <v>46405</v>
      </c>
      <c r="H271" s="13">
        <v>34.5</v>
      </c>
      <c r="I271" t="s">
        <v>185</v>
      </c>
      <c r="J271" t="s">
        <v>180</v>
      </c>
      <c r="K271">
        <v>55</v>
      </c>
      <c r="L271" t="s">
        <v>181</v>
      </c>
    </row>
    <row r="272" spans="1:12" ht="15" customHeight="1" x14ac:dyDescent="0.35">
      <c r="A272" t="s">
        <v>12</v>
      </c>
      <c r="B272" t="s">
        <v>139</v>
      </c>
      <c r="C272" t="s">
        <v>14</v>
      </c>
      <c r="D272" t="s">
        <v>147</v>
      </c>
      <c r="E272" t="s">
        <v>14</v>
      </c>
      <c r="F272" t="s">
        <v>95</v>
      </c>
      <c r="G272" s="12">
        <v>46405</v>
      </c>
      <c r="H272" s="13">
        <v>4.5</v>
      </c>
      <c r="I272" t="s">
        <v>185</v>
      </c>
      <c r="J272" t="s">
        <v>180</v>
      </c>
      <c r="K272">
        <v>52.5</v>
      </c>
      <c r="L272" t="s">
        <v>181</v>
      </c>
    </row>
    <row r="273" spans="1:12" ht="15" customHeight="1" x14ac:dyDescent="0.35">
      <c r="A273" t="s">
        <v>12</v>
      </c>
      <c r="B273" t="s">
        <v>134</v>
      </c>
      <c r="C273" t="s">
        <v>14</v>
      </c>
      <c r="D273" t="s">
        <v>149</v>
      </c>
      <c r="E273" t="s">
        <v>14</v>
      </c>
      <c r="F273" t="s">
        <v>99</v>
      </c>
      <c r="G273" s="12">
        <v>46405</v>
      </c>
      <c r="H273" s="13">
        <v>50</v>
      </c>
      <c r="I273" t="s">
        <v>185</v>
      </c>
      <c r="J273" t="s">
        <v>177</v>
      </c>
      <c r="K273">
        <v>51.1</v>
      </c>
      <c r="L273" t="s">
        <v>181</v>
      </c>
    </row>
    <row r="274" spans="1:12" ht="15" customHeight="1" x14ac:dyDescent="0.35">
      <c r="A274" t="s">
        <v>12</v>
      </c>
      <c r="B274" t="s">
        <v>133</v>
      </c>
      <c r="C274" t="s">
        <v>14</v>
      </c>
      <c r="D274" t="s">
        <v>148</v>
      </c>
      <c r="E274" t="s">
        <v>14</v>
      </c>
      <c r="F274" t="s">
        <v>46</v>
      </c>
      <c r="G274" s="12">
        <v>46405</v>
      </c>
      <c r="H274" s="13">
        <v>31.4</v>
      </c>
      <c r="I274" t="s">
        <v>184</v>
      </c>
      <c r="J274" t="s">
        <v>177</v>
      </c>
      <c r="K274">
        <v>55</v>
      </c>
      <c r="L274" t="s">
        <v>181</v>
      </c>
    </row>
    <row r="275" spans="1:12" ht="15" customHeight="1" x14ac:dyDescent="0.35">
      <c r="A275" t="s">
        <v>12</v>
      </c>
      <c r="B275" t="s">
        <v>133</v>
      </c>
      <c r="C275" t="s">
        <v>14</v>
      </c>
      <c r="D275" t="s">
        <v>149</v>
      </c>
      <c r="E275" t="s">
        <v>14</v>
      </c>
      <c r="F275" t="s">
        <v>46</v>
      </c>
      <c r="G275" s="12">
        <v>46405</v>
      </c>
      <c r="H275" s="13">
        <v>1.1000000000000001</v>
      </c>
      <c r="I275" t="s">
        <v>184</v>
      </c>
      <c r="J275" t="s">
        <v>180</v>
      </c>
      <c r="K275">
        <v>1.1000000000000001</v>
      </c>
      <c r="L275" t="s">
        <v>181</v>
      </c>
    </row>
    <row r="276" spans="1:12" ht="15" customHeight="1" x14ac:dyDescent="0.35">
      <c r="A276" t="s">
        <v>12</v>
      </c>
      <c r="B276" t="s">
        <v>128</v>
      </c>
      <c r="C276" t="s">
        <v>14</v>
      </c>
      <c r="D276" t="s">
        <v>146</v>
      </c>
      <c r="E276" t="s">
        <v>14</v>
      </c>
      <c r="F276" t="s">
        <v>108</v>
      </c>
      <c r="G276" s="12">
        <v>46405</v>
      </c>
      <c r="H276" s="13">
        <v>20.5</v>
      </c>
      <c r="I276" t="s">
        <v>185</v>
      </c>
      <c r="J276" t="s">
        <v>177</v>
      </c>
      <c r="K276">
        <v>20.5</v>
      </c>
      <c r="L276" t="s">
        <v>181</v>
      </c>
    </row>
    <row r="277" spans="1:12" ht="15" customHeight="1" x14ac:dyDescent="0.35">
      <c r="A277" t="s">
        <v>12</v>
      </c>
      <c r="B277" t="s">
        <v>129</v>
      </c>
      <c r="C277" t="s">
        <v>14</v>
      </c>
      <c r="D277" t="s">
        <v>147</v>
      </c>
      <c r="E277" t="s">
        <v>14</v>
      </c>
      <c r="F277" t="s">
        <v>102</v>
      </c>
      <c r="G277" s="12">
        <v>46405</v>
      </c>
      <c r="H277" s="13">
        <v>48</v>
      </c>
      <c r="I277" t="s">
        <v>185</v>
      </c>
      <c r="J277" t="s">
        <v>177</v>
      </c>
      <c r="K277">
        <v>48</v>
      </c>
      <c r="L277" t="s">
        <v>181</v>
      </c>
    </row>
    <row r="278" spans="1:12" ht="15" customHeight="1" x14ac:dyDescent="0.35">
      <c r="A278" t="s">
        <v>12</v>
      </c>
      <c r="B278" t="s">
        <v>131</v>
      </c>
      <c r="C278" t="s">
        <v>14</v>
      </c>
      <c r="D278" t="s">
        <v>13</v>
      </c>
      <c r="E278" t="s">
        <v>14</v>
      </c>
      <c r="F278" t="s">
        <v>103</v>
      </c>
      <c r="G278" s="12">
        <v>46405</v>
      </c>
      <c r="H278" s="13">
        <v>5</v>
      </c>
      <c r="I278" t="s">
        <v>182</v>
      </c>
      <c r="J278" t="s">
        <v>180</v>
      </c>
      <c r="K278">
        <v>45.1</v>
      </c>
      <c r="L278" t="s">
        <v>178</v>
      </c>
    </row>
    <row r="279" spans="1:12" ht="15" customHeight="1" x14ac:dyDescent="0.35">
      <c r="A279" t="s">
        <v>12</v>
      </c>
      <c r="B279" t="s">
        <v>131</v>
      </c>
      <c r="C279" t="s">
        <v>14</v>
      </c>
      <c r="D279" t="s">
        <v>132</v>
      </c>
      <c r="E279" t="s">
        <v>14</v>
      </c>
      <c r="F279" t="s">
        <v>103</v>
      </c>
      <c r="G279" s="12">
        <v>46405</v>
      </c>
      <c r="H279" s="13">
        <v>50</v>
      </c>
      <c r="I279" t="s">
        <v>182</v>
      </c>
      <c r="J279" t="s">
        <v>177</v>
      </c>
      <c r="K279">
        <v>50</v>
      </c>
      <c r="L279" t="s">
        <v>178</v>
      </c>
    </row>
    <row r="280" spans="1:12" ht="15" customHeight="1" x14ac:dyDescent="0.35">
      <c r="A280" t="s">
        <v>12</v>
      </c>
      <c r="B280" t="s">
        <v>132</v>
      </c>
      <c r="C280" t="s">
        <v>14</v>
      </c>
      <c r="D280" t="s">
        <v>13</v>
      </c>
      <c r="E280" t="s">
        <v>14</v>
      </c>
      <c r="F280" t="s">
        <v>103</v>
      </c>
      <c r="G280" s="12">
        <v>46405</v>
      </c>
      <c r="H280" s="13">
        <v>9.9</v>
      </c>
      <c r="I280" t="s">
        <v>182</v>
      </c>
      <c r="J280" t="s">
        <v>180</v>
      </c>
      <c r="K280">
        <v>55</v>
      </c>
      <c r="L280" t="s">
        <v>178</v>
      </c>
    </row>
    <row r="281" spans="1:12" ht="15" customHeight="1" x14ac:dyDescent="0.35">
      <c r="A281" t="s">
        <v>12</v>
      </c>
      <c r="B281" t="s">
        <v>132</v>
      </c>
      <c r="C281" t="s">
        <v>14</v>
      </c>
      <c r="D281" t="s">
        <v>148</v>
      </c>
      <c r="E281" t="s">
        <v>14</v>
      </c>
      <c r="F281" t="s">
        <v>103</v>
      </c>
      <c r="G281" s="12">
        <v>46405</v>
      </c>
      <c r="H281" s="13">
        <v>23.6</v>
      </c>
      <c r="I281" t="s">
        <v>185</v>
      </c>
      <c r="J281" t="s">
        <v>180</v>
      </c>
      <c r="K281">
        <v>23.6</v>
      </c>
      <c r="L281" t="s">
        <v>181</v>
      </c>
    </row>
    <row r="282" spans="1:12" ht="15" customHeight="1" x14ac:dyDescent="0.35">
      <c r="A282" t="s">
        <v>12</v>
      </c>
      <c r="B282" t="s">
        <v>132</v>
      </c>
      <c r="C282" t="s">
        <v>14</v>
      </c>
      <c r="D282" t="s">
        <v>17</v>
      </c>
      <c r="E282" t="s">
        <v>14</v>
      </c>
      <c r="F282" t="s">
        <v>103</v>
      </c>
      <c r="G282" s="12">
        <v>46405</v>
      </c>
      <c r="H282" s="13">
        <v>13</v>
      </c>
      <c r="I282" t="s">
        <v>182</v>
      </c>
      <c r="J282" t="s">
        <v>180</v>
      </c>
      <c r="K282">
        <v>55</v>
      </c>
      <c r="L282" t="s">
        <v>178</v>
      </c>
    </row>
    <row r="283" spans="1:12" ht="15" customHeight="1" x14ac:dyDescent="0.35">
      <c r="A283" t="s">
        <v>12</v>
      </c>
      <c r="B283" t="s">
        <v>132</v>
      </c>
      <c r="C283" t="s">
        <v>14</v>
      </c>
      <c r="D283" t="s">
        <v>27</v>
      </c>
      <c r="E283" t="s">
        <v>14</v>
      </c>
      <c r="F283" t="s">
        <v>103</v>
      </c>
      <c r="G283" s="12">
        <v>46405</v>
      </c>
      <c r="H283" s="13">
        <v>4</v>
      </c>
      <c r="I283" t="s">
        <v>182</v>
      </c>
      <c r="J283" t="s">
        <v>180</v>
      </c>
      <c r="K283">
        <v>55</v>
      </c>
      <c r="L283" t="s">
        <v>178</v>
      </c>
    </row>
    <row r="284" spans="1:12" ht="15" customHeight="1" x14ac:dyDescent="0.35">
      <c r="A284" t="s">
        <v>12</v>
      </c>
      <c r="B284" t="s">
        <v>132</v>
      </c>
      <c r="C284" t="s">
        <v>14</v>
      </c>
      <c r="D284" t="s">
        <v>21</v>
      </c>
      <c r="E284" t="s">
        <v>14</v>
      </c>
      <c r="F284" t="s">
        <v>103</v>
      </c>
      <c r="G284" s="12">
        <v>46405</v>
      </c>
      <c r="H284" s="13">
        <v>4.5</v>
      </c>
      <c r="I284" t="s">
        <v>182</v>
      </c>
      <c r="J284" t="s">
        <v>180</v>
      </c>
      <c r="K284">
        <v>55</v>
      </c>
      <c r="L284" t="s">
        <v>178</v>
      </c>
    </row>
    <row r="285" spans="1:12" ht="15" customHeight="1" x14ac:dyDescent="0.35">
      <c r="A285" t="s">
        <v>12</v>
      </c>
      <c r="B285" t="s">
        <v>22</v>
      </c>
      <c r="C285" t="s">
        <v>10</v>
      </c>
      <c r="D285" t="s">
        <v>116</v>
      </c>
      <c r="E285" t="s">
        <v>10</v>
      </c>
      <c r="F285" t="s">
        <v>99</v>
      </c>
      <c r="G285" s="12">
        <v>46412</v>
      </c>
      <c r="H285" s="13">
        <v>15</v>
      </c>
      <c r="I285" t="s">
        <v>176</v>
      </c>
      <c r="J285" t="s">
        <v>177</v>
      </c>
      <c r="K285">
        <v>42</v>
      </c>
      <c r="L285" t="s">
        <v>178</v>
      </c>
    </row>
    <row r="286" spans="1:12" ht="15" customHeight="1" x14ac:dyDescent="0.35">
      <c r="A286" t="s">
        <v>12</v>
      </c>
      <c r="B286" t="s">
        <v>23</v>
      </c>
      <c r="C286" t="s">
        <v>10</v>
      </c>
      <c r="D286" t="s">
        <v>117</v>
      </c>
      <c r="E286" t="s">
        <v>10</v>
      </c>
      <c r="F286" t="s">
        <v>80</v>
      </c>
      <c r="G286" s="12">
        <v>46412</v>
      </c>
      <c r="H286" s="13">
        <v>2</v>
      </c>
      <c r="I286" t="s">
        <v>176</v>
      </c>
      <c r="J286" t="s">
        <v>180</v>
      </c>
      <c r="K286">
        <v>2</v>
      </c>
      <c r="L286" t="s">
        <v>178</v>
      </c>
    </row>
    <row r="287" spans="1:12" ht="15" customHeight="1" x14ac:dyDescent="0.35">
      <c r="A287" t="s">
        <v>12</v>
      </c>
      <c r="B287" t="s">
        <v>23</v>
      </c>
      <c r="C287" t="s">
        <v>10</v>
      </c>
      <c r="D287" t="s">
        <v>9</v>
      </c>
      <c r="E287" t="s">
        <v>10</v>
      </c>
      <c r="F287" t="s">
        <v>81</v>
      </c>
      <c r="G287" s="12">
        <v>46412</v>
      </c>
      <c r="H287" s="13">
        <v>1.5</v>
      </c>
      <c r="I287" t="s">
        <v>176</v>
      </c>
      <c r="J287" t="s">
        <v>177</v>
      </c>
      <c r="K287">
        <v>30.5</v>
      </c>
      <c r="L287" t="s">
        <v>178</v>
      </c>
    </row>
    <row r="288" spans="1:12" ht="15" customHeight="1" x14ac:dyDescent="0.35">
      <c r="A288" t="s">
        <v>12</v>
      </c>
      <c r="B288" t="s">
        <v>23</v>
      </c>
      <c r="C288" t="s">
        <v>10</v>
      </c>
      <c r="D288" t="s">
        <v>117</v>
      </c>
      <c r="E288" t="s">
        <v>10</v>
      </c>
      <c r="F288" t="s">
        <v>102</v>
      </c>
      <c r="G288" s="12">
        <v>46412</v>
      </c>
      <c r="H288" s="13">
        <v>5</v>
      </c>
      <c r="I288" t="s">
        <v>176</v>
      </c>
      <c r="J288" t="s">
        <v>180</v>
      </c>
      <c r="K288">
        <v>7</v>
      </c>
      <c r="L288" t="s">
        <v>178</v>
      </c>
    </row>
    <row r="289" spans="1:12" ht="15" customHeight="1" x14ac:dyDescent="0.35">
      <c r="A289" t="s">
        <v>12</v>
      </c>
      <c r="B289" t="s">
        <v>17</v>
      </c>
      <c r="C289" t="s">
        <v>14</v>
      </c>
      <c r="D289" t="s">
        <v>158</v>
      </c>
      <c r="E289" t="s">
        <v>14</v>
      </c>
      <c r="F289" t="s">
        <v>121</v>
      </c>
      <c r="G289" s="12">
        <v>46412</v>
      </c>
      <c r="H289" s="13">
        <v>3</v>
      </c>
      <c r="I289" t="s">
        <v>179</v>
      </c>
      <c r="J289" t="s">
        <v>180</v>
      </c>
      <c r="K289">
        <v>3</v>
      </c>
      <c r="L289" t="s">
        <v>181</v>
      </c>
    </row>
    <row r="290" spans="1:12" ht="15" customHeight="1" x14ac:dyDescent="0.35">
      <c r="A290" t="s">
        <v>12</v>
      </c>
      <c r="B290" t="s">
        <v>17</v>
      </c>
      <c r="C290" t="s">
        <v>14</v>
      </c>
      <c r="D290" t="s">
        <v>165</v>
      </c>
      <c r="E290" t="s">
        <v>14</v>
      </c>
      <c r="F290" t="s">
        <v>122</v>
      </c>
      <c r="G290" s="12">
        <v>46412</v>
      </c>
      <c r="H290" s="13">
        <v>10</v>
      </c>
      <c r="I290" t="s">
        <v>179</v>
      </c>
      <c r="J290" t="s">
        <v>180</v>
      </c>
      <c r="K290">
        <v>10</v>
      </c>
      <c r="L290" t="s">
        <v>181</v>
      </c>
    </row>
    <row r="291" spans="1:12" ht="15" customHeight="1" x14ac:dyDescent="0.35">
      <c r="A291" t="s">
        <v>12</v>
      </c>
      <c r="B291" t="s">
        <v>123</v>
      </c>
      <c r="C291" t="s">
        <v>14</v>
      </c>
      <c r="D291" t="s">
        <v>13</v>
      </c>
      <c r="E291" t="s">
        <v>14</v>
      </c>
      <c r="F291" t="s">
        <v>81</v>
      </c>
      <c r="G291" s="12">
        <v>46412</v>
      </c>
      <c r="H291" s="13">
        <v>2.5</v>
      </c>
      <c r="I291" t="s">
        <v>176</v>
      </c>
      <c r="J291" t="s">
        <v>177</v>
      </c>
      <c r="K291">
        <v>50.5</v>
      </c>
      <c r="L291" t="s">
        <v>178</v>
      </c>
    </row>
    <row r="292" spans="1:12" ht="15" customHeight="1" x14ac:dyDescent="0.35">
      <c r="A292" t="s">
        <v>12</v>
      </c>
      <c r="B292" t="s">
        <v>33</v>
      </c>
      <c r="C292" t="s">
        <v>10</v>
      </c>
      <c r="D292" t="s">
        <v>117</v>
      </c>
      <c r="E292" t="s">
        <v>10</v>
      </c>
      <c r="F292" t="s">
        <v>103</v>
      </c>
      <c r="G292" s="12">
        <v>46412</v>
      </c>
      <c r="H292" s="13">
        <v>8</v>
      </c>
      <c r="I292" t="s">
        <v>176</v>
      </c>
      <c r="J292" t="s">
        <v>180</v>
      </c>
      <c r="K292">
        <v>15</v>
      </c>
      <c r="L292" t="s">
        <v>178</v>
      </c>
    </row>
    <row r="293" spans="1:12" ht="15" customHeight="1" x14ac:dyDescent="0.35">
      <c r="A293" t="s">
        <v>12</v>
      </c>
      <c r="B293" t="s">
        <v>24</v>
      </c>
      <c r="C293" t="s">
        <v>14</v>
      </c>
      <c r="D293" t="s">
        <v>13</v>
      </c>
      <c r="E293" t="s">
        <v>14</v>
      </c>
      <c r="F293" t="s">
        <v>81</v>
      </c>
      <c r="G293" s="12">
        <v>46412</v>
      </c>
      <c r="H293" s="13">
        <v>3.5</v>
      </c>
      <c r="I293" t="s">
        <v>176</v>
      </c>
      <c r="J293" t="s">
        <v>177</v>
      </c>
      <c r="K293">
        <v>54</v>
      </c>
      <c r="L293" t="s">
        <v>178</v>
      </c>
    </row>
    <row r="294" spans="1:12" ht="15" customHeight="1" x14ac:dyDescent="0.35">
      <c r="A294" t="s">
        <v>12</v>
      </c>
      <c r="B294" t="s">
        <v>24</v>
      </c>
      <c r="C294" t="s">
        <v>14</v>
      </c>
      <c r="D294" t="s">
        <v>162</v>
      </c>
      <c r="E294" t="s">
        <v>14</v>
      </c>
      <c r="F294" t="s">
        <v>103</v>
      </c>
      <c r="G294" s="12">
        <v>46412</v>
      </c>
      <c r="H294" s="13">
        <v>10</v>
      </c>
      <c r="I294" t="s">
        <v>179</v>
      </c>
      <c r="J294" t="s">
        <v>177</v>
      </c>
      <c r="K294">
        <v>10</v>
      </c>
      <c r="L294" t="s">
        <v>181</v>
      </c>
    </row>
    <row r="295" spans="1:12" ht="15" customHeight="1" x14ac:dyDescent="0.35">
      <c r="A295" t="s">
        <v>12</v>
      </c>
      <c r="B295" t="s">
        <v>27</v>
      </c>
      <c r="C295" t="s">
        <v>14</v>
      </c>
      <c r="D295" t="s">
        <v>30</v>
      </c>
      <c r="E295" t="s">
        <v>14</v>
      </c>
      <c r="F295" t="s">
        <v>94</v>
      </c>
      <c r="G295" s="12">
        <v>46412</v>
      </c>
      <c r="H295" s="13">
        <v>5</v>
      </c>
      <c r="I295" t="s">
        <v>176</v>
      </c>
      <c r="J295" t="s">
        <v>180</v>
      </c>
      <c r="K295">
        <v>19</v>
      </c>
      <c r="L295" t="s">
        <v>178</v>
      </c>
    </row>
    <row r="296" spans="1:12" ht="15" customHeight="1" x14ac:dyDescent="0.35">
      <c r="A296" t="s">
        <v>12</v>
      </c>
      <c r="B296" t="s">
        <v>18</v>
      </c>
      <c r="C296" t="s">
        <v>16</v>
      </c>
      <c r="D296" t="s">
        <v>15</v>
      </c>
      <c r="E296" t="s">
        <v>16</v>
      </c>
      <c r="F296" t="s">
        <v>81</v>
      </c>
      <c r="G296" s="12">
        <v>46412</v>
      </c>
      <c r="H296" s="13">
        <v>0.5</v>
      </c>
      <c r="I296" t="s">
        <v>176</v>
      </c>
      <c r="J296" t="s">
        <v>177</v>
      </c>
      <c r="K296">
        <v>23.903509</v>
      </c>
      <c r="L296" t="s">
        <v>178</v>
      </c>
    </row>
    <row r="297" spans="1:12" ht="15" customHeight="1" x14ac:dyDescent="0.35">
      <c r="A297" t="s">
        <v>12</v>
      </c>
      <c r="B297" t="s">
        <v>18</v>
      </c>
      <c r="C297" t="s">
        <v>16</v>
      </c>
      <c r="D297" t="s">
        <v>75</v>
      </c>
      <c r="E297" t="s">
        <v>16</v>
      </c>
      <c r="F297" t="s">
        <v>85</v>
      </c>
      <c r="G297" s="12">
        <v>46412</v>
      </c>
      <c r="H297" s="13">
        <v>0.40350900000000001</v>
      </c>
      <c r="I297" t="s">
        <v>176</v>
      </c>
      <c r="J297" t="s">
        <v>177</v>
      </c>
      <c r="K297">
        <v>31.307017999999999</v>
      </c>
      <c r="L297" t="s">
        <v>178</v>
      </c>
    </row>
    <row r="298" spans="1:12" ht="15" customHeight="1" x14ac:dyDescent="0.35">
      <c r="A298" t="s">
        <v>12</v>
      </c>
      <c r="B298" t="s">
        <v>138</v>
      </c>
      <c r="C298" t="s">
        <v>14</v>
      </c>
      <c r="D298" t="s">
        <v>13</v>
      </c>
      <c r="E298" t="s">
        <v>14</v>
      </c>
      <c r="F298" t="s">
        <v>81</v>
      </c>
      <c r="G298" s="12">
        <v>46412</v>
      </c>
      <c r="H298" s="13">
        <v>1</v>
      </c>
      <c r="I298" t="s">
        <v>182</v>
      </c>
      <c r="J298" t="s">
        <v>177</v>
      </c>
      <c r="K298">
        <v>55</v>
      </c>
      <c r="L298" t="s">
        <v>178</v>
      </c>
    </row>
    <row r="299" spans="1:12" ht="15" customHeight="1" x14ac:dyDescent="0.35">
      <c r="A299" t="s">
        <v>12</v>
      </c>
      <c r="B299" t="s">
        <v>138</v>
      </c>
      <c r="C299" t="s">
        <v>14</v>
      </c>
      <c r="D299" t="s">
        <v>30</v>
      </c>
      <c r="E299" t="s">
        <v>14</v>
      </c>
      <c r="F299" t="s">
        <v>81</v>
      </c>
      <c r="G299" s="12">
        <v>46412</v>
      </c>
      <c r="H299" s="13">
        <v>7</v>
      </c>
      <c r="I299" t="s">
        <v>182</v>
      </c>
      <c r="J299" t="s">
        <v>180</v>
      </c>
      <c r="K299">
        <v>26</v>
      </c>
      <c r="L299" t="s">
        <v>178</v>
      </c>
    </row>
    <row r="300" spans="1:12" ht="15" customHeight="1" x14ac:dyDescent="0.35">
      <c r="A300" t="s">
        <v>12</v>
      </c>
      <c r="B300" t="s">
        <v>138</v>
      </c>
      <c r="C300" t="s">
        <v>14</v>
      </c>
      <c r="D300" t="s">
        <v>30</v>
      </c>
      <c r="E300" t="s">
        <v>14</v>
      </c>
      <c r="F300" t="s">
        <v>100</v>
      </c>
      <c r="G300" s="12">
        <v>46412</v>
      </c>
      <c r="H300" s="13">
        <v>25</v>
      </c>
      <c r="I300" t="s">
        <v>182</v>
      </c>
      <c r="J300" t="s">
        <v>177</v>
      </c>
      <c r="K300">
        <v>51</v>
      </c>
      <c r="L300" t="s">
        <v>178</v>
      </c>
    </row>
    <row r="301" spans="1:12" ht="15" customHeight="1" x14ac:dyDescent="0.35">
      <c r="A301" t="s">
        <v>12</v>
      </c>
      <c r="B301" t="s">
        <v>104</v>
      </c>
      <c r="C301" t="s">
        <v>16</v>
      </c>
      <c r="D301" t="s">
        <v>15</v>
      </c>
      <c r="E301" t="s">
        <v>16</v>
      </c>
      <c r="F301" t="s">
        <v>105</v>
      </c>
      <c r="G301" s="12">
        <v>46412</v>
      </c>
      <c r="H301" s="13">
        <v>4</v>
      </c>
      <c r="I301" t="s">
        <v>182</v>
      </c>
      <c r="J301" t="s">
        <v>180</v>
      </c>
      <c r="K301">
        <v>27.903509</v>
      </c>
      <c r="L301" t="s">
        <v>178</v>
      </c>
    </row>
    <row r="302" spans="1:12" ht="15" customHeight="1" x14ac:dyDescent="0.35">
      <c r="A302" t="s">
        <v>12</v>
      </c>
      <c r="B302" t="s">
        <v>104</v>
      </c>
      <c r="C302" t="s">
        <v>10</v>
      </c>
      <c r="D302" t="s">
        <v>117</v>
      </c>
      <c r="E302" t="s">
        <v>10</v>
      </c>
      <c r="F302" t="s">
        <v>105</v>
      </c>
      <c r="G302" s="12">
        <v>46412</v>
      </c>
      <c r="H302" s="13">
        <v>16</v>
      </c>
      <c r="I302" t="s">
        <v>182</v>
      </c>
      <c r="J302" t="s">
        <v>180</v>
      </c>
      <c r="K302">
        <v>31</v>
      </c>
      <c r="L302" t="s">
        <v>178</v>
      </c>
    </row>
    <row r="303" spans="1:12" ht="15" customHeight="1" x14ac:dyDescent="0.35">
      <c r="A303" t="s">
        <v>12</v>
      </c>
      <c r="B303" t="s">
        <v>104</v>
      </c>
      <c r="C303" t="s">
        <v>14</v>
      </c>
      <c r="D303" t="s">
        <v>21</v>
      </c>
      <c r="E303" t="s">
        <v>14</v>
      </c>
      <c r="F303" t="s">
        <v>105</v>
      </c>
      <c r="G303" s="12">
        <v>46412</v>
      </c>
      <c r="H303" s="13">
        <v>8</v>
      </c>
      <c r="I303" t="s">
        <v>182</v>
      </c>
      <c r="J303" t="s">
        <v>180</v>
      </c>
      <c r="K303">
        <v>43.5</v>
      </c>
      <c r="L303" t="s">
        <v>178</v>
      </c>
    </row>
    <row r="304" spans="1:12" ht="15" customHeight="1" x14ac:dyDescent="0.35">
      <c r="A304" t="s">
        <v>12</v>
      </c>
      <c r="B304" t="s">
        <v>104</v>
      </c>
      <c r="C304" t="s">
        <v>14</v>
      </c>
      <c r="D304" t="s">
        <v>104</v>
      </c>
      <c r="E304" t="s">
        <v>14</v>
      </c>
      <c r="F304" t="s">
        <v>105</v>
      </c>
      <c r="G304" s="12">
        <v>46412</v>
      </c>
      <c r="H304" s="13">
        <v>32</v>
      </c>
      <c r="I304" t="s">
        <v>183</v>
      </c>
      <c r="J304" t="s">
        <v>180</v>
      </c>
      <c r="K304">
        <v>32</v>
      </c>
      <c r="L304" t="s">
        <v>181</v>
      </c>
    </row>
    <row r="305" spans="1:12" ht="15" customHeight="1" x14ac:dyDescent="0.35">
      <c r="A305" t="s">
        <v>12</v>
      </c>
      <c r="B305" t="s">
        <v>135</v>
      </c>
      <c r="C305" t="s">
        <v>14</v>
      </c>
      <c r="D305" t="s">
        <v>153</v>
      </c>
      <c r="E305" t="s">
        <v>14</v>
      </c>
      <c r="F305" t="s">
        <v>43</v>
      </c>
      <c r="G305" s="12">
        <v>46412</v>
      </c>
      <c r="H305" s="13">
        <v>13.5</v>
      </c>
      <c r="I305" t="s">
        <v>185</v>
      </c>
      <c r="J305" t="s">
        <v>180</v>
      </c>
      <c r="K305">
        <v>13.5</v>
      </c>
      <c r="L305" t="s">
        <v>181</v>
      </c>
    </row>
    <row r="306" spans="1:12" ht="15" customHeight="1" x14ac:dyDescent="0.35">
      <c r="A306" t="s">
        <v>12</v>
      </c>
      <c r="B306" t="s">
        <v>135</v>
      </c>
      <c r="C306" t="s">
        <v>14</v>
      </c>
      <c r="D306" t="s">
        <v>21</v>
      </c>
      <c r="E306" t="s">
        <v>14</v>
      </c>
      <c r="F306" t="s">
        <v>43</v>
      </c>
      <c r="G306" s="12">
        <v>46412</v>
      </c>
      <c r="H306" s="13">
        <v>11.5</v>
      </c>
      <c r="I306" t="s">
        <v>182</v>
      </c>
      <c r="J306" t="s">
        <v>177</v>
      </c>
      <c r="K306">
        <v>55</v>
      </c>
      <c r="L306" t="s">
        <v>178</v>
      </c>
    </row>
    <row r="307" spans="1:12" ht="15" customHeight="1" x14ac:dyDescent="0.35">
      <c r="A307" t="s">
        <v>12</v>
      </c>
      <c r="B307" t="s">
        <v>135</v>
      </c>
      <c r="C307" t="s">
        <v>14</v>
      </c>
      <c r="D307" t="s">
        <v>30</v>
      </c>
      <c r="E307" t="s">
        <v>14</v>
      </c>
      <c r="F307" t="s">
        <v>43</v>
      </c>
      <c r="G307" s="12">
        <v>46412</v>
      </c>
      <c r="H307" s="13">
        <v>4</v>
      </c>
      <c r="I307" t="s">
        <v>182</v>
      </c>
      <c r="J307" t="s">
        <v>180</v>
      </c>
      <c r="K307">
        <v>55</v>
      </c>
      <c r="L307" t="s">
        <v>178</v>
      </c>
    </row>
    <row r="308" spans="1:12" ht="15" customHeight="1" x14ac:dyDescent="0.35">
      <c r="A308" t="s">
        <v>12</v>
      </c>
      <c r="B308" t="s">
        <v>130</v>
      </c>
      <c r="C308" t="s">
        <v>14</v>
      </c>
      <c r="D308" t="s">
        <v>148</v>
      </c>
      <c r="E308" t="s">
        <v>14</v>
      </c>
      <c r="F308" t="s">
        <v>85</v>
      </c>
      <c r="G308" s="12">
        <v>46412</v>
      </c>
      <c r="H308" s="13">
        <v>29</v>
      </c>
      <c r="I308" t="s">
        <v>185</v>
      </c>
      <c r="J308" t="s">
        <v>180</v>
      </c>
      <c r="K308">
        <v>29</v>
      </c>
      <c r="L308" t="s">
        <v>181</v>
      </c>
    </row>
    <row r="309" spans="1:12" ht="15" customHeight="1" x14ac:dyDescent="0.35">
      <c r="A309" t="s">
        <v>12</v>
      </c>
      <c r="B309" t="s">
        <v>139</v>
      </c>
      <c r="C309" t="s">
        <v>14</v>
      </c>
      <c r="D309" t="s">
        <v>146</v>
      </c>
      <c r="E309" t="s">
        <v>14</v>
      </c>
      <c r="F309" t="s">
        <v>95</v>
      </c>
      <c r="G309" s="12">
        <v>46412</v>
      </c>
      <c r="H309" s="13">
        <v>28</v>
      </c>
      <c r="I309" t="s">
        <v>185</v>
      </c>
      <c r="J309" t="s">
        <v>177</v>
      </c>
      <c r="K309">
        <v>50.5</v>
      </c>
      <c r="L309" t="s">
        <v>181</v>
      </c>
    </row>
    <row r="310" spans="1:12" ht="15" customHeight="1" x14ac:dyDescent="0.35">
      <c r="A310" t="s">
        <v>12</v>
      </c>
      <c r="B310" t="s">
        <v>139</v>
      </c>
      <c r="C310" t="s">
        <v>14</v>
      </c>
      <c r="D310" t="s">
        <v>152</v>
      </c>
      <c r="E310" t="s">
        <v>14</v>
      </c>
      <c r="F310" t="s">
        <v>99</v>
      </c>
      <c r="G310" s="12">
        <v>46412</v>
      </c>
      <c r="H310" s="13">
        <v>16</v>
      </c>
      <c r="I310" t="s">
        <v>185</v>
      </c>
      <c r="J310" t="s">
        <v>180</v>
      </c>
      <c r="K310">
        <v>16</v>
      </c>
      <c r="L310" t="s">
        <v>181</v>
      </c>
    </row>
    <row r="311" spans="1:12" ht="15" customHeight="1" x14ac:dyDescent="0.35">
      <c r="A311" t="s">
        <v>12</v>
      </c>
      <c r="B311" t="s">
        <v>134</v>
      </c>
      <c r="C311" t="s">
        <v>14</v>
      </c>
      <c r="D311" t="s">
        <v>151</v>
      </c>
      <c r="E311" t="s">
        <v>14</v>
      </c>
      <c r="F311" t="s">
        <v>99</v>
      </c>
      <c r="G311" s="12">
        <v>46412</v>
      </c>
      <c r="H311" s="13">
        <v>11</v>
      </c>
      <c r="I311" t="s">
        <v>185</v>
      </c>
      <c r="J311" t="s">
        <v>180</v>
      </c>
      <c r="K311">
        <v>35</v>
      </c>
      <c r="L311" t="s">
        <v>181</v>
      </c>
    </row>
    <row r="312" spans="1:12" ht="15" customHeight="1" x14ac:dyDescent="0.35">
      <c r="A312" t="s">
        <v>12</v>
      </c>
      <c r="B312" t="s">
        <v>134</v>
      </c>
      <c r="C312" t="s">
        <v>14</v>
      </c>
      <c r="D312" t="s">
        <v>152</v>
      </c>
      <c r="E312" t="s">
        <v>14</v>
      </c>
      <c r="F312" t="s">
        <v>99</v>
      </c>
      <c r="G312" s="12">
        <v>46412</v>
      </c>
      <c r="H312" s="13">
        <v>39</v>
      </c>
      <c r="I312" t="s">
        <v>185</v>
      </c>
      <c r="J312" t="s">
        <v>177</v>
      </c>
      <c r="K312">
        <v>55</v>
      </c>
      <c r="L312" t="s">
        <v>181</v>
      </c>
    </row>
    <row r="313" spans="1:12" ht="15" customHeight="1" x14ac:dyDescent="0.35">
      <c r="A313" t="s">
        <v>12</v>
      </c>
      <c r="B313" t="s">
        <v>133</v>
      </c>
      <c r="C313" t="s">
        <v>14</v>
      </c>
      <c r="D313" t="s">
        <v>151</v>
      </c>
      <c r="E313" t="s">
        <v>14</v>
      </c>
      <c r="F313" t="s">
        <v>46</v>
      </c>
      <c r="G313" s="12">
        <v>46412</v>
      </c>
      <c r="H313" s="13">
        <v>24</v>
      </c>
      <c r="I313" t="s">
        <v>184</v>
      </c>
      <c r="J313" t="s">
        <v>180</v>
      </c>
      <c r="K313">
        <v>24</v>
      </c>
      <c r="L313" t="s">
        <v>181</v>
      </c>
    </row>
    <row r="314" spans="1:12" ht="15" customHeight="1" x14ac:dyDescent="0.35">
      <c r="A314" t="s">
        <v>12</v>
      </c>
      <c r="B314" t="s">
        <v>128</v>
      </c>
      <c r="C314" t="s">
        <v>14</v>
      </c>
      <c r="D314" t="s">
        <v>146</v>
      </c>
      <c r="E314" t="s">
        <v>14</v>
      </c>
      <c r="F314" t="s">
        <v>108</v>
      </c>
      <c r="G314" s="12">
        <v>46412</v>
      </c>
      <c r="H314" s="13">
        <v>22.5</v>
      </c>
      <c r="I314" t="s">
        <v>185</v>
      </c>
      <c r="J314" t="s">
        <v>177</v>
      </c>
      <c r="K314">
        <v>22.5</v>
      </c>
      <c r="L314" t="s">
        <v>181</v>
      </c>
    </row>
    <row r="315" spans="1:12" ht="15" customHeight="1" x14ac:dyDescent="0.35">
      <c r="A315" t="s">
        <v>12</v>
      </c>
      <c r="B315" t="s">
        <v>129</v>
      </c>
      <c r="C315" t="s">
        <v>14</v>
      </c>
      <c r="D315" t="s">
        <v>147</v>
      </c>
      <c r="E315" t="s">
        <v>14</v>
      </c>
      <c r="F315" t="s">
        <v>102</v>
      </c>
      <c r="G315" s="12">
        <v>46412</v>
      </c>
      <c r="H315" s="13">
        <v>45</v>
      </c>
      <c r="I315" t="s">
        <v>185</v>
      </c>
      <c r="J315" t="s">
        <v>177</v>
      </c>
      <c r="K315">
        <v>45</v>
      </c>
      <c r="L315" t="s">
        <v>181</v>
      </c>
    </row>
    <row r="316" spans="1:12" ht="15" customHeight="1" x14ac:dyDescent="0.35">
      <c r="A316" t="s">
        <v>12</v>
      </c>
      <c r="B316" t="s">
        <v>131</v>
      </c>
      <c r="C316" t="s">
        <v>14</v>
      </c>
      <c r="D316" t="s">
        <v>148</v>
      </c>
      <c r="E316" t="s">
        <v>14</v>
      </c>
      <c r="F316" t="s">
        <v>103</v>
      </c>
      <c r="G316" s="12">
        <v>46412</v>
      </c>
      <c r="H316" s="13">
        <v>26</v>
      </c>
      <c r="I316" t="s">
        <v>185</v>
      </c>
      <c r="J316" t="s">
        <v>177</v>
      </c>
      <c r="K316">
        <v>55</v>
      </c>
      <c r="L316" t="s">
        <v>181</v>
      </c>
    </row>
    <row r="317" spans="1:12" ht="15" customHeight="1" x14ac:dyDescent="0.35">
      <c r="A317" t="s">
        <v>12</v>
      </c>
      <c r="B317" t="s">
        <v>131</v>
      </c>
      <c r="C317" t="s">
        <v>14</v>
      </c>
      <c r="D317" t="s">
        <v>149</v>
      </c>
      <c r="E317" t="s">
        <v>14</v>
      </c>
      <c r="F317" t="s">
        <v>103</v>
      </c>
      <c r="G317" s="12">
        <v>46412</v>
      </c>
      <c r="H317" s="13">
        <v>39</v>
      </c>
      <c r="I317" t="s">
        <v>185</v>
      </c>
      <c r="J317" t="s">
        <v>180</v>
      </c>
      <c r="K317">
        <v>39</v>
      </c>
      <c r="L317" t="s">
        <v>181</v>
      </c>
    </row>
    <row r="318" spans="1:12" ht="15" customHeight="1" x14ac:dyDescent="0.35">
      <c r="A318" t="s">
        <v>12</v>
      </c>
      <c r="B318" t="s">
        <v>132</v>
      </c>
      <c r="C318" t="s">
        <v>14</v>
      </c>
      <c r="D318" t="s">
        <v>146</v>
      </c>
      <c r="E318" t="s">
        <v>14</v>
      </c>
      <c r="F318" t="s">
        <v>103</v>
      </c>
      <c r="G318" s="12">
        <v>46412</v>
      </c>
      <c r="H318" s="13">
        <v>4.5</v>
      </c>
      <c r="I318" t="s">
        <v>185</v>
      </c>
      <c r="J318" t="s">
        <v>180</v>
      </c>
      <c r="K318">
        <v>55</v>
      </c>
      <c r="L318" t="s">
        <v>181</v>
      </c>
    </row>
    <row r="319" spans="1:12" ht="15" customHeight="1" x14ac:dyDescent="0.35">
      <c r="A319" t="s">
        <v>12</v>
      </c>
      <c r="B319" t="s">
        <v>132</v>
      </c>
      <c r="C319" t="s">
        <v>14</v>
      </c>
      <c r="D319" t="s">
        <v>147</v>
      </c>
      <c r="E319" t="s">
        <v>14</v>
      </c>
      <c r="F319" t="s">
        <v>103</v>
      </c>
      <c r="G319" s="12">
        <v>46412</v>
      </c>
      <c r="H319" s="13">
        <v>10</v>
      </c>
      <c r="I319" t="s">
        <v>185</v>
      </c>
      <c r="J319" t="s">
        <v>180</v>
      </c>
      <c r="K319">
        <v>55</v>
      </c>
      <c r="L319" t="s">
        <v>181</v>
      </c>
    </row>
    <row r="320" spans="1:12" ht="15" customHeight="1" x14ac:dyDescent="0.35">
      <c r="A320" t="s">
        <v>12</v>
      </c>
      <c r="B320" t="s">
        <v>132</v>
      </c>
      <c r="C320" t="s">
        <v>14</v>
      </c>
      <c r="D320" t="s">
        <v>149</v>
      </c>
      <c r="E320" t="s">
        <v>14</v>
      </c>
      <c r="F320" t="s">
        <v>103</v>
      </c>
      <c r="G320" s="12">
        <v>46412</v>
      </c>
      <c r="H320" s="13">
        <v>16</v>
      </c>
      <c r="I320" t="s">
        <v>185</v>
      </c>
      <c r="J320" t="s">
        <v>177</v>
      </c>
      <c r="K320">
        <v>55</v>
      </c>
      <c r="L320" t="s">
        <v>181</v>
      </c>
    </row>
    <row r="321" spans="1:12" ht="15" customHeight="1" x14ac:dyDescent="0.35">
      <c r="A321" t="s">
        <v>12</v>
      </c>
      <c r="B321" t="s">
        <v>132</v>
      </c>
      <c r="C321" t="s">
        <v>14</v>
      </c>
      <c r="D321" t="s">
        <v>150</v>
      </c>
      <c r="E321" t="s">
        <v>14</v>
      </c>
      <c r="F321" t="s">
        <v>103</v>
      </c>
      <c r="G321" s="12">
        <v>46412</v>
      </c>
      <c r="H321" s="13">
        <v>29.5</v>
      </c>
      <c r="I321" t="s">
        <v>185</v>
      </c>
      <c r="J321" t="s">
        <v>180</v>
      </c>
      <c r="K321">
        <v>29.5</v>
      </c>
      <c r="L321" t="s">
        <v>181</v>
      </c>
    </row>
    <row r="322" spans="1:12" ht="15" customHeight="1" x14ac:dyDescent="0.35">
      <c r="A322" t="s">
        <v>12</v>
      </c>
      <c r="B322" t="s">
        <v>136</v>
      </c>
      <c r="C322" t="s">
        <v>14</v>
      </c>
      <c r="D322" t="s">
        <v>153</v>
      </c>
      <c r="E322" t="s">
        <v>14</v>
      </c>
      <c r="F322" t="s">
        <v>43</v>
      </c>
      <c r="G322" s="12">
        <v>46412</v>
      </c>
      <c r="H322" s="13">
        <v>10</v>
      </c>
      <c r="I322" t="s">
        <v>185</v>
      </c>
      <c r="J322" t="s">
        <v>177</v>
      </c>
      <c r="K322">
        <v>23.5</v>
      </c>
      <c r="L322" t="s">
        <v>181</v>
      </c>
    </row>
    <row r="323" spans="1:12" ht="15" customHeight="1" x14ac:dyDescent="0.35">
      <c r="A323" t="s">
        <v>29</v>
      </c>
      <c r="B323" t="s">
        <v>35</v>
      </c>
      <c r="C323" t="s">
        <v>10</v>
      </c>
      <c r="D323" t="s">
        <v>143</v>
      </c>
      <c r="E323" t="s">
        <v>10</v>
      </c>
      <c r="F323" t="s">
        <v>92</v>
      </c>
      <c r="G323" s="12">
        <v>46419</v>
      </c>
      <c r="H323" s="13">
        <v>5</v>
      </c>
      <c r="I323" t="s">
        <v>176</v>
      </c>
      <c r="J323" t="s">
        <v>177</v>
      </c>
      <c r="K323">
        <v>5</v>
      </c>
      <c r="L323" t="s">
        <v>181</v>
      </c>
    </row>
    <row r="324" spans="1:12" ht="15" customHeight="1" x14ac:dyDescent="0.35">
      <c r="A324" t="s">
        <v>29</v>
      </c>
      <c r="B324" t="s">
        <v>28</v>
      </c>
      <c r="C324" t="s">
        <v>10</v>
      </c>
      <c r="D324" t="s">
        <v>143</v>
      </c>
      <c r="E324" t="s">
        <v>10</v>
      </c>
      <c r="F324" t="s">
        <v>92</v>
      </c>
      <c r="G324" s="12">
        <v>46419</v>
      </c>
      <c r="H324" s="13">
        <v>5</v>
      </c>
      <c r="I324" t="s">
        <v>176</v>
      </c>
      <c r="J324" t="s">
        <v>177</v>
      </c>
      <c r="K324">
        <v>10</v>
      </c>
      <c r="L324" t="s">
        <v>181</v>
      </c>
    </row>
    <row r="325" spans="1:12" ht="15" customHeight="1" x14ac:dyDescent="0.35">
      <c r="A325" t="s">
        <v>12</v>
      </c>
      <c r="B325" t="s">
        <v>13</v>
      </c>
      <c r="C325" t="s">
        <v>14</v>
      </c>
      <c r="D325" t="s">
        <v>26</v>
      </c>
      <c r="E325" t="s">
        <v>14</v>
      </c>
      <c r="F325" t="s">
        <v>40</v>
      </c>
      <c r="G325" s="12">
        <v>46419</v>
      </c>
      <c r="H325" s="13">
        <v>12</v>
      </c>
      <c r="I325" t="s">
        <v>176</v>
      </c>
      <c r="J325" t="s">
        <v>177</v>
      </c>
      <c r="K325">
        <v>55</v>
      </c>
      <c r="L325" t="s">
        <v>178</v>
      </c>
    </row>
    <row r="326" spans="1:12" ht="15" customHeight="1" x14ac:dyDescent="0.35">
      <c r="A326" t="s">
        <v>12</v>
      </c>
      <c r="B326" t="s">
        <v>13</v>
      </c>
      <c r="C326" t="s">
        <v>14</v>
      </c>
      <c r="D326" t="s">
        <v>148</v>
      </c>
      <c r="E326" t="s">
        <v>14</v>
      </c>
      <c r="F326" t="s">
        <v>40</v>
      </c>
      <c r="G326" s="12">
        <v>46419</v>
      </c>
      <c r="H326" s="13">
        <v>7.5</v>
      </c>
      <c r="I326" t="s">
        <v>176</v>
      </c>
      <c r="J326" t="s">
        <v>180</v>
      </c>
      <c r="K326">
        <v>21.9</v>
      </c>
      <c r="L326" t="s">
        <v>181</v>
      </c>
    </row>
    <row r="327" spans="1:12" ht="15" customHeight="1" x14ac:dyDescent="0.35">
      <c r="A327" t="s">
        <v>12</v>
      </c>
      <c r="B327" t="s">
        <v>13</v>
      </c>
      <c r="C327" t="s">
        <v>14</v>
      </c>
      <c r="D327" t="s">
        <v>21</v>
      </c>
      <c r="E327" t="s">
        <v>14</v>
      </c>
      <c r="F327" t="s">
        <v>40</v>
      </c>
      <c r="G327" s="12">
        <v>46419</v>
      </c>
      <c r="H327" s="13">
        <v>0.5</v>
      </c>
      <c r="I327" t="s">
        <v>176</v>
      </c>
      <c r="J327" t="s">
        <v>177</v>
      </c>
      <c r="K327">
        <v>55</v>
      </c>
      <c r="L327" t="s">
        <v>178</v>
      </c>
    </row>
    <row r="328" spans="1:12" ht="15" customHeight="1" x14ac:dyDescent="0.35">
      <c r="A328" t="s">
        <v>12</v>
      </c>
      <c r="B328" t="s">
        <v>13</v>
      </c>
      <c r="C328" t="s">
        <v>14</v>
      </c>
      <c r="D328" t="s">
        <v>127</v>
      </c>
      <c r="E328" t="s">
        <v>14</v>
      </c>
      <c r="F328" t="s">
        <v>40</v>
      </c>
      <c r="G328" s="12">
        <v>46419</v>
      </c>
      <c r="H328" s="13">
        <v>30</v>
      </c>
      <c r="I328" t="s">
        <v>176</v>
      </c>
      <c r="J328" t="s">
        <v>177</v>
      </c>
      <c r="K328">
        <v>30</v>
      </c>
      <c r="L328" t="s">
        <v>178</v>
      </c>
    </row>
    <row r="329" spans="1:12" ht="15" customHeight="1" x14ac:dyDescent="0.35">
      <c r="A329" t="s">
        <v>12</v>
      </c>
      <c r="B329" t="s">
        <v>13</v>
      </c>
      <c r="C329" t="s">
        <v>14</v>
      </c>
      <c r="D329" t="s">
        <v>148</v>
      </c>
      <c r="E329" t="s">
        <v>14</v>
      </c>
      <c r="F329" t="s">
        <v>96</v>
      </c>
      <c r="G329" s="12">
        <v>46419</v>
      </c>
      <c r="H329" s="13">
        <v>11</v>
      </c>
      <c r="I329" t="s">
        <v>176</v>
      </c>
      <c r="J329" t="s">
        <v>180</v>
      </c>
      <c r="K329">
        <v>37.9</v>
      </c>
      <c r="L329" t="s">
        <v>181</v>
      </c>
    </row>
    <row r="330" spans="1:12" ht="15" customHeight="1" x14ac:dyDescent="0.35">
      <c r="A330" t="s">
        <v>12</v>
      </c>
      <c r="B330" t="s">
        <v>13</v>
      </c>
      <c r="C330" t="s">
        <v>14</v>
      </c>
      <c r="D330" t="s">
        <v>152</v>
      </c>
      <c r="E330" t="s">
        <v>14</v>
      </c>
      <c r="F330" t="s">
        <v>99</v>
      </c>
      <c r="G330" s="12">
        <v>46419</v>
      </c>
      <c r="H330" s="13">
        <v>0.100000000000001</v>
      </c>
      <c r="I330" t="s">
        <v>176</v>
      </c>
      <c r="J330" t="s">
        <v>177</v>
      </c>
      <c r="K330">
        <v>55</v>
      </c>
      <c r="L330" t="s">
        <v>181</v>
      </c>
    </row>
    <row r="331" spans="1:12" ht="15" customHeight="1" x14ac:dyDescent="0.35">
      <c r="A331" t="s">
        <v>12</v>
      </c>
      <c r="B331" t="s">
        <v>13</v>
      </c>
      <c r="C331" t="s">
        <v>14</v>
      </c>
      <c r="D331" t="s">
        <v>153</v>
      </c>
      <c r="E331" t="s">
        <v>14</v>
      </c>
      <c r="F331" t="s">
        <v>99</v>
      </c>
      <c r="G331" s="12">
        <v>46419</v>
      </c>
      <c r="H331" s="13">
        <v>8.9</v>
      </c>
      <c r="I331" t="s">
        <v>176</v>
      </c>
      <c r="J331" t="s">
        <v>180</v>
      </c>
      <c r="K331">
        <v>8.9</v>
      </c>
      <c r="L331" t="s">
        <v>181</v>
      </c>
    </row>
    <row r="332" spans="1:12" ht="15" customHeight="1" x14ac:dyDescent="0.35">
      <c r="A332" t="s">
        <v>12</v>
      </c>
      <c r="B332" t="s">
        <v>13</v>
      </c>
      <c r="C332" t="s">
        <v>14</v>
      </c>
      <c r="D332" t="s">
        <v>155</v>
      </c>
      <c r="E332" t="s">
        <v>14</v>
      </c>
      <c r="F332" t="s">
        <v>100</v>
      </c>
      <c r="G332" s="12">
        <v>46419</v>
      </c>
      <c r="H332" s="13">
        <v>7</v>
      </c>
      <c r="I332" t="s">
        <v>176</v>
      </c>
      <c r="J332" t="s">
        <v>180</v>
      </c>
      <c r="K332">
        <v>39.9</v>
      </c>
      <c r="L332" t="s">
        <v>181</v>
      </c>
    </row>
    <row r="333" spans="1:12" ht="15" customHeight="1" x14ac:dyDescent="0.35">
      <c r="A333" t="s">
        <v>12</v>
      </c>
      <c r="B333" t="s">
        <v>9</v>
      </c>
      <c r="C333" t="s">
        <v>10</v>
      </c>
      <c r="D333" t="s">
        <v>117</v>
      </c>
      <c r="E333" t="s">
        <v>10</v>
      </c>
      <c r="F333" t="s">
        <v>81</v>
      </c>
      <c r="G333" s="12">
        <v>46419</v>
      </c>
      <c r="H333" s="13">
        <v>8</v>
      </c>
      <c r="I333" t="s">
        <v>176</v>
      </c>
      <c r="J333" t="s">
        <v>180</v>
      </c>
      <c r="K333">
        <v>19</v>
      </c>
      <c r="L333" t="s">
        <v>178</v>
      </c>
    </row>
    <row r="334" spans="1:12" ht="15" customHeight="1" x14ac:dyDescent="0.35">
      <c r="A334" t="s">
        <v>12</v>
      </c>
      <c r="B334" t="s">
        <v>9</v>
      </c>
      <c r="C334" t="s">
        <v>10</v>
      </c>
      <c r="D334" t="s">
        <v>117</v>
      </c>
      <c r="E334" t="s">
        <v>10</v>
      </c>
      <c r="F334" t="s">
        <v>94</v>
      </c>
      <c r="G334" s="12">
        <v>46419</v>
      </c>
      <c r="H334" s="13">
        <v>5</v>
      </c>
      <c r="I334" t="s">
        <v>176</v>
      </c>
      <c r="J334" t="s">
        <v>180</v>
      </c>
      <c r="K334">
        <v>5</v>
      </c>
      <c r="L334" t="s">
        <v>178</v>
      </c>
    </row>
    <row r="335" spans="1:12" ht="15" customHeight="1" x14ac:dyDescent="0.35">
      <c r="A335" t="s">
        <v>12</v>
      </c>
      <c r="B335" t="s">
        <v>9</v>
      </c>
      <c r="C335" t="s">
        <v>10</v>
      </c>
      <c r="D335" t="s">
        <v>117</v>
      </c>
      <c r="E335" t="s">
        <v>10</v>
      </c>
      <c r="F335" t="s">
        <v>95</v>
      </c>
      <c r="G335" s="12">
        <v>46419</v>
      </c>
      <c r="H335" s="13">
        <v>3</v>
      </c>
      <c r="I335" t="s">
        <v>176</v>
      </c>
      <c r="J335" t="s">
        <v>180</v>
      </c>
      <c r="K335">
        <v>22</v>
      </c>
      <c r="L335" t="s">
        <v>178</v>
      </c>
    </row>
    <row r="336" spans="1:12" ht="15" customHeight="1" x14ac:dyDescent="0.35">
      <c r="A336" t="s">
        <v>12</v>
      </c>
      <c r="B336" t="s">
        <v>9</v>
      </c>
      <c r="C336" t="s">
        <v>10</v>
      </c>
      <c r="D336" t="s">
        <v>116</v>
      </c>
      <c r="E336" t="s">
        <v>10</v>
      </c>
      <c r="F336" t="s">
        <v>40</v>
      </c>
      <c r="G336" s="12">
        <v>46419</v>
      </c>
      <c r="H336" s="13">
        <v>5.5</v>
      </c>
      <c r="I336" t="s">
        <v>176</v>
      </c>
      <c r="J336" t="s">
        <v>177</v>
      </c>
      <c r="K336">
        <v>36</v>
      </c>
      <c r="L336" t="s">
        <v>178</v>
      </c>
    </row>
    <row r="337" spans="1:12" ht="15" customHeight="1" x14ac:dyDescent="0.35">
      <c r="A337" t="s">
        <v>12</v>
      </c>
      <c r="B337" t="s">
        <v>9</v>
      </c>
      <c r="C337" t="s">
        <v>10</v>
      </c>
      <c r="D337" t="s">
        <v>116</v>
      </c>
      <c r="E337" t="s">
        <v>10</v>
      </c>
      <c r="F337" t="s">
        <v>96</v>
      </c>
      <c r="G337" s="12">
        <v>46419</v>
      </c>
      <c r="H337" s="13">
        <v>1</v>
      </c>
      <c r="I337" t="s">
        <v>176</v>
      </c>
      <c r="J337" t="s">
        <v>177</v>
      </c>
      <c r="K337">
        <v>30.5</v>
      </c>
      <c r="L337" t="s">
        <v>178</v>
      </c>
    </row>
    <row r="338" spans="1:12" ht="15" customHeight="1" x14ac:dyDescent="0.35">
      <c r="A338" t="s">
        <v>12</v>
      </c>
      <c r="B338" t="s">
        <v>9</v>
      </c>
      <c r="C338" t="s">
        <v>10</v>
      </c>
      <c r="D338" t="s">
        <v>116</v>
      </c>
      <c r="E338" t="s">
        <v>10</v>
      </c>
      <c r="F338" t="s">
        <v>99</v>
      </c>
      <c r="G338" s="12">
        <v>46419</v>
      </c>
      <c r="H338" s="13">
        <v>10</v>
      </c>
      <c r="I338" t="s">
        <v>176</v>
      </c>
      <c r="J338" t="s">
        <v>177</v>
      </c>
      <c r="K338">
        <v>46</v>
      </c>
      <c r="L338" t="s">
        <v>178</v>
      </c>
    </row>
    <row r="339" spans="1:12" ht="15" customHeight="1" x14ac:dyDescent="0.35">
      <c r="A339" t="s">
        <v>12</v>
      </c>
      <c r="B339" t="s">
        <v>9</v>
      </c>
      <c r="C339" t="s">
        <v>10</v>
      </c>
      <c r="D339" t="s">
        <v>117</v>
      </c>
      <c r="E339" t="s">
        <v>10</v>
      </c>
      <c r="F339" t="s">
        <v>100</v>
      </c>
      <c r="G339" s="12">
        <v>46419</v>
      </c>
      <c r="H339" s="13">
        <v>6</v>
      </c>
      <c r="I339" t="s">
        <v>176</v>
      </c>
      <c r="J339" t="s">
        <v>180</v>
      </c>
      <c r="K339">
        <v>11</v>
      </c>
      <c r="L339" t="s">
        <v>178</v>
      </c>
    </row>
    <row r="340" spans="1:12" ht="15" customHeight="1" x14ac:dyDescent="0.35">
      <c r="A340" t="s">
        <v>12</v>
      </c>
      <c r="B340" t="s">
        <v>22</v>
      </c>
      <c r="C340" t="s">
        <v>10</v>
      </c>
      <c r="D340" t="s">
        <v>116</v>
      </c>
      <c r="E340" t="s">
        <v>10</v>
      </c>
      <c r="F340" t="s">
        <v>99</v>
      </c>
      <c r="G340" s="12">
        <v>46419</v>
      </c>
      <c r="H340" s="13">
        <v>9</v>
      </c>
      <c r="I340" t="s">
        <v>176</v>
      </c>
      <c r="J340" t="s">
        <v>177</v>
      </c>
      <c r="K340">
        <v>55</v>
      </c>
      <c r="L340" t="s">
        <v>178</v>
      </c>
    </row>
    <row r="341" spans="1:12" ht="15" customHeight="1" x14ac:dyDescent="0.35">
      <c r="A341" t="s">
        <v>12</v>
      </c>
      <c r="B341" t="s">
        <v>22</v>
      </c>
      <c r="C341" t="s">
        <v>10</v>
      </c>
      <c r="D341" t="s">
        <v>117</v>
      </c>
      <c r="E341" t="s">
        <v>10</v>
      </c>
      <c r="F341" t="s">
        <v>99</v>
      </c>
      <c r="G341" s="12">
        <v>46419</v>
      </c>
      <c r="H341" s="13">
        <v>6</v>
      </c>
      <c r="I341" t="s">
        <v>176</v>
      </c>
      <c r="J341" t="s">
        <v>180</v>
      </c>
      <c r="K341">
        <v>28</v>
      </c>
      <c r="L341" t="s">
        <v>178</v>
      </c>
    </row>
    <row r="342" spans="1:12" ht="15" customHeight="1" x14ac:dyDescent="0.35">
      <c r="A342" t="s">
        <v>12</v>
      </c>
      <c r="B342" t="s">
        <v>20</v>
      </c>
      <c r="C342" t="s">
        <v>10</v>
      </c>
      <c r="D342" t="s">
        <v>36</v>
      </c>
      <c r="E342" t="s">
        <v>10</v>
      </c>
      <c r="F342" t="s">
        <v>85</v>
      </c>
      <c r="G342" s="12">
        <v>46419</v>
      </c>
      <c r="H342" s="13">
        <v>5.5</v>
      </c>
      <c r="I342" t="s">
        <v>176</v>
      </c>
      <c r="J342" t="s">
        <v>177</v>
      </c>
      <c r="K342">
        <v>55</v>
      </c>
      <c r="L342" t="s">
        <v>178</v>
      </c>
    </row>
    <row r="343" spans="1:12" ht="15" customHeight="1" x14ac:dyDescent="0.35">
      <c r="A343" t="s">
        <v>12</v>
      </c>
      <c r="B343" t="s">
        <v>20</v>
      </c>
      <c r="C343" t="s">
        <v>10</v>
      </c>
      <c r="D343" t="s">
        <v>117</v>
      </c>
      <c r="E343" t="s">
        <v>10</v>
      </c>
      <c r="F343" t="s">
        <v>85</v>
      </c>
      <c r="G343" s="12">
        <v>46419</v>
      </c>
      <c r="H343" s="13">
        <v>2</v>
      </c>
      <c r="I343" t="s">
        <v>176</v>
      </c>
      <c r="J343" t="s">
        <v>180</v>
      </c>
      <c r="K343">
        <v>30</v>
      </c>
      <c r="L343" t="s">
        <v>178</v>
      </c>
    </row>
    <row r="344" spans="1:12" ht="15" customHeight="1" x14ac:dyDescent="0.35">
      <c r="A344" t="s">
        <v>12</v>
      </c>
      <c r="B344" t="s">
        <v>23</v>
      </c>
      <c r="C344" t="s">
        <v>10</v>
      </c>
      <c r="D344" t="s">
        <v>117</v>
      </c>
      <c r="E344" t="s">
        <v>10</v>
      </c>
      <c r="F344" t="s">
        <v>81</v>
      </c>
      <c r="G344" s="12">
        <v>46419</v>
      </c>
      <c r="H344" s="13">
        <v>1</v>
      </c>
      <c r="I344" t="s">
        <v>176</v>
      </c>
      <c r="J344" t="s">
        <v>180</v>
      </c>
      <c r="K344">
        <v>31</v>
      </c>
      <c r="L344" t="s">
        <v>178</v>
      </c>
    </row>
    <row r="345" spans="1:12" ht="15" customHeight="1" x14ac:dyDescent="0.35">
      <c r="A345" t="s">
        <v>12</v>
      </c>
      <c r="B345" t="s">
        <v>17</v>
      </c>
      <c r="C345" t="s">
        <v>14</v>
      </c>
      <c r="D345" t="s">
        <v>151</v>
      </c>
      <c r="E345" t="s">
        <v>14</v>
      </c>
      <c r="F345" t="s">
        <v>46</v>
      </c>
      <c r="G345" s="12">
        <v>46419</v>
      </c>
      <c r="H345" s="13">
        <v>21.1</v>
      </c>
      <c r="I345" t="s">
        <v>176</v>
      </c>
      <c r="J345" t="s">
        <v>177</v>
      </c>
      <c r="K345">
        <v>55</v>
      </c>
      <c r="L345" t="s">
        <v>181</v>
      </c>
    </row>
    <row r="346" spans="1:12" ht="15" customHeight="1" x14ac:dyDescent="0.35">
      <c r="A346" t="s">
        <v>12</v>
      </c>
      <c r="B346" t="s">
        <v>17</v>
      </c>
      <c r="C346" t="s">
        <v>14</v>
      </c>
      <c r="D346" t="s">
        <v>152</v>
      </c>
      <c r="E346" t="s">
        <v>14</v>
      </c>
      <c r="F346" t="s">
        <v>46</v>
      </c>
      <c r="G346" s="12">
        <v>46419</v>
      </c>
      <c r="H346" s="13">
        <v>13.9</v>
      </c>
      <c r="I346" t="s">
        <v>176</v>
      </c>
      <c r="J346" t="s">
        <v>180</v>
      </c>
      <c r="K346">
        <v>13.9</v>
      </c>
      <c r="L346" t="s">
        <v>181</v>
      </c>
    </row>
    <row r="347" spans="1:12" ht="15" customHeight="1" x14ac:dyDescent="0.35">
      <c r="A347" t="s">
        <v>12</v>
      </c>
      <c r="B347" t="s">
        <v>123</v>
      </c>
      <c r="C347" t="s">
        <v>14</v>
      </c>
      <c r="D347" t="s">
        <v>146</v>
      </c>
      <c r="E347" t="s">
        <v>14</v>
      </c>
      <c r="F347" t="s">
        <v>81</v>
      </c>
      <c r="G347" s="12">
        <v>46419</v>
      </c>
      <c r="H347" s="13">
        <v>2.4</v>
      </c>
      <c r="I347" t="s">
        <v>176</v>
      </c>
      <c r="J347" t="s">
        <v>180</v>
      </c>
      <c r="K347">
        <v>28.9</v>
      </c>
      <c r="L347" t="s">
        <v>181</v>
      </c>
    </row>
    <row r="348" spans="1:12" ht="15" customHeight="1" x14ac:dyDescent="0.35">
      <c r="A348" t="s">
        <v>12</v>
      </c>
      <c r="B348" t="s">
        <v>123</v>
      </c>
      <c r="C348" t="s">
        <v>14</v>
      </c>
      <c r="D348" t="s">
        <v>152</v>
      </c>
      <c r="E348" t="s">
        <v>14</v>
      </c>
      <c r="F348" t="s">
        <v>46</v>
      </c>
      <c r="G348" s="12">
        <v>46419</v>
      </c>
      <c r="H348" s="13">
        <v>7</v>
      </c>
      <c r="I348" t="s">
        <v>176</v>
      </c>
      <c r="J348" t="s">
        <v>177</v>
      </c>
      <c r="K348">
        <v>20.9</v>
      </c>
      <c r="L348" t="s">
        <v>181</v>
      </c>
    </row>
    <row r="349" spans="1:12" ht="15" customHeight="1" x14ac:dyDescent="0.35">
      <c r="A349" t="s">
        <v>12</v>
      </c>
      <c r="B349" t="s">
        <v>33</v>
      </c>
      <c r="C349" t="s">
        <v>10</v>
      </c>
      <c r="D349" t="s">
        <v>117</v>
      </c>
      <c r="E349" t="s">
        <v>10</v>
      </c>
      <c r="F349" t="s">
        <v>103</v>
      </c>
      <c r="G349" s="12">
        <v>46419</v>
      </c>
      <c r="H349" s="13">
        <v>7</v>
      </c>
      <c r="I349" t="s">
        <v>176</v>
      </c>
      <c r="J349" t="s">
        <v>180</v>
      </c>
      <c r="K349">
        <v>38</v>
      </c>
      <c r="L349" t="s">
        <v>178</v>
      </c>
    </row>
    <row r="350" spans="1:12" ht="15" customHeight="1" x14ac:dyDescent="0.35">
      <c r="A350" t="s">
        <v>12</v>
      </c>
      <c r="B350" t="s">
        <v>24</v>
      </c>
      <c r="C350" t="s">
        <v>14</v>
      </c>
      <c r="D350" t="s">
        <v>146</v>
      </c>
      <c r="E350" t="s">
        <v>14</v>
      </c>
      <c r="F350" t="s">
        <v>81</v>
      </c>
      <c r="G350" s="12">
        <v>46419</v>
      </c>
      <c r="H350" s="13">
        <v>3.5</v>
      </c>
      <c r="I350" t="s">
        <v>176</v>
      </c>
      <c r="J350" t="s">
        <v>177</v>
      </c>
      <c r="K350">
        <v>32.4</v>
      </c>
      <c r="L350" t="s">
        <v>181</v>
      </c>
    </row>
    <row r="351" spans="1:12" ht="15" customHeight="1" x14ac:dyDescent="0.35">
      <c r="A351" t="s">
        <v>12</v>
      </c>
      <c r="B351" t="s">
        <v>24</v>
      </c>
      <c r="C351" t="s">
        <v>14</v>
      </c>
      <c r="D351" t="s">
        <v>150</v>
      </c>
      <c r="E351" t="s">
        <v>14</v>
      </c>
      <c r="F351" t="s">
        <v>103</v>
      </c>
      <c r="G351" s="12">
        <v>46419</v>
      </c>
      <c r="H351" s="13">
        <v>5</v>
      </c>
      <c r="I351" t="s">
        <v>176</v>
      </c>
      <c r="J351" t="s">
        <v>177</v>
      </c>
      <c r="K351">
        <v>5</v>
      </c>
      <c r="L351" t="s">
        <v>181</v>
      </c>
    </row>
    <row r="352" spans="1:12" ht="15" customHeight="1" x14ac:dyDescent="0.35">
      <c r="A352" t="s">
        <v>12</v>
      </c>
      <c r="B352" t="s">
        <v>27</v>
      </c>
      <c r="C352" t="s">
        <v>14</v>
      </c>
      <c r="D352" t="s">
        <v>148</v>
      </c>
      <c r="E352" t="s">
        <v>14</v>
      </c>
      <c r="F352" t="s">
        <v>40</v>
      </c>
      <c r="G352" s="12">
        <v>46419</v>
      </c>
      <c r="H352" s="13">
        <v>5</v>
      </c>
      <c r="I352" t="s">
        <v>176</v>
      </c>
      <c r="J352" t="s">
        <v>177</v>
      </c>
      <c r="K352">
        <v>26.9</v>
      </c>
      <c r="L352" t="s">
        <v>181</v>
      </c>
    </row>
    <row r="353" spans="1:12" ht="15" customHeight="1" x14ac:dyDescent="0.35">
      <c r="A353" t="s">
        <v>12</v>
      </c>
      <c r="B353" t="s">
        <v>30</v>
      </c>
      <c r="C353" t="s">
        <v>14</v>
      </c>
      <c r="D353" t="s">
        <v>21</v>
      </c>
      <c r="E353" t="s">
        <v>14</v>
      </c>
      <c r="F353" t="s">
        <v>85</v>
      </c>
      <c r="G353" s="12">
        <v>46419</v>
      </c>
      <c r="H353" s="13">
        <v>25</v>
      </c>
      <c r="I353" t="s">
        <v>186</v>
      </c>
      <c r="J353" t="s">
        <v>177</v>
      </c>
      <c r="K353">
        <v>54.5</v>
      </c>
      <c r="L353" t="s">
        <v>178</v>
      </c>
    </row>
    <row r="354" spans="1:12" ht="15" customHeight="1" x14ac:dyDescent="0.35">
      <c r="A354" t="s">
        <v>12</v>
      </c>
      <c r="B354" t="s">
        <v>30</v>
      </c>
      <c r="C354" t="s">
        <v>14</v>
      </c>
      <c r="D354" t="s">
        <v>131</v>
      </c>
      <c r="E354" t="s">
        <v>14</v>
      </c>
      <c r="F354" t="s">
        <v>100</v>
      </c>
      <c r="G354" s="12">
        <v>46419</v>
      </c>
      <c r="H354" s="13">
        <v>25</v>
      </c>
      <c r="I354" t="s">
        <v>186</v>
      </c>
      <c r="J354" t="s">
        <v>177</v>
      </c>
      <c r="K354">
        <v>25</v>
      </c>
      <c r="L354" t="s">
        <v>178</v>
      </c>
    </row>
    <row r="355" spans="1:12" ht="15" customHeight="1" x14ac:dyDescent="0.35">
      <c r="A355" t="s">
        <v>12</v>
      </c>
      <c r="B355" t="s">
        <v>18</v>
      </c>
      <c r="C355" t="s">
        <v>16</v>
      </c>
      <c r="D355" t="s">
        <v>75</v>
      </c>
      <c r="E355" t="s">
        <v>16</v>
      </c>
      <c r="F355" t="s">
        <v>79</v>
      </c>
      <c r="G355" s="12">
        <v>46419</v>
      </c>
      <c r="H355" s="13">
        <v>1.4035089999999999</v>
      </c>
      <c r="I355" t="s">
        <v>176</v>
      </c>
      <c r="J355" t="s">
        <v>177</v>
      </c>
      <c r="K355">
        <v>38.907018000000001</v>
      </c>
      <c r="L355" t="s">
        <v>178</v>
      </c>
    </row>
    <row r="356" spans="1:12" ht="15" customHeight="1" x14ac:dyDescent="0.35">
      <c r="A356" t="s">
        <v>12</v>
      </c>
      <c r="B356" t="s">
        <v>18</v>
      </c>
      <c r="C356" t="s">
        <v>16</v>
      </c>
      <c r="D356" t="s">
        <v>75</v>
      </c>
      <c r="E356" t="s">
        <v>16</v>
      </c>
      <c r="F356" t="s">
        <v>81</v>
      </c>
      <c r="G356" s="12">
        <v>46419</v>
      </c>
      <c r="H356" s="13">
        <v>0.6</v>
      </c>
      <c r="I356" t="s">
        <v>176</v>
      </c>
      <c r="J356" t="s">
        <v>177</v>
      </c>
      <c r="K356">
        <v>37.503509000000001</v>
      </c>
      <c r="L356" t="s">
        <v>178</v>
      </c>
    </row>
    <row r="357" spans="1:12" ht="15" customHeight="1" x14ac:dyDescent="0.35">
      <c r="A357" t="s">
        <v>12</v>
      </c>
      <c r="B357" t="s">
        <v>138</v>
      </c>
      <c r="C357" t="s">
        <v>14</v>
      </c>
      <c r="D357" t="s">
        <v>146</v>
      </c>
      <c r="E357" t="s">
        <v>14</v>
      </c>
      <c r="F357" t="s">
        <v>81</v>
      </c>
      <c r="G357" s="12">
        <v>46419</v>
      </c>
      <c r="H357" s="13">
        <v>15</v>
      </c>
      <c r="I357" t="s">
        <v>185</v>
      </c>
      <c r="J357" t="s">
        <v>177</v>
      </c>
      <c r="K357">
        <v>47.4</v>
      </c>
      <c r="L357" t="s">
        <v>181</v>
      </c>
    </row>
    <row r="358" spans="1:12" ht="15" customHeight="1" x14ac:dyDescent="0.35">
      <c r="A358" t="s">
        <v>12</v>
      </c>
      <c r="B358" t="s">
        <v>138</v>
      </c>
      <c r="C358" t="s">
        <v>14</v>
      </c>
      <c r="D358" t="s">
        <v>155</v>
      </c>
      <c r="E358" t="s">
        <v>14</v>
      </c>
      <c r="F358" t="s">
        <v>100</v>
      </c>
      <c r="G358" s="12">
        <v>46419</v>
      </c>
      <c r="H358" s="13">
        <v>15.1</v>
      </c>
      <c r="I358" t="s">
        <v>185</v>
      </c>
      <c r="J358" t="s">
        <v>177</v>
      </c>
      <c r="K358">
        <v>55</v>
      </c>
      <c r="L358" t="s">
        <v>181</v>
      </c>
    </row>
    <row r="359" spans="1:12" ht="15" customHeight="1" x14ac:dyDescent="0.35">
      <c r="A359" t="s">
        <v>12</v>
      </c>
      <c r="B359" t="s">
        <v>138</v>
      </c>
      <c r="C359" t="s">
        <v>14</v>
      </c>
      <c r="D359" t="s">
        <v>156</v>
      </c>
      <c r="E359" t="s">
        <v>14</v>
      </c>
      <c r="F359" t="s">
        <v>100</v>
      </c>
      <c r="G359" s="12">
        <v>46419</v>
      </c>
      <c r="H359" s="13">
        <v>9.9</v>
      </c>
      <c r="I359" t="s">
        <v>185</v>
      </c>
      <c r="J359" t="s">
        <v>180</v>
      </c>
      <c r="K359">
        <v>9.9</v>
      </c>
      <c r="L359" t="s">
        <v>181</v>
      </c>
    </row>
    <row r="360" spans="1:12" ht="15" customHeight="1" x14ac:dyDescent="0.35">
      <c r="A360" t="s">
        <v>12</v>
      </c>
      <c r="B360" t="s">
        <v>104</v>
      </c>
      <c r="C360" t="s">
        <v>16</v>
      </c>
      <c r="D360" t="s">
        <v>90</v>
      </c>
      <c r="E360" t="s">
        <v>16</v>
      </c>
      <c r="F360" t="s">
        <v>105</v>
      </c>
      <c r="G360" s="12">
        <v>46419</v>
      </c>
      <c r="H360" s="13">
        <v>4</v>
      </c>
      <c r="I360" t="s">
        <v>182</v>
      </c>
      <c r="J360" t="s">
        <v>180</v>
      </c>
      <c r="K360">
        <v>42</v>
      </c>
      <c r="L360" t="s">
        <v>178</v>
      </c>
    </row>
    <row r="361" spans="1:12" ht="15" customHeight="1" x14ac:dyDescent="0.35">
      <c r="A361" t="s">
        <v>12</v>
      </c>
      <c r="B361" t="s">
        <v>104</v>
      </c>
      <c r="C361" t="s">
        <v>10</v>
      </c>
      <c r="D361" t="s">
        <v>117</v>
      </c>
      <c r="E361" t="s">
        <v>10</v>
      </c>
      <c r="F361" t="s">
        <v>105</v>
      </c>
      <c r="G361" s="12">
        <v>46419</v>
      </c>
      <c r="H361" s="13">
        <v>16</v>
      </c>
      <c r="I361" t="s">
        <v>182</v>
      </c>
      <c r="J361" t="s">
        <v>180</v>
      </c>
      <c r="K361">
        <v>54</v>
      </c>
      <c r="L361" t="s">
        <v>178</v>
      </c>
    </row>
    <row r="362" spans="1:12" ht="15" customHeight="1" x14ac:dyDescent="0.35">
      <c r="A362" t="s">
        <v>12</v>
      </c>
      <c r="B362" t="s">
        <v>104</v>
      </c>
      <c r="C362" t="s">
        <v>14</v>
      </c>
      <c r="D362" t="s">
        <v>156</v>
      </c>
      <c r="E362" t="s">
        <v>14</v>
      </c>
      <c r="F362" t="s">
        <v>105</v>
      </c>
      <c r="G362" s="12">
        <v>46419</v>
      </c>
      <c r="H362" s="13">
        <v>32.1</v>
      </c>
      <c r="I362" t="s">
        <v>185</v>
      </c>
      <c r="J362" t="s">
        <v>180</v>
      </c>
      <c r="K362">
        <v>55</v>
      </c>
      <c r="L362" t="s">
        <v>181</v>
      </c>
    </row>
    <row r="363" spans="1:12" ht="15" customHeight="1" x14ac:dyDescent="0.35">
      <c r="A363" t="s">
        <v>12</v>
      </c>
      <c r="B363" t="s">
        <v>104</v>
      </c>
      <c r="C363" t="s">
        <v>14</v>
      </c>
      <c r="D363" t="s">
        <v>157</v>
      </c>
      <c r="E363" t="s">
        <v>14</v>
      </c>
      <c r="F363" t="s">
        <v>105</v>
      </c>
      <c r="G363" s="12">
        <v>46419</v>
      </c>
      <c r="H363" s="13">
        <v>7.9</v>
      </c>
      <c r="I363" t="s">
        <v>185</v>
      </c>
      <c r="J363" t="s">
        <v>180</v>
      </c>
      <c r="K363">
        <v>7.9</v>
      </c>
      <c r="L363" t="s">
        <v>181</v>
      </c>
    </row>
    <row r="364" spans="1:12" ht="15" customHeight="1" x14ac:dyDescent="0.35">
      <c r="A364" t="s">
        <v>12</v>
      </c>
      <c r="B364" t="s">
        <v>135</v>
      </c>
      <c r="C364" t="s">
        <v>14</v>
      </c>
      <c r="D364" t="s">
        <v>154</v>
      </c>
      <c r="E364" t="s">
        <v>14</v>
      </c>
      <c r="F364" t="s">
        <v>43</v>
      </c>
      <c r="G364" s="12">
        <v>46419</v>
      </c>
      <c r="H364" s="13">
        <v>13.1</v>
      </c>
      <c r="I364" t="s">
        <v>185</v>
      </c>
      <c r="J364" t="s">
        <v>180</v>
      </c>
      <c r="K364">
        <v>55</v>
      </c>
      <c r="L364" t="s">
        <v>181</v>
      </c>
    </row>
    <row r="365" spans="1:12" ht="15" customHeight="1" x14ac:dyDescent="0.35">
      <c r="A365" t="s">
        <v>12</v>
      </c>
      <c r="B365" t="s">
        <v>135</v>
      </c>
      <c r="C365" t="s">
        <v>14</v>
      </c>
      <c r="D365" t="s">
        <v>155</v>
      </c>
      <c r="E365" t="s">
        <v>14</v>
      </c>
      <c r="F365" t="s">
        <v>43</v>
      </c>
      <c r="G365" s="12">
        <v>46419</v>
      </c>
      <c r="H365" s="13">
        <v>22.9</v>
      </c>
      <c r="I365" t="s">
        <v>185</v>
      </c>
      <c r="J365" t="s">
        <v>180</v>
      </c>
      <c r="K365">
        <v>22.9</v>
      </c>
      <c r="L365" t="s">
        <v>181</v>
      </c>
    </row>
    <row r="366" spans="1:12" ht="15" customHeight="1" x14ac:dyDescent="0.35">
      <c r="A366" t="s">
        <v>12</v>
      </c>
      <c r="B366" t="s">
        <v>130</v>
      </c>
      <c r="C366" t="s">
        <v>14</v>
      </c>
      <c r="D366" t="s">
        <v>148</v>
      </c>
      <c r="E366" t="s">
        <v>14</v>
      </c>
      <c r="F366" t="s">
        <v>85</v>
      </c>
      <c r="G366" s="12">
        <v>46419</v>
      </c>
      <c r="H366" s="13">
        <v>17.100000000000001</v>
      </c>
      <c r="I366" t="s">
        <v>185</v>
      </c>
      <c r="J366" t="s">
        <v>177</v>
      </c>
      <c r="K366">
        <v>55</v>
      </c>
      <c r="L366" t="s">
        <v>181</v>
      </c>
    </row>
    <row r="367" spans="1:12" ht="15" customHeight="1" x14ac:dyDescent="0.35">
      <c r="A367" t="s">
        <v>12</v>
      </c>
      <c r="B367" t="s">
        <v>130</v>
      </c>
      <c r="C367" t="s">
        <v>14</v>
      </c>
      <c r="D367" t="s">
        <v>149</v>
      </c>
      <c r="E367" t="s">
        <v>14</v>
      </c>
      <c r="F367" t="s">
        <v>85</v>
      </c>
      <c r="G367" s="12">
        <v>46419</v>
      </c>
      <c r="H367" s="13">
        <v>8.9</v>
      </c>
      <c r="I367" t="s">
        <v>185</v>
      </c>
      <c r="J367" t="s">
        <v>180</v>
      </c>
      <c r="K367">
        <v>8.9</v>
      </c>
      <c r="L367" t="s">
        <v>181</v>
      </c>
    </row>
    <row r="368" spans="1:12" ht="15" customHeight="1" x14ac:dyDescent="0.35">
      <c r="A368" t="s">
        <v>12</v>
      </c>
      <c r="B368" t="s">
        <v>139</v>
      </c>
      <c r="C368" t="s">
        <v>14</v>
      </c>
      <c r="D368" t="s">
        <v>146</v>
      </c>
      <c r="E368" t="s">
        <v>14</v>
      </c>
      <c r="F368" t="s">
        <v>95</v>
      </c>
      <c r="G368" s="12">
        <v>46419</v>
      </c>
      <c r="H368" s="13">
        <v>7.6</v>
      </c>
      <c r="I368" t="s">
        <v>185</v>
      </c>
      <c r="J368" t="s">
        <v>177</v>
      </c>
      <c r="K368">
        <v>55</v>
      </c>
      <c r="L368" t="s">
        <v>181</v>
      </c>
    </row>
    <row r="369" spans="1:12" ht="15" customHeight="1" x14ac:dyDescent="0.35">
      <c r="A369" t="s">
        <v>12</v>
      </c>
      <c r="B369" t="s">
        <v>139</v>
      </c>
      <c r="C369" t="s">
        <v>14</v>
      </c>
      <c r="D369" t="s">
        <v>147</v>
      </c>
      <c r="E369" t="s">
        <v>14</v>
      </c>
      <c r="F369" t="s">
        <v>95</v>
      </c>
      <c r="G369" s="12">
        <v>46419</v>
      </c>
      <c r="H369" s="13">
        <v>8</v>
      </c>
      <c r="I369" t="s">
        <v>185</v>
      </c>
      <c r="J369" t="s">
        <v>177</v>
      </c>
      <c r="K369">
        <v>55</v>
      </c>
      <c r="L369" t="s">
        <v>181</v>
      </c>
    </row>
    <row r="370" spans="1:12" ht="15" customHeight="1" x14ac:dyDescent="0.35">
      <c r="A370" t="s">
        <v>12</v>
      </c>
      <c r="B370" t="s">
        <v>139</v>
      </c>
      <c r="C370" t="s">
        <v>14</v>
      </c>
      <c r="D370" t="s">
        <v>148</v>
      </c>
      <c r="E370" t="s">
        <v>14</v>
      </c>
      <c r="F370" t="s">
        <v>95</v>
      </c>
      <c r="G370" s="12">
        <v>46419</v>
      </c>
      <c r="H370" s="13">
        <v>14.4</v>
      </c>
      <c r="I370" t="s">
        <v>185</v>
      </c>
      <c r="J370" t="s">
        <v>180</v>
      </c>
      <c r="K370">
        <v>14.4</v>
      </c>
      <c r="L370" t="s">
        <v>181</v>
      </c>
    </row>
    <row r="371" spans="1:12" ht="15" customHeight="1" x14ac:dyDescent="0.35">
      <c r="A371" t="s">
        <v>12</v>
      </c>
      <c r="B371" t="s">
        <v>139</v>
      </c>
      <c r="C371" t="s">
        <v>14</v>
      </c>
      <c r="D371" t="s">
        <v>153</v>
      </c>
      <c r="E371" t="s">
        <v>14</v>
      </c>
      <c r="F371" t="s">
        <v>99</v>
      </c>
      <c r="G371" s="12">
        <v>46419</v>
      </c>
      <c r="H371" s="13">
        <v>23</v>
      </c>
      <c r="I371" t="s">
        <v>185</v>
      </c>
      <c r="J371" t="s">
        <v>177</v>
      </c>
      <c r="K371">
        <v>31.9</v>
      </c>
      <c r="L371" t="s">
        <v>181</v>
      </c>
    </row>
    <row r="372" spans="1:12" ht="15" customHeight="1" x14ac:dyDescent="0.35">
      <c r="A372" t="s">
        <v>12</v>
      </c>
      <c r="B372" t="s">
        <v>139</v>
      </c>
      <c r="C372" t="s">
        <v>14</v>
      </c>
      <c r="D372" t="s">
        <v>156</v>
      </c>
      <c r="E372" t="s">
        <v>14</v>
      </c>
      <c r="F372" t="s">
        <v>100</v>
      </c>
      <c r="G372" s="12">
        <v>46419</v>
      </c>
      <c r="H372" s="13">
        <v>13</v>
      </c>
      <c r="I372" t="s">
        <v>185</v>
      </c>
      <c r="J372" t="s">
        <v>177</v>
      </c>
      <c r="K372">
        <v>22.9</v>
      </c>
      <c r="L372" t="s">
        <v>181</v>
      </c>
    </row>
    <row r="373" spans="1:12" ht="15" customHeight="1" x14ac:dyDescent="0.35">
      <c r="A373" t="s">
        <v>12</v>
      </c>
      <c r="B373" t="s">
        <v>134</v>
      </c>
      <c r="C373" t="s">
        <v>14</v>
      </c>
      <c r="D373" t="s">
        <v>153</v>
      </c>
      <c r="E373" t="s">
        <v>14</v>
      </c>
      <c r="F373" t="s">
        <v>99</v>
      </c>
      <c r="G373" s="12">
        <v>46419</v>
      </c>
      <c r="H373" s="13">
        <v>23.1</v>
      </c>
      <c r="I373" t="s">
        <v>185</v>
      </c>
      <c r="J373" t="s">
        <v>177</v>
      </c>
      <c r="K373">
        <v>55</v>
      </c>
      <c r="L373" t="s">
        <v>181</v>
      </c>
    </row>
    <row r="374" spans="1:12" ht="15" customHeight="1" x14ac:dyDescent="0.35">
      <c r="A374" t="s">
        <v>12</v>
      </c>
      <c r="B374" t="s">
        <v>134</v>
      </c>
      <c r="C374" t="s">
        <v>14</v>
      </c>
      <c r="D374" t="s">
        <v>154</v>
      </c>
      <c r="E374" t="s">
        <v>14</v>
      </c>
      <c r="F374" t="s">
        <v>99</v>
      </c>
      <c r="G374" s="12">
        <v>46419</v>
      </c>
      <c r="H374" s="13">
        <v>41.9</v>
      </c>
      <c r="I374" t="s">
        <v>185</v>
      </c>
      <c r="J374" t="s">
        <v>180</v>
      </c>
      <c r="K374">
        <v>41.9</v>
      </c>
      <c r="L374" t="s">
        <v>181</v>
      </c>
    </row>
    <row r="375" spans="1:12" ht="15" customHeight="1" x14ac:dyDescent="0.35">
      <c r="A375" t="s">
        <v>12</v>
      </c>
      <c r="B375" t="s">
        <v>133</v>
      </c>
      <c r="C375" t="s">
        <v>14</v>
      </c>
      <c r="D375" t="s">
        <v>152</v>
      </c>
      <c r="E375" t="s">
        <v>14</v>
      </c>
      <c r="F375" t="s">
        <v>46</v>
      </c>
      <c r="G375" s="12">
        <v>46419</v>
      </c>
      <c r="H375" s="13">
        <v>34</v>
      </c>
      <c r="I375" t="s">
        <v>184</v>
      </c>
      <c r="J375" t="s">
        <v>177</v>
      </c>
      <c r="K375">
        <v>54.9</v>
      </c>
      <c r="L375" t="s">
        <v>181</v>
      </c>
    </row>
    <row r="376" spans="1:12" ht="15" customHeight="1" x14ac:dyDescent="0.35">
      <c r="A376" t="s">
        <v>12</v>
      </c>
      <c r="B376" t="s">
        <v>128</v>
      </c>
      <c r="C376" t="s">
        <v>14</v>
      </c>
      <c r="D376" t="s">
        <v>146</v>
      </c>
      <c r="E376" t="s">
        <v>14</v>
      </c>
      <c r="F376" t="s">
        <v>108</v>
      </c>
      <c r="G376" s="12">
        <v>46419</v>
      </c>
      <c r="H376" s="13">
        <v>26.5</v>
      </c>
      <c r="I376" t="s">
        <v>185</v>
      </c>
      <c r="J376" t="s">
        <v>177</v>
      </c>
      <c r="K376">
        <v>26.5</v>
      </c>
      <c r="L376" t="s">
        <v>181</v>
      </c>
    </row>
    <row r="377" spans="1:12" ht="15" customHeight="1" x14ac:dyDescent="0.35">
      <c r="A377" t="s">
        <v>12</v>
      </c>
      <c r="B377" t="s">
        <v>129</v>
      </c>
      <c r="C377" t="s">
        <v>14</v>
      </c>
      <c r="D377" t="s">
        <v>147</v>
      </c>
      <c r="E377" t="s">
        <v>14</v>
      </c>
      <c r="F377" t="s">
        <v>102</v>
      </c>
      <c r="G377" s="12">
        <v>46419</v>
      </c>
      <c r="H377" s="13">
        <v>47</v>
      </c>
      <c r="I377" t="s">
        <v>185</v>
      </c>
      <c r="J377" t="s">
        <v>177</v>
      </c>
      <c r="K377">
        <v>47</v>
      </c>
      <c r="L377" t="s">
        <v>181</v>
      </c>
    </row>
    <row r="378" spans="1:12" ht="15" customHeight="1" x14ac:dyDescent="0.35">
      <c r="A378" t="s">
        <v>12</v>
      </c>
      <c r="B378" t="s">
        <v>131</v>
      </c>
      <c r="C378" t="s">
        <v>14</v>
      </c>
      <c r="D378" t="s">
        <v>149</v>
      </c>
      <c r="E378" t="s">
        <v>14</v>
      </c>
      <c r="F378" t="s">
        <v>103</v>
      </c>
      <c r="G378" s="12">
        <v>46419</v>
      </c>
      <c r="H378" s="13">
        <v>15</v>
      </c>
      <c r="I378" t="s">
        <v>185</v>
      </c>
      <c r="J378" t="s">
        <v>177</v>
      </c>
      <c r="K378">
        <v>23.9</v>
      </c>
      <c r="L378" t="s">
        <v>181</v>
      </c>
    </row>
    <row r="379" spans="1:12" ht="15" customHeight="1" x14ac:dyDescent="0.35">
      <c r="A379" t="s">
        <v>12</v>
      </c>
      <c r="B379" t="s">
        <v>131</v>
      </c>
      <c r="C379" t="s">
        <v>14</v>
      </c>
      <c r="D379" t="s">
        <v>150</v>
      </c>
      <c r="E379" t="s">
        <v>14</v>
      </c>
      <c r="F379" t="s">
        <v>103</v>
      </c>
      <c r="G379" s="12">
        <v>46419</v>
      </c>
      <c r="H379" s="13">
        <v>50</v>
      </c>
      <c r="I379" t="s">
        <v>185</v>
      </c>
      <c r="J379" t="s">
        <v>177</v>
      </c>
      <c r="K379">
        <v>55</v>
      </c>
      <c r="L379" t="s">
        <v>181</v>
      </c>
    </row>
    <row r="380" spans="1:12" ht="15" customHeight="1" x14ac:dyDescent="0.35">
      <c r="A380" t="s">
        <v>12</v>
      </c>
      <c r="B380" t="s">
        <v>132</v>
      </c>
      <c r="C380" t="s">
        <v>14</v>
      </c>
      <c r="D380" t="s">
        <v>149</v>
      </c>
      <c r="E380" t="s">
        <v>14</v>
      </c>
      <c r="F380" t="s">
        <v>103</v>
      </c>
      <c r="G380" s="12">
        <v>46419</v>
      </c>
      <c r="H380" s="13">
        <v>31.1</v>
      </c>
      <c r="I380" t="s">
        <v>185</v>
      </c>
      <c r="J380" t="s">
        <v>177</v>
      </c>
      <c r="K380">
        <v>55</v>
      </c>
      <c r="L380" t="s">
        <v>181</v>
      </c>
    </row>
    <row r="381" spans="1:12" ht="15" customHeight="1" x14ac:dyDescent="0.35">
      <c r="A381" t="s">
        <v>12</v>
      </c>
      <c r="B381" t="s">
        <v>132</v>
      </c>
      <c r="C381" t="s">
        <v>14</v>
      </c>
      <c r="D381" t="s">
        <v>151</v>
      </c>
      <c r="E381" t="s">
        <v>14</v>
      </c>
      <c r="F381" t="s">
        <v>103</v>
      </c>
      <c r="G381" s="12">
        <v>46419</v>
      </c>
      <c r="H381" s="13">
        <v>33.9</v>
      </c>
      <c r="I381" t="s">
        <v>185</v>
      </c>
      <c r="J381" t="s">
        <v>180</v>
      </c>
      <c r="K381">
        <v>33.9</v>
      </c>
      <c r="L381" t="s">
        <v>181</v>
      </c>
    </row>
    <row r="382" spans="1:12" ht="15" customHeight="1" x14ac:dyDescent="0.35">
      <c r="A382" t="s">
        <v>12</v>
      </c>
      <c r="B382" t="s">
        <v>136</v>
      </c>
      <c r="C382" t="s">
        <v>14</v>
      </c>
      <c r="D382" t="s">
        <v>155</v>
      </c>
      <c r="E382" t="s">
        <v>14</v>
      </c>
      <c r="F382" t="s">
        <v>43</v>
      </c>
      <c r="G382" s="12">
        <v>46419</v>
      </c>
      <c r="H382" s="13">
        <v>10</v>
      </c>
      <c r="I382" t="s">
        <v>185</v>
      </c>
      <c r="J382" t="s">
        <v>177</v>
      </c>
      <c r="K382">
        <v>32.9</v>
      </c>
      <c r="L382" t="s">
        <v>181</v>
      </c>
    </row>
    <row r="383" spans="1:12" ht="15" customHeight="1" x14ac:dyDescent="0.35">
      <c r="A383" t="s">
        <v>29</v>
      </c>
      <c r="B383" t="s">
        <v>35</v>
      </c>
      <c r="C383" t="s">
        <v>10</v>
      </c>
      <c r="D383" t="s">
        <v>143</v>
      </c>
      <c r="E383" t="s">
        <v>10</v>
      </c>
      <c r="F383" t="s">
        <v>92</v>
      </c>
      <c r="G383" s="12">
        <v>46426</v>
      </c>
      <c r="H383" s="13">
        <v>5</v>
      </c>
      <c r="I383" t="s">
        <v>176</v>
      </c>
      <c r="J383" t="s">
        <v>177</v>
      </c>
      <c r="K383">
        <v>5</v>
      </c>
      <c r="L383" t="s">
        <v>181</v>
      </c>
    </row>
    <row r="384" spans="1:12" ht="15" customHeight="1" x14ac:dyDescent="0.35">
      <c r="A384" t="s">
        <v>29</v>
      </c>
      <c r="B384" t="s">
        <v>28</v>
      </c>
      <c r="C384" t="s">
        <v>10</v>
      </c>
      <c r="D384" t="s">
        <v>143</v>
      </c>
      <c r="E384" t="s">
        <v>10</v>
      </c>
      <c r="F384" t="s">
        <v>92</v>
      </c>
      <c r="G384" s="12">
        <v>46426</v>
      </c>
      <c r="H384" s="13">
        <v>5</v>
      </c>
      <c r="I384" t="s">
        <v>176</v>
      </c>
      <c r="J384" t="s">
        <v>177</v>
      </c>
      <c r="K384">
        <v>10</v>
      </c>
      <c r="L384" t="s">
        <v>181</v>
      </c>
    </row>
    <row r="385" spans="1:12" ht="15" customHeight="1" x14ac:dyDescent="0.35">
      <c r="A385" t="s">
        <v>12</v>
      </c>
      <c r="B385" t="s">
        <v>13</v>
      </c>
      <c r="C385" t="s">
        <v>14</v>
      </c>
      <c r="D385" t="s">
        <v>146</v>
      </c>
      <c r="E385" t="s">
        <v>14</v>
      </c>
      <c r="F385" t="s">
        <v>81</v>
      </c>
      <c r="G385" s="12">
        <v>46426</v>
      </c>
      <c r="H385" s="13">
        <v>11</v>
      </c>
      <c r="I385" t="s">
        <v>176</v>
      </c>
      <c r="J385" t="s">
        <v>177</v>
      </c>
      <c r="K385">
        <v>14.5</v>
      </c>
      <c r="L385" t="s">
        <v>181</v>
      </c>
    </row>
    <row r="386" spans="1:12" ht="15" customHeight="1" x14ac:dyDescent="0.35">
      <c r="A386" t="s">
        <v>12</v>
      </c>
      <c r="B386" t="s">
        <v>13</v>
      </c>
      <c r="C386" t="s">
        <v>14</v>
      </c>
      <c r="D386" t="s">
        <v>123</v>
      </c>
      <c r="E386" t="s">
        <v>14</v>
      </c>
      <c r="F386" t="s">
        <v>81</v>
      </c>
      <c r="G386" s="12">
        <v>46426</v>
      </c>
      <c r="H386" s="13">
        <v>2</v>
      </c>
      <c r="I386" t="s">
        <v>176</v>
      </c>
      <c r="J386" t="s">
        <v>177</v>
      </c>
      <c r="K386">
        <v>20</v>
      </c>
      <c r="L386" t="s">
        <v>178</v>
      </c>
    </row>
    <row r="387" spans="1:12" ht="15" customHeight="1" x14ac:dyDescent="0.35">
      <c r="A387" t="s">
        <v>12</v>
      </c>
      <c r="B387" t="s">
        <v>13</v>
      </c>
      <c r="C387" t="s">
        <v>14</v>
      </c>
      <c r="D387" t="s">
        <v>159</v>
      </c>
      <c r="E387" t="s">
        <v>14</v>
      </c>
      <c r="F387" t="s">
        <v>81</v>
      </c>
      <c r="G387" s="12">
        <v>46426</v>
      </c>
      <c r="H387" s="13">
        <v>6</v>
      </c>
      <c r="I387" t="s">
        <v>179</v>
      </c>
      <c r="J387" t="s">
        <v>177</v>
      </c>
      <c r="K387">
        <v>6</v>
      </c>
      <c r="L387" t="s">
        <v>181</v>
      </c>
    </row>
    <row r="388" spans="1:12" ht="15" customHeight="1" x14ac:dyDescent="0.35">
      <c r="A388" t="s">
        <v>12</v>
      </c>
      <c r="B388" t="s">
        <v>13</v>
      </c>
      <c r="C388" t="s">
        <v>14</v>
      </c>
      <c r="D388" t="s">
        <v>26</v>
      </c>
      <c r="E388" t="s">
        <v>14</v>
      </c>
      <c r="F388" t="s">
        <v>40</v>
      </c>
      <c r="G388" s="12">
        <v>46426</v>
      </c>
      <c r="H388" s="13">
        <v>16</v>
      </c>
      <c r="I388" t="s">
        <v>176</v>
      </c>
      <c r="J388" t="s">
        <v>177</v>
      </c>
      <c r="K388">
        <v>55</v>
      </c>
      <c r="L388" t="s">
        <v>178</v>
      </c>
    </row>
    <row r="389" spans="1:12" ht="15" customHeight="1" x14ac:dyDescent="0.35">
      <c r="A389" t="s">
        <v>12</v>
      </c>
      <c r="B389" t="s">
        <v>13</v>
      </c>
      <c r="C389" t="s">
        <v>14</v>
      </c>
      <c r="D389" t="s">
        <v>127</v>
      </c>
      <c r="E389" t="s">
        <v>14</v>
      </c>
      <c r="F389" t="s">
        <v>40</v>
      </c>
      <c r="G389" s="12">
        <v>46426</v>
      </c>
      <c r="H389" s="13">
        <v>14</v>
      </c>
      <c r="I389" t="s">
        <v>176</v>
      </c>
      <c r="J389" t="s">
        <v>177</v>
      </c>
      <c r="K389">
        <v>14</v>
      </c>
      <c r="L389" t="s">
        <v>178</v>
      </c>
    </row>
    <row r="390" spans="1:12" ht="15" customHeight="1" x14ac:dyDescent="0.35">
      <c r="A390" t="s">
        <v>12</v>
      </c>
      <c r="B390" t="s">
        <v>13</v>
      </c>
      <c r="C390" t="s">
        <v>14</v>
      </c>
      <c r="D390" t="s">
        <v>27</v>
      </c>
      <c r="E390" t="s">
        <v>14</v>
      </c>
      <c r="F390" t="s">
        <v>99</v>
      </c>
      <c r="G390" s="12">
        <v>46426</v>
      </c>
      <c r="H390" s="13">
        <v>7</v>
      </c>
      <c r="I390" t="s">
        <v>176</v>
      </c>
      <c r="J390" t="s">
        <v>177</v>
      </c>
      <c r="K390">
        <v>55</v>
      </c>
      <c r="L390" t="s">
        <v>178</v>
      </c>
    </row>
    <row r="391" spans="1:12" ht="15" customHeight="1" x14ac:dyDescent="0.35">
      <c r="A391" t="s">
        <v>12</v>
      </c>
      <c r="B391" t="s">
        <v>13</v>
      </c>
      <c r="C391" t="s">
        <v>14</v>
      </c>
      <c r="D391" t="s">
        <v>139</v>
      </c>
      <c r="E391" t="s">
        <v>14</v>
      </c>
      <c r="F391" t="s">
        <v>99</v>
      </c>
      <c r="G391" s="12">
        <v>46426</v>
      </c>
      <c r="H391" s="13">
        <v>3.5</v>
      </c>
      <c r="I391" t="s">
        <v>176</v>
      </c>
      <c r="J391" t="s">
        <v>177</v>
      </c>
      <c r="K391">
        <v>3.5</v>
      </c>
      <c r="L391" t="s">
        <v>178</v>
      </c>
    </row>
    <row r="392" spans="1:12" ht="15" customHeight="1" x14ac:dyDescent="0.35">
      <c r="A392" t="s">
        <v>12</v>
      </c>
      <c r="B392" t="s">
        <v>13</v>
      </c>
      <c r="C392" t="s">
        <v>14</v>
      </c>
      <c r="D392" t="s">
        <v>21</v>
      </c>
      <c r="E392" t="s">
        <v>14</v>
      </c>
      <c r="F392" t="s">
        <v>43</v>
      </c>
      <c r="G392" s="12">
        <v>46426</v>
      </c>
      <c r="H392" s="13">
        <v>9.5</v>
      </c>
      <c r="I392" t="s">
        <v>176</v>
      </c>
      <c r="J392" t="s">
        <v>177</v>
      </c>
      <c r="K392">
        <v>55</v>
      </c>
      <c r="L392" t="s">
        <v>178</v>
      </c>
    </row>
    <row r="393" spans="1:12" ht="15" customHeight="1" x14ac:dyDescent="0.35">
      <c r="A393" t="s">
        <v>12</v>
      </c>
      <c r="B393" t="s">
        <v>13</v>
      </c>
      <c r="C393" t="s">
        <v>14</v>
      </c>
      <c r="D393" t="s">
        <v>135</v>
      </c>
      <c r="E393" t="s">
        <v>14</v>
      </c>
      <c r="F393" t="s">
        <v>43</v>
      </c>
      <c r="G393" s="12">
        <v>46426</v>
      </c>
      <c r="H393" s="13">
        <v>1.5</v>
      </c>
      <c r="I393" t="s">
        <v>176</v>
      </c>
      <c r="J393" t="s">
        <v>177</v>
      </c>
      <c r="K393">
        <v>1.5</v>
      </c>
      <c r="L393" t="s">
        <v>178</v>
      </c>
    </row>
    <row r="394" spans="1:12" ht="15" customHeight="1" x14ac:dyDescent="0.35">
      <c r="A394" t="s">
        <v>12</v>
      </c>
      <c r="B394" t="s">
        <v>9</v>
      </c>
      <c r="C394" t="s">
        <v>10</v>
      </c>
      <c r="D394" t="s">
        <v>117</v>
      </c>
      <c r="E394" t="s">
        <v>10</v>
      </c>
      <c r="F394" t="s">
        <v>81</v>
      </c>
      <c r="G394" s="12">
        <v>46426</v>
      </c>
      <c r="H394" s="13">
        <v>24</v>
      </c>
      <c r="I394" t="s">
        <v>176</v>
      </c>
      <c r="J394" t="s">
        <v>180</v>
      </c>
      <c r="K394">
        <v>50.5</v>
      </c>
      <c r="L394" t="s">
        <v>178</v>
      </c>
    </row>
    <row r="395" spans="1:12" ht="15" customHeight="1" x14ac:dyDescent="0.35">
      <c r="A395" t="s">
        <v>12</v>
      </c>
      <c r="B395" t="s">
        <v>9</v>
      </c>
      <c r="C395" t="s">
        <v>10</v>
      </c>
      <c r="D395" t="s">
        <v>36</v>
      </c>
      <c r="E395" t="s">
        <v>10</v>
      </c>
      <c r="F395" t="s">
        <v>94</v>
      </c>
      <c r="G395" s="12">
        <v>46426</v>
      </c>
      <c r="H395" s="13">
        <v>9.5</v>
      </c>
      <c r="I395" t="s">
        <v>176</v>
      </c>
      <c r="J395" t="s">
        <v>180</v>
      </c>
      <c r="K395">
        <v>55</v>
      </c>
      <c r="L395" t="s">
        <v>178</v>
      </c>
    </row>
    <row r="396" spans="1:12" ht="15" customHeight="1" x14ac:dyDescent="0.35">
      <c r="A396" t="s">
        <v>12</v>
      </c>
      <c r="B396" t="s">
        <v>9</v>
      </c>
      <c r="C396" t="s">
        <v>10</v>
      </c>
      <c r="D396" t="s">
        <v>144</v>
      </c>
      <c r="E396" t="s">
        <v>10</v>
      </c>
      <c r="F396" t="s">
        <v>94</v>
      </c>
      <c r="G396" s="12">
        <v>46426</v>
      </c>
      <c r="H396" s="13">
        <v>22</v>
      </c>
      <c r="I396" t="s">
        <v>176</v>
      </c>
      <c r="J396" t="s">
        <v>180</v>
      </c>
      <c r="K396">
        <v>23.5</v>
      </c>
      <c r="L396" t="s">
        <v>181</v>
      </c>
    </row>
    <row r="397" spans="1:12" ht="15" customHeight="1" x14ac:dyDescent="0.35">
      <c r="A397" t="s">
        <v>12</v>
      </c>
      <c r="B397" t="s">
        <v>9</v>
      </c>
      <c r="C397" t="s">
        <v>10</v>
      </c>
      <c r="D397" t="s">
        <v>117</v>
      </c>
      <c r="E397" t="s">
        <v>10</v>
      </c>
      <c r="F397" t="s">
        <v>94</v>
      </c>
      <c r="G397" s="12">
        <v>46426</v>
      </c>
      <c r="H397" s="13">
        <v>4.5</v>
      </c>
      <c r="I397" t="s">
        <v>176</v>
      </c>
      <c r="J397" t="s">
        <v>180</v>
      </c>
      <c r="K397">
        <v>55</v>
      </c>
      <c r="L397" t="s">
        <v>178</v>
      </c>
    </row>
    <row r="398" spans="1:12" ht="15" customHeight="1" x14ac:dyDescent="0.35">
      <c r="A398" t="s">
        <v>12</v>
      </c>
      <c r="B398" t="s">
        <v>9</v>
      </c>
      <c r="C398" t="s">
        <v>10</v>
      </c>
      <c r="D398" t="s">
        <v>144</v>
      </c>
      <c r="E398" t="s">
        <v>10</v>
      </c>
      <c r="F398" t="s">
        <v>95</v>
      </c>
      <c r="G398" s="12">
        <v>46426</v>
      </c>
      <c r="H398" s="13">
        <v>12</v>
      </c>
      <c r="I398" t="s">
        <v>176</v>
      </c>
      <c r="J398" t="s">
        <v>180</v>
      </c>
      <c r="K398">
        <v>51.5</v>
      </c>
      <c r="L398" t="s">
        <v>181</v>
      </c>
    </row>
    <row r="399" spans="1:12" ht="15" customHeight="1" x14ac:dyDescent="0.35">
      <c r="A399" t="s">
        <v>12</v>
      </c>
      <c r="B399" t="s">
        <v>9</v>
      </c>
      <c r="C399" t="s">
        <v>10</v>
      </c>
      <c r="D399" t="s">
        <v>116</v>
      </c>
      <c r="E399" t="s">
        <v>10</v>
      </c>
      <c r="F399" t="s">
        <v>40</v>
      </c>
      <c r="G399" s="12">
        <v>46426</v>
      </c>
      <c r="H399" s="13">
        <v>1.5</v>
      </c>
      <c r="I399" t="s">
        <v>176</v>
      </c>
      <c r="J399" t="s">
        <v>177</v>
      </c>
      <c r="K399">
        <v>20</v>
      </c>
      <c r="L399" t="s">
        <v>178</v>
      </c>
    </row>
    <row r="400" spans="1:12" ht="15" customHeight="1" x14ac:dyDescent="0.35">
      <c r="A400" t="s">
        <v>12</v>
      </c>
      <c r="B400" t="s">
        <v>9</v>
      </c>
      <c r="C400" t="s">
        <v>10</v>
      </c>
      <c r="D400" t="s">
        <v>116</v>
      </c>
      <c r="E400" t="s">
        <v>10</v>
      </c>
      <c r="F400" t="s">
        <v>96</v>
      </c>
      <c r="G400" s="12">
        <v>46426</v>
      </c>
      <c r="H400" s="13">
        <v>14</v>
      </c>
      <c r="I400" t="s">
        <v>176</v>
      </c>
      <c r="J400" t="s">
        <v>177</v>
      </c>
      <c r="K400">
        <v>55</v>
      </c>
      <c r="L400" t="s">
        <v>178</v>
      </c>
    </row>
    <row r="401" spans="1:12" ht="15" customHeight="1" x14ac:dyDescent="0.35">
      <c r="A401" t="s">
        <v>12</v>
      </c>
      <c r="B401" t="s">
        <v>9</v>
      </c>
      <c r="C401" t="s">
        <v>10</v>
      </c>
      <c r="D401" t="s">
        <v>117</v>
      </c>
      <c r="E401" t="s">
        <v>10</v>
      </c>
      <c r="F401" t="s">
        <v>96</v>
      </c>
      <c r="G401" s="12">
        <v>46426</v>
      </c>
      <c r="H401" s="13">
        <v>7.5</v>
      </c>
      <c r="I401" t="s">
        <v>176</v>
      </c>
      <c r="J401" t="s">
        <v>180</v>
      </c>
      <c r="K401">
        <v>7.5</v>
      </c>
      <c r="L401" t="s">
        <v>178</v>
      </c>
    </row>
    <row r="402" spans="1:12" ht="15" customHeight="1" x14ac:dyDescent="0.35">
      <c r="A402" t="s">
        <v>12</v>
      </c>
      <c r="B402" t="s">
        <v>9</v>
      </c>
      <c r="C402" t="s">
        <v>10</v>
      </c>
      <c r="D402" t="s">
        <v>116</v>
      </c>
      <c r="E402" t="s">
        <v>10</v>
      </c>
      <c r="F402" t="s">
        <v>99</v>
      </c>
      <c r="G402" s="12">
        <v>46426</v>
      </c>
      <c r="H402" s="13">
        <v>15</v>
      </c>
      <c r="I402" t="s">
        <v>176</v>
      </c>
      <c r="J402" t="s">
        <v>177</v>
      </c>
      <c r="K402">
        <v>41</v>
      </c>
      <c r="L402" t="s">
        <v>178</v>
      </c>
    </row>
    <row r="403" spans="1:12" ht="15" customHeight="1" x14ac:dyDescent="0.35">
      <c r="A403" t="s">
        <v>12</v>
      </c>
      <c r="B403" t="s">
        <v>9</v>
      </c>
      <c r="C403" t="s">
        <v>10</v>
      </c>
      <c r="D403" t="s">
        <v>116</v>
      </c>
      <c r="E403" t="s">
        <v>10</v>
      </c>
      <c r="F403" t="s">
        <v>43</v>
      </c>
      <c r="G403" s="12">
        <v>46426</v>
      </c>
      <c r="H403" s="13">
        <v>6</v>
      </c>
      <c r="I403" t="s">
        <v>176</v>
      </c>
      <c r="J403" t="s">
        <v>177</v>
      </c>
      <c r="K403">
        <v>26</v>
      </c>
      <c r="L403" t="s">
        <v>178</v>
      </c>
    </row>
    <row r="404" spans="1:12" ht="15" customHeight="1" x14ac:dyDescent="0.35">
      <c r="A404" t="s">
        <v>12</v>
      </c>
      <c r="B404" t="s">
        <v>9</v>
      </c>
      <c r="C404" t="s">
        <v>10</v>
      </c>
      <c r="D404" t="s">
        <v>117</v>
      </c>
      <c r="E404" t="s">
        <v>10</v>
      </c>
      <c r="F404" t="s">
        <v>100</v>
      </c>
      <c r="G404" s="12">
        <v>46426</v>
      </c>
      <c r="H404" s="13">
        <v>19</v>
      </c>
      <c r="I404" t="s">
        <v>176</v>
      </c>
      <c r="J404" t="s">
        <v>180</v>
      </c>
      <c r="K404">
        <v>26.5</v>
      </c>
      <c r="L404" t="s">
        <v>178</v>
      </c>
    </row>
    <row r="405" spans="1:12" ht="15" customHeight="1" x14ac:dyDescent="0.35">
      <c r="A405" t="s">
        <v>12</v>
      </c>
      <c r="B405" t="s">
        <v>22</v>
      </c>
      <c r="C405" t="s">
        <v>10</v>
      </c>
      <c r="D405" t="s">
        <v>144</v>
      </c>
      <c r="E405" t="s">
        <v>10</v>
      </c>
      <c r="F405" t="s">
        <v>102</v>
      </c>
      <c r="G405" s="12">
        <v>46426</v>
      </c>
      <c r="H405" s="13">
        <v>6</v>
      </c>
      <c r="I405" t="s">
        <v>176</v>
      </c>
      <c r="J405" t="s">
        <v>180</v>
      </c>
      <c r="K405">
        <v>29.5</v>
      </c>
      <c r="L405" t="s">
        <v>181</v>
      </c>
    </row>
    <row r="406" spans="1:12" ht="15" customHeight="1" x14ac:dyDescent="0.35">
      <c r="A406" t="s">
        <v>12</v>
      </c>
      <c r="B406" t="s">
        <v>20</v>
      </c>
      <c r="C406" t="s">
        <v>10</v>
      </c>
      <c r="D406" t="s">
        <v>144</v>
      </c>
      <c r="E406" t="s">
        <v>10</v>
      </c>
      <c r="F406" t="s">
        <v>85</v>
      </c>
      <c r="G406" s="12">
        <v>46426</v>
      </c>
      <c r="H406" s="13">
        <v>0.5</v>
      </c>
      <c r="I406" t="s">
        <v>176</v>
      </c>
      <c r="J406" t="s">
        <v>180</v>
      </c>
      <c r="K406">
        <v>55</v>
      </c>
      <c r="L406" t="s">
        <v>181</v>
      </c>
    </row>
    <row r="407" spans="1:12" ht="15" customHeight="1" x14ac:dyDescent="0.35">
      <c r="A407" t="s">
        <v>12</v>
      </c>
      <c r="B407" t="s">
        <v>20</v>
      </c>
      <c r="C407" t="s">
        <v>10</v>
      </c>
      <c r="D407" t="s">
        <v>145</v>
      </c>
      <c r="E407" t="s">
        <v>10</v>
      </c>
      <c r="F407" t="s">
        <v>85</v>
      </c>
      <c r="G407" s="12">
        <v>46426</v>
      </c>
      <c r="H407" s="13">
        <v>4</v>
      </c>
      <c r="I407" t="s">
        <v>176</v>
      </c>
      <c r="J407" t="s">
        <v>180</v>
      </c>
      <c r="K407">
        <v>4</v>
      </c>
      <c r="L407" t="s">
        <v>181</v>
      </c>
    </row>
    <row r="408" spans="1:12" ht="15" customHeight="1" x14ac:dyDescent="0.35">
      <c r="A408" t="s">
        <v>12</v>
      </c>
      <c r="B408" t="s">
        <v>23</v>
      </c>
      <c r="C408" t="s">
        <v>10</v>
      </c>
      <c r="D408" t="s">
        <v>144</v>
      </c>
      <c r="E408" t="s">
        <v>10</v>
      </c>
      <c r="F408" t="s">
        <v>81</v>
      </c>
      <c r="G408" s="12">
        <v>46426</v>
      </c>
      <c r="H408" s="13">
        <v>1.5</v>
      </c>
      <c r="I408" t="s">
        <v>176</v>
      </c>
      <c r="J408" t="s">
        <v>180</v>
      </c>
      <c r="K408">
        <v>1.5</v>
      </c>
      <c r="L408" t="s">
        <v>181</v>
      </c>
    </row>
    <row r="409" spans="1:12" ht="15" customHeight="1" x14ac:dyDescent="0.35">
      <c r="A409" t="s">
        <v>12</v>
      </c>
      <c r="B409" t="s">
        <v>23</v>
      </c>
      <c r="C409" t="s">
        <v>10</v>
      </c>
      <c r="D409" t="s">
        <v>144</v>
      </c>
      <c r="E409" t="s">
        <v>10</v>
      </c>
      <c r="F409" t="s">
        <v>102</v>
      </c>
      <c r="G409" s="12">
        <v>46426</v>
      </c>
      <c r="H409" s="13">
        <v>10</v>
      </c>
      <c r="I409" t="s">
        <v>176</v>
      </c>
      <c r="J409" t="s">
        <v>177</v>
      </c>
      <c r="K409">
        <v>39.5</v>
      </c>
      <c r="L409" t="s">
        <v>181</v>
      </c>
    </row>
    <row r="410" spans="1:12" ht="15" customHeight="1" x14ac:dyDescent="0.35">
      <c r="A410" t="s">
        <v>12</v>
      </c>
      <c r="B410" t="s">
        <v>23</v>
      </c>
      <c r="C410" t="s">
        <v>10</v>
      </c>
      <c r="D410" t="s">
        <v>144</v>
      </c>
      <c r="E410" t="s">
        <v>10</v>
      </c>
      <c r="F410" t="s">
        <v>40</v>
      </c>
      <c r="G410" s="12">
        <v>46426</v>
      </c>
      <c r="H410" s="13">
        <v>3</v>
      </c>
      <c r="I410" t="s">
        <v>176</v>
      </c>
      <c r="J410" t="s">
        <v>180</v>
      </c>
      <c r="K410">
        <v>54.5</v>
      </c>
      <c r="L410" t="s">
        <v>181</v>
      </c>
    </row>
    <row r="411" spans="1:12" ht="15" customHeight="1" x14ac:dyDescent="0.35">
      <c r="A411" t="s">
        <v>12</v>
      </c>
      <c r="B411" t="s">
        <v>17</v>
      </c>
      <c r="C411" t="s">
        <v>14</v>
      </c>
      <c r="D411" t="s">
        <v>148</v>
      </c>
      <c r="E411" t="s">
        <v>14</v>
      </c>
      <c r="F411" t="s">
        <v>40</v>
      </c>
      <c r="G411" s="12">
        <v>46426</v>
      </c>
      <c r="H411" s="13">
        <v>8</v>
      </c>
      <c r="I411" t="s">
        <v>176</v>
      </c>
      <c r="J411" t="s">
        <v>177</v>
      </c>
      <c r="K411">
        <v>8</v>
      </c>
      <c r="L411" t="s">
        <v>181</v>
      </c>
    </row>
    <row r="412" spans="1:12" ht="15" customHeight="1" x14ac:dyDescent="0.35">
      <c r="A412" t="s">
        <v>12</v>
      </c>
      <c r="B412" t="s">
        <v>17</v>
      </c>
      <c r="C412" t="s">
        <v>14</v>
      </c>
      <c r="D412" t="s">
        <v>148</v>
      </c>
      <c r="E412" t="s">
        <v>14</v>
      </c>
      <c r="F412" t="s">
        <v>122</v>
      </c>
      <c r="G412" s="12">
        <v>46426</v>
      </c>
      <c r="H412" s="13">
        <v>12.5</v>
      </c>
      <c r="I412" t="s">
        <v>176</v>
      </c>
      <c r="J412" t="s">
        <v>180</v>
      </c>
      <c r="K412">
        <v>41.5</v>
      </c>
      <c r="L412" t="s">
        <v>181</v>
      </c>
    </row>
    <row r="413" spans="1:12" ht="15" customHeight="1" x14ac:dyDescent="0.35">
      <c r="A413" t="s">
        <v>12</v>
      </c>
      <c r="B413" t="s">
        <v>33</v>
      </c>
      <c r="C413" t="s">
        <v>10</v>
      </c>
      <c r="D413" t="s">
        <v>145</v>
      </c>
      <c r="E413" t="s">
        <v>10</v>
      </c>
      <c r="F413" t="s">
        <v>103</v>
      </c>
      <c r="G413" s="12">
        <v>46426</v>
      </c>
      <c r="H413" s="13">
        <v>10</v>
      </c>
      <c r="I413" t="s">
        <v>176</v>
      </c>
      <c r="J413" t="s">
        <v>180</v>
      </c>
      <c r="K413">
        <v>14</v>
      </c>
      <c r="L413" t="s">
        <v>181</v>
      </c>
    </row>
    <row r="414" spans="1:12" ht="15" customHeight="1" x14ac:dyDescent="0.35">
      <c r="A414" t="s">
        <v>12</v>
      </c>
      <c r="B414" t="s">
        <v>24</v>
      </c>
      <c r="C414" t="s">
        <v>14</v>
      </c>
      <c r="D414" t="s">
        <v>146</v>
      </c>
      <c r="E414" t="s">
        <v>14</v>
      </c>
      <c r="F414" t="s">
        <v>81</v>
      </c>
      <c r="G414" s="12">
        <v>46426</v>
      </c>
      <c r="H414" s="13">
        <v>3.5</v>
      </c>
      <c r="I414" t="s">
        <v>176</v>
      </c>
      <c r="J414" t="s">
        <v>177</v>
      </c>
      <c r="K414">
        <v>18</v>
      </c>
      <c r="L414" t="s">
        <v>181</v>
      </c>
    </row>
    <row r="415" spans="1:12" ht="15" customHeight="1" x14ac:dyDescent="0.35">
      <c r="A415" t="s">
        <v>12</v>
      </c>
      <c r="B415" t="s">
        <v>24</v>
      </c>
      <c r="C415" t="s">
        <v>14</v>
      </c>
      <c r="D415" t="s">
        <v>148</v>
      </c>
      <c r="E415" t="s">
        <v>14</v>
      </c>
      <c r="F415" t="s">
        <v>40</v>
      </c>
      <c r="G415" s="12">
        <v>46426</v>
      </c>
      <c r="H415" s="13">
        <v>11</v>
      </c>
      <c r="I415" t="s">
        <v>176</v>
      </c>
      <c r="J415" t="s">
        <v>177</v>
      </c>
      <c r="K415">
        <v>19</v>
      </c>
      <c r="L415" t="s">
        <v>181</v>
      </c>
    </row>
    <row r="416" spans="1:12" ht="15" customHeight="1" x14ac:dyDescent="0.35">
      <c r="A416" t="s">
        <v>12</v>
      </c>
      <c r="B416" t="s">
        <v>15</v>
      </c>
      <c r="C416" t="s">
        <v>16</v>
      </c>
      <c r="D416" t="s">
        <v>75</v>
      </c>
      <c r="E416" t="s">
        <v>16</v>
      </c>
      <c r="F416" t="s">
        <v>79</v>
      </c>
      <c r="G416" s="12">
        <v>46426</v>
      </c>
      <c r="H416" s="13">
        <v>1.4035089999999999</v>
      </c>
      <c r="I416" t="s">
        <v>176</v>
      </c>
      <c r="J416" t="s">
        <v>177</v>
      </c>
      <c r="K416">
        <v>49.307017999999999</v>
      </c>
      <c r="L416" t="s">
        <v>178</v>
      </c>
    </row>
    <row r="417" spans="1:12" ht="15" customHeight="1" x14ac:dyDescent="0.35">
      <c r="A417" t="s">
        <v>12</v>
      </c>
      <c r="B417" t="s">
        <v>15</v>
      </c>
      <c r="C417" t="s">
        <v>16</v>
      </c>
      <c r="D417" t="s">
        <v>90</v>
      </c>
      <c r="E417" t="s">
        <v>16</v>
      </c>
      <c r="F417" t="s">
        <v>81</v>
      </c>
      <c r="G417" s="12">
        <v>46426</v>
      </c>
      <c r="H417" s="13">
        <v>7.9</v>
      </c>
      <c r="I417" t="s">
        <v>176</v>
      </c>
      <c r="J417" t="s">
        <v>180</v>
      </c>
      <c r="K417">
        <v>47.407018000000001</v>
      </c>
      <c r="L417" t="s">
        <v>178</v>
      </c>
    </row>
    <row r="418" spans="1:12" ht="15" customHeight="1" x14ac:dyDescent="0.35">
      <c r="A418" t="s">
        <v>12</v>
      </c>
      <c r="B418" t="s">
        <v>15</v>
      </c>
      <c r="C418" t="s">
        <v>16</v>
      </c>
      <c r="D418" t="s">
        <v>142</v>
      </c>
      <c r="E418" t="s">
        <v>16</v>
      </c>
      <c r="F418" t="s">
        <v>94</v>
      </c>
      <c r="G418" s="12">
        <v>46426</v>
      </c>
      <c r="H418" s="13">
        <v>0.107018000000005</v>
      </c>
      <c r="I418" t="s">
        <v>176</v>
      </c>
      <c r="J418" t="s">
        <v>180</v>
      </c>
      <c r="K418">
        <v>4.4140360000000101</v>
      </c>
      <c r="L418" t="s">
        <v>181</v>
      </c>
    </row>
    <row r="419" spans="1:12" ht="15" customHeight="1" x14ac:dyDescent="0.35">
      <c r="A419" t="s">
        <v>12</v>
      </c>
      <c r="B419" t="s">
        <v>15</v>
      </c>
      <c r="C419" t="s">
        <v>16</v>
      </c>
      <c r="D419" t="s">
        <v>90</v>
      </c>
      <c r="E419" t="s">
        <v>16</v>
      </c>
      <c r="F419" t="s">
        <v>94</v>
      </c>
      <c r="G419" s="12">
        <v>46426</v>
      </c>
      <c r="H419" s="13">
        <v>3.5929820000000099</v>
      </c>
      <c r="I419" t="s">
        <v>176</v>
      </c>
      <c r="J419" t="s">
        <v>180</v>
      </c>
      <c r="K419">
        <v>55</v>
      </c>
      <c r="L419" t="s">
        <v>178</v>
      </c>
    </row>
    <row r="420" spans="1:12" ht="15" customHeight="1" x14ac:dyDescent="0.35">
      <c r="A420" t="s">
        <v>12</v>
      </c>
      <c r="B420" t="s">
        <v>15</v>
      </c>
      <c r="C420" t="s">
        <v>16</v>
      </c>
      <c r="D420" t="s">
        <v>75</v>
      </c>
      <c r="E420" t="s">
        <v>16</v>
      </c>
      <c r="F420" t="s">
        <v>40</v>
      </c>
      <c r="G420" s="12">
        <v>46426</v>
      </c>
      <c r="H420" s="13">
        <v>2.9</v>
      </c>
      <c r="I420" t="s">
        <v>176</v>
      </c>
      <c r="J420" t="s">
        <v>177</v>
      </c>
      <c r="K420">
        <v>52.207017999999998</v>
      </c>
      <c r="L420" t="s">
        <v>178</v>
      </c>
    </row>
    <row r="421" spans="1:12" ht="15" customHeight="1" x14ac:dyDescent="0.35">
      <c r="A421" t="s">
        <v>12</v>
      </c>
      <c r="B421" t="s">
        <v>15</v>
      </c>
      <c r="C421" t="s">
        <v>16</v>
      </c>
      <c r="D421" t="s">
        <v>90</v>
      </c>
      <c r="E421" t="s">
        <v>16</v>
      </c>
      <c r="F421" t="s">
        <v>97</v>
      </c>
      <c r="G421" s="12">
        <v>46426</v>
      </c>
      <c r="H421" s="13">
        <v>4</v>
      </c>
      <c r="I421" t="s">
        <v>176</v>
      </c>
      <c r="J421" t="s">
        <v>180</v>
      </c>
      <c r="K421">
        <v>51.407018000000001</v>
      </c>
      <c r="L421" t="s">
        <v>178</v>
      </c>
    </row>
    <row r="422" spans="1:12" ht="15" customHeight="1" x14ac:dyDescent="0.35">
      <c r="A422" t="s">
        <v>12</v>
      </c>
      <c r="B422" t="s">
        <v>15</v>
      </c>
      <c r="C422" t="s">
        <v>16</v>
      </c>
      <c r="D422" t="s">
        <v>75</v>
      </c>
      <c r="E422" t="s">
        <v>16</v>
      </c>
      <c r="F422" t="s">
        <v>43</v>
      </c>
      <c r="G422" s="12">
        <v>46426</v>
      </c>
      <c r="H422" s="13">
        <v>2.7929819999999999</v>
      </c>
      <c r="I422" t="s">
        <v>176</v>
      </c>
      <c r="J422" t="s">
        <v>177</v>
      </c>
      <c r="K422">
        <v>55</v>
      </c>
      <c r="L422" t="s">
        <v>178</v>
      </c>
    </row>
    <row r="423" spans="1:12" ht="15" customHeight="1" x14ac:dyDescent="0.35">
      <c r="A423" t="s">
        <v>12</v>
      </c>
      <c r="B423" t="s">
        <v>15</v>
      </c>
      <c r="C423" t="s">
        <v>16</v>
      </c>
      <c r="D423" t="s">
        <v>90</v>
      </c>
      <c r="E423" t="s">
        <v>16</v>
      </c>
      <c r="F423" t="s">
        <v>43</v>
      </c>
      <c r="G423" s="12">
        <v>46426</v>
      </c>
      <c r="H423" s="13">
        <v>1.507018</v>
      </c>
      <c r="I423" t="s">
        <v>176</v>
      </c>
      <c r="J423" t="s">
        <v>180</v>
      </c>
      <c r="K423">
        <v>39.507018000000002</v>
      </c>
      <c r="L423" t="s">
        <v>178</v>
      </c>
    </row>
    <row r="424" spans="1:12" ht="15" customHeight="1" x14ac:dyDescent="0.35">
      <c r="A424" t="s">
        <v>12</v>
      </c>
      <c r="B424" t="s">
        <v>30</v>
      </c>
      <c r="C424" t="s">
        <v>14</v>
      </c>
      <c r="D424" t="s">
        <v>21</v>
      </c>
      <c r="E424" t="s">
        <v>14</v>
      </c>
      <c r="F424" t="s">
        <v>85</v>
      </c>
      <c r="G424" s="12">
        <v>46426</v>
      </c>
      <c r="H424" s="13">
        <v>14</v>
      </c>
      <c r="I424" t="s">
        <v>186</v>
      </c>
      <c r="J424" t="s">
        <v>177</v>
      </c>
      <c r="K424">
        <v>45.5</v>
      </c>
      <c r="L424" t="s">
        <v>178</v>
      </c>
    </row>
    <row r="425" spans="1:12" ht="15" customHeight="1" x14ac:dyDescent="0.35">
      <c r="A425" t="s">
        <v>12</v>
      </c>
      <c r="B425" t="s">
        <v>30</v>
      </c>
      <c r="C425" t="s">
        <v>14</v>
      </c>
      <c r="D425" t="s">
        <v>131</v>
      </c>
      <c r="E425" t="s">
        <v>14</v>
      </c>
      <c r="F425" t="s">
        <v>100</v>
      </c>
      <c r="G425" s="12">
        <v>46426</v>
      </c>
      <c r="H425" s="13">
        <v>30</v>
      </c>
      <c r="I425" t="s">
        <v>186</v>
      </c>
      <c r="J425" t="s">
        <v>177</v>
      </c>
      <c r="K425">
        <v>30</v>
      </c>
      <c r="L425" t="s">
        <v>178</v>
      </c>
    </row>
    <row r="426" spans="1:12" ht="15" customHeight="1" x14ac:dyDescent="0.35">
      <c r="A426" t="s">
        <v>12</v>
      </c>
      <c r="B426" t="s">
        <v>18</v>
      </c>
      <c r="C426" t="s">
        <v>16</v>
      </c>
      <c r="D426" t="s">
        <v>142</v>
      </c>
      <c r="E426" t="s">
        <v>16</v>
      </c>
      <c r="F426" t="s">
        <v>79</v>
      </c>
      <c r="G426" s="12">
        <v>46426</v>
      </c>
      <c r="H426" s="13">
        <v>1.4035089999999999</v>
      </c>
      <c r="I426" t="s">
        <v>176</v>
      </c>
      <c r="J426" t="s">
        <v>180</v>
      </c>
      <c r="K426">
        <v>1.4035089999999999</v>
      </c>
      <c r="L426" t="s">
        <v>181</v>
      </c>
    </row>
    <row r="427" spans="1:12" ht="15" customHeight="1" x14ac:dyDescent="0.35">
      <c r="A427" t="s">
        <v>12</v>
      </c>
      <c r="B427" t="s">
        <v>18</v>
      </c>
      <c r="C427" t="s">
        <v>16</v>
      </c>
      <c r="D427" t="s">
        <v>142</v>
      </c>
      <c r="E427" t="s">
        <v>16</v>
      </c>
      <c r="F427" t="s">
        <v>81</v>
      </c>
      <c r="G427" s="12">
        <v>46426</v>
      </c>
      <c r="H427" s="13">
        <v>0.5</v>
      </c>
      <c r="I427" t="s">
        <v>176</v>
      </c>
      <c r="J427" t="s">
        <v>180</v>
      </c>
      <c r="K427">
        <v>3.3070179999999998</v>
      </c>
      <c r="L427" t="s">
        <v>181</v>
      </c>
    </row>
    <row r="428" spans="1:12" ht="15" customHeight="1" x14ac:dyDescent="0.35">
      <c r="A428" t="s">
        <v>12</v>
      </c>
      <c r="B428" t="s">
        <v>18</v>
      </c>
      <c r="C428" t="s">
        <v>16</v>
      </c>
      <c r="D428" t="s">
        <v>142</v>
      </c>
      <c r="E428" t="s">
        <v>16</v>
      </c>
      <c r="F428" t="s">
        <v>40</v>
      </c>
      <c r="G428" s="12">
        <v>46426</v>
      </c>
      <c r="H428" s="13">
        <v>5</v>
      </c>
      <c r="I428" t="s">
        <v>176</v>
      </c>
      <c r="J428" t="s">
        <v>180</v>
      </c>
      <c r="K428">
        <v>9.4140360000000101</v>
      </c>
      <c r="L428" t="s">
        <v>181</v>
      </c>
    </row>
    <row r="429" spans="1:12" ht="15" customHeight="1" x14ac:dyDescent="0.35">
      <c r="A429" t="s">
        <v>12</v>
      </c>
      <c r="B429" t="s">
        <v>18</v>
      </c>
      <c r="C429" t="s">
        <v>16</v>
      </c>
      <c r="D429" t="s">
        <v>142</v>
      </c>
      <c r="E429" t="s">
        <v>16</v>
      </c>
      <c r="F429" t="s">
        <v>85</v>
      </c>
      <c r="G429" s="12">
        <v>46426</v>
      </c>
      <c r="H429" s="13">
        <v>8</v>
      </c>
      <c r="I429" t="s">
        <v>176</v>
      </c>
      <c r="J429" t="s">
        <v>180</v>
      </c>
      <c r="K429">
        <v>17.414035999999999</v>
      </c>
      <c r="L429" t="s">
        <v>181</v>
      </c>
    </row>
    <row r="430" spans="1:12" ht="15" customHeight="1" x14ac:dyDescent="0.35">
      <c r="A430" t="s">
        <v>12</v>
      </c>
      <c r="B430" t="s">
        <v>138</v>
      </c>
      <c r="C430" t="s">
        <v>14</v>
      </c>
      <c r="D430" t="s">
        <v>146</v>
      </c>
      <c r="E430" t="s">
        <v>14</v>
      </c>
      <c r="F430" t="s">
        <v>81</v>
      </c>
      <c r="G430" s="12">
        <v>46426</v>
      </c>
      <c r="H430" s="13">
        <v>15</v>
      </c>
      <c r="I430" t="s">
        <v>185</v>
      </c>
      <c r="J430" t="s">
        <v>177</v>
      </c>
      <c r="K430">
        <v>33</v>
      </c>
      <c r="L430" t="s">
        <v>181</v>
      </c>
    </row>
    <row r="431" spans="1:12" ht="15" customHeight="1" x14ac:dyDescent="0.35">
      <c r="A431" t="s">
        <v>12</v>
      </c>
      <c r="B431" t="s">
        <v>138</v>
      </c>
      <c r="C431" t="s">
        <v>14</v>
      </c>
      <c r="D431" t="s">
        <v>156</v>
      </c>
      <c r="E431" t="s">
        <v>14</v>
      </c>
      <c r="F431" t="s">
        <v>100</v>
      </c>
      <c r="G431" s="12">
        <v>46426</v>
      </c>
      <c r="H431" s="13">
        <v>35</v>
      </c>
      <c r="I431" t="s">
        <v>185</v>
      </c>
      <c r="J431" t="s">
        <v>177</v>
      </c>
      <c r="K431">
        <v>35</v>
      </c>
      <c r="L431" t="s">
        <v>181</v>
      </c>
    </row>
    <row r="432" spans="1:12" ht="15" customHeight="1" x14ac:dyDescent="0.35">
      <c r="A432" t="s">
        <v>12</v>
      </c>
      <c r="B432" t="s">
        <v>104</v>
      </c>
      <c r="C432" t="s">
        <v>16</v>
      </c>
      <c r="D432" t="s">
        <v>142</v>
      </c>
      <c r="E432" t="s">
        <v>16</v>
      </c>
      <c r="F432" t="s">
        <v>105</v>
      </c>
      <c r="G432" s="12">
        <v>46426</v>
      </c>
      <c r="H432" s="13">
        <v>4</v>
      </c>
      <c r="I432" t="s">
        <v>185</v>
      </c>
      <c r="J432" t="s">
        <v>180</v>
      </c>
      <c r="K432">
        <v>23.414035999999999</v>
      </c>
      <c r="L432" t="s">
        <v>181</v>
      </c>
    </row>
    <row r="433" spans="1:12" ht="15" customHeight="1" x14ac:dyDescent="0.35">
      <c r="A433" t="s">
        <v>12</v>
      </c>
      <c r="B433" t="s">
        <v>104</v>
      </c>
      <c r="C433" t="s">
        <v>10</v>
      </c>
      <c r="D433" t="s">
        <v>145</v>
      </c>
      <c r="E433" t="s">
        <v>10</v>
      </c>
      <c r="F433" t="s">
        <v>105</v>
      </c>
      <c r="G433" s="12">
        <v>46426</v>
      </c>
      <c r="H433" s="13">
        <v>16</v>
      </c>
      <c r="I433" t="s">
        <v>185</v>
      </c>
      <c r="J433" t="s">
        <v>180</v>
      </c>
      <c r="K433">
        <v>30</v>
      </c>
      <c r="L433" t="s">
        <v>181</v>
      </c>
    </row>
    <row r="434" spans="1:12" ht="15" customHeight="1" x14ac:dyDescent="0.35">
      <c r="A434" t="s">
        <v>12</v>
      </c>
      <c r="B434" t="s">
        <v>104</v>
      </c>
      <c r="C434" t="s">
        <v>14</v>
      </c>
      <c r="D434" t="s">
        <v>157</v>
      </c>
      <c r="E434" t="s">
        <v>14</v>
      </c>
      <c r="F434" t="s">
        <v>105</v>
      </c>
      <c r="G434" s="12">
        <v>46426</v>
      </c>
      <c r="H434" s="13">
        <v>40</v>
      </c>
      <c r="I434" t="s">
        <v>185</v>
      </c>
      <c r="J434" t="s">
        <v>177</v>
      </c>
      <c r="K434">
        <v>40</v>
      </c>
      <c r="L434" t="s">
        <v>181</v>
      </c>
    </row>
    <row r="435" spans="1:12" ht="15" customHeight="1" x14ac:dyDescent="0.35">
      <c r="A435" t="s">
        <v>12</v>
      </c>
      <c r="B435" t="s">
        <v>135</v>
      </c>
      <c r="C435" t="s">
        <v>14</v>
      </c>
      <c r="D435" t="s">
        <v>155</v>
      </c>
      <c r="E435" t="s">
        <v>14</v>
      </c>
      <c r="F435" t="s">
        <v>43</v>
      </c>
      <c r="G435" s="12">
        <v>46426</v>
      </c>
      <c r="H435" s="13">
        <v>33</v>
      </c>
      <c r="I435" t="s">
        <v>185</v>
      </c>
      <c r="J435" t="s">
        <v>177</v>
      </c>
      <c r="K435">
        <v>33</v>
      </c>
      <c r="L435" t="s">
        <v>181</v>
      </c>
    </row>
    <row r="436" spans="1:12" ht="15" customHeight="1" x14ac:dyDescent="0.35">
      <c r="A436" t="s">
        <v>12</v>
      </c>
      <c r="B436" t="s">
        <v>127</v>
      </c>
      <c r="C436" t="s">
        <v>14</v>
      </c>
      <c r="D436" t="s">
        <v>148</v>
      </c>
      <c r="E436" t="s">
        <v>14</v>
      </c>
      <c r="F436" t="s">
        <v>40</v>
      </c>
      <c r="G436" s="12">
        <v>46426</v>
      </c>
      <c r="H436" s="13">
        <v>10</v>
      </c>
      <c r="I436" t="s">
        <v>185</v>
      </c>
      <c r="J436" t="s">
        <v>177</v>
      </c>
      <c r="K436">
        <v>29</v>
      </c>
      <c r="L436" t="s">
        <v>181</v>
      </c>
    </row>
    <row r="437" spans="1:12" ht="15" customHeight="1" x14ac:dyDescent="0.35">
      <c r="A437" t="s">
        <v>12</v>
      </c>
      <c r="B437" t="s">
        <v>130</v>
      </c>
      <c r="C437" t="s">
        <v>14</v>
      </c>
      <c r="D437" t="s">
        <v>149</v>
      </c>
      <c r="E437" t="s">
        <v>14</v>
      </c>
      <c r="F437" t="s">
        <v>85</v>
      </c>
      <c r="G437" s="12">
        <v>46426</v>
      </c>
      <c r="H437" s="13">
        <v>2</v>
      </c>
      <c r="I437" t="s">
        <v>185</v>
      </c>
      <c r="J437" t="s">
        <v>177</v>
      </c>
      <c r="K437">
        <v>2</v>
      </c>
      <c r="L437" t="s">
        <v>181</v>
      </c>
    </row>
    <row r="438" spans="1:12" ht="15" customHeight="1" x14ac:dyDescent="0.35">
      <c r="A438" t="s">
        <v>12</v>
      </c>
      <c r="B438" t="s">
        <v>139</v>
      </c>
      <c r="C438" t="s">
        <v>14</v>
      </c>
      <c r="D438" t="s">
        <v>153</v>
      </c>
      <c r="E438" t="s">
        <v>14</v>
      </c>
      <c r="F438" t="s">
        <v>99</v>
      </c>
      <c r="G438" s="12">
        <v>46426</v>
      </c>
      <c r="H438" s="13">
        <v>24</v>
      </c>
      <c r="I438" t="s">
        <v>185</v>
      </c>
      <c r="J438" t="s">
        <v>177</v>
      </c>
      <c r="K438">
        <v>24</v>
      </c>
      <c r="L438" t="s">
        <v>181</v>
      </c>
    </row>
    <row r="439" spans="1:12" ht="15" customHeight="1" x14ac:dyDescent="0.35">
      <c r="A439" t="s">
        <v>12</v>
      </c>
      <c r="B439" t="s">
        <v>139</v>
      </c>
      <c r="C439" t="s">
        <v>14</v>
      </c>
      <c r="D439" t="s">
        <v>155</v>
      </c>
      <c r="E439" t="s">
        <v>14</v>
      </c>
      <c r="F439" t="s">
        <v>43</v>
      </c>
      <c r="G439" s="12">
        <v>46426</v>
      </c>
      <c r="H439" s="13">
        <v>18</v>
      </c>
      <c r="I439" t="s">
        <v>185</v>
      </c>
      <c r="J439" t="s">
        <v>177</v>
      </c>
      <c r="K439">
        <v>51</v>
      </c>
      <c r="L439" t="s">
        <v>181</v>
      </c>
    </row>
    <row r="440" spans="1:12" ht="15" customHeight="1" x14ac:dyDescent="0.35">
      <c r="A440" t="s">
        <v>12</v>
      </c>
      <c r="B440" t="s">
        <v>139</v>
      </c>
      <c r="C440" t="s">
        <v>14</v>
      </c>
      <c r="D440" t="s">
        <v>156</v>
      </c>
      <c r="E440" t="s">
        <v>14</v>
      </c>
      <c r="F440" t="s">
        <v>100</v>
      </c>
      <c r="G440" s="12">
        <v>46426</v>
      </c>
      <c r="H440" s="13">
        <v>5</v>
      </c>
      <c r="I440" t="s">
        <v>185</v>
      </c>
      <c r="J440" t="s">
        <v>177</v>
      </c>
      <c r="K440">
        <v>40</v>
      </c>
      <c r="L440" t="s">
        <v>181</v>
      </c>
    </row>
    <row r="441" spans="1:12" ht="15" customHeight="1" x14ac:dyDescent="0.35">
      <c r="A441" t="s">
        <v>12</v>
      </c>
      <c r="B441" t="s">
        <v>134</v>
      </c>
      <c r="C441" t="s">
        <v>14</v>
      </c>
      <c r="D441" t="s">
        <v>151</v>
      </c>
      <c r="E441" t="s">
        <v>14</v>
      </c>
      <c r="F441" t="s">
        <v>99</v>
      </c>
      <c r="G441" s="12">
        <v>46426</v>
      </c>
      <c r="H441" s="13">
        <v>10</v>
      </c>
      <c r="I441" t="s">
        <v>185</v>
      </c>
      <c r="J441" t="s">
        <v>177</v>
      </c>
      <c r="K441">
        <v>32</v>
      </c>
      <c r="L441" t="s">
        <v>181</v>
      </c>
    </row>
    <row r="442" spans="1:12" ht="15" customHeight="1" x14ac:dyDescent="0.35">
      <c r="A442" t="s">
        <v>12</v>
      </c>
      <c r="B442" t="s">
        <v>134</v>
      </c>
      <c r="C442" t="s">
        <v>14</v>
      </c>
      <c r="D442" t="s">
        <v>154</v>
      </c>
      <c r="E442" t="s">
        <v>14</v>
      </c>
      <c r="F442" t="s">
        <v>99</v>
      </c>
      <c r="G442" s="12">
        <v>46426</v>
      </c>
      <c r="H442" s="13">
        <v>55</v>
      </c>
      <c r="I442" t="s">
        <v>185</v>
      </c>
      <c r="J442" t="s">
        <v>177</v>
      </c>
      <c r="K442">
        <v>55</v>
      </c>
      <c r="L442" t="s">
        <v>181</v>
      </c>
    </row>
    <row r="443" spans="1:12" ht="15" customHeight="1" x14ac:dyDescent="0.35">
      <c r="A443" t="s">
        <v>12</v>
      </c>
      <c r="B443" t="s">
        <v>133</v>
      </c>
      <c r="C443" t="s">
        <v>14</v>
      </c>
      <c r="D443" t="s">
        <v>152</v>
      </c>
      <c r="E443" t="s">
        <v>14</v>
      </c>
      <c r="F443" t="s">
        <v>46</v>
      </c>
      <c r="G443" s="12">
        <v>46426</v>
      </c>
      <c r="H443" s="13">
        <v>34</v>
      </c>
      <c r="I443" t="s">
        <v>184</v>
      </c>
      <c r="J443" t="s">
        <v>177</v>
      </c>
      <c r="K443">
        <v>34</v>
      </c>
      <c r="L443" t="s">
        <v>181</v>
      </c>
    </row>
    <row r="444" spans="1:12" ht="15" customHeight="1" x14ac:dyDescent="0.35">
      <c r="A444" t="s">
        <v>12</v>
      </c>
      <c r="B444" t="s">
        <v>128</v>
      </c>
      <c r="C444" t="s">
        <v>14</v>
      </c>
      <c r="D444" t="s">
        <v>146</v>
      </c>
      <c r="E444" t="s">
        <v>14</v>
      </c>
      <c r="F444" t="s">
        <v>108</v>
      </c>
      <c r="G444" s="12">
        <v>46426</v>
      </c>
      <c r="H444" s="13">
        <v>3.5</v>
      </c>
      <c r="I444" t="s">
        <v>185</v>
      </c>
      <c r="J444" t="s">
        <v>177</v>
      </c>
      <c r="K444">
        <v>3.5</v>
      </c>
      <c r="L444" t="s">
        <v>181</v>
      </c>
    </row>
    <row r="445" spans="1:12" ht="15" customHeight="1" x14ac:dyDescent="0.35">
      <c r="A445" t="s">
        <v>12</v>
      </c>
      <c r="B445" t="s">
        <v>129</v>
      </c>
      <c r="C445" t="s">
        <v>14</v>
      </c>
      <c r="D445" t="s">
        <v>147</v>
      </c>
      <c r="E445" t="s">
        <v>14</v>
      </c>
      <c r="F445" t="s">
        <v>102</v>
      </c>
      <c r="G445" s="12">
        <v>46426</v>
      </c>
      <c r="H445" s="13">
        <v>38</v>
      </c>
      <c r="I445" t="s">
        <v>185</v>
      </c>
      <c r="J445" t="s">
        <v>177</v>
      </c>
      <c r="K445">
        <v>38</v>
      </c>
      <c r="L445" t="s">
        <v>181</v>
      </c>
    </row>
    <row r="446" spans="1:12" ht="15" customHeight="1" x14ac:dyDescent="0.35">
      <c r="A446" t="s">
        <v>12</v>
      </c>
      <c r="B446" t="s">
        <v>131</v>
      </c>
      <c r="C446" t="s">
        <v>14</v>
      </c>
      <c r="D446" t="s">
        <v>150</v>
      </c>
      <c r="E446" t="s">
        <v>14</v>
      </c>
      <c r="F446" t="s">
        <v>103</v>
      </c>
      <c r="G446" s="12">
        <v>46426</v>
      </c>
      <c r="H446" s="13">
        <v>55</v>
      </c>
      <c r="I446" t="s">
        <v>185</v>
      </c>
      <c r="J446" t="s">
        <v>177</v>
      </c>
      <c r="K446">
        <v>55</v>
      </c>
      <c r="L446" t="s">
        <v>181</v>
      </c>
    </row>
    <row r="447" spans="1:12" ht="15" customHeight="1" x14ac:dyDescent="0.35">
      <c r="A447" t="s">
        <v>12</v>
      </c>
      <c r="B447" t="s">
        <v>131</v>
      </c>
      <c r="C447" t="s">
        <v>14</v>
      </c>
      <c r="D447" t="s">
        <v>151</v>
      </c>
      <c r="E447" t="s">
        <v>14</v>
      </c>
      <c r="F447" t="s">
        <v>103</v>
      </c>
      <c r="G447" s="12">
        <v>46426</v>
      </c>
      <c r="H447" s="13">
        <v>10</v>
      </c>
      <c r="I447" t="s">
        <v>185</v>
      </c>
      <c r="J447" t="s">
        <v>177</v>
      </c>
      <c r="K447">
        <v>10</v>
      </c>
      <c r="L447" t="s">
        <v>181</v>
      </c>
    </row>
    <row r="448" spans="1:12" ht="15" customHeight="1" x14ac:dyDescent="0.35">
      <c r="A448" t="s">
        <v>12</v>
      </c>
      <c r="B448" t="s">
        <v>132</v>
      </c>
      <c r="C448" t="s">
        <v>14</v>
      </c>
      <c r="D448" t="s">
        <v>149</v>
      </c>
      <c r="E448" t="s">
        <v>14</v>
      </c>
      <c r="F448" t="s">
        <v>103</v>
      </c>
      <c r="G448" s="12">
        <v>46426</v>
      </c>
      <c r="H448" s="13">
        <v>53</v>
      </c>
      <c r="I448" t="s">
        <v>185</v>
      </c>
      <c r="J448" t="s">
        <v>177</v>
      </c>
      <c r="K448">
        <v>55</v>
      </c>
      <c r="L448" t="s">
        <v>181</v>
      </c>
    </row>
    <row r="449" spans="1:12" ht="15" customHeight="1" x14ac:dyDescent="0.35">
      <c r="A449" t="s">
        <v>12</v>
      </c>
      <c r="B449" t="s">
        <v>132</v>
      </c>
      <c r="C449" t="s">
        <v>14</v>
      </c>
      <c r="D449" t="s">
        <v>151</v>
      </c>
      <c r="E449" t="s">
        <v>14</v>
      </c>
      <c r="F449" t="s">
        <v>103</v>
      </c>
      <c r="G449" s="12">
        <v>46426</v>
      </c>
      <c r="H449" s="13">
        <v>12</v>
      </c>
      <c r="I449" t="s">
        <v>185</v>
      </c>
      <c r="J449" t="s">
        <v>177</v>
      </c>
      <c r="K449">
        <v>22</v>
      </c>
      <c r="L449" t="s">
        <v>181</v>
      </c>
    </row>
    <row r="450" spans="1:12" ht="15" customHeight="1" x14ac:dyDescent="0.35">
      <c r="A450" t="s">
        <v>12</v>
      </c>
      <c r="B450" t="s">
        <v>136</v>
      </c>
      <c r="C450" t="s">
        <v>14</v>
      </c>
      <c r="D450" t="s">
        <v>153</v>
      </c>
      <c r="E450" t="s">
        <v>14</v>
      </c>
      <c r="F450" t="s">
        <v>43</v>
      </c>
      <c r="G450" s="12">
        <v>46426</v>
      </c>
      <c r="H450" s="13">
        <v>20</v>
      </c>
      <c r="I450" t="s">
        <v>185</v>
      </c>
      <c r="J450" t="s">
        <v>177</v>
      </c>
      <c r="K450">
        <v>44</v>
      </c>
      <c r="L450" t="s">
        <v>181</v>
      </c>
    </row>
    <row r="451" spans="1:12" ht="15" customHeight="1" x14ac:dyDescent="0.35">
      <c r="A451" t="s">
        <v>12</v>
      </c>
      <c r="B451" t="s">
        <v>25</v>
      </c>
      <c r="C451" t="s">
        <v>16</v>
      </c>
      <c r="D451" t="s">
        <v>142</v>
      </c>
      <c r="E451" t="s">
        <v>16</v>
      </c>
      <c r="F451" t="s">
        <v>79</v>
      </c>
      <c r="G451" s="12">
        <v>46426</v>
      </c>
      <c r="H451" s="13">
        <v>1.4035089999999999</v>
      </c>
      <c r="I451" t="s">
        <v>176</v>
      </c>
      <c r="J451" t="s">
        <v>177</v>
      </c>
      <c r="K451">
        <v>2.8070179999999998</v>
      </c>
      <c r="L451" t="s">
        <v>181</v>
      </c>
    </row>
    <row r="452" spans="1:12" ht="15" customHeight="1" x14ac:dyDescent="0.35">
      <c r="A452" t="s">
        <v>12</v>
      </c>
      <c r="B452" t="s">
        <v>25</v>
      </c>
      <c r="C452" t="s">
        <v>16</v>
      </c>
      <c r="D452" t="s">
        <v>142</v>
      </c>
      <c r="E452" t="s">
        <v>16</v>
      </c>
      <c r="F452" t="s">
        <v>81</v>
      </c>
      <c r="G452" s="12">
        <v>46426</v>
      </c>
      <c r="H452" s="13">
        <v>1</v>
      </c>
      <c r="I452" t="s">
        <v>176</v>
      </c>
      <c r="J452" t="s">
        <v>177</v>
      </c>
      <c r="K452">
        <v>4.3070180000000002</v>
      </c>
      <c r="L452" t="s">
        <v>181</v>
      </c>
    </row>
    <row r="453" spans="1:12" ht="15" customHeight="1" x14ac:dyDescent="0.35">
      <c r="A453" t="s">
        <v>12</v>
      </c>
      <c r="B453" t="s">
        <v>25</v>
      </c>
      <c r="C453" t="s">
        <v>16</v>
      </c>
      <c r="D453" t="s">
        <v>142</v>
      </c>
      <c r="E453" t="s">
        <v>16</v>
      </c>
      <c r="F453" t="s">
        <v>98</v>
      </c>
      <c r="G453" s="12">
        <v>46426</v>
      </c>
      <c r="H453" s="13">
        <v>2</v>
      </c>
      <c r="I453" t="s">
        <v>176</v>
      </c>
      <c r="J453" t="s">
        <v>180</v>
      </c>
      <c r="K453">
        <v>19.414035999999999</v>
      </c>
      <c r="L453" t="s">
        <v>181</v>
      </c>
    </row>
    <row r="454" spans="1:12" ht="15" customHeight="1" x14ac:dyDescent="0.35">
      <c r="A454" t="s">
        <v>29</v>
      </c>
      <c r="B454" t="s">
        <v>35</v>
      </c>
      <c r="C454" t="s">
        <v>10</v>
      </c>
      <c r="D454" t="s">
        <v>143</v>
      </c>
      <c r="E454" t="s">
        <v>10</v>
      </c>
      <c r="F454" t="s">
        <v>92</v>
      </c>
      <c r="G454" s="12">
        <v>46433</v>
      </c>
      <c r="H454" s="13">
        <v>5</v>
      </c>
      <c r="I454" t="s">
        <v>176</v>
      </c>
      <c r="J454" t="s">
        <v>177</v>
      </c>
      <c r="K454">
        <v>5</v>
      </c>
      <c r="L454" t="s">
        <v>181</v>
      </c>
    </row>
    <row r="455" spans="1:12" ht="15" customHeight="1" x14ac:dyDescent="0.35">
      <c r="A455" t="s">
        <v>29</v>
      </c>
      <c r="B455" t="s">
        <v>28</v>
      </c>
      <c r="C455" t="s">
        <v>10</v>
      </c>
      <c r="D455" t="s">
        <v>143</v>
      </c>
      <c r="E455" t="s">
        <v>10</v>
      </c>
      <c r="F455" t="s">
        <v>92</v>
      </c>
      <c r="G455" s="12">
        <v>46433</v>
      </c>
      <c r="H455" s="13">
        <v>5</v>
      </c>
      <c r="I455" t="s">
        <v>176</v>
      </c>
      <c r="J455" t="s">
        <v>177</v>
      </c>
      <c r="K455">
        <v>10</v>
      </c>
      <c r="L455" t="s">
        <v>181</v>
      </c>
    </row>
    <row r="456" spans="1:12" ht="15" customHeight="1" x14ac:dyDescent="0.35">
      <c r="A456" t="s">
        <v>29</v>
      </c>
      <c r="B456" t="s">
        <v>18</v>
      </c>
      <c r="C456" t="s">
        <v>16</v>
      </c>
      <c r="D456" t="s">
        <v>140</v>
      </c>
      <c r="E456" t="s">
        <v>16</v>
      </c>
      <c r="F456" t="s">
        <v>92</v>
      </c>
      <c r="G456" s="12">
        <v>46433</v>
      </c>
      <c r="H456" s="13">
        <v>10.107018</v>
      </c>
      <c r="I456" t="s">
        <v>176</v>
      </c>
      <c r="J456" t="s">
        <v>180</v>
      </c>
      <c r="K456">
        <v>10.107018</v>
      </c>
      <c r="L456" t="s">
        <v>181</v>
      </c>
    </row>
    <row r="457" spans="1:12" ht="15" customHeight="1" x14ac:dyDescent="0.35">
      <c r="A457" t="s">
        <v>29</v>
      </c>
      <c r="B457" t="s">
        <v>18</v>
      </c>
      <c r="C457" t="s">
        <v>16</v>
      </c>
      <c r="D457" t="s">
        <v>90</v>
      </c>
      <c r="E457" t="s">
        <v>16</v>
      </c>
      <c r="F457" t="s">
        <v>92</v>
      </c>
      <c r="G457" s="12">
        <v>46433</v>
      </c>
      <c r="H457" s="13">
        <v>4.8929819999999999</v>
      </c>
      <c r="I457" t="s">
        <v>176</v>
      </c>
      <c r="J457" t="s">
        <v>177</v>
      </c>
      <c r="K457">
        <v>55</v>
      </c>
      <c r="L457" t="s">
        <v>178</v>
      </c>
    </row>
    <row r="458" spans="1:12" ht="15" customHeight="1" x14ac:dyDescent="0.35">
      <c r="A458" t="s">
        <v>12</v>
      </c>
      <c r="B458" t="s">
        <v>13</v>
      </c>
      <c r="C458" t="s">
        <v>14</v>
      </c>
      <c r="D458" t="s">
        <v>123</v>
      </c>
      <c r="E458" t="s">
        <v>14</v>
      </c>
      <c r="F458" t="s">
        <v>81</v>
      </c>
      <c r="G458" s="12">
        <v>46433</v>
      </c>
      <c r="H458" s="13">
        <v>7</v>
      </c>
      <c r="I458" t="s">
        <v>176</v>
      </c>
      <c r="J458" t="s">
        <v>177</v>
      </c>
      <c r="K458">
        <v>9</v>
      </c>
      <c r="L458" t="s">
        <v>178</v>
      </c>
    </row>
    <row r="459" spans="1:12" ht="15" customHeight="1" x14ac:dyDescent="0.35">
      <c r="A459" t="s">
        <v>12</v>
      </c>
      <c r="B459" t="s">
        <v>13</v>
      </c>
      <c r="C459" t="s">
        <v>14</v>
      </c>
      <c r="D459" t="s">
        <v>27</v>
      </c>
      <c r="E459" t="s">
        <v>14</v>
      </c>
      <c r="F459" t="s">
        <v>40</v>
      </c>
      <c r="G459" s="12">
        <v>46433</v>
      </c>
      <c r="H459" s="13">
        <v>15</v>
      </c>
      <c r="I459" t="s">
        <v>176</v>
      </c>
      <c r="J459" t="s">
        <v>177</v>
      </c>
      <c r="K459">
        <v>49.5</v>
      </c>
      <c r="L459" t="s">
        <v>178</v>
      </c>
    </row>
    <row r="460" spans="1:12" ht="15" customHeight="1" x14ac:dyDescent="0.35">
      <c r="A460" t="s">
        <v>12</v>
      </c>
      <c r="B460" t="s">
        <v>13</v>
      </c>
      <c r="C460" t="s">
        <v>14</v>
      </c>
      <c r="D460" t="s">
        <v>27</v>
      </c>
      <c r="E460" t="s">
        <v>14</v>
      </c>
      <c r="F460" t="s">
        <v>99</v>
      </c>
      <c r="G460" s="12">
        <v>46433</v>
      </c>
      <c r="H460" s="13">
        <v>7.5</v>
      </c>
      <c r="I460" t="s">
        <v>176</v>
      </c>
      <c r="J460" t="s">
        <v>177</v>
      </c>
      <c r="K460">
        <v>34.5</v>
      </c>
      <c r="L460" t="s">
        <v>178</v>
      </c>
    </row>
    <row r="461" spans="1:12" ht="15" customHeight="1" x14ac:dyDescent="0.35">
      <c r="A461" t="s">
        <v>12</v>
      </c>
      <c r="B461" t="s">
        <v>13</v>
      </c>
      <c r="C461" t="s">
        <v>14</v>
      </c>
      <c r="D461" t="s">
        <v>21</v>
      </c>
      <c r="E461" t="s">
        <v>14</v>
      </c>
      <c r="F461" t="s">
        <v>43</v>
      </c>
      <c r="G461" s="12">
        <v>46433</v>
      </c>
      <c r="H461" s="13">
        <v>14.5</v>
      </c>
      <c r="I461" t="s">
        <v>176</v>
      </c>
      <c r="J461" t="s">
        <v>177</v>
      </c>
      <c r="K461">
        <v>55</v>
      </c>
      <c r="L461" t="s">
        <v>178</v>
      </c>
    </row>
    <row r="462" spans="1:12" ht="15" customHeight="1" x14ac:dyDescent="0.35">
      <c r="A462" t="s">
        <v>12</v>
      </c>
      <c r="B462" t="s">
        <v>13</v>
      </c>
      <c r="C462" t="s">
        <v>14</v>
      </c>
      <c r="D462" t="s">
        <v>135</v>
      </c>
      <c r="E462" t="s">
        <v>14</v>
      </c>
      <c r="F462" t="s">
        <v>43</v>
      </c>
      <c r="G462" s="12">
        <v>46433</v>
      </c>
      <c r="H462" s="13">
        <v>3.5</v>
      </c>
      <c r="I462" t="s">
        <v>176</v>
      </c>
      <c r="J462" t="s">
        <v>177</v>
      </c>
      <c r="K462">
        <v>3.5</v>
      </c>
      <c r="L462" t="s">
        <v>178</v>
      </c>
    </row>
    <row r="463" spans="1:12" ht="15" customHeight="1" x14ac:dyDescent="0.35">
      <c r="A463" t="s">
        <v>12</v>
      </c>
      <c r="B463" t="s">
        <v>13</v>
      </c>
      <c r="C463" t="s">
        <v>14</v>
      </c>
      <c r="D463" t="s">
        <v>30</v>
      </c>
      <c r="E463" t="s">
        <v>14</v>
      </c>
      <c r="F463" t="s">
        <v>100</v>
      </c>
      <c r="G463" s="12">
        <v>46433</v>
      </c>
      <c r="H463" s="13">
        <v>1</v>
      </c>
      <c r="I463" t="s">
        <v>176</v>
      </c>
      <c r="J463" t="s">
        <v>177</v>
      </c>
      <c r="K463">
        <v>41</v>
      </c>
      <c r="L463" t="s">
        <v>178</v>
      </c>
    </row>
    <row r="464" spans="1:12" ht="15" customHeight="1" x14ac:dyDescent="0.35">
      <c r="A464" t="s">
        <v>12</v>
      </c>
      <c r="B464" t="s">
        <v>9</v>
      </c>
      <c r="C464" t="s">
        <v>10</v>
      </c>
      <c r="D464" t="s">
        <v>23</v>
      </c>
      <c r="E464" t="s">
        <v>10</v>
      </c>
      <c r="F464" t="s">
        <v>81</v>
      </c>
      <c r="G464" s="12">
        <v>46433</v>
      </c>
      <c r="H464" s="13">
        <v>8</v>
      </c>
      <c r="I464" t="s">
        <v>176</v>
      </c>
      <c r="J464" t="s">
        <v>177</v>
      </c>
      <c r="K464">
        <v>54.5</v>
      </c>
      <c r="L464" t="s">
        <v>178</v>
      </c>
    </row>
    <row r="465" spans="1:12" ht="15" customHeight="1" x14ac:dyDescent="0.35">
      <c r="A465" t="s">
        <v>12</v>
      </c>
      <c r="B465" t="s">
        <v>9</v>
      </c>
      <c r="C465" t="s">
        <v>10</v>
      </c>
      <c r="D465" t="s">
        <v>116</v>
      </c>
      <c r="E465" t="s">
        <v>10</v>
      </c>
      <c r="F465" t="s">
        <v>40</v>
      </c>
      <c r="G465" s="12">
        <v>46433</v>
      </c>
      <c r="H465" s="13">
        <v>4.9000000000000101</v>
      </c>
      <c r="I465" t="s">
        <v>176</v>
      </c>
      <c r="J465" t="s">
        <v>177</v>
      </c>
      <c r="K465">
        <v>49.4</v>
      </c>
      <c r="L465" t="s">
        <v>178</v>
      </c>
    </row>
    <row r="466" spans="1:12" ht="15" customHeight="1" x14ac:dyDescent="0.35">
      <c r="A466" t="s">
        <v>12</v>
      </c>
      <c r="B466" t="s">
        <v>9</v>
      </c>
      <c r="C466" t="s">
        <v>10</v>
      </c>
      <c r="D466" t="s">
        <v>116</v>
      </c>
      <c r="E466" t="s">
        <v>10</v>
      </c>
      <c r="F466" t="s">
        <v>99</v>
      </c>
      <c r="G466" s="12">
        <v>46433</v>
      </c>
      <c r="H466" s="13">
        <v>8.5</v>
      </c>
      <c r="I466" t="s">
        <v>176</v>
      </c>
      <c r="J466" t="s">
        <v>177</v>
      </c>
      <c r="K466">
        <v>36</v>
      </c>
      <c r="L466" t="s">
        <v>178</v>
      </c>
    </row>
    <row r="467" spans="1:12" ht="15" customHeight="1" x14ac:dyDescent="0.35">
      <c r="A467" t="s">
        <v>12</v>
      </c>
      <c r="B467" t="s">
        <v>9</v>
      </c>
      <c r="C467" t="s">
        <v>10</v>
      </c>
      <c r="D467" t="s">
        <v>116</v>
      </c>
      <c r="E467" t="s">
        <v>10</v>
      </c>
      <c r="F467" t="s">
        <v>43</v>
      </c>
      <c r="G467" s="12">
        <v>46433</v>
      </c>
      <c r="H467" s="13">
        <v>8.5</v>
      </c>
      <c r="I467" t="s">
        <v>176</v>
      </c>
      <c r="J467" t="s">
        <v>177</v>
      </c>
      <c r="K467">
        <v>44.5</v>
      </c>
      <c r="L467" t="s">
        <v>178</v>
      </c>
    </row>
    <row r="468" spans="1:12" ht="15" customHeight="1" x14ac:dyDescent="0.35">
      <c r="A468" t="s">
        <v>12</v>
      </c>
      <c r="B468" t="s">
        <v>9</v>
      </c>
      <c r="C468" t="s">
        <v>10</v>
      </c>
      <c r="D468" t="s">
        <v>33</v>
      </c>
      <c r="E468" t="s">
        <v>10</v>
      </c>
      <c r="F468" t="s">
        <v>100</v>
      </c>
      <c r="G468" s="12">
        <v>46433</v>
      </c>
      <c r="H468" s="13">
        <v>1</v>
      </c>
      <c r="I468" t="s">
        <v>176</v>
      </c>
      <c r="J468" t="s">
        <v>177</v>
      </c>
      <c r="K468">
        <v>26</v>
      </c>
      <c r="L468" t="s">
        <v>178</v>
      </c>
    </row>
    <row r="469" spans="1:12" ht="15" customHeight="1" x14ac:dyDescent="0.35">
      <c r="A469" t="s">
        <v>12</v>
      </c>
      <c r="B469" t="s">
        <v>22</v>
      </c>
      <c r="C469" t="s">
        <v>10</v>
      </c>
      <c r="D469" t="s">
        <v>23</v>
      </c>
      <c r="E469" t="s">
        <v>10</v>
      </c>
      <c r="F469" t="s">
        <v>102</v>
      </c>
      <c r="G469" s="12">
        <v>46433</v>
      </c>
      <c r="H469" s="13">
        <v>0.5</v>
      </c>
      <c r="I469" t="s">
        <v>176</v>
      </c>
      <c r="J469" t="s">
        <v>177</v>
      </c>
      <c r="K469">
        <v>55</v>
      </c>
      <c r="L469" t="s">
        <v>178</v>
      </c>
    </row>
    <row r="470" spans="1:12" ht="15" customHeight="1" x14ac:dyDescent="0.35">
      <c r="A470" t="s">
        <v>12</v>
      </c>
      <c r="B470" t="s">
        <v>22</v>
      </c>
      <c r="C470" t="s">
        <v>10</v>
      </c>
      <c r="D470" t="s">
        <v>117</v>
      </c>
      <c r="E470" t="s">
        <v>10</v>
      </c>
      <c r="F470" t="s">
        <v>102</v>
      </c>
      <c r="G470" s="12">
        <v>46433</v>
      </c>
      <c r="H470" s="13">
        <v>1.5</v>
      </c>
      <c r="I470" t="s">
        <v>176</v>
      </c>
      <c r="J470" t="s">
        <v>180</v>
      </c>
      <c r="K470">
        <v>1.5</v>
      </c>
      <c r="L470" t="s">
        <v>178</v>
      </c>
    </row>
    <row r="471" spans="1:12" ht="15" customHeight="1" x14ac:dyDescent="0.35">
      <c r="A471" t="s">
        <v>12</v>
      </c>
      <c r="B471" t="s">
        <v>20</v>
      </c>
      <c r="C471" t="s">
        <v>10</v>
      </c>
      <c r="D471" t="s">
        <v>116</v>
      </c>
      <c r="E471" t="s">
        <v>10</v>
      </c>
      <c r="F471" t="s">
        <v>40</v>
      </c>
      <c r="G471" s="12">
        <v>46433</v>
      </c>
      <c r="H471" s="13">
        <v>5.5999999999999899</v>
      </c>
      <c r="I471" t="s">
        <v>176</v>
      </c>
      <c r="J471" t="s">
        <v>177</v>
      </c>
      <c r="K471">
        <v>55</v>
      </c>
      <c r="L471" t="s">
        <v>178</v>
      </c>
    </row>
    <row r="472" spans="1:12" ht="15" customHeight="1" x14ac:dyDescent="0.35">
      <c r="A472" t="s">
        <v>12</v>
      </c>
      <c r="B472" t="s">
        <v>20</v>
      </c>
      <c r="C472" t="s">
        <v>10</v>
      </c>
      <c r="D472" t="s">
        <v>117</v>
      </c>
      <c r="E472" t="s">
        <v>10</v>
      </c>
      <c r="F472" t="s">
        <v>40</v>
      </c>
      <c r="G472" s="12">
        <v>46433</v>
      </c>
      <c r="H472" s="13">
        <v>0.40000000000000602</v>
      </c>
      <c r="I472" t="s">
        <v>176</v>
      </c>
      <c r="J472" t="s">
        <v>180</v>
      </c>
      <c r="K472">
        <v>1.9000000000000099</v>
      </c>
      <c r="L472" t="s">
        <v>178</v>
      </c>
    </row>
    <row r="473" spans="1:12" ht="15" customHeight="1" x14ac:dyDescent="0.35">
      <c r="A473" t="s">
        <v>12</v>
      </c>
      <c r="B473" t="s">
        <v>20</v>
      </c>
      <c r="C473" t="s">
        <v>10</v>
      </c>
      <c r="D473" t="s">
        <v>36</v>
      </c>
      <c r="E473" t="s">
        <v>10</v>
      </c>
      <c r="F473" t="s">
        <v>85</v>
      </c>
      <c r="G473" s="12">
        <v>46433</v>
      </c>
      <c r="H473" s="13">
        <v>11.5</v>
      </c>
      <c r="I473" t="s">
        <v>176</v>
      </c>
      <c r="J473" t="s">
        <v>177</v>
      </c>
      <c r="K473">
        <v>54</v>
      </c>
      <c r="L473" t="s">
        <v>178</v>
      </c>
    </row>
    <row r="474" spans="1:12" ht="15" customHeight="1" x14ac:dyDescent="0.35">
      <c r="A474" t="s">
        <v>12</v>
      </c>
      <c r="B474" t="s">
        <v>17</v>
      </c>
      <c r="C474" t="s">
        <v>14</v>
      </c>
      <c r="D474" t="s">
        <v>26</v>
      </c>
      <c r="E474" t="s">
        <v>14</v>
      </c>
      <c r="F474" t="s">
        <v>40</v>
      </c>
      <c r="G474" s="12">
        <v>46433</v>
      </c>
      <c r="H474" s="13">
        <v>10</v>
      </c>
      <c r="I474" t="s">
        <v>176</v>
      </c>
      <c r="J474" t="s">
        <v>177</v>
      </c>
      <c r="K474">
        <v>55</v>
      </c>
      <c r="L474" t="s">
        <v>178</v>
      </c>
    </row>
    <row r="475" spans="1:12" ht="15" customHeight="1" x14ac:dyDescent="0.35">
      <c r="A475" t="s">
        <v>12</v>
      </c>
      <c r="B475" t="s">
        <v>17</v>
      </c>
      <c r="C475" t="s">
        <v>14</v>
      </c>
      <c r="D475" t="s">
        <v>123</v>
      </c>
      <c r="E475" t="s">
        <v>14</v>
      </c>
      <c r="F475" t="s">
        <v>46</v>
      </c>
      <c r="G475" s="12">
        <v>46433</v>
      </c>
      <c r="H475" s="13">
        <v>2</v>
      </c>
      <c r="I475" t="s">
        <v>176</v>
      </c>
      <c r="J475" t="s">
        <v>177</v>
      </c>
      <c r="K475">
        <v>11</v>
      </c>
      <c r="L475" t="s">
        <v>178</v>
      </c>
    </row>
    <row r="476" spans="1:12" ht="15" customHeight="1" x14ac:dyDescent="0.35">
      <c r="A476" t="s">
        <v>12</v>
      </c>
      <c r="B476" t="s">
        <v>15</v>
      </c>
      <c r="C476" t="s">
        <v>16</v>
      </c>
      <c r="D476" t="s">
        <v>75</v>
      </c>
      <c r="E476" t="s">
        <v>16</v>
      </c>
      <c r="F476" t="s">
        <v>79</v>
      </c>
      <c r="G476" s="12">
        <v>46433</v>
      </c>
      <c r="H476" s="13">
        <v>1.4035089999999999</v>
      </c>
      <c r="I476" t="s">
        <v>176</v>
      </c>
      <c r="J476" t="s">
        <v>177</v>
      </c>
      <c r="K476">
        <v>36.307017999999999</v>
      </c>
      <c r="L476" t="s">
        <v>178</v>
      </c>
    </row>
    <row r="477" spans="1:12" ht="15" customHeight="1" x14ac:dyDescent="0.35">
      <c r="A477" t="s">
        <v>12</v>
      </c>
      <c r="B477" t="s">
        <v>15</v>
      </c>
      <c r="C477" t="s">
        <v>16</v>
      </c>
      <c r="D477" t="s">
        <v>75</v>
      </c>
      <c r="E477" t="s">
        <v>16</v>
      </c>
      <c r="F477" t="s">
        <v>81</v>
      </c>
      <c r="G477" s="12">
        <v>46433</v>
      </c>
      <c r="H477" s="13">
        <v>3.8929819999999999</v>
      </c>
      <c r="I477" t="s">
        <v>176</v>
      </c>
      <c r="J477" t="s">
        <v>177</v>
      </c>
      <c r="K477">
        <v>55</v>
      </c>
      <c r="L477" t="s">
        <v>178</v>
      </c>
    </row>
    <row r="478" spans="1:12" ht="15" customHeight="1" x14ac:dyDescent="0.35">
      <c r="A478" t="s">
        <v>12</v>
      </c>
      <c r="B478" t="s">
        <v>15</v>
      </c>
      <c r="C478" t="s">
        <v>16</v>
      </c>
      <c r="D478" t="s">
        <v>90</v>
      </c>
      <c r="E478" t="s">
        <v>16</v>
      </c>
      <c r="F478" t="s">
        <v>81</v>
      </c>
      <c r="G478" s="12">
        <v>46433</v>
      </c>
      <c r="H478" s="13">
        <v>9.8070179999999993</v>
      </c>
      <c r="I478" t="s">
        <v>176</v>
      </c>
      <c r="J478" t="s">
        <v>180</v>
      </c>
      <c r="K478">
        <v>39.807017999999999</v>
      </c>
      <c r="L478" t="s">
        <v>178</v>
      </c>
    </row>
    <row r="479" spans="1:12" ht="15" customHeight="1" x14ac:dyDescent="0.35">
      <c r="A479" t="s">
        <v>12</v>
      </c>
      <c r="B479" t="s">
        <v>15</v>
      </c>
      <c r="C479" t="s">
        <v>16</v>
      </c>
      <c r="D479" t="s">
        <v>90</v>
      </c>
      <c r="E479" t="s">
        <v>16</v>
      </c>
      <c r="F479" t="s">
        <v>94</v>
      </c>
      <c r="G479" s="12">
        <v>46433</v>
      </c>
      <c r="H479" s="13">
        <v>4.2</v>
      </c>
      <c r="I479" t="s">
        <v>176</v>
      </c>
      <c r="J479" t="s">
        <v>180</v>
      </c>
      <c r="K479">
        <v>50.107017999999997</v>
      </c>
      <c r="L479" t="s">
        <v>178</v>
      </c>
    </row>
    <row r="480" spans="1:12" ht="15" customHeight="1" x14ac:dyDescent="0.35">
      <c r="A480" t="s">
        <v>12</v>
      </c>
      <c r="B480" t="s">
        <v>15</v>
      </c>
      <c r="C480" t="s">
        <v>16</v>
      </c>
      <c r="D480" t="s">
        <v>75</v>
      </c>
      <c r="E480" t="s">
        <v>16</v>
      </c>
      <c r="F480" t="s">
        <v>40</v>
      </c>
      <c r="G480" s="12">
        <v>46433</v>
      </c>
      <c r="H480" s="13">
        <v>9.8000000000000007</v>
      </c>
      <c r="I480" t="s">
        <v>176</v>
      </c>
      <c r="J480" t="s">
        <v>177</v>
      </c>
      <c r="K480">
        <v>51.107017999999997</v>
      </c>
      <c r="L480" t="s">
        <v>178</v>
      </c>
    </row>
    <row r="481" spans="1:12" ht="15" customHeight="1" x14ac:dyDescent="0.35">
      <c r="A481" t="s">
        <v>12</v>
      </c>
      <c r="B481" t="s">
        <v>15</v>
      </c>
      <c r="C481" t="s">
        <v>16</v>
      </c>
      <c r="D481" t="s">
        <v>90</v>
      </c>
      <c r="E481" t="s">
        <v>16</v>
      </c>
      <c r="F481" t="s">
        <v>97</v>
      </c>
      <c r="G481" s="12">
        <v>46433</v>
      </c>
      <c r="H481" s="13">
        <v>4</v>
      </c>
      <c r="I481" t="s">
        <v>176</v>
      </c>
      <c r="J481" t="s">
        <v>180</v>
      </c>
      <c r="K481">
        <v>45.907018000000001</v>
      </c>
      <c r="L481" t="s">
        <v>178</v>
      </c>
    </row>
    <row r="482" spans="1:12" ht="15" customHeight="1" x14ac:dyDescent="0.35">
      <c r="A482" t="s">
        <v>12</v>
      </c>
      <c r="B482" t="s">
        <v>15</v>
      </c>
      <c r="C482" t="s">
        <v>16</v>
      </c>
      <c r="D482" t="s">
        <v>90</v>
      </c>
      <c r="E482" t="s">
        <v>16</v>
      </c>
      <c r="F482" t="s">
        <v>99</v>
      </c>
      <c r="G482" s="12">
        <v>46433</v>
      </c>
      <c r="H482" s="13">
        <v>2.1</v>
      </c>
      <c r="I482" t="s">
        <v>176</v>
      </c>
      <c r="J482" t="s">
        <v>180</v>
      </c>
      <c r="K482">
        <v>41.907018000000001</v>
      </c>
      <c r="L482" t="s">
        <v>178</v>
      </c>
    </row>
    <row r="483" spans="1:12" ht="15" customHeight="1" x14ac:dyDescent="0.35">
      <c r="A483" t="s">
        <v>12</v>
      </c>
      <c r="B483" t="s">
        <v>15</v>
      </c>
      <c r="C483" t="s">
        <v>16</v>
      </c>
      <c r="D483" t="s">
        <v>75</v>
      </c>
      <c r="E483" t="s">
        <v>16</v>
      </c>
      <c r="F483" t="s">
        <v>43</v>
      </c>
      <c r="G483" s="12">
        <v>46433</v>
      </c>
      <c r="H483" s="13">
        <v>5</v>
      </c>
      <c r="I483" t="s">
        <v>176</v>
      </c>
      <c r="J483" t="s">
        <v>177</v>
      </c>
      <c r="K483">
        <v>41.307017999999999</v>
      </c>
      <c r="L483" t="s">
        <v>178</v>
      </c>
    </row>
    <row r="484" spans="1:12" ht="15" customHeight="1" x14ac:dyDescent="0.35">
      <c r="A484" t="s">
        <v>12</v>
      </c>
      <c r="B484" t="s">
        <v>18</v>
      </c>
      <c r="C484" t="s">
        <v>16</v>
      </c>
      <c r="D484" t="s">
        <v>142</v>
      </c>
      <c r="E484" t="s">
        <v>16</v>
      </c>
      <c r="F484" t="s">
        <v>79</v>
      </c>
      <c r="G484" s="12">
        <v>46433</v>
      </c>
      <c r="H484" s="13">
        <v>1.4035089999999999</v>
      </c>
      <c r="I484" t="s">
        <v>176</v>
      </c>
      <c r="J484" t="s">
        <v>177</v>
      </c>
      <c r="K484">
        <v>1.4035089999999999</v>
      </c>
      <c r="L484" t="s">
        <v>181</v>
      </c>
    </row>
    <row r="485" spans="1:12" ht="15" customHeight="1" x14ac:dyDescent="0.35">
      <c r="A485" t="s">
        <v>12</v>
      </c>
      <c r="B485" t="s">
        <v>18</v>
      </c>
      <c r="C485" t="s">
        <v>16</v>
      </c>
      <c r="D485" t="s">
        <v>142</v>
      </c>
      <c r="E485" t="s">
        <v>16</v>
      </c>
      <c r="F485" t="s">
        <v>81</v>
      </c>
      <c r="G485" s="12">
        <v>46433</v>
      </c>
      <c r="H485" s="13">
        <v>1</v>
      </c>
      <c r="I485" t="s">
        <v>176</v>
      </c>
      <c r="J485" t="s">
        <v>177</v>
      </c>
      <c r="K485">
        <v>3.8070179999999998</v>
      </c>
      <c r="L485" t="s">
        <v>181</v>
      </c>
    </row>
    <row r="486" spans="1:12" ht="15" customHeight="1" x14ac:dyDescent="0.35">
      <c r="A486" t="s">
        <v>12</v>
      </c>
      <c r="B486" t="s">
        <v>18</v>
      </c>
      <c r="C486" t="s">
        <v>16</v>
      </c>
      <c r="D486" t="s">
        <v>142</v>
      </c>
      <c r="E486" t="s">
        <v>16</v>
      </c>
      <c r="F486" t="s">
        <v>40</v>
      </c>
      <c r="G486" s="12">
        <v>46433</v>
      </c>
      <c r="H486" s="13">
        <v>1</v>
      </c>
      <c r="I486" t="s">
        <v>176</v>
      </c>
      <c r="J486" t="s">
        <v>177</v>
      </c>
      <c r="K486">
        <v>10.807017999999999</v>
      </c>
      <c r="L486" t="s">
        <v>181</v>
      </c>
    </row>
    <row r="487" spans="1:12" ht="15" customHeight="1" x14ac:dyDescent="0.35">
      <c r="A487" t="s">
        <v>12</v>
      </c>
      <c r="B487" t="s">
        <v>138</v>
      </c>
      <c r="C487" t="s">
        <v>14</v>
      </c>
      <c r="D487" t="s">
        <v>123</v>
      </c>
      <c r="E487" t="s">
        <v>14</v>
      </c>
      <c r="F487" t="s">
        <v>81</v>
      </c>
      <c r="G487" s="12">
        <v>46433</v>
      </c>
      <c r="H487" s="13">
        <v>9</v>
      </c>
      <c r="I487" t="s">
        <v>182</v>
      </c>
      <c r="J487" t="s">
        <v>177</v>
      </c>
      <c r="K487">
        <v>20</v>
      </c>
      <c r="L487" t="s">
        <v>178</v>
      </c>
    </row>
    <row r="488" spans="1:12" ht="15" customHeight="1" x14ac:dyDescent="0.35">
      <c r="A488" t="s">
        <v>12</v>
      </c>
      <c r="B488" t="s">
        <v>138</v>
      </c>
      <c r="C488" t="s">
        <v>14</v>
      </c>
      <c r="D488" t="s">
        <v>24</v>
      </c>
      <c r="E488" t="s">
        <v>14</v>
      </c>
      <c r="F488" t="s">
        <v>81</v>
      </c>
      <c r="G488" s="12">
        <v>46433</v>
      </c>
      <c r="H488" s="13">
        <v>1.5</v>
      </c>
      <c r="I488" t="s">
        <v>182</v>
      </c>
      <c r="J488" t="s">
        <v>177</v>
      </c>
      <c r="K488">
        <v>55</v>
      </c>
      <c r="L488" t="s">
        <v>178</v>
      </c>
    </row>
    <row r="489" spans="1:12" ht="15" customHeight="1" x14ac:dyDescent="0.35">
      <c r="A489" t="s">
        <v>12</v>
      </c>
      <c r="B489" t="s">
        <v>138</v>
      </c>
      <c r="C489" t="s">
        <v>14</v>
      </c>
      <c r="D489" t="s">
        <v>27</v>
      </c>
      <c r="E489" t="s">
        <v>14</v>
      </c>
      <c r="F489" t="s">
        <v>81</v>
      </c>
      <c r="G489" s="12">
        <v>46433</v>
      </c>
      <c r="H489" s="13">
        <v>5.5</v>
      </c>
      <c r="I489" t="s">
        <v>182</v>
      </c>
      <c r="J489" t="s">
        <v>177</v>
      </c>
      <c r="K489">
        <v>55</v>
      </c>
      <c r="L489" t="s">
        <v>178</v>
      </c>
    </row>
    <row r="490" spans="1:12" ht="15" customHeight="1" x14ac:dyDescent="0.35">
      <c r="A490" t="s">
        <v>12</v>
      </c>
      <c r="B490" t="s">
        <v>138</v>
      </c>
      <c r="C490" t="s">
        <v>14</v>
      </c>
      <c r="D490" t="s">
        <v>159</v>
      </c>
      <c r="E490" t="s">
        <v>14</v>
      </c>
      <c r="F490" t="s">
        <v>81</v>
      </c>
      <c r="G490" s="12">
        <v>46433</v>
      </c>
      <c r="H490" s="13">
        <v>12</v>
      </c>
      <c r="I490" t="s">
        <v>183</v>
      </c>
      <c r="J490" t="s">
        <v>177</v>
      </c>
      <c r="K490">
        <v>12</v>
      </c>
      <c r="L490" t="s">
        <v>181</v>
      </c>
    </row>
    <row r="491" spans="1:12" ht="15" customHeight="1" x14ac:dyDescent="0.35">
      <c r="A491" t="s">
        <v>12</v>
      </c>
      <c r="B491" t="s">
        <v>138</v>
      </c>
      <c r="C491" t="s">
        <v>14</v>
      </c>
      <c r="D491" t="s">
        <v>30</v>
      </c>
      <c r="E491" t="s">
        <v>14</v>
      </c>
      <c r="F491" t="s">
        <v>100</v>
      </c>
      <c r="G491" s="12">
        <v>46433</v>
      </c>
      <c r="H491" s="13">
        <v>14</v>
      </c>
      <c r="I491" t="s">
        <v>182</v>
      </c>
      <c r="J491" t="s">
        <v>177</v>
      </c>
      <c r="K491">
        <v>55</v>
      </c>
      <c r="L491" t="s">
        <v>178</v>
      </c>
    </row>
    <row r="492" spans="1:12" ht="15" customHeight="1" x14ac:dyDescent="0.35">
      <c r="A492" t="s">
        <v>12</v>
      </c>
      <c r="B492" t="s">
        <v>138</v>
      </c>
      <c r="C492" t="s">
        <v>14</v>
      </c>
      <c r="D492" t="s">
        <v>131</v>
      </c>
      <c r="E492" t="s">
        <v>14</v>
      </c>
      <c r="F492" t="s">
        <v>100</v>
      </c>
      <c r="G492" s="12">
        <v>46433</v>
      </c>
      <c r="H492" s="13">
        <v>21</v>
      </c>
      <c r="I492" t="s">
        <v>182</v>
      </c>
      <c r="J492" t="s">
        <v>177</v>
      </c>
      <c r="K492">
        <v>21</v>
      </c>
      <c r="L492" t="s">
        <v>178</v>
      </c>
    </row>
    <row r="493" spans="1:12" ht="15" customHeight="1" x14ac:dyDescent="0.35">
      <c r="A493" t="s">
        <v>12</v>
      </c>
      <c r="B493" t="s">
        <v>104</v>
      </c>
      <c r="C493" t="s">
        <v>16</v>
      </c>
      <c r="D493" t="s">
        <v>142</v>
      </c>
      <c r="E493" t="s">
        <v>16</v>
      </c>
      <c r="F493" t="s">
        <v>105</v>
      </c>
      <c r="G493" s="12">
        <v>46433</v>
      </c>
      <c r="H493" s="13">
        <v>4</v>
      </c>
      <c r="I493" t="s">
        <v>185</v>
      </c>
      <c r="J493" t="s">
        <v>177</v>
      </c>
      <c r="K493">
        <v>21.807017999999999</v>
      </c>
      <c r="L493" t="s">
        <v>181</v>
      </c>
    </row>
    <row r="494" spans="1:12" ht="15" customHeight="1" x14ac:dyDescent="0.35">
      <c r="A494" t="s">
        <v>12</v>
      </c>
      <c r="B494" t="s">
        <v>104</v>
      </c>
      <c r="C494" t="s">
        <v>10</v>
      </c>
      <c r="D494" t="s">
        <v>117</v>
      </c>
      <c r="E494" t="s">
        <v>10</v>
      </c>
      <c r="F494" t="s">
        <v>105</v>
      </c>
      <c r="G494" s="12">
        <v>46433</v>
      </c>
      <c r="H494" s="13">
        <v>16</v>
      </c>
      <c r="I494" t="s">
        <v>182</v>
      </c>
      <c r="J494" t="s">
        <v>180</v>
      </c>
      <c r="K494">
        <v>17.899999999999999</v>
      </c>
      <c r="L494" t="s">
        <v>178</v>
      </c>
    </row>
    <row r="495" spans="1:12" ht="15" customHeight="1" x14ac:dyDescent="0.35">
      <c r="A495" t="s">
        <v>12</v>
      </c>
      <c r="B495" t="s">
        <v>104</v>
      </c>
      <c r="C495" t="s">
        <v>14</v>
      </c>
      <c r="D495" t="s">
        <v>157</v>
      </c>
      <c r="E495" t="s">
        <v>14</v>
      </c>
      <c r="F495" t="s">
        <v>105</v>
      </c>
      <c r="G495" s="12">
        <v>46433</v>
      </c>
      <c r="H495" s="13">
        <v>29.5</v>
      </c>
      <c r="I495" t="s">
        <v>185</v>
      </c>
      <c r="J495" t="s">
        <v>177</v>
      </c>
      <c r="K495">
        <v>29.5</v>
      </c>
      <c r="L495" t="s">
        <v>181</v>
      </c>
    </row>
    <row r="496" spans="1:12" ht="15" customHeight="1" x14ac:dyDescent="0.35">
      <c r="A496" t="s">
        <v>12</v>
      </c>
      <c r="B496" t="s">
        <v>104</v>
      </c>
      <c r="C496" t="s">
        <v>14</v>
      </c>
      <c r="D496" t="s">
        <v>104</v>
      </c>
      <c r="E496" t="s">
        <v>14</v>
      </c>
      <c r="F496" t="s">
        <v>105</v>
      </c>
      <c r="G496" s="12">
        <v>46433</v>
      </c>
      <c r="H496" s="13">
        <v>10.5</v>
      </c>
      <c r="I496" t="s">
        <v>183</v>
      </c>
      <c r="J496" t="s">
        <v>180</v>
      </c>
      <c r="K496">
        <v>10.5</v>
      </c>
      <c r="L496" t="s">
        <v>181</v>
      </c>
    </row>
    <row r="497" spans="1:12" ht="15" customHeight="1" x14ac:dyDescent="0.35">
      <c r="A497" t="s">
        <v>12</v>
      </c>
      <c r="B497" t="s">
        <v>135</v>
      </c>
      <c r="C497" t="s">
        <v>14</v>
      </c>
      <c r="D497" t="s">
        <v>154</v>
      </c>
      <c r="E497" t="s">
        <v>14</v>
      </c>
      <c r="F497" t="s">
        <v>43</v>
      </c>
      <c r="G497" s="12">
        <v>46433</v>
      </c>
      <c r="H497" s="13">
        <v>8</v>
      </c>
      <c r="I497" t="s">
        <v>185</v>
      </c>
      <c r="J497" t="s">
        <v>177</v>
      </c>
      <c r="K497">
        <v>8</v>
      </c>
      <c r="L497" t="s">
        <v>181</v>
      </c>
    </row>
    <row r="498" spans="1:12" ht="15" customHeight="1" x14ac:dyDescent="0.35">
      <c r="A498" t="s">
        <v>12</v>
      </c>
      <c r="B498" t="s">
        <v>127</v>
      </c>
      <c r="C498" t="s">
        <v>14</v>
      </c>
      <c r="D498" t="s">
        <v>127</v>
      </c>
      <c r="E498" t="s">
        <v>14</v>
      </c>
      <c r="F498" t="s">
        <v>40</v>
      </c>
      <c r="G498" s="12">
        <v>46433</v>
      </c>
      <c r="H498" s="13">
        <v>8</v>
      </c>
      <c r="I498" t="s">
        <v>183</v>
      </c>
      <c r="J498" t="s">
        <v>180</v>
      </c>
      <c r="K498">
        <v>8</v>
      </c>
      <c r="L498" t="s">
        <v>181</v>
      </c>
    </row>
    <row r="499" spans="1:12" ht="15" customHeight="1" x14ac:dyDescent="0.35">
      <c r="A499" t="s">
        <v>12</v>
      </c>
      <c r="B499" t="s">
        <v>130</v>
      </c>
      <c r="C499" t="s">
        <v>14</v>
      </c>
      <c r="D499" t="s">
        <v>148</v>
      </c>
      <c r="E499" t="s">
        <v>14</v>
      </c>
      <c r="F499" t="s">
        <v>85</v>
      </c>
      <c r="G499" s="12">
        <v>46433</v>
      </c>
      <c r="H499" s="13">
        <v>6</v>
      </c>
      <c r="I499" t="s">
        <v>185</v>
      </c>
      <c r="J499" t="s">
        <v>177</v>
      </c>
      <c r="K499">
        <v>6</v>
      </c>
      <c r="L499" t="s">
        <v>181</v>
      </c>
    </row>
    <row r="500" spans="1:12" ht="15" customHeight="1" x14ac:dyDescent="0.35">
      <c r="A500" t="s">
        <v>12</v>
      </c>
      <c r="B500" t="s">
        <v>139</v>
      </c>
      <c r="C500" t="s">
        <v>14</v>
      </c>
      <c r="D500" t="s">
        <v>153</v>
      </c>
      <c r="E500" t="s">
        <v>14</v>
      </c>
      <c r="F500" t="s">
        <v>43</v>
      </c>
      <c r="G500" s="12">
        <v>46433</v>
      </c>
      <c r="H500" s="13">
        <v>7</v>
      </c>
      <c r="I500" t="s">
        <v>185</v>
      </c>
      <c r="J500" t="s">
        <v>177</v>
      </c>
      <c r="K500">
        <v>12</v>
      </c>
      <c r="L500" t="s">
        <v>181</v>
      </c>
    </row>
    <row r="501" spans="1:12" ht="15" customHeight="1" x14ac:dyDescent="0.35">
      <c r="A501" t="s">
        <v>12</v>
      </c>
      <c r="B501" t="s">
        <v>139</v>
      </c>
      <c r="C501" t="s">
        <v>14</v>
      </c>
      <c r="D501" t="s">
        <v>156</v>
      </c>
      <c r="E501" t="s">
        <v>14</v>
      </c>
      <c r="F501" t="s">
        <v>100</v>
      </c>
      <c r="G501" s="12">
        <v>46433</v>
      </c>
      <c r="H501" s="13">
        <v>2</v>
      </c>
      <c r="I501" t="s">
        <v>185</v>
      </c>
      <c r="J501" t="s">
        <v>177</v>
      </c>
      <c r="K501">
        <v>12</v>
      </c>
      <c r="L501" t="s">
        <v>181</v>
      </c>
    </row>
    <row r="502" spans="1:12" ht="15" customHeight="1" x14ac:dyDescent="0.35">
      <c r="A502" t="s">
        <v>12</v>
      </c>
      <c r="B502" t="s">
        <v>134</v>
      </c>
      <c r="C502" t="s">
        <v>14</v>
      </c>
      <c r="D502" t="s">
        <v>152</v>
      </c>
      <c r="E502" t="s">
        <v>14</v>
      </c>
      <c r="F502" t="s">
        <v>99</v>
      </c>
      <c r="G502" s="12">
        <v>46433</v>
      </c>
      <c r="H502" s="13">
        <v>55</v>
      </c>
      <c r="I502" t="s">
        <v>185</v>
      </c>
      <c r="J502" t="s">
        <v>177</v>
      </c>
      <c r="K502">
        <v>55</v>
      </c>
      <c r="L502" t="s">
        <v>181</v>
      </c>
    </row>
    <row r="503" spans="1:12" ht="15" customHeight="1" x14ac:dyDescent="0.35">
      <c r="A503" t="s">
        <v>12</v>
      </c>
      <c r="B503" t="s">
        <v>134</v>
      </c>
      <c r="C503" t="s">
        <v>14</v>
      </c>
      <c r="D503" t="s">
        <v>153</v>
      </c>
      <c r="E503" t="s">
        <v>14</v>
      </c>
      <c r="F503" t="s">
        <v>99</v>
      </c>
      <c r="G503" s="12">
        <v>46433</v>
      </c>
      <c r="H503" s="13">
        <v>5</v>
      </c>
      <c r="I503" t="s">
        <v>185</v>
      </c>
      <c r="J503" t="s">
        <v>177</v>
      </c>
      <c r="K503">
        <v>5</v>
      </c>
      <c r="L503" t="s">
        <v>181</v>
      </c>
    </row>
    <row r="504" spans="1:12" ht="15" customHeight="1" x14ac:dyDescent="0.35">
      <c r="A504" t="s">
        <v>12</v>
      </c>
      <c r="B504" t="s">
        <v>133</v>
      </c>
      <c r="C504" t="s">
        <v>14</v>
      </c>
      <c r="D504" t="s">
        <v>151</v>
      </c>
      <c r="E504" t="s">
        <v>14</v>
      </c>
      <c r="F504" t="s">
        <v>46</v>
      </c>
      <c r="G504" s="12">
        <v>46433</v>
      </c>
      <c r="H504" s="13">
        <v>25</v>
      </c>
      <c r="I504" t="s">
        <v>184</v>
      </c>
      <c r="J504" t="s">
        <v>177</v>
      </c>
      <c r="K504">
        <v>25</v>
      </c>
      <c r="L504" t="s">
        <v>181</v>
      </c>
    </row>
    <row r="505" spans="1:12" ht="15" customHeight="1" x14ac:dyDescent="0.35">
      <c r="A505" t="s">
        <v>12</v>
      </c>
      <c r="B505" t="s">
        <v>129</v>
      </c>
      <c r="C505" t="s">
        <v>14</v>
      </c>
      <c r="D505" t="s">
        <v>146</v>
      </c>
      <c r="E505" t="s">
        <v>14</v>
      </c>
      <c r="F505" t="s">
        <v>102</v>
      </c>
      <c r="G505" s="12">
        <v>46433</v>
      </c>
      <c r="H505" s="13">
        <v>17</v>
      </c>
      <c r="I505" t="s">
        <v>185</v>
      </c>
      <c r="J505" t="s">
        <v>177</v>
      </c>
      <c r="K505">
        <v>17</v>
      </c>
      <c r="L505" t="s">
        <v>181</v>
      </c>
    </row>
    <row r="506" spans="1:12" ht="15" customHeight="1" x14ac:dyDescent="0.35">
      <c r="A506" t="s">
        <v>12</v>
      </c>
      <c r="B506" t="s">
        <v>131</v>
      </c>
      <c r="C506" t="s">
        <v>14</v>
      </c>
      <c r="D506" t="s">
        <v>147</v>
      </c>
      <c r="E506" t="s">
        <v>14</v>
      </c>
      <c r="F506" t="s">
        <v>103</v>
      </c>
      <c r="G506" s="12">
        <v>46433</v>
      </c>
      <c r="H506" s="13">
        <v>55</v>
      </c>
      <c r="I506" t="s">
        <v>185</v>
      </c>
      <c r="J506" t="s">
        <v>177</v>
      </c>
      <c r="K506">
        <v>55</v>
      </c>
      <c r="L506" t="s">
        <v>181</v>
      </c>
    </row>
    <row r="507" spans="1:12" ht="15" customHeight="1" x14ac:dyDescent="0.35">
      <c r="A507" t="s">
        <v>12</v>
      </c>
      <c r="B507" t="s">
        <v>132</v>
      </c>
      <c r="C507" t="s">
        <v>14</v>
      </c>
      <c r="D507" t="s">
        <v>149</v>
      </c>
      <c r="E507" t="s">
        <v>14</v>
      </c>
      <c r="F507" t="s">
        <v>103</v>
      </c>
      <c r="G507" s="12">
        <v>46433</v>
      </c>
      <c r="H507" s="13">
        <v>55</v>
      </c>
      <c r="I507" t="s">
        <v>185</v>
      </c>
      <c r="J507" t="s">
        <v>177</v>
      </c>
      <c r="K507">
        <v>55</v>
      </c>
      <c r="L507" t="s">
        <v>181</v>
      </c>
    </row>
    <row r="508" spans="1:12" ht="15" customHeight="1" x14ac:dyDescent="0.35">
      <c r="A508" t="s">
        <v>12</v>
      </c>
      <c r="B508" t="s">
        <v>136</v>
      </c>
      <c r="C508" t="s">
        <v>14</v>
      </c>
      <c r="D508" t="s">
        <v>155</v>
      </c>
      <c r="E508" t="s">
        <v>14</v>
      </c>
      <c r="F508" t="s">
        <v>43</v>
      </c>
      <c r="G508" s="12">
        <v>46433</v>
      </c>
      <c r="H508" s="13">
        <v>20</v>
      </c>
      <c r="I508" t="s">
        <v>185</v>
      </c>
      <c r="J508" t="s">
        <v>177</v>
      </c>
      <c r="K508">
        <v>20</v>
      </c>
      <c r="L508" t="s">
        <v>181</v>
      </c>
    </row>
    <row r="509" spans="1:12" ht="15" customHeight="1" x14ac:dyDescent="0.35">
      <c r="A509" t="s">
        <v>12</v>
      </c>
      <c r="B509" t="s">
        <v>137</v>
      </c>
      <c r="C509" t="s">
        <v>14</v>
      </c>
      <c r="D509" t="s">
        <v>156</v>
      </c>
      <c r="E509" t="s">
        <v>14</v>
      </c>
      <c r="F509" t="s">
        <v>100</v>
      </c>
      <c r="G509" s="12">
        <v>46433</v>
      </c>
      <c r="H509" s="13">
        <v>10</v>
      </c>
      <c r="I509" t="s">
        <v>185</v>
      </c>
      <c r="J509" t="s">
        <v>177</v>
      </c>
      <c r="K509">
        <v>10</v>
      </c>
      <c r="L509" t="s">
        <v>181</v>
      </c>
    </row>
    <row r="510" spans="1:12" ht="15" customHeight="1" x14ac:dyDescent="0.35">
      <c r="A510" t="s">
        <v>12</v>
      </c>
      <c r="B510" t="s">
        <v>25</v>
      </c>
      <c r="C510" t="s">
        <v>16</v>
      </c>
      <c r="D510" t="s">
        <v>142</v>
      </c>
      <c r="E510" t="s">
        <v>16</v>
      </c>
      <c r="F510" t="s">
        <v>79</v>
      </c>
      <c r="G510" s="12">
        <v>46433</v>
      </c>
      <c r="H510" s="13">
        <v>1.4035089999999999</v>
      </c>
      <c r="I510" t="s">
        <v>176</v>
      </c>
      <c r="J510" t="s">
        <v>177</v>
      </c>
      <c r="K510">
        <v>2.8070179999999998</v>
      </c>
      <c r="L510" t="s">
        <v>181</v>
      </c>
    </row>
    <row r="511" spans="1:12" ht="15" customHeight="1" x14ac:dyDescent="0.35">
      <c r="A511" t="s">
        <v>12</v>
      </c>
      <c r="B511" t="s">
        <v>25</v>
      </c>
      <c r="C511" t="s">
        <v>16</v>
      </c>
      <c r="D511" t="s">
        <v>142</v>
      </c>
      <c r="E511" t="s">
        <v>16</v>
      </c>
      <c r="F511" t="s">
        <v>81</v>
      </c>
      <c r="G511" s="12">
        <v>46433</v>
      </c>
      <c r="H511" s="13">
        <v>1</v>
      </c>
      <c r="I511" t="s">
        <v>176</v>
      </c>
      <c r="J511" t="s">
        <v>177</v>
      </c>
      <c r="K511">
        <v>4.8070180000000002</v>
      </c>
      <c r="L511" t="s">
        <v>181</v>
      </c>
    </row>
    <row r="512" spans="1:12" ht="15" customHeight="1" x14ac:dyDescent="0.35">
      <c r="A512" t="s">
        <v>12</v>
      </c>
      <c r="B512" t="s">
        <v>25</v>
      </c>
      <c r="C512" t="s">
        <v>16</v>
      </c>
      <c r="D512" t="s">
        <v>142</v>
      </c>
      <c r="E512" t="s">
        <v>16</v>
      </c>
      <c r="F512" t="s">
        <v>102</v>
      </c>
      <c r="G512" s="12">
        <v>46433</v>
      </c>
      <c r="H512" s="13">
        <v>5</v>
      </c>
      <c r="I512" t="s">
        <v>176</v>
      </c>
      <c r="J512" t="s">
        <v>180</v>
      </c>
      <c r="K512">
        <v>9.8070179999999993</v>
      </c>
      <c r="L512" t="s">
        <v>181</v>
      </c>
    </row>
    <row r="513" spans="1:12" ht="15" customHeight="1" x14ac:dyDescent="0.35">
      <c r="A513" t="s">
        <v>12</v>
      </c>
      <c r="B513" t="s">
        <v>25</v>
      </c>
      <c r="C513" t="s">
        <v>16</v>
      </c>
      <c r="D513" t="s">
        <v>142</v>
      </c>
      <c r="E513" t="s">
        <v>16</v>
      </c>
      <c r="F513" t="s">
        <v>40</v>
      </c>
      <c r="G513" s="12">
        <v>46433</v>
      </c>
      <c r="H513" s="13">
        <v>5</v>
      </c>
      <c r="I513" t="s">
        <v>176</v>
      </c>
      <c r="J513" t="s">
        <v>177</v>
      </c>
      <c r="K513">
        <v>15.807017999999999</v>
      </c>
      <c r="L513" t="s">
        <v>181</v>
      </c>
    </row>
    <row r="514" spans="1:12" ht="15" customHeight="1" x14ac:dyDescent="0.35">
      <c r="A514" t="s">
        <v>12</v>
      </c>
      <c r="B514" t="s">
        <v>25</v>
      </c>
      <c r="C514" t="s">
        <v>16</v>
      </c>
      <c r="D514" t="s">
        <v>142</v>
      </c>
      <c r="E514" t="s">
        <v>16</v>
      </c>
      <c r="F514" t="s">
        <v>98</v>
      </c>
      <c r="G514" s="12">
        <v>46433</v>
      </c>
      <c r="H514" s="13">
        <v>2</v>
      </c>
      <c r="I514" t="s">
        <v>176</v>
      </c>
      <c r="J514" t="s">
        <v>177</v>
      </c>
      <c r="K514">
        <v>17.807017999999999</v>
      </c>
      <c r="L514" t="s">
        <v>181</v>
      </c>
    </row>
    <row r="515" spans="1:12" ht="15" customHeight="1" x14ac:dyDescent="0.35">
      <c r="A515" t="s">
        <v>12</v>
      </c>
      <c r="B515" t="s">
        <v>20</v>
      </c>
      <c r="C515" t="s">
        <v>10</v>
      </c>
      <c r="D515" t="s">
        <v>116</v>
      </c>
      <c r="E515" t="s">
        <v>10</v>
      </c>
      <c r="F515" t="s">
        <v>40</v>
      </c>
      <c r="G515" s="12">
        <v>46440</v>
      </c>
      <c r="H515" s="13">
        <v>10</v>
      </c>
      <c r="I515" t="s">
        <v>176</v>
      </c>
      <c r="J515" t="s">
        <v>177</v>
      </c>
      <c r="K515">
        <v>16</v>
      </c>
      <c r="L515" t="s">
        <v>178</v>
      </c>
    </row>
    <row r="516" spans="1:12" ht="15" customHeight="1" x14ac:dyDescent="0.35">
      <c r="A516" t="s">
        <v>12</v>
      </c>
      <c r="B516" t="s">
        <v>20</v>
      </c>
      <c r="C516" t="s">
        <v>10</v>
      </c>
      <c r="D516" t="s">
        <v>116</v>
      </c>
      <c r="E516" t="s">
        <v>10</v>
      </c>
      <c r="F516" t="s">
        <v>85</v>
      </c>
      <c r="G516" s="12">
        <v>46440</v>
      </c>
      <c r="H516" s="13">
        <v>1.5</v>
      </c>
      <c r="I516" t="s">
        <v>176</v>
      </c>
      <c r="J516" t="s">
        <v>177</v>
      </c>
      <c r="K516">
        <v>17.5</v>
      </c>
      <c r="L516" t="s">
        <v>178</v>
      </c>
    </row>
    <row r="517" spans="1:12" ht="15" customHeight="1" x14ac:dyDescent="0.35">
      <c r="A517" t="s">
        <v>12</v>
      </c>
      <c r="B517" t="s">
        <v>138</v>
      </c>
      <c r="C517" t="s">
        <v>14</v>
      </c>
      <c r="D517" t="s">
        <v>27</v>
      </c>
      <c r="E517" t="s">
        <v>14</v>
      </c>
      <c r="F517" t="s">
        <v>81</v>
      </c>
      <c r="G517" s="12">
        <v>46440</v>
      </c>
      <c r="H517" s="13">
        <v>2</v>
      </c>
      <c r="I517" t="s">
        <v>182</v>
      </c>
      <c r="J517" t="s">
        <v>177</v>
      </c>
      <c r="K517">
        <v>10</v>
      </c>
      <c r="L517" t="s">
        <v>178</v>
      </c>
    </row>
    <row r="518" spans="1:12" ht="15" customHeight="1" x14ac:dyDescent="0.35">
      <c r="A518" t="s">
        <v>12</v>
      </c>
      <c r="B518" t="s">
        <v>138</v>
      </c>
      <c r="C518" t="s">
        <v>14</v>
      </c>
      <c r="D518" t="s">
        <v>13</v>
      </c>
      <c r="E518" t="s">
        <v>14</v>
      </c>
      <c r="F518" t="s">
        <v>100</v>
      </c>
      <c r="G518" s="12">
        <v>46440</v>
      </c>
      <c r="H518" s="13">
        <v>35</v>
      </c>
      <c r="I518" t="s">
        <v>182</v>
      </c>
      <c r="J518" t="s">
        <v>177</v>
      </c>
      <c r="K518">
        <v>49</v>
      </c>
      <c r="L518" t="s">
        <v>178</v>
      </c>
    </row>
    <row r="519" spans="1:12" ht="15" customHeight="1" x14ac:dyDescent="0.35">
      <c r="A519" t="s">
        <v>12</v>
      </c>
      <c r="B519" t="s">
        <v>135</v>
      </c>
      <c r="C519" t="s">
        <v>14</v>
      </c>
      <c r="D519" t="s">
        <v>21</v>
      </c>
      <c r="E519" t="s">
        <v>14</v>
      </c>
      <c r="F519" t="s">
        <v>43</v>
      </c>
      <c r="G519" s="12">
        <v>46440</v>
      </c>
      <c r="H519" s="13">
        <v>7.5</v>
      </c>
      <c r="I519" t="s">
        <v>182</v>
      </c>
      <c r="J519" t="s">
        <v>177</v>
      </c>
      <c r="K519">
        <v>20</v>
      </c>
      <c r="L519" t="s">
        <v>178</v>
      </c>
    </row>
    <row r="520" spans="1:12" ht="15" customHeight="1" x14ac:dyDescent="0.35">
      <c r="A520" t="s">
        <v>12</v>
      </c>
      <c r="B520" t="s">
        <v>127</v>
      </c>
      <c r="C520" t="s">
        <v>14</v>
      </c>
      <c r="D520" t="s">
        <v>21</v>
      </c>
      <c r="E520" t="s">
        <v>14</v>
      </c>
      <c r="F520" t="s">
        <v>40</v>
      </c>
      <c r="G520" s="12">
        <v>46440</v>
      </c>
      <c r="H520" s="13">
        <v>10</v>
      </c>
      <c r="I520" t="s">
        <v>182</v>
      </c>
      <c r="J520" t="s">
        <v>177</v>
      </c>
      <c r="K520">
        <v>12.5</v>
      </c>
      <c r="L520" t="s">
        <v>178</v>
      </c>
    </row>
    <row r="521" spans="1:12" ht="15" customHeight="1" x14ac:dyDescent="0.35">
      <c r="A521" t="s">
        <v>12</v>
      </c>
      <c r="B521" t="s">
        <v>130</v>
      </c>
      <c r="C521" t="s">
        <v>14</v>
      </c>
      <c r="D521" t="s">
        <v>21</v>
      </c>
      <c r="E521" t="s">
        <v>14</v>
      </c>
      <c r="F521" t="s">
        <v>85</v>
      </c>
      <c r="G521" s="12">
        <v>46440</v>
      </c>
      <c r="H521" s="13">
        <v>2</v>
      </c>
      <c r="I521" t="s">
        <v>182</v>
      </c>
      <c r="J521" t="s">
        <v>177</v>
      </c>
      <c r="K521">
        <v>22</v>
      </c>
      <c r="L521" t="s">
        <v>178</v>
      </c>
    </row>
    <row r="522" spans="1:12" ht="15" customHeight="1" x14ac:dyDescent="0.35">
      <c r="A522" t="s">
        <v>12</v>
      </c>
      <c r="B522" t="s">
        <v>134</v>
      </c>
      <c r="C522" t="s">
        <v>14</v>
      </c>
      <c r="D522" t="s">
        <v>27</v>
      </c>
      <c r="E522" t="s">
        <v>14</v>
      </c>
      <c r="F522" t="s">
        <v>99</v>
      </c>
      <c r="G522" s="12">
        <v>46440</v>
      </c>
      <c r="H522" s="13">
        <v>40</v>
      </c>
      <c r="I522" t="s">
        <v>182</v>
      </c>
      <c r="J522" t="s">
        <v>177</v>
      </c>
      <c r="K522">
        <v>50</v>
      </c>
      <c r="L522" t="s">
        <v>178</v>
      </c>
    </row>
    <row r="523" spans="1:12" ht="15" customHeight="1" x14ac:dyDescent="0.35">
      <c r="A523" t="s">
        <v>12</v>
      </c>
      <c r="B523" t="s">
        <v>133</v>
      </c>
      <c r="C523" t="s">
        <v>14</v>
      </c>
      <c r="D523" t="s">
        <v>17</v>
      </c>
      <c r="E523" t="s">
        <v>14</v>
      </c>
      <c r="F523" t="s">
        <v>46</v>
      </c>
      <c r="G523" s="12">
        <v>46440</v>
      </c>
      <c r="H523" s="13">
        <v>7.5</v>
      </c>
      <c r="I523" t="s">
        <v>184</v>
      </c>
      <c r="J523" t="s">
        <v>177</v>
      </c>
      <c r="K523">
        <v>35.5</v>
      </c>
      <c r="L523" t="s">
        <v>178</v>
      </c>
    </row>
    <row r="524" spans="1:12" ht="15" customHeight="1" x14ac:dyDescent="0.35">
      <c r="A524" t="s">
        <v>12</v>
      </c>
      <c r="B524" t="s">
        <v>136</v>
      </c>
      <c r="C524" t="s">
        <v>14</v>
      </c>
      <c r="D524" t="s">
        <v>21</v>
      </c>
      <c r="E524" t="s">
        <v>14</v>
      </c>
      <c r="F524" t="s">
        <v>43</v>
      </c>
      <c r="G524" s="12">
        <v>46440</v>
      </c>
      <c r="H524" s="13">
        <v>30</v>
      </c>
      <c r="I524" t="s">
        <v>182</v>
      </c>
      <c r="J524" t="s">
        <v>177</v>
      </c>
      <c r="K524">
        <v>52</v>
      </c>
      <c r="L524" t="s">
        <v>178</v>
      </c>
    </row>
    <row r="525" spans="1:12" ht="15" customHeight="1" x14ac:dyDescent="0.35">
      <c r="A525" t="s">
        <v>12</v>
      </c>
      <c r="B525" t="s">
        <v>137</v>
      </c>
      <c r="C525" t="s">
        <v>14</v>
      </c>
      <c r="D525" t="s">
        <v>30</v>
      </c>
      <c r="E525" t="s">
        <v>14</v>
      </c>
      <c r="F525" t="s">
        <v>100</v>
      </c>
      <c r="G525" s="12">
        <v>46440</v>
      </c>
      <c r="H525" s="13">
        <v>5</v>
      </c>
      <c r="I525" t="s">
        <v>182</v>
      </c>
      <c r="J525" t="s">
        <v>177</v>
      </c>
      <c r="K525">
        <v>37</v>
      </c>
      <c r="L525" t="s">
        <v>178</v>
      </c>
    </row>
    <row r="526" spans="1:12" ht="15" customHeight="1" x14ac:dyDescent="0.35">
      <c r="A526" t="s">
        <v>12</v>
      </c>
      <c r="B526" t="s">
        <v>24</v>
      </c>
      <c r="C526" t="s">
        <v>14</v>
      </c>
      <c r="D526" t="s">
        <v>26</v>
      </c>
      <c r="E526" t="s">
        <v>14</v>
      </c>
      <c r="F526" t="s">
        <v>80</v>
      </c>
      <c r="G526" s="12">
        <v>46447</v>
      </c>
      <c r="H526" s="13">
        <v>5</v>
      </c>
      <c r="I526" t="s">
        <v>176</v>
      </c>
      <c r="J526" t="s">
        <v>177</v>
      </c>
      <c r="K526">
        <v>11.3</v>
      </c>
      <c r="L526" t="s">
        <v>178</v>
      </c>
    </row>
    <row r="527" spans="1:12" ht="15" customHeight="1" x14ac:dyDescent="0.35">
      <c r="A527" t="s">
        <v>12</v>
      </c>
      <c r="B527" t="s">
        <v>133</v>
      </c>
      <c r="C527" t="s">
        <v>14</v>
      </c>
      <c r="D527" t="s">
        <v>17</v>
      </c>
      <c r="E527" t="s">
        <v>14</v>
      </c>
      <c r="F527" t="s">
        <v>46</v>
      </c>
      <c r="G527" s="12">
        <v>46447</v>
      </c>
      <c r="H527" s="13">
        <v>1.5</v>
      </c>
      <c r="I527" t="s">
        <v>184</v>
      </c>
      <c r="J527" t="s">
        <v>177</v>
      </c>
      <c r="K527">
        <v>4.5</v>
      </c>
      <c r="L527" t="s">
        <v>178</v>
      </c>
    </row>
    <row r="528" spans="1:12" ht="15" customHeight="1" x14ac:dyDescent="0.35">
      <c r="A528" t="s">
        <v>12</v>
      </c>
      <c r="B528" t="s">
        <v>24</v>
      </c>
      <c r="C528" t="s">
        <v>14</v>
      </c>
      <c r="D528" t="s">
        <v>26</v>
      </c>
      <c r="E528" t="s">
        <v>14</v>
      </c>
      <c r="F528" t="s">
        <v>80</v>
      </c>
      <c r="G528" s="12">
        <v>46454</v>
      </c>
      <c r="H528" s="13">
        <v>21</v>
      </c>
      <c r="I528" t="s">
        <v>176</v>
      </c>
      <c r="J528" t="s">
        <v>177</v>
      </c>
      <c r="K528">
        <v>29.7</v>
      </c>
      <c r="L528" t="s">
        <v>178</v>
      </c>
    </row>
    <row r="529" spans="1:12" ht="15" customHeight="1" x14ac:dyDescent="0.35">
      <c r="A529" t="s">
        <v>12</v>
      </c>
      <c r="B529" t="s">
        <v>133</v>
      </c>
      <c r="C529" t="s">
        <v>14</v>
      </c>
      <c r="D529" t="s">
        <v>17</v>
      </c>
      <c r="E529" t="s">
        <v>14</v>
      </c>
      <c r="F529" t="s">
        <v>46</v>
      </c>
      <c r="G529" s="12">
        <v>46454</v>
      </c>
      <c r="H529" s="13">
        <v>1.5</v>
      </c>
      <c r="I529" t="s">
        <v>184</v>
      </c>
      <c r="J529" t="s">
        <v>177</v>
      </c>
      <c r="K529">
        <v>4.5</v>
      </c>
      <c r="L529" t="s">
        <v>178</v>
      </c>
    </row>
    <row r="530" spans="1:12" ht="15" customHeight="1" x14ac:dyDescent="0.35">
      <c r="A530" t="s">
        <v>12</v>
      </c>
      <c r="B530" t="s">
        <v>24</v>
      </c>
      <c r="C530" t="s">
        <v>14</v>
      </c>
      <c r="D530" t="s">
        <v>26</v>
      </c>
      <c r="E530" t="s">
        <v>14</v>
      </c>
      <c r="F530" t="s">
        <v>80</v>
      </c>
      <c r="G530" s="12">
        <v>46461</v>
      </c>
      <c r="H530" s="13">
        <v>6</v>
      </c>
      <c r="I530" t="s">
        <v>176</v>
      </c>
      <c r="J530" t="s">
        <v>177</v>
      </c>
      <c r="K530">
        <v>22</v>
      </c>
      <c r="L530" t="s">
        <v>178</v>
      </c>
    </row>
    <row r="531" spans="1:12" ht="15" customHeight="1" x14ac:dyDescent="0.35">
      <c r="A531" t="s">
        <v>12</v>
      </c>
      <c r="B531" t="s">
        <v>133</v>
      </c>
      <c r="C531" t="s">
        <v>14</v>
      </c>
      <c r="D531" t="s">
        <v>17</v>
      </c>
      <c r="E531" t="s">
        <v>14</v>
      </c>
      <c r="F531" t="s">
        <v>46</v>
      </c>
      <c r="G531" s="12">
        <v>46461</v>
      </c>
      <c r="H531" s="13">
        <v>1.5</v>
      </c>
      <c r="I531" t="s">
        <v>184</v>
      </c>
      <c r="J531" t="s">
        <v>177</v>
      </c>
      <c r="K531">
        <v>4.5</v>
      </c>
      <c r="L531" t="s">
        <v>178</v>
      </c>
    </row>
  </sheetData>
  <autoFilter ref="A1:L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486"/>
  <sheetViews>
    <sheetView showGridLines="0" zoomScaleNormal="100" workbookViewId="0"/>
  </sheetViews>
  <sheetFormatPr defaultColWidth="8.6328125" defaultRowHeight="15" customHeight="1" x14ac:dyDescent="0.35"/>
  <cols>
    <col min="1" max="1" width="8" customWidth="1"/>
    <col min="2" max="2" width="50" customWidth="1"/>
    <col min="3" max="3" width="26" customWidth="1"/>
    <col min="4" max="4" width="24" customWidth="1"/>
    <col min="5" max="5" width="16" customWidth="1"/>
    <col min="6" max="6" width="42" customWidth="1"/>
    <col min="7" max="7" width="16" customWidth="1"/>
    <col min="8" max="8" width="14" customWidth="1"/>
    <col min="9" max="9" width="18" customWidth="1"/>
    <col min="10" max="10" width="12" customWidth="1"/>
    <col min="11" max="136" width="13" customWidth="1"/>
  </cols>
  <sheetData>
    <row r="1" spans="1:136" ht="27.75" customHeight="1" x14ac:dyDescent="0.35">
      <c r="A1" s="14" t="s">
        <v>68</v>
      </c>
      <c r="B1" s="14" t="s">
        <v>2</v>
      </c>
      <c r="C1" s="14" t="s">
        <v>187</v>
      </c>
      <c r="D1" s="14" t="s">
        <v>188</v>
      </c>
      <c r="E1" s="14" t="s">
        <v>3</v>
      </c>
      <c r="F1" s="14" t="s">
        <v>70</v>
      </c>
      <c r="G1" s="14" t="s">
        <v>71</v>
      </c>
      <c r="H1" s="14" t="s">
        <v>72</v>
      </c>
      <c r="I1" s="14" t="s">
        <v>73</v>
      </c>
      <c r="J1" s="14" t="s">
        <v>74</v>
      </c>
      <c r="K1" s="14" t="s">
        <v>189</v>
      </c>
      <c r="L1" s="14" t="s">
        <v>190</v>
      </c>
      <c r="M1" s="14" t="s">
        <v>191</v>
      </c>
      <c r="N1" s="14" t="s">
        <v>192</v>
      </c>
      <c r="O1" s="14" t="s">
        <v>193</v>
      </c>
      <c r="P1" s="14" t="s">
        <v>194</v>
      </c>
      <c r="Q1" s="14" t="s">
        <v>195</v>
      </c>
      <c r="R1" s="14" t="s">
        <v>196</v>
      </c>
      <c r="S1" s="14" t="s">
        <v>197</v>
      </c>
      <c r="T1" s="14" t="s">
        <v>198</v>
      </c>
      <c r="U1" s="14" t="s">
        <v>199</v>
      </c>
      <c r="V1" s="14" t="s">
        <v>200</v>
      </c>
      <c r="W1" s="14" t="s">
        <v>201</v>
      </c>
      <c r="X1" s="14" t="s">
        <v>202</v>
      </c>
      <c r="Y1" s="14" t="s">
        <v>203</v>
      </c>
      <c r="Z1" s="14" t="s">
        <v>204</v>
      </c>
      <c r="AA1" s="14" t="s">
        <v>205</v>
      </c>
      <c r="AB1" s="14" t="s">
        <v>206</v>
      </c>
      <c r="AC1" s="14" t="s">
        <v>207</v>
      </c>
      <c r="AD1" s="14" t="s">
        <v>208</v>
      </c>
      <c r="AE1" s="14" t="s">
        <v>209</v>
      </c>
      <c r="AF1" s="14" t="s">
        <v>210</v>
      </c>
      <c r="AG1" s="14" t="s">
        <v>211</v>
      </c>
      <c r="AH1" s="14" t="s">
        <v>212</v>
      </c>
      <c r="AI1" s="14" t="s">
        <v>213</v>
      </c>
      <c r="AJ1" s="14" t="s">
        <v>214</v>
      </c>
      <c r="AK1" s="14" t="s">
        <v>215</v>
      </c>
      <c r="AL1" s="14" t="s">
        <v>216</v>
      </c>
      <c r="AM1" s="14" t="s">
        <v>217</v>
      </c>
      <c r="AN1" s="14" t="s">
        <v>218</v>
      </c>
      <c r="AO1" s="14" t="s">
        <v>219</v>
      </c>
      <c r="AP1" s="14" t="s">
        <v>220</v>
      </c>
      <c r="AQ1" s="14" t="s">
        <v>221</v>
      </c>
      <c r="AR1" s="14" t="s">
        <v>222</v>
      </c>
      <c r="AS1" s="14" t="s">
        <v>223</v>
      </c>
      <c r="AT1" s="14" t="s">
        <v>224</v>
      </c>
      <c r="AU1" s="14" t="s">
        <v>225</v>
      </c>
      <c r="AV1" s="14" t="s">
        <v>226</v>
      </c>
      <c r="AW1" s="14" t="s">
        <v>227</v>
      </c>
      <c r="AX1" s="14" t="s">
        <v>228</v>
      </c>
      <c r="AY1" s="14" t="s">
        <v>229</v>
      </c>
      <c r="AZ1" s="14" t="s">
        <v>230</v>
      </c>
      <c r="BA1" s="14" t="s">
        <v>231</v>
      </c>
      <c r="BB1" s="14" t="s">
        <v>232</v>
      </c>
      <c r="BC1" s="14" t="s">
        <v>233</v>
      </c>
      <c r="BD1" s="14" t="s">
        <v>234</v>
      </c>
      <c r="BE1" s="14" t="s">
        <v>235</v>
      </c>
      <c r="BF1" s="14" t="s">
        <v>236</v>
      </c>
      <c r="BG1" s="14" t="s">
        <v>237</v>
      </c>
      <c r="BH1" s="14" t="s">
        <v>238</v>
      </c>
      <c r="BI1" s="14" t="s">
        <v>239</v>
      </c>
      <c r="BJ1" s="14" t="s">
        <v>240</v>
      </c>
      <c r="BK1" s="14" t="s">
        <v>241</v>
      </c>
      <c r="BL1" s="14" t="s">
        <v>242</v>
      </c>
      <c r="BM1" s="14" t="s">
        <v>243</v>
      </c>
      <c r="BN1" s="14" t="s">
        <v>244</v>
      </c>
      <c r="BO1" s="14" t="s">
        <v>245</v>
      </c>
      <c r="BP1" s="14" t="s">
        <v>246</v>
      </c>
      <c r="BQ1" s="14" t="s">
        <v>247</v>
      </c>
      <c r="BR1" s="14" t="s">
        <v>248</v>
      </c>
      <c r="BS1" s="14" t="s">
        <v>249</v>
      </c>
      <c r="BT1" s="14" t="s">
        <v>250</v>
      </c>
      <c r="BU1" s="14" t="s">
        <v>251</v>
      </c>
      <c r="BV1" s="14" t="s">
        <v>252</v>
      </c>
      <c r="BW1" s="14" t="s">
        <v>253</v>
      </c>
      <c r="BX1" s="14" t="s">
        <v>254</v>
      </c>
      <c r="BY1" s="14" t="s">
        <v>255</v>
      </c>
      <c r="BZ1" s="14" t="s">
        <v>256</v>
      </c>
      <c r="CA1" s="14" t="s">
        <v>257</v>
      </c>
      <c r="CB1" s="14" t="s">
        <v>258</v>
      </c>
      <c r="CC1" s="14" t="s">
        <v>259</v>
      </c>
      <c r="CD1" s="14" t="s">
        <v>260</v>
      </c>
      <c r="CE1" s="14" t="s">
        <v>261</v>
      </c>
      <c r="CF1" s="14" t="s">
        <v>262</v>
      </c>
      <c r="CG1" s="14" t="s">
        <v>263</v>
      </c>
      <c r="CH1" s="14" t="s">
        <v>264</v>
      </c>
      <c r="CI1" s="14" t="s">
        <v>265</v>
      </c>
      <c r="CJ1" s="14" t="s">
        <v>266</v>
      </c>
      <c r="CK1" s="14" t="s">
        <v>267</v>
      </c>
      <c r="CL1" s="14" t="s">
        <v>268</v>
      </c>
      <c r="CM1" s="14" t="s">
        <v>269</v>
      </c>
      <c r="CN1" s="14" t="s">
        <v>270</v>
      </c>
      <c r="CO1" s="14" t="s">
        <v>271</v>
      </c>
      <c r="CP1" s="14" t="s">
        <v>272</v>
      </c>
      <c r="CQ1" s="14" t="s">
        <v>273</v>
      </c>
      <c r="CR1" s="14" t="s">
        <v>274</v>
      </c>
      <c r="CS1" s="14" t="s">
        <v>275</v>
      </c>
      <c r="CT1" s="14" t="s">
        <v>276</v>
      </c>
      <c r="CU1" s="14" t="s">
        <v>277</v>
      </c>
      <c r="CV1" s="14" t="s">
        <v>278</v>
      </c>
      <c r="CW1" s="14" t="s">
        <v>279</v>
      </c>
      <c r="CX1" s="14" t="s">
        <v>280</v>
      </c>
      <c r="CY1" s="14" t="s">
        <v>281</v>
      </c>
      <c r="CZ1" s="14" t="s">
        <v>282</v>
      </c>
      <c r="DA1" s="14" t="s">
        <v>283</v>
      </c>
      <c r="DB1" s="14" t="s">
        <v>284</v>
      </c>
      <c r="DC1" s="14" t="s">
        <v>285</v>
      </c>
      <c r="DD1" s="14" t="s">
        <v>286</v>
      </c>
      <c r="DE1" s="14" t="s">
        <v>287</v>
      </c>
      <c r="DF1" s="14" t="s">
        <v>288</v>
      </c>
      <c r="DG1" s="14" t="s">
        <v>289</v>
      </c>
      <c r="DH1" s="14" t="s">
        <v>290</v>
      </c>
      <c r="DI1" s="14" t="s">
        <v>291</v>
      </c>
      <c r="DJ1" s="14" t="s">
        <v>292</v>
      </c>
      <c r="DK1" s="14" t="s">
        <v>293</v>
      </c>
      <c r="DL1" s="14" t="s">
        <v>294</v>
      </c>
      <c r="DM1" s="14" t="s">
        <v>295</v>
      </c>
      <c r="DN1" s="14" t="s">
        <v>296</v>
      </c>
      <c r="DO1" s="14" t="s">
        <v>297</v>
      </c>
      <c r="DP1" s="14" t="s">
        <v>298</v>
      </c>
      <c r="DQ1" s="14" t="s">
        <v>299</v>
      </c>
      <c r="DR1" s="14" t="s">
        <v>300</v>
      </c>
      <c r="DS1" s="14" t="s">
        <v>301</v>
      </c>
      <c r="DT1" s="14" t="s">
        <v>302</v>
      </c>
      <c r="DU1" s="14" t="s">
        <v>303</v>
      </c>
      <c r="DV1" s="14" t="s">
        <v>304</v>
      </c>
      <c r="DW1" s="14" t="s">
        <v>305</v>
      </c>
      <c r="DX1" s="14" t="s">
        <v>306</v>
      </c>
      <c r="DY1" s="14" t="s">
        <v>307</v>
      </c>
      <c r="DZ1" s="14" t="s">
        <v>308</v>
      </c>
      <c r="EA1" s="14" t="s">
        <v>309</v>
      </c>
      <c r="EB1" s="14" t="s">
        <v>310</v>
      </c>
      <c r="EC1" s="14" t="s">
        <v>311</v>
      </c>
      <c r="ED1" s="14" t="s">
        <v>312</v>
      </c>
      <c r="EE1" s="14" t="s">
        <v>313</v>
      </c>
      <c r="EF1" s="14" t="s">
        <v>314</v>
      </c>
    </row>
    <row r="2" spans="1:136" ht="15" customHeight="1" x14ac:dyDescent="0.35">
      <c r="A2" s="8" t="s">
        <v>29</v>
      </c>
      <c r="B2" s="8" t="s">
        <v>31</v>
      </c>
      <c r="C2" s="8" t="s">
        <v>31</v>
      </c>
      <c r="D2" s="8" t="s">
        <v>315</v>
      </c>
      <c r="E2" s="8" t="s">
        <v>14</v>
      </c>
      <c r="F2" s="8" t="s">
        <v>91</v>
      </c>
      <c r="G2" s="15">
        <v>51</v>
      </c>
      <c r="H2" s="15">
        <v>456</v>
      </c>
      <c r="I2" s="15">
        <v>405</v>
      </c>
      <c r="J2" s="15">
        <v>51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15">
        <v>0</v>
      </c>
      <c r="CB2" s="15">
        <v>0</v>
      </c>
      <c r="CC2" s="15">
        <v>0</v>
      </c>
      <c r="CD2" s="15">
        <v>0</v>
      </c>
      <c r="CE2" s="15">
        <v>0</v>
      </c>
      <c r="CF2" s="15">
        <v>0</v>
      </c>
      <c r="CG2" s="15">
        <v>0</v>
      </c>
      <c r="CH2" s="15">
        <v>0</v>
      </c>
      <c r="CI2" s="15">
        <v>0</v>
      </c>
      <c r="CJ2" s="15">
        <v>0</v>
      </c>
      <c r="CK2" s="15">
        <v>0</v>
      </c>
      <c r="CL2" s="15">
        <v>0</v>
      </c>
      <c r="CM2" s="15">
        <v>0</v>
      </c>
      <c r="CN2" s="15">
        <v>0</v>
      </c>
      <c r="CO2" s="15">
        <v>0</v>
      </c>
      <c r="CP2" s="15">
        <v>0</v>
      </c>
      <c r="CQ2" s="15">
        <v>0</v>
      </c>
      <c r="CR2" s="15">
        <v>0</v>
      </c>
      <c r="CS2" s="15">
        <v>10</v>
      </c>
      <c r="CT2" s="15">
        <v>10</v>
      </c>
      <c r="CU2" s="15">
        <v>10</v>
      </c>
      <c r="CV2" s="15">
        <v>10</v>
      </c>
      <c r="CW2" s="15">
        <v>20</v>
      </c>
      <c r="CX2" s="15">
        <v>30</v>
      </c>
      <c r="CY2" s="15">
        <v>30</v>
      </c>
      <c r="CZ2" s="15">
        <v>20</v>
      </c>
      <c r="DA2" s="15">
        <v>20</v>
      </c>
      <c r="DB2" s="15">
        <v>10</v>
      </c>
      <c r="DC2" s="15">
        <v>10</v>
      </c>
      <c r="DD2" s="15">
        <v>10</v>
      </c>
      <c r="DE2" s="15">
        <v>10</v>
      </c>
      <c r="DF2" s="15">
        <v>0</v>
      </c>
      <c r="DG2" s="15">
        <v>0</v>
      </c>
      <c r="DH2" s="15">
        <v>0</v>
      </c>
      <c r="DI2" s="15">
        <v>0</v>
      </c>
      <c r="DJ2" s="15">
        <v>0</v>
      </c>
      <c r="DK2" s="15">
        <v>0</v>
      </c>
      <c r="DL2" s="15">
        <v>0</v>
      </c>
      <c r="DM2" s="15">
        <v>0</v>
      </c>
      <c r="DN2" s="15">
        <v>0</v>
      </c>
      <c r="DO2" s="15">
        <v>0</v>
      </c>
      <c r="DP2" s="15">
        <v>0</v>
      </c>
      <c r="DQ2" s="15">
        <v>0</v>
      </c>
      <c r="DR2" s="15">
        <v>5</v>
      </c>
      <c r="DS2" s="15">
        <v>25</v>
      </c>
      <c r="DT2" s="15">
        <v>25</v>
      </c>
      <c r="DU2" s="15">
        <v>25</v>
      </c>
      <c r="DV2" s="15">
        <v>25</v>
      </c>
      <c r="DW2" s="15">
        <v>25</v>
      </c>
      <c r="DX2" s="15">
        <v>25</v>
      </c>
      <c r="DY2" s="15">
        <v>25</v>
      </c>
      <c r="DZ2" s="15">
        <v>10</v>
      </c>
      <c r="EA2" s="15">
        <v>10</v>
      </c>
      <c r="EB2" s="15">
        <v>5</v>
      </c>
      <c r="EC2" s="15">
        <v>0</v>
      </c>
      <c r="ED2" s="15">
        <v>0</v>
      </c>
      <c r="EE2" s="15">
        <v>0</v>
      </c>
      <c r="EF2" s="15">
        <v>0</v>
      </c>
    </row>
    <row r="3" spans="1:136" ht="15" customHeight="1" x14ac:dyDescent="0.35">
      <c r="A3" s="8" t="s">
        <v>29</v>
      </c>
      <c r="B3" s="8" t="s">
        <v>31</v>
      </c>
      <c r="C3" s="8" t="s">
        <v>31</v>
      </c>
      <c r="D3" s="8" t="s">
        <v>315</v>
      </c>
      <c r="E3" s="8" t="s">
        <v>14</v>
      </c>
      <c r="F3" s="8" t="s">
        <v>92</v>
      </c>
      <c r="G3" s="15">
        <v>318</v>
      </c>
      <c r="H3" s="15">
        <v>858</v>
      </c>
      <c r="I3" s="15">
        <v>689.5</v>
      </c>
      <c r="J3" s="15">
        <v>168.5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3.5</v>
      </c>
      <c r="AK3" s="15">
        <v>12</v>
      </c>
      <c r="AL3" s="15">
        <v>20</v>
      </c>
      <c r="AM3" s="15">
        <v>19</v>
      </c>
      <c r="AN3" s="15">
        <v>35</v>
      </c>
      <c r="AO3" s="15">
        <v>25</v>
      </c>
      <c r="AP3" s="15">
        <v>21</v>
      </c>
      <c r="AQ3" s="15">
        <v>17</v>
      </c>
      <c r="AR3" s="15">
        <v>23</v>
      </c>
      <c r="AS3" s="15">
        <v>6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5">
        <v>0</v>
      </c>
      <c r="CH3" s="15">
        <v>0</v>
      </c>
      <c r="CI3" s="15">
        <v>0</v>
      </c>
      <c r="CJ3" s="15">
        <v>0</v>
      </c>
      <c r="CK3" s="15">
        <v>0</v>
      </c>
      <c r="CL3" s="15">
        <v>0</v>
      </c>
      <c r="CM3" s="15">
        <v>0</v>
      </c>
      <c r="CN3" s="15">
        <v>0</v>
      </c>
      <c r="CO3" s="15">
        <v>0</v>
      </c>
      <c r="CP3" s="15">
        <v>0</v>
      </c>
      <c r="CQ3" s="15">
        <v>0</v>
      </c>
      <c r="CR3" s="15">
        <v>0</v>
      </c>
      <c r="CS3" s="15">
        <v>8</v>
      </c>
      <c r="CT3" s="15">
        <v>8</v>
      </c>
      <c r="CU3" s="15">
        <v>8</v>
      </c>
      <c r="CV3" s="15">
        <v>5</v>
      </c>
      <c r="CW3" s="15">
        <v>5</v>
      </c>
      <c r="CX3" s="15">
        <v>5</v>
      </c>
      <c r="CY3" s="15">
        <v>20</v>
      </c>
      <c r="CZ3" s="15">
        <v>20</v>
      </c>
      <c r="DA3" s="15">
        <v>20</v>
      </c>
      <c r="DB3" s="15">
        <v>5</v>
      </c>
      <c r="DC3" s="15">
        <v>5</v>
      </c>
      <c r="DD3" s="15">
        <v>5</v>
      </c>
      <c r="DE3" s="15">
        <v>15</v>
      </c>
      <c r="DF3" s="15">
        <v>15</v>
      </c>
      <c r="DG3" s="15">
        <v>15</v>
      </c>
      <c r="DH3" s="15">
        <v>15</v>
      </c>
      <c r="DI3" s="15">
        <v>0</v>
      </c>
      <c r="DJ3" s="15">
        <v>0</v>
      </c>
      <c r="DK3" s="15">
        <v>20</v>
      </c>
      <c r="DL3" s="15">
        <v>40</v>
      </c>
      <c r="DM3" s="15">
        <v>55</v>
      </c>
      <c r="DN3" s="15">
        <v>50</v>
      </c>
      <c r="DO3" s="15">
        <v>50</v>
      </c>
      <c r="DP3" s="15">
        <v>55</v>
      </c>
      <c r="DQ3" s="15">
        <v>50</v>
      </c>
      <c r="DR3" s="15">
        <v>20</v>
      </c>
      <c r="DS3" s="15">
        <v>0</v>
      </c>
      <c r="DT3" s="15">
        <v>0</v>
      </c>
      <c r="DU3" s="15">
        <v>0</v>
      </c>
      <c r="DV3" s="15">
        <v>0</v>
      </c>
      <c r="DW3" s="15">
        <v>0</v>
      </c>
      <c r="DX3" s="15">
        <v>0</v>
      </c>
      <c r="DY3" s="15">
        <v>0</v>
      </c>
      <c r="DZ3" s="15">
        <v>0</v>
      </c>
      <c r="EA3" s="15">
        <v>0</v>
      </c>
      <c r="EB3" s="15">
        <v>0</v>
      </c>
      <c r="EC3" s="15">
        <v>0</v>
      </c>
      <c r="ED3" s="15">
        <v>0</v>
      </c>
      <c r="EE3" s="15">
        <v>0</v>
      </c>
      <c r="EF3" s="15">
        <v>0</v>
      </c>
    </row>
    <row r="4" spans="1:136" ht="15" customHeight="1" x14ac:dyDescent="0.35">
      <c r="A4" s="8" t="s">
        <v>29</v>
      </c>
      <c r="B4" s="8" t="s">
        <v>31</v>
      </c>
      <c r="C4" s="8" t="s">
        <v>31</v>
      </c>
      <c r="D4" s="8" t="s">
        <v>316</v>
      </c>
      <c r="E4" s="8" t="s">
        <v>14</v>
      </c>
      <c r="F4" s="8" t="s">
        <v>92</v>
      </c>
      <c r="G4" s="15">
        <v>0</v>
      </c>
      <c r="H4" s="15">
        <v>0</v>
      </c>
      <c r="I4" s="15">
        <v>71</v>
      </c>
      <c r="J4" s="15">
        <v>-71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3</v>
      </c>
      <c r="AE4" s="15">
        <v>2</v>
      </c>
      <c r="AF4" s="15">
        <v>10</v>
      </c>
      <c r="AG4" s="15">
        <v>18.5</v>
      </c>
      <c r="AH4" s="15">
        <v>15</v>
      </c>
      <c r="AI4" s="15">
        <v>6.5</v>
      </c>
      <c r="AJ4" s="15">
        <v>16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</row>
    <row r="5" spans="1:136" ht="15" customHeight="1" x14ac:dyDescent="0.35">
      <c r="A5" s="8" t="s">
        <v>29</v>
      </c>
      <c r="B5" s="8" t="s">
        <v>120</v>
      </c>
      <c r="C5" s="8" t="s">
        <v>120</v>
      </c>
      <c r="D5" s="8" t="s">
        <v>315</v>
      </c>
      <c r="E5" s="8" t="s">
        <v>14</v>
      </c>
      <c r="F5" s="8" t="s">
        <v>91</v>
      </c>
      <c r="G5" s="15">
        <v>0</v>
      </c>
      <c r="H5" s="15">
        <v>200</v>
      </c>
      <c r="I5" s="15">
        <v>200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5</v>
      </c>
      <c r="DS5" s="15">
        <v>25</v>
      </c>
      <c r="DT5" s="15">
        <v>25</v>
      </c>
      <c r="DU5" s="15">
        <v>25</v>
      </c>
      <c r="DV5" s="15">
        <v>25</v>
      </c>
      <c r="DW5" s="15">
        <v>25</v>
      </c>
      <c r="DX5" s="15">
        <v>25</v>
      </c>
      <c r="DY5" s="15">
        <v>25</v>
      </c>
      <c r="DZ5" s="15">
        <v>10</v>
      </c>
      <c r="EA5" s="15">
        <v>10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</row>
    <row r="6" spans="1:136" ht="15" customHeight="1" x14ac:dyDescent="0.35">
      <c r="A6" s="8" t="s">
        <v>29</v>
      </c>
      <c r="B6" s="8" t="s">
        <v>120</v>
      </c>
      <c r="C6" s="8" t="s">
        <v>120</v>
      </c>
      <c r="D6" s="8" t="s">
        <v>315</v>
      </c>
      <c r="E6" s="8" t="s">
        <v>14</v>
      </c>
      <c r="F6" s="8" t="s">
        <v>92</v>
      </c>
      <c r="G6" s="15">
        <v>308</v>
      </c>
      <c r="H6" s="15">
        <v>888</v>
      </c>
      <c r="I6" s="15">
        <v>602</v>
      </c>
      <c r="J6" s="15">
        <v>286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15</v>
      </c>
      <c r="AK6" s="15">
        <v>28</v>
      </c>
      <c r="AL6" s="15">
        <v>3</v>
      </c>
      <c r="AM6" s="15">
        <v>3</v>
      </c>
      <c r="AN6" s="15">
        <v>26</v>
      </c>
      <c r="AO6" s="15">
        <v>17.5</v>
      </c>
      <c r="AP6" s="15">
        <v>3.5</v>
      </c>
      <c r="AQ6" s="15">
        <v>0</v>
      </c>
      <c r="AR6" s="15">
        <v>1</v>
      </c>
      <c r="AS6" s="15">
        <v>2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5</v>
      </c>
      <c r="CT6" s="15">
        <v>0</v>
      </c>
      <c r="CU6" s="15">
        <v>0</v>
      </c>
      <c r="CV6" s="15">
        <v>5</v>
      </c>
      <c r="CW6" s="15">
        <v>5</v>
      </c>
      <c r="CX6" s="15">
        <v>5</v>
      </c>
      <c r="CY6" s="15">
        <v>20</v>
      </c>
      <c r="CZ6" s="15">
        <v>20</v>
      </c>
      <c r="DA6" s="15">
        <v>20</v>
      </c>
      <c r="DB6" s="15">
        <v>5</v>
      </c>
      <c r="DC6" s="15">
        <v>5</v>
      </c>
      <c r="DD6" s="15">
        <v>5</v>
      </c>
      <c r="DE6" s="15">
        <v>15</v>
      </c>
      <c r="DF6" s="15">
        <v>15</v>
      </c>
      <c r="DG6" s="15">
        <v>15</v>
      </c>
      <c r="DH6" s="15">
        <v>15</v>
      </c>
      <c r="DI6" s="15">
        <v>0</v>
      </c>
      <c r="DJ6" s="15">
        <v>0</v>
      </c>
      <c r="DK6" s="15">
        <v>20</v>
      </c>
      <c r="DL6" s="15">
        <v>40</v>
      </c>
      <c r="DM6" s="15">
        <v>55</v>
      </c>
      <c r="DN6" s="15">
        <v>55</v>
      </c>
      <c r="DO6" s="15">
        <v>55</v>
      </c>
      <c r="DP6" s="15">
        <v>55</v>
      </c>
      <c r="DQ6" s="15">
        <v>50</v>
      </c>
      <c r="DR6" s="15">
        <v>20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</row>
    <row r="7" spans="1:136" ht="15" customHeight="1" x14ac:dyDescent="0.35">
      <c r="A7" s="8" t="s">
        <v>29</v>
      </c>
      <c r="B7" s="8" t="s">
        <v>120</v>
      </c>
      <c r="C7" s="8" t="s">
        <v>120</v>
      </c>
      <c r="D7" s="8" t="s">
        <v>316</v>
      </c>
      <c r="E7" s="8" t="s">
        <v>14</v>
      </c>
      <c r="F7" s="8" t="s">
        <v>92</v>
      </c>
      <c r="G7" s="15">
        <v>0</v>
      </c>
      <c r="H7" s="15">
        <v>0</v>
      </c>
      <c r="I7" s="15">
        <v>133.5</v>
      </c>
      <c r="J7" s="15">
        <v>-133.5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19</v>
      </c>
      <c r="AE7" s="15">
        <v>8</v>
      </c>
      <c r="AF7" s="15">
        <v>9</v>
      </c>
      <c r="AG7" s="15">
        <v>29.5</v>
      </c>
      <c r="AH7" s="15">
        <v>27</v>
      </c>
      <c r="AI7" s="15">
        <v>29</v>
      </c>
      <c r="AJ7" s="15">
        <v>12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</row>
    <row r="8" spans="1:136" ht="15" customHeight="1" x14ac:dyDescent="0.35">
      <c r="A8" s="8" t="s">
        <v>29</v>
      </c>
      <c r="B8" s="8" t="s">
        <v>35</v>
      </c>
      <c r="C8" s="8" t="s">
        <v>35</v>
      </c>
      <c r="D8" s="8" t="s">
        <v>317</v>
      </c>
      <c r="E8" s="8" t="s">
        <v>10</v>
      </c>
      <c r="F8" s="8" t="s">
        <v>91</v>
      </c>
      <c r="G8" s="15">
        <v>0</v>
      </c>
      <c r="H8" s="15">
        <v>265</v>
      </c>
      <c r="I8" s="15">
        <v>265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25</v>
      </c>
      <c r="DT8" s="15">
        <v>40</v>
      </c>
      <c r="DU8" s="15">
        <v>30</v>
      </c>
      <c r="DV8" s="15">
        <v>30</v>
      </c>
      <c r="DW8" s="15">
        <v>25</v>
      </c>
      <c r="DX8" s="15">
        <v>25</v>
      </c>
      <c r="DY8" s="15">
        <v>25</v>
      </c>
      <c r="DZ8" s="15">
        <v>25</v>
      </c>
      <c r="EA8" s="15">
        <v>20</v>
      </c>
      <c r="EB8" s="15">
        <v>15</v>
      </c>
      <c r="EC8" s="15">
        <v>5</v>
      </c>
      <c r="ED8" s="15">
        <v>0</v>
      </c>
      <c r="EE8" s="15">
        <v>0</v>
      </c>
      <c r="EF8" s="15">
        <v>0</v>
      </c>
    </row>
    <row r="9" spans="1:136" ht="15" customHeight="1" x14ac:dyDescent="0.35">
      <c r="A9" s="8" t="s">
        <v>29</v>
      </c>
      <c r="B9" s="8" t="s">
        <v>35</v>
      </c>
      <c r="C9" s="8" t="s">
        <v>35</v>
      </c>
      <c r="D9" s="8" t="s">
        <v>317</v>
      </c>
      <c r="E9" s="8" t="s">
        <v>10</v>
      </c>
      <c r="F9" s="8" t="s">
        <v>92</v>
      </c>
      <c r="G9" s="15">
        <v>275</v>
      </c>
      <c r="H9" s="15">
        <v>1065</v>
      </c>
      <c r="I9" s="15">
        <v>930</v>
      </c>
      <c r="J9" s="15">
        <v>135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14</v>
      </c>
      <c r="AK9" s="15">
        <v>0</v>
      </c>
      <c r="AL9" s="15">
        <v>26</v>
      </c>
      <c r="AM9" s="15">
        <v>25</v>
      </c>
      <c r="AN9" s="15">
        <v>22</v>
      </c>
      <c r="AO9" s="15">
        <v>18</v>
      </c>
      <c r="AP9" s="15">
        <v>13</v>
      </c>
      <c r="AQ9" s="15">
        <v>8</v>
      </c>
      <c r="AR9" s="15">
        <v>14</v>
      </c>
      <c r="AS9" s="15">
        <v>6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20</v>
      </c>
      <c r="CT9" s="15">
        <v>20</v>
      </c>
      <c r="CU9" s="15">
        <v>20</v>
      </c>
      <c r="CV9" s="15">
        <v>20</v>
      </c>
      <c r="CW9" s="15">
        <v>35</v>
      </c>
      <c r="CX9" s="15">
        <v>30</v>
      </c>
      <c r="CY9" s="15">
        <v>40</v>
      </c>
      <c r="CZ9" s="15">
        <v>40</v>
      </c>
      <c r="DA9" s="15">
        <v>40</v>
      </c>
      <c r="DB9" s="15">
        <v>20</v>
      </c>
      <c r="DC9" s="15">
        <v>15</v>
      </c>
      <c r="DD9" s="15">
        <v>15</v>
      </c>
      <c r="DE9" s="15">
        <v>15</v>
      </c>
      <c r="DF9" s="15">
        <v>15</v>
      </c>
      <c r="DG9" s="15">
        <v>15</v>
      </c>
      <c r="DH9" s="15">
        <v>3</v>
      </c>
      <c r="DI9" s="15">
        <v>2</v>
      </c>
      <c r="DJ9" s="15">
        <v>0</v>
      </c>
      <c r="DK9" s="15">
        <v>55</v>
      </c>
      <c r="DL9" s="15">
        <v>50</v>
      </c>
      <c r="DM9" s="15">
        <v>50</v>
      </c>
      <c r="DN9" s="15">
        <v>50</v>
      </c>
      <c r="DO9" s="15">
        <v>60</v>
      </c>
      <c r="DP9" s="15">
        <v>60</v>
      </c>
      <c r="DQ9" s="15">
        <v>60</v>
      </c>
      <c r="DR9" s="15">
        <v>40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</row>
    <row r="10" spans="1:136" ht="15" customHeight="1" x14ac:dyDescent="0.35">
      <c r="A10" s="8" t="s">
        <v>29</v>
      </c>
      <c r="B10" s="8" t="s">
        <v>35</v>
      </c>
      <c r="C10" s="8" t="s">
        <v>35</v>
      </c>
      <c r="D10" s="8" t="s">
        <v>318</v>
      </c>
      <c r="E10" s="8" t="s">
        <v>10</v>
      </c>
      <c r="F10" s="8" t="s">
        <v>92</v>
      </c>
      <c r="G10" s="15">
        <v>0</v>
      </c>
      <c r="H10" s="15">
        <v>0</v>
      </c>
      <c r="I10" s="15">
        <v>82</v>
      </c>
      <c r="J10" s="15">
        <v>-82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10</v>
      </c>
      <c r="AE10" s="15">
        <v>12</v>
      </c>
      <c r="AF10" s="15">
        <v>8</v>
      </c>
      <c r="AG10" s="15">
        <v>16.5</v>
      </c>
      <c r="AH10" s="15">
        <v>15.5</v>
      </c>
      <c r="AI10" s="15">
        <v>10</v>
      </c>
      <c r="AJ10" s="15">
        <v>10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</row>
    <row r="11" spans="1:136" ht="15" customHeight="1" x14ac:dyDescent="0.35">
      <c r="A11" s="8" t="s">
        <v>29</v>
      </c>
      <c r="B11" s="8" t="s">
        <v>90</v>
      </c>
      <c r="C11" s="8" t="s">
        <v>90</v>
      </c>
      <c r="D11" s="8" t="s">
        <v>319</v>
      </c>
      <c r="E11" s="8" t="s">
        <v>16</v>
      </c>
      <c r="F11" s="8" t="s">
        <v>91</v>
      </c>
      <c r="G11" s="15">
        <v>0</v>
      </c>
      <c r="H11" s="15">
        <v>165</v>
      </c>
      <c r="I11" s="15">
        <v>183</v>
      </c>
      <c r="J11" s="15">
        <v>-18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12</v>
      </c>
      <c r="DT11" s="15">
        <v>22</v>
      </c>
      <c r="DU11" s="15">
        <v>17</v>
      </c>
      <c r="DV11" s="15">
        <v>22</v>
      </c>
      <c r="DW11" s="15">
        <v>22</v>
      </c>
      <c r="DX11" s="15">
        <v>17</v>
      </c>
      <c r="DY11" s="15">
        <v>17</v>
      </c>
      <c r="DZ11" s="15">
        <v>17</v>
      </c>
      <c r="EA11" s="15">
        <v>17</v>
      </c>
      <c r="EB11" s="15">
        <v>15</v>
      </c>
      <c r="EC11" s="15">
        <v>5</v>
      </c>
      <c r="ED11" s="15">
        <v>0</v>
      </c>
      <c r="EE11" s="15">
        <v>0</v>
      </c>
      <c r="EF11" s="15">
        <v>0</v>
      </c>
    </row>
    <row r="12" spans="1:136" ht="15" customHeight="1" x14ac:dyDescent="0.35">
      <c r="A12" s="8" t="s">
        <v>29</v>
      </c>
      <c r="B12" s="8" t="s">
        <v>90</v>
      </c>
      <c r="C12" s="8" t="s">
        <v>90</v>
      </c>
      <c r="D12" s="8" t="s">
        <v>319</v>
      </c>
      <c r="E12" s="8" t="s">
        <v>16</v>
      </c>
      <c r="F12" s="8" t="s">
        <v>92</v>
      </c>
      <c r="G12" s="15">
        <v>60</v>
      </c>
      <c r="H12" s="15">
        <v>398</v>
      </c>
      <c r="I12" s="15">
        <v>533.1</v>
      </c>
      <c r="J12" s="15">
        <v>-135.1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3</v>
      </c>
      <c r="AK12" s="15">
        <v>4</v>
      </c>
      <c r="AL12" s="15">
        <v>8</v>
      </c>
      <c r="AM12" s="15">
        <v>12</v>
      </c>
      <c r="AN12" s="15">
        <v>12</v>
      </c>
      <c r="AO12" s="15">
        <v>12</v>
      </c>
      <c r="AP12" s="15">
        <v>10</v>
      </c>
      <c r="AQ12" s="15">
        <v>3</v>
      </c>
      <c r="AR12" s="15">
        <v>15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10</v>
      </c>
      <c r="CT12" s="15">
        <v>10</v>
      </c>
      <c r="CU12" s="15">
        <v>10</v>
      </c>
      <c r="CV12" s="15">
        <v>10</v>
      </c>
      <c r="CW12" s="15">
        <v>10</v>
      </c>
      <c r="CX12" s="15">
        <v>10.5</v>
      </c>
      <c r="CY12" s="15">
        <v>20.5</v>
      </c>
      <c r="CZ12" s="15">
        <v>20.5</v>
      </c>
      <c r="DA12" s="15">
        <v>20.5</v>
      </c>
      <c r="DB12" s="15">
        <v>10.5</v>
      </c>
      <c r="DC12" s="15">
        <v>10.5</v>
      </c>
      <c r="DD12" s="15">
        <v>10.5</v>
      </c>
      <c r="DE12" s="15">
        <v>10.5</v>
      </c>
      <c r="DF12" s="15">
        <v>0.5</v>
      </c>
      <c r="DG12" s="15">
        <v>0.5</v>
      </c>
      <c r="DH12" s="15">
        <v>3.5</v>
      </c>
      <c r="DI12" s="15">
        <v>0.5</v>
      </c>
      <c r="DJ12" s="15">
        <v>0</v>
      </c>
      <c r="DK12" s="15">
        <v>15</v>
      </c>
      <c r="DL12" s="15">
        <v>23</v>
      </c>
      <c r="DM12" s="15">
        <v>43</v>
      </c>
      <c r="DN12" s="15">
        <v>38</v>
      </c>
      <c r="DO12" s="15">
        <v>38</v>
      </c>
      <c r="DP12" s="15">
        <v>38</v>
      </c>
      <c r="DQ12" s="15">
        <v>30</v>
      </c>
      <c r="DR12" s="15">
        <v>35</v>
      </c>
      <c r="DS12" s="15">
        <v>0</v>
      </c>
      <c r="DT12" s="15">
        <v>1.5</v>
      </c>
      <c r="DU12" s="15">
        <v>6.5</v>
      </c>
      <c r="DV12" s="15">
        <v>2</v>
      </c>
      <c r="DW12" s="15">
        <v>2.8</v>
      </c>
      <c r="DX12" s="15">
        <v>2</v>
      </c>
      <c r="DY12" s="15">
        <v>8</v>
      </c>
      <c r="DZ12" s="15">
        <v>1.5</v>
      </c>
      <c r="EA12" s="15">
        <v>0.8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</row>
    <row r="13" spans="1:136" ht="15" customHeight="1" x14ac:dyDescent="0.35">
      <c r="A13" s="8" t="s">
        <v>29</v>
      </c>
      <c r="B13" s="8" t="s">
        <v>90</v>
      </c>
      <c r="C13" s="8" t="s">
        <v>90</v>
      </c>
      <c r="D13" s="8" t="s">
        <v>320</v>
      </c>
      <c r="E13" s="8" t="s">
        <v>16</v>
      </c>
      <c r="F13" s="8" t="s">
        <v>92</v>
      </c>
      <c r="G13" s="15">
        <v>0</v>
      </c>
      <c r="H13" s="15">
        <v>0</v>
      </c>
      <c r="I13" s="15">
        <v>7.5</v>
      </c>
      <c r="J13" s="15">
        <v>-7.5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1.5</v>
      </c>
      <c r="AI13" s="15">
        <v>4</v>
      </c>
      <c r="AJ13" s="15">
        <v>2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</row>
    <row r="14" spans="1:136" ht="15" customHeight="1" x14ac:dyDescent="0.35">
      <c r="A14" s="8" t="s">
        <v>29</v>
      </c>
      <c r="B14" s="8" t="s">
        <v>32</v>
      </c>
      <c r="C14" s="8" t="s">
        <v>32</v>
      </c>
      <c r="D14" s="8" t="s">
        <v>315</v>
      </c>
      <c r="E14" s="8" t="s">
        <v>14</v>
      </c>
      <c r="F14" s="8" t="s">
        <v>91</v>
      </c>
      <c r="G14" s="15">
        <v>50</v>
      </c>
      <c r="H14" s="15">
        <v>455</v>
      </c>
      <c r="I14" s="15">
        <v>474</v>
      </c>
      <c r="J14" s="15">
        <v>-19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4</v>
      </c>
      <c r="AK14" s="15">
        <v>10</v>
      </c>
      <c r="AL14" s="15">
        <v>10</v>
      </c>
      <c r="AM14" s="15">
        <v>0</v>
      </c>
      <c r="AN14" s="15">
        <v>3</v>
      </c>
      <c r="AO14" s="15">
        <v>12</v>
      </c>
      <c r="AP14" s="15">
        <v>5</v>
      </c>
      <c r="AQ14" s="15">
        <v>10</v>
      </c>
      <c r="AR14" s="15">
        <v>15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10</v>
      </c>
      <c r="CT14" s="15">
        <v>10</v>
      </c>
      <c r="CU14" s="15">
        <v>10</v>
      </c>
      <c r="CV14" s="15">
        <v>10</v>
      </c>
      <c r="CW14" s="15">
        <v>20</v>
      </c>
      <c r="CX14" s="15">
        <v>30</v>
      </c>
      <c r="CY14" s="15">
        <v>30</v>
      </c>
      <c r="CZ14" s="15">
        <v>20</v>
      </c>
      <c r="DA14" s="15">
        <v>20</v>
      </c>
      <c r="DB14" s="15">
        <v>10</v>
      </c>
      <c r="DC14" s="15">
        <v>10</v>
      </c>
      <c r="DD14" s="15">
        <v>10</v>
      </c>
      <c r="DE14" s="15">
        <v>10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5</v>
      </c>
      <c r="DS14" s="15">
        <v>25</v>
      </c>
      <c r="DT14" s="15">
        <v>25</v>
      </c>
      <c r="DU14" s="15">
        <v>25</v>
      </c>
      <c r="DV14" s="15">
        <v>25</v>
      </c>
      <c r="DW14" s="15">
        <v>25</v>
      </c>
      <c r="DX14" s="15">
        <v>25</v>
      </c>
      <c r="DY14" s="15">
        <v>25</v>
      </c>
      <c r="DZ14" s="15">
        <v>10</v>
      </c>
      <c r="EA14" s="15">
        <v>10</v>
      </c>
      <c r="EB14" s="15">
        <v>5</v>
      </c>
      <c r="EC14" s="15">
        <v>0</v>
      </c>
      <c r="ED14" s="15">
        <v>0</v>
      </c>
      <c r="EE14" s="15">
        <v>0</v>
      </c>
      <c r="EF14" s="15">
        <v>0</v>
      </c>
    </row>
    <row r="15" spans="1:136" ht="15" customHeight="1" x14ac:dyDescent="0.35">
      <c r="A15" s="8" t="s">
        <v>29</v>
      </c>
      <c r="B15" s="8" t="s">
        <v>32</v>
      </c>
      <c r="C15" s="8" t="s">
        <v>32</v>
      </c>
      <c r="D15" s="8" t="s">
        <v>316</v>
      </c>
      <c r="E15" s="8" t="s">
        <v>14</v>
      </c>
      <c r="F15" s="8" t="s">
        <v>91</v>
      </c>
      <c r="G15" s="15">
        <v>0</v>
      </c>
      <c r="H15" s="15">
        <v>0</v>
      </c>
      <c r="I15" s="15">
        <v>74</v>
      </c>
      <c r="J15" s="15">
        <v>-74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9</v>
      </c>
      <c r="AE15" s="15">
        <v>0</v>
      </c>
      <c r="AF15" s="15">
        <v>14</v>
      </c>
      <c r="AG15" s="15">
        <v>26</v>
      </c>
      <c r="AH15" s="15">
        <v>11</v>
      </c>
      <c r="AI15" s="15">
        <v>8</v>
      </c>
      <c r="AJ15" s="15">
        <v>6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</row>
    <row r="16" spans="1:136" ht="15" customHeight="1" x14ac:dyDescent="0.35">
      <c r="A16" s="8" t="s">
        <v>29</v>
      </c>
      <c r="B16" s="8" t="s">
        <v>32</v>
      </c>
      <c r="C16" s="8" t="s">
        <v>32</v>
      </c>
      <c r="D16" s="8" t="s">
        <v>315</v>
      </c>
      <c r="E16" s="8" t="s">
        <v>14</v>
      </c>
      <c r="F16" s="8" t="s">
        <v>92</v>
      </c>
      <c r="G16" s="15">
        <v>260</v>
      </c>
      <c r="H16" s="15">
        <v>800</v>
      </c>
      <c r="I16" s="15">
        <v>590.5</v>
      </c>
      <c r="J16" s="15">
        <v>209.5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4</v>
      </c>
      <c r="AK16" s="15">
        <v>3</v>
      </c>
      <c r="AL16" s="15">
        <v>13</v>
      </c>
      <c r="AM16" s="15">
        <v>5</v>
      </c>
      <c r="AN16" s="15">
        <v>14</v>
      </c>
      <c r="AO16" s="15">
        <v>20</v>
      </c>
      <c r="AP16" s="15">
        <v>23</v>
      </c>
      <c r="AQ16" s="15">
        <v>3.5</v>
      </c>
      <c r="AR16" s="15">
        <v>8</v>
      </c>
      <c r="AS16" s="15">
        <v>2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8</v>
      </c>
      <c r="CT16" s="15">
        <v>8</v>
      </c>
      <c r="CU16" s="15">
        <v>8</v>
      </c>
      <c r="CV16" s="15">
        <v>8</v>
      </c>
      <c r="CW16" s="15">
        <v>5</v>
      </c>
      <c r="CX16" s="15">
        <v>5</v>
      </c>
      <c r="CY16" s="15">
        <v>20</v>
      </c>
      <c r="CZ16" s="15">
        <v>20</v>
      </c>
      <c r="DA16" s="15">
        <v>20</v>
      </c>
      <c r="DB16" s="15">
        <v>5</v>
      </c>
      <c r="DC16" s="15">
        <v>5</v>
      </c>
      <c r="DD16" s="15">
        <v>5</v>
      </c>
      <c r="DE16" s="15">
        <v>5</v>
      </c>
      <c r="DF16" s="15">
        <v>5</v>
      </c>
      <c r="DG16" s="15">
        <v>5</v>
      </c>
      <c r="DH16" s="15">
        <v>5</v>
      </c>
      <c r="DI16" s="15">
        <v>0</v>
      </c>
      <c r="DJ16" s="15">
        <v>0</v>
      </c>
      <c r="DK16" s="15">
        <v>30</v>
      </c>
      <c r="DL16" s="15">
        <v>40</v>
      </c>
      <c r="DM16" s="15">
        <v>55</v>
      </c>
      <c r="DN16" s="15">
        <v>55</v>
      </c>
      <c r="DO16" s="15">
        <v>55</v>
      </c>
      <c r="DP16" s="15">
        <v>55</v>
      </c>
      <c r="DQ16" s="15">
        <v>50</v>
      </c>
      <c r="DR16" s="15">
        <v>20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</row>
    <row r="17" spans="1:136" ht="15" customHeight="1" x14ac:dyDescent="0.35">
      <c r="A17" s="8" t="s">
        <v>29</v>
      </c>
      <c r="B17" s="8" t="s">
        <v>32</v>
      </c>
      <c r="C17" s="8" t="s">
        <v>32</v>
      </c>
      <c r="D17" s="8" t="s">
        <v>316</v>
      </c>
      <c r="E17" s="8" t="s">
        <v>14</v>
      </c>
      <c r="F17" s="8" t="s">
        <v>92</v>
      </c>
      <c r="G17" s="15">
        <v>0</v>
      </c>
      <c r="H17" s="15">
        <v>0</v>
      </c>
      <c r="I17" s="15">
        <v>39.5</v>
      </c>
      <c r="J17" s="15">
        <v>-39.5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15</v>
      </c>
      <c r="AF17" s="15">
        <v>0</v>
      </c>
      <c r="AG17" s="15">
        <v>0</v>
      </c>
      <c r="AH17" s="15">
        <v>10.5</v>
      </c>
      <c r="AI17" s="15">
        <v>10</v>
      </c>
      <c r="AJ17" s="15">
        <v>4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</row>
    <row r="18" spans="1:136" ht="15" customHeight="1" x14ac:dyDescent="0.35">
      <c r="A18" s="8" t="s">
        <v>29</v>
      </c>
      <c r="B18" s="8" t="s">
        <v>28</v>
      </c>
      <c r="C18" s="8" t="s">
        <v>28</v>
      </c>
      <c r="D18" s="8" t="s">
        <v>317</v>
      </c>
      <c r="E18" s="8" t="s">
        <v>10</v>
      </c>
      <c r="F18" s="8" t="s">
        <v>91</v>
      </c>
      <c r="G18" s="15">
        <v>125</v>
      </c>
      <c r="H18" s="15">
        <v>565</v>
      </c>
      <c r="I18" s="15">
        <v>440.5</v>
      </c>
      <c r="J18" s="15">
        <v>124.5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5.5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5.5</v>
      </c>
      <c r="CT18" s="15">
        <v>5</v>
      </c>
      <c r="CU18" s="15">
        <v>5</v>
      </c>
      <c r="CV18" s="15">
        <v>5</v>
      </c>
      <c r="CW18" s="15">
        <v>15</v>
      </c>
      <c r="CX18" s="15">
        <v>10</v>
      </c>
      <c r="CY18" s="15">
        <v>20</v>
      </c>
      <c r="CZ18" s="15">
        <v>30</v>
      </c>
      <c r="DA18" s="15">
        <v>30</v>
      </c>
      <c r="DB18" s="15">
        <v>30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25</v>
      </c>
      <c r="DT18" s="15">
        <v>40</v>
      </c>
      <c r="DU18" s="15">
        <v>30</v>
      </c>
      <c r="DV18" s="15">
        <v>30</v>
      </c>
      <c r="DW18" s="15">
        <v>30</v>
      </c>
      <c r="DX18" s="15">
        <v>30</v>
      </c>
      <c r="DY18" s="15">
        <v>30</v>
      </c>
      <c r="DZ18" s="15">
        <v>30</v>
      </c>
      <c r="EA18" s="15">
        <v>20</v>
      </c>
      <c r="EB18" s="15">
        <v>15</v>
      </c>
      <c r="EC18" s="15">
        <v>5</v>
      </c>
      <c r="ED18" s="15">
        <v>0</v>
      </c>
      <c r="EE18" s="15">
        <v>0</v>
      </c>
      <c r="EF18" s="15">
        <v>0</v>
      </c>
    </row>
    <row r="19" spans="1:136" ht="15" customHeight="1" x14ac:dyDescent="0.35">
      <c r="A19" s="8" t="s">
        <v>29</v>
      </c>
      <c r="B19" s="8" t="s">
        <v>28</v>
      </c>
      <c r="C19" s="8" t="s">
        <v>28</v>
      </c>
      <c r="D19" s="8" t="s">
        <v>317</v>
      </c>
      <c r="E19" s="8" t="s">
        <v>10</v>
      </c>
      <c r="F19" s="8" t="s">
        <v>92</v>
      </c>
      <c r="G19" s="15">
        <v>210</v>
      </c>
      <c r="H19" s="15">
        <v>866</v>
      </c>
      <c r="I19" s="15">
        <v>837.5</v>
      </c>
      <c r="J19" s="15">
        <v>28.5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27</v>
      </c>
      <c r="AL19" s="15">
        <v>30.5</v>
      </c>
      <c r="AM19" s="15">
        <v>25.5</v>
      </c>
      <c r="AN19" s="15">
        <v>28.5</v>
      </c>
      <c r="AO19" s="15">
        <v>26</v>
      </c>
      <c r="AP19" s="15">
        <v>11.5</v>
      </c>
      <c r="AQ19" s="15">
        <v>16.5</v>
      </c>
      <c r="AR19" s="15">
        <v>16</v>
      </c>
      <c r="AS19" s="15">
        <v>0.5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20</v>
      </c>
      <c r="CT19" s="15">
        <v>20</v>
      </c>
      <c r="CU19" s="15">
        <v>20</v>
      </c>
      <c r="CV19" s="15">
        <v>20</v>
      </c>
      <c r="CW19" s="15">
        <v>30</v>
      </c>
      <c r="CX19" s="15">
        <v>30</v>
      </c>
      <c r="CY19" s="15">
        <v>20</v>
      </c>
      <c r="CZ19" s="15">
        <v>20</v>
      </c>
      <c r="DA19" s="15">
        <v>20</v>
      </c>
      <c r="DB19" s="15">
        <v>20</v>
      </c>
      <c r="DC19" s="15">
        <v>15</v>
      </c>
      <c r="DD19" s="15">
        <v>15</v>
      </c>
      <c r="DE19" s="15">
        <v>15</v>
      </c>
      <c r="DF19" s="15">
        <v>3</v>
      </c>
      <c r="DG19" s="15">
        <v>3</v>
      </c>
      <c r="DH19" s="15">
        <v>3</v>
      </c>
      <c r="DI19" s="15">
        <v>2</v>
      </c>
      <c r="DJ19" s="15">
        <v>0</v>
      </c>
      <c r="DK19" s="15">
        <v>10</v>
      </c>
      <c r="DL19" s="15">
        <v>50</v>
      </c>
      <c r="DM19" s="15">
        <v>50</v>
      </c>
      <c r="DN19" s="15">
        <v>50</v>
      </c>
      <c r="DO19" s="15">
        <v>60</v>
      </c>
      <c r="DP19" s="15">
        <v>60</v>
      </c>
      <c r="DQ19" s="15">
        <v>60</v>
      </c>
      <c r="DR19" s="15">
        <v>40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</row>
    <row r="20" spans="1:136" ht="15" customHeight="1" x14ac:dyDescent="0.35">
      <c r="A20" s="8" t="s">
        <v>29</v>
      </c>
      <c r="B20" s="8" t="s">
        <v>28</v>
      </c>
      <c r="C20" s="8" t="s">
        <v>28</v>
      </c>
      <c r="D20" s="8" t="s">
        <v>318</v>
      </c>
      <c r="E20" s="8" t="s">
        <v>10</v>
      </c>
      <c r="F20" s="8" t="s">
        <v>92</v>
      </c>
      <c r="G20" s="15">
        <v>0</v>
      </c>
      <c r="H20" s="15">
        <v>0</v>
      </c>
      <c r="I20" s="15">
        <v>93.5</v>
      </c>
      <c r="J20" s="15">
        <v>-93.5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18</v>
      </c>
      <c r="AE20" s="15">
        <v>0</v>
      </c>
      <c r="AF20" s="15">
        <v>3</v>
      </c>
      <c r="AG20" s="15">
        <v>21</v>
      </c>
      <c r="AH20" s="15">
        <v>25</v>
      </c>
      <c r="AI20" s="15">
        <v>26.5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</row>
    <row r="21" spans="1:136" ht="15" customHeight="1" x14ac:dyDescent="0.35">
      <c r="A21" s="8" t="s">
        <v>29</v>
      </c>
      <c r="B21" s="8" t="s">
        <v>18</v>
      </c>
      <c r="C21" s="8" t="s">
        <v>18</v>
      </c>
      <c r="D21" s="8" t="s">
        <v>321</v>
      </c>
      <c r="E21" s="8" t="s">
        <v>16</v>
      </c>
      <c r="F21" s="8" t="s">
        <v>91</v>
      </c>
      <c r="G21" s="15">
        <v>20</v>
      </c>
      <c r="H21" s="15">
        <v>250</v>
      </c>
      <c r="I21" s="15">
        <v>230</v>
      </c>
      <c r="J21" s="15">
        <v>20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5</v>
      </c>
      <c r="CY21" s="15">
        <v>5</v>
      </c>
      <c r="CZ21" s="15">
        <v>15</v>
      </c>
      <c r="DA21" s="15">
        <v>15</v>
      </c>
      <c r="DB21" s="15">
        <v>5</v>
      </c>
      <c r="DC21" s="15">
        <v>5</v>
      </c>
      <c r="DD21" s="15">
        <v>5</v>
      </c>
      <c r="DE21" s="15">
        <v>5</v>
      </c>
      <c r="DF21" s="15">
        <v>5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10</v>
      </c>
      <c r="DT21" s="15">
        <v>20</v>
      </c>
      <c r="DU21" s="15">
        <v>15</v>
      </c>
      <c r="DV21" s="15">
        <v>20</v>
      </c>
      <c r="DW21" s="15">
        <v>20</v>
      </c>
      <c r="DX21" s="15">
        <v>15</v>
      </c>
      <c r="DY21" s="15">
        <v>15</v>
      </c>
      <c r="DZ21" s="15">
        <v>15</v>
      </c>
      <c r="EA21" s="15">
        <v>15</v>
      </c>
      <c r="EB21" s="15">
        <v>15</v>
      </c>
      <c r="EC21" s="15">
        <v>5</v>
      </c>
      <c r="ED21" s="15">
        <v>0</v>
      </c>
      <c r="EE21" s="15">
        <v>0</v>
      </c>
      <c r="EF21" s="15">
        <v>0</v>
      </c>
    </row>
    <row r="22" spans="1:136" ht="15" customHeight="1" x14ac:dyDescent="0.35">
      <c r="A22" s="8" t="s">
        <v>29</v>
      </c>
      <c r="B22" s="8" t="s">
        <v>18</v>
      </c>
      <c r="C22" s="8" t="s">
        <v>18</v>
      </c>
      <c r="D22" s="8" t="s">
        <v>321</v>
      </c>
      <c r="E22" s="8" t="s">
        <v>16</v>
      </c>
      <c r="F22" s="8" t="s">
        <v>92</v>
      </c>
      <c r="G22" s="15">
        <v>175</v>
      </c>
      <c r="H22" s="15">
        <v>693</v>
      </c>
      <c r="I22" s="15">
        <v>534.5</v>
      </c>
      <c r="J22" s="15">
        <v>158.5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4</v>
      </c>
      <c r="AK22" s="15">
        <v>4</v>
      </c>
      <c r="AL22" s="15">
        <v>16</v>
      </c>
      <c r="AM22" s="15">
        <v>11.5</v>
      </c>
      <c r="AN22" s="15">
        <v>7</v>
      </c>
      <c r="AO22" s="15">
        <v>4</v>
      </c>
      <c r="AP22" s="15">
        <v>2</v>
      </c>
      <c r="AQ22" s="15">
        <v>0</v>
      </c>
      <c r="AR22" s="15">
        <v>3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10</v>
      </c>
      <c r="CT22" s="15">
        <v>10</v>
      </c>
      <c r="CU22" s="15">
        <v>10</v>
      </c>
      <c r="CV22" s="15">
        <v>10</v>
      </c>
      <c r="CW22" s="15">
        <v>10</v>
      </c>
      <c r="CX22" s="15">
        <v>10</v>
      </c>
      <c r="CY22" s="15">
        <v>30</v>
      </c>
      <c r="CZ22" s="15">
        <v>30</v>
      </c>
      <c r="DA22" s="15">
        <v>30</v>
      </c>
      <c r="DB22" s="15">
        <v>25</v>
      </c>
      <c r="DC22" s="15">
        <v>25</v>
      </c>
      <c r="DD22" s="15">
        <v>25</v>
      </c>
      <c r="DE22" s="15">
        <v>25</v>
      </c>
      <c r="DF22" s="15">
        <v>0</v>
      </c>
      <c r="DG22" s="15">
        <v>0</v>
      </c>
      <c r="DH22" s="15">
        <v>3</v>
      </c>
      <c r="DI22" s="15">
        <v>0</v>
      </c>
      <c r="DJ22" s="15">
        <v>0</v>
      </c>
      <c r="DK22" s="15">
        <v>40</v>
      </c>
      <c r="DL22" s="15">
        <v>40</v>
      </c>
      <c r="DM22" s="15">
        <v>30</v>
      </c>
      <c r="DN22" s="15">
        <v>30</v>
      </c>
      <c r="DO22" s="15">
        <v>30</v>
      </c>
      <c r="DP22" s="15">
        <v>25</v>
      </c>
      <c r="DQ22" s="15">
        <v>15</v>
      </c>
      <c r="DR22" s="15">
        <v>20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</row>
    <row r="23" spans="1:136" ht="15" customHeight="1" x14ac:dyDescent="0.35">
      <c r="A23" s="8" t="s">
        <v>29</v>
      </c>
      <c r="B23" s="8" t="s">
        <v>18</v>
      </c>
      <c r="C23" s="8" t="s">
        <v>18</v>
      </c>
      <c r="D23" s="8" t="s">
        <v>320</v>
      </c>
      <c r="E23" s="8" t="s">
        <v>16</v>
      </c>
      <c r="F23" s="8" t="s">
        <v>92</v>
      </c>
      <c r="G23" s="15">
        <v>0</v>
      </c>
      <c r="H23" s="15">
        <v>0</v>
      </c>
      <c r="I23" s="15">
        <v>30.5</v>
      </c>
      <c r="J23" s="15">
        <v>-30.5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4</v>
      </c>
      <c r="AE23" s="15">
        <v>0</v>
      </c>
      <c r="AF23" s="15">
        <v>2</v>
      </c>
      <c r="AG23" s="15">
        <v>6.5</v>
      </c>
      <c r="AH23" s="15">
        <v>15</v>
      </c>
      <c r="AI23" s="15">
        <v>3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</row>
    <row r="24" spans="1:136" ht="15" customHeight="1" x14ac:dyDescent="0.35">
      <c r="A24" s="8" t="s">
        <v>12</v>
      </c>
      <c r="B24" s="8" t="s">
        <v>13</v>
      </c>
      <c r="C24" s="8" t="s">
        <v>13</v>
      </c>
      <c r="D24" s="8" t="s">
        <v>316</v>
      </c>
      <c r="E24" s="8" t="s">
        <v>14</v>
      </c>
      <c r="F24" s="8" t="s">
        <v>81</v>
      </c>
      <c r="G24" s="15">
        <v>34</v>
      </c>
      <c r="H24" s="15">
        <v>222</v>
      </c>
      <c r="I24" s="15">
        <v>0</v>
      </c>
      <c r="J24" s="15">
        <v>222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</row>
    <row r="25" spans="1:136" ht="15" customHeight="1" x14ac:dyDescent="0.35">
      <c r="A25" s="8" t="s">
        <v>12</v>
      </c>
      <c r="B25" s="8" t="s">
        <v>13</v>
      </c>
      <c r="C25" s="8" t="s">
        <v>13</v>
      </c>
      <c r="D25" s="8" t="s">
        <v>322</v>
      </c>
      <c r="E25" s="8" t="s">
        <v>14</v>
      </c>
      <c r="F25" s="8" t="s">
        <v>81</v>
      </c>
      <c r="G25" s="15">
        <v>0</v>
      </c>
      <c r="H25" s="15">
        <v>0</v>
      </c>
      <c r="I25" s="15">
        <v>212</v>
      </c>
      <c r="J25" s="15">
        <v>-212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8</v>
      </c>
      <c r="AM25" s="15">
        <v>7</v>
      </c>
      <c r="AN25" s="15">
        <v>0</v>
      </c>
      <c r="AO25" s="15">
        <v>0</v>
      </c>
      <c r="AP25" s="15">
        <v>9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16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14</v>
      </c>
      <c r="DC25" s="15">
        <v>16</v>
      </c>
      <c r="DD25" s="15">
        <v>16</v>
      </c>
      <c r="DE25" s="15">
        <v>4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18</v>
      </c>
      <c r="DO25" s="15">
        <v>36</v>
      </c>
      <c r="DP25" s="15">
        <v>36</v>
      </c>
      <c r="DQ25" s="15">
        <v>32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</row>
    <row r="26" spans="1:136" ht="15" customHeight="1" x14ac:dyDescent="0.35">
      <c r="A26" s="8" t="s">
        <v>12</v>
      </c>
      <c r="B26" s="8" t="s">
        <v>13</v>
      </c>
      <c r="C26" s="8" t="s">
        <v>13</v>
      </c>
      <c r="D26" s="8" t="s">
        <v>316</v>
      </c>
      <c r="E26" s="8" t="s">
        <v>14</v>
      </c>
      <c r="F26" s="8" t="s">
        <v>94</v>
      </c>
      <c r="G26" s="15">
        <v>10</v>
      </c>
      <c r="H26" s="15">
        <v>10</v>
      </c>
      <c r="I26" s="15">
        <v>0</v>
      </c>
      <c r="J26" s="15">
        <v>10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</row>
    <row r="27" spans="1:136" ht="15" customHeight="1" x14ac:dyDescent="0.35">
      <c r="A27" s="8" t="s">
        <v>12</v>
      </c>
      <c r="B27" s="8" t="s">
        <v>13</v>
      </c>
      <c r="C27" s="8" t="s">
        <v>13</v>
      </c>
      <c r="D27" s="8" t="s">
        <v>322</v>
      </c>
      <c r="E27" s="8" t="s">
        <v>14</v>
      </c>
      <c r="F27" s="8" t="s">
        <v>94</v>
      </c>
      <c r="G27" s="15">
        <v>0</v>
      </c>
      <c r="H27" s="15">
        <v>0</v>
      </c>
      <c r="I27" s="15">
        <v>5</v>
      </c>
      <c r="J27" s="15">
        <v>-5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5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</row>
    <row r="28" spans="1:136" ht="15" customHeight="1" x14ac:dyDescent="0.35">
      <c r="A28" s="8" t="s">
        <v>12</v>
      </c>
      <c r="B28" s="8" t="s">
        <v>13</v>
      </c>
      <c r="C28" s="8" t="s">
        <v>13</v>
      </c>
      <c r="D28" s="8" t="s">
        <v>316</v>
      </c>
      <c r="E28" s="8" t="s">
        <v>14</v>
      </c>
      <c r="F28" s="8" t="s">
        <v>82</v>
      </c>
      <c r="G28" s="15">
        <v>0</v>
      </c>
      <c r="H28" s="15">
        <v>0</v>
      </c>
      <c r="I28" s="15">
        <v>16</v>
      </c>
      <c r="J28" s="15">
        <v>-16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8</v>
      </c>
      <c r="AA28" s="15">
        <v>8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</row>
    <row r="29" spans="1:136" ht="15" customHeight="1" x14ac:dyDescent="0.35">
      <c r="A29" s="8" t="s">
        <v>12</v>
      </c>
      <c r="B29" s="8" t="s">
        <v>13</v>
      </c>
      <c r="C29" s="8" t="s">
        <v>13</v>
      </c>
      <c r="D29" s="8" t="s">
        <v>322</v>
      </c>
      <c r="E29" s="8" t="s">
        <v>14</v>
      </c>
      <c r="F29" s="8" t="s">
        <v>83</v>
      </c>
      <c r="G29" s="15">
        <v>0</v>
      </c>
      <c r="H29" s="15">
        <v>0</v>
      </c>
      <c r="I29" s="15">
        <v>19</v>
      </c>
      <c r="J29" s="15">
        <v>-19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19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</row>
    <row r="30" spans="1:136" ht="15" customHeight="1" x14ac:dyDescent="0.35">
      <c r="A30" s="8" t="s">
        <v>12</v>
      </c>
      <c r="B30" s="8" t="s">
        <v>13</v>
      </c>
      <c r="C30" s="8" t="s">
        <v>13</v>
      </c>
      <c r="D30" s="8" t="s">
        <v>316</v>
      </c>
      <c r="E30" s="8" t="s">
        <v>14</v>
      </c>
      <c r="F30" s="8" t="s">
        <v>40</v>
      </c>
      <c r="G30" s="15">
        <v>32</v>
      </c>
      <c r="H30" s="15">
        <v>162</v>
      </c>
      <c r="I30" s="15">
        <v>0</v>
      </c>
      <c r="J30" s="15">
        <v>162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</row>
    <row r="31" spans="1:136" ht="15" customHeight="1" x14ac:dyDescent="0.35">
      <c r="A31" s="8" t="s">
        <v>12</v>
      </c>
      <c r="B31" s="8" t="s">
        <v>13</v>
      </c>
      <c r="C31" s="8" t="s">
        <v>13</v>
      </c>
      <c r="D31" s="8" t="s">
        <v>322</v>
      </c>
      <c r="E31" s="8" t="s">
        <v>14</v>
      </c>
      <c r="F31" s="8" t="s">
        <v>40</v>
      </c>
      <c r="G31" s="15">
        <v>0</v>
      </c>
      <c r="H31" s="15">
        <v>0</v>
      </c>
      <c r="I31" s="15">
        <v>140</v>
      </c>
      <c r="J31" s="15">
        <v>-140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4</v>
      </c>
      <c r="AP31" s="15">
        <v>6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10</v>
      </c>
      <c r="DC31" s="15">
        <v>15</v>
      </c>
      <c r="DD31" s="15">
        <v>10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50</v>
      </c>
      <c r="DP31" s="15">
        <v>30</v>
      </c>
      <c r="DQ31" s="15">
        <v>15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</row>
    <row r="32" spans="1:136" ht="15" customHeight="1" x14ac:dyDescent="0.35">
      <c r="A32" s="8" t="s">
        <v>12</v>
      </c>
      <c r="B32" s="8" t="s">
        <v>13</v>
      </c>
      <c r="C32" s="8" t="s">
        <v>13</v>
      </c>
      <c r="D32" s="8" t="s">
        <v>316</v>
      </c>
      <c r="E32" s="8" t="s">
        <v>14</v>
      </c>
      <c r="F32" s="8" t="s">
        <v>96</v>
      </c>
      <c r="G32" s="15">
        <v>230</v>
      </c>
      <c r="H32" s="15">
        <v>674</v>
      </c>
      <c r="I32" s="15">
        <v>0</v>
      </c>
      <c r="J32" s="15">
        <v>674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</row>
    <row r="33" spans="1:136" ht="15" customHeight="1" x14ac:dyDescent="0.35">
      <c r="A33" s="8" t="s">
        <v>12</v>
      </c>
      <c r="B33" s="8" t="s">
        <v>13</v>
      </c>
      <c r="C33" s="8" t="s">
        <v>13</v>
      </c>
      <c r="D33" s="8" t="s">
        <v>322</v>
      </c>
      <c r="E33" s="8" t="s">
        <v>14</v>
      </c>
      <c r="F33" s="8" t="s">
        <v>96</v>
      </c>
      <c r="G33" s="15">
        <v>0</v>
      </c>
      <c r="H33" s="15">
        <v>0</v>
      </c>
      <c r="I33" s="15">
        <v>671.5</v>
      </c>
      <c r="J33" s="15">
        <v>-671.5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8</v>
      </c>
      <c r="AC33" s="15">
        <v>2</v>
      </c>
      <c r="AD33" s="15">
        <v>0</v>
      </c>
      <c r="AE33" s="15">
        <v>0</v>
      </c>
      <c r="AF33" s="15">
        <v>32</v>
      </c>
      <c r="AG33" s="15">
        <v>34</v>
      </c>
      <c r="AH33" s="15">
        <v>0</v>
      </c>
      <c r="AI33" s="15">
        <v>0</v>
      </c>
      <c r="AJ33" s="15">
        <v>16</v>
      </c>
      <c r="AK33" s="15">
        <v>0</v>
      </c>
      <c r="AL33" s="15">
        <v>4</v>
      </c>
      <c r="AM33" s="15">
        <v>0</v>
      </c>
      <c r="AN33" s="15">
        <v>0</v>
      </c>
      <c r="AO33" s="15">
        <v>0</v>
      </c>
      <c r="AP33" s="15">
        <v>3</v>
      </c>
      <c r="AQ33" s="15">
        <v>25</v>
      </c>
      <c r="AR33" s="15">
        <v>10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28</v>
      </c>
      <c r="CT33" s="15">
        <v>0</v>
      </c>
      <c r="CU33" s="15">
        <v>30</v>
      </c>
      <c r="CV33" s="15">
        <v>25</v>
      </c>
      <c r="CW33" s="15">
        <v>30</v>
      </c>
      <c r="CX33" s="15">
        <v>30</v>
      </c>
      <c r="CY33" s="15">
        <v>20</v>
      </c>
      <c r="CZ33" s="15">
        <v>6.5</v>
      </c>
      <c r="DA33" s="15">
        <v>24</v>
      </c>
      <c r="DB33" s="15">
        <v>24</v>
      </c>
      <c r="DC33" s="15">
        <v>24</v>
      </c>
      <c r="DD33" s="15">
        <v>28</v>
      </c>
      <c r="DE33" s="15">
        <v>0</v>
      </c>
      <c r="DF33" s="15">
        <v>24</v>
      </c>
      <c r="DG33" s="15">
        <v>30</v>
      </c>
      <c r="DH33" s="15">
        <v>30</v>
      </c>
      <c r="DI33" s="15">
        <v>0</v>
      </c>
      <c r="DJ33" s="15">
        <v>0</v>
      </c>
      <c r="DK33" s="15">
        <v>16</v>
      </c>
      <c r="DL33" s="15">
        <v>24</v>
      </c>
      <c r="DM33" s="15">
        <v>24</v>
      </c>
      <c r="DN33" s="15">
        <v>30</v>
      </c>
      <c r="DO33" s="15">
        <v>30</v>
      </c>
      <c r="DP33" s="15">
        <v>30</v>
      </c>
      <c r="DQ33" s="15">
        <v>30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</row>
    <row r="34" spans="1:136" ht="15" customHeight="1" x14ac:dyDescent="0.35">
      <c r="A34" s="8" t="s">
        <v>12</v>
      </c>
      <c r="B34" s="8" t="s">
        <v>13</v>
      </c>
      <c r="C34" s="8" t="s">
        <v>13</v>
      </c>
      <c r="D34" s="8" t="s">
        <v>322</v>
      </c>
      <c r="E34" s="8" t="s">
        <v>14</v>
      </c>
      <c r="F34" s="8" t="s">
        <v>97</v>
      </c>
      <c r="G34" s="15">
        <v>0</v>
      </c>
      <c r="H34" s="15">
        <v>0</v>
      </c>
      <c r="I34" s="15">
        <v>9</v>
      </c>
      <c r="J34" s="15">
        <v>-9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4</v>
      </c>
      <c r="AL34" s="15">
        <v>5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</row>
    <row r="35" spans="1:136" ht="15" customHeight="1" x14ac:dyDescent="0.35">
      <c r="A35" s="8" t="s">
        <v>12</v>
      </c>
      <c r="B35" s="8" t="s">
        <v>13</v>
      </c>
      <c r="C35" s="8" t="s">
        <v>13</v>
      </c>
      <c r="D35" s="8" t="s">
        <v>316</v>
      </c>
      <c r="E35" s="8" t="s">
        <v>14</v>
      </c>
      <c r="F35" s="8" t="s">
        <v>86</v>
      </c>
      <c r="G35" s="15">
        <v>0</v>
      </c>
      <c r="H35" s="15">
        <v>0</v>
      </c>
      <c r="I35" s="15">
        <v>16</v>
      </c>
      <c r="J35" s="15">
        <v>-16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16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</row>
    <row r="36" spans="1:136" ht="15" customHeight="1" x14ac:dyDescent="0.35">
      <c r="A36" s="8" t="s">
        <v>12</v>
      </c>
      <c r="B36" s="8" t="s">
        <v>13</v>
      </c>
      <c r="C36" s="8" t="s">
        <v>13</v>
      </c>
      <c r="D36" s="8" t="s">
        <v>322</v>
      </c>
      <c r="E36" s="8" t="s">
        <v>14</v>
      </c>
      <c r="F36" s="8" t="s">
        <v>98</v>
      </c>
      <c r="G36" s="15">
        <v>0</v>
      </c>
      <c r="H36" s="15">
        <v>0</v>
      </c>
      <c r="I36" s="15">
        <v>77</v>
      </c>
      <c r="J36" s="15">
        <v>-77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8</v>
      </c>
      <c r="CT36" s="15">
        <v>8</v>
      </c>
      <c r="CU36" s="15">
        <v>8</v>
      </c>
      <c r="CV36" s="15">
        <v>8</v>
      </c>
      <c r="CW36" s="15">
        <v>0</v>
      </c>
      <c r="CX36" s="15">
        <v>0</v>
      </c>
      <c r="CY36" s="15">
        <v>5</v>
      </c>
      <c r="CZ36" s="15">
        <v>5</v>
      </c>
      <c r="DA36" s="15">
        <v>5</v>
      </c>
      <c r="DB36" s="15">
        <v>5</v>
      </c>
      <c r="DC36" s="15">
        <v>5</v>
      </c>
      <c r="DD36" s="15">
        <v>5</v>
      </c>
      <c r="DE36" s="15">
        <v>0</v>
      </c>
      <c r="DF36" s="15">
        <v>5</v>
      </c>
      <c r="DG36" s="15">
        <v>5</v>
      </c>
      <c r="DH36" s="15">
        <v>5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</row>
    <row r="37" spans="1:136" ht="15" customHeight="1" x14ac:dyDescent="0.35">
      <c r="A37" s="8" t="s">
        <v>12</v>
      </c>
      <c r="B37" s="8" t="s">
        <v>13</v>
      </c>
      <c r="C37" s="8" t="s">
        <v>13</v>
      </c>
      <c r="D37" s="8" t="s">
        <v>316</v>
      </c>
      <c r="E37" s="8" t="s">
        <v>14</v>
      </c>
      <c r="F37" s="8" t="s">
        <v>99</v>
      </c>
      <c r="G37" s="15">
        <v>56</v>
      </c>
      <c r="H37" s="15">
        <v>113</v>
      </c>
      <c r="I37" s="15">
        <v>0</v>
      </c>
      <c r="J37" s="15">
        <v>113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</row>
    <row r="38" spans="1:136" ht="15" customHeight="1" x14ac:dyDescent="0.35">
      <c r="A38" s="8" t="s">
        <v>12</v>
      </c>
      <c r="B38" s="8" t="s">
        <v>13</v>
      </c>
      <c r="C38" s="8" t="s">
        <v>13</v>
      </c>
      <c r="D38" s="8" t="s">
        <v>322</v>
      </c>
      <c r="E38" s="8" t="s">
        <v>14</v>
      </c>
      <c r="F38" s="8" t="s">
        <v>99</v>
      </c>
      <c r="G38" s="15">
        <v>0</v>
      </c>
      <c r="H38" s="15">
        <v>0</v>
      </c>
      <c r="I38" s="15">
        <v>63</v>
      </c>
      <c r="J38" s="15">
        <v>-63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4</v>
      </c>
      <c r="AR38" s="15">
        <v>2</v>
      </c>
      <c r="AS38" s="15">
        <v>3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3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9</v>
      </c>
      <c r="DC38" s="15">
        <v>11</v>
      </c>
      <c r="DD38" s="15">
        <v>7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9</v>
      </c>
      <c r="DP38" s="15">
        <v>10.5</v>
      </c>
      <c r="DQ38" s="15">
        <v>7.5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</row>
    <row r="39" spans="1:136" ht="15" customHeight="1" x14ac:dyDescent="0.35">
      <c r="A39" s="8" t="s">
        <v>12</v>
      </c>
      <c r="B39" s="8" t="s">
        <v>13</v>
      </c>
      <c r="C39" s="8" t="s">
        <v>13</v>
      </c>
      <c r="D39" s="8" t="s">
        <v>316</v>
      </c>
      <c r="E39" s="8" t="s">
        <v>14</v>
      </c>
      <c r="F39" s="8" t="s">
        <v>43</v>
      </c>
      <c r="G39" s="15">
        <v>14</v>
      </c>
      <c r="H39" s="15">
        <v>111</v>
      </c>
      <c r="I39" s="15">
        <v>0</v>
      </c>
      <c r="J39" s="15">
        <v>111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</row>
    <row r="40" spans="1:136" ht="15" customHeight="1" x14ac:dyDescent="0.35">
      <c r="A40" s="8" t="s">
        <v>12</v>
      </c>
      <c r="B40" s="8" t="s">
        <v>13</v>
      </c>
      <c r="C40" s="8" t="s">
        <v>13</v>
      </c>
      <c r="D40" s="8" t="s">
        <v>322</v>
      </c>
      <c r="E40" s="8" t="s">
        <v>14</v>
      </c>
      <c r="F40" s="8" t="s">
        <v>43</v>
      </c>
      <c r="G40" s="15">
        <v>0</v>
      </c>
      <c r="H40" s="15">
        <v>0</v>
      </c>
      <c r="I40" s="15">
        <v>107</v>
      </c>
      <c r="J40" s="15">
        <v>-107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4</v>
      </c>
      <c r="AQ40" s="15">
        <v>2</v>
      </c>
      <c r="AR40" s="15">
        <v>4</v>
      </c>
      <c r="AS40" s="15">
        <v>5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11</v>
      </c>
      <c r="CT40" s="15">
        <v>9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9</v>
      </c>
      <c r="DD40" s="15">
        <v>13</v>
      </c>
      <c r="DE40" s="15">
        <v>11</v>
      </c>
      <c r="DF40" s="15">
        <v>1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11</v>
      </c>
      <c r="DQ40" s="15">
        <v>18</v>
      </c>
      <c r="DR40" s="15">
        <v>14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</row>
    <row r="41" spans="1:136" ht="15" customHeight="1" x14ac:dyDescent="0.35">
      <c r="A41" s="8" t="s">
        <v>12</v>
      </c>
      <c r="B41" s="8" t="s">
        <v>13</v>
      </c>
      <c r="C41" s="8" t="s">
        <v>13</v>
      </c>
      <c r="D41" s="8" t="s">
        <v>316</v>
      </c>
      <c r="E41" s="8" t="s">
        <v>14</v>
      </c>
      <c r="F41" s="8" t="s">
        <v>100</v>
      </c>
      <c r="G41" s="15">
        <v>14</v>
      </c>
      <c r="H41" s="15">
        <v>48</v>
      </c>
      <c r="I41" s="15">
        <v>0</v>
      </c>
      <c r="J41" s="15">
        <v>48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</row>
    <row r="42" spans="1:136" ht="15" customHeight="1" x14ac:dyDescent="0.35">
      <c r="A42" s="8" t="s">
        <v>12</v>
      </c>
      <c r="B42" s="8" t="s">
        <v>13</v>
      </c>
      <c r="C42" s="8" t="s">
        <v>13</v>
      </c>
      <c r="D42" s="8" t="s">
        <v>322</v>
      </c>
      <c r="E42" s="8" t="s">
        <v>14</v>
      </c>
      <c r="F42" s="8" t="s">
        <v>100</v>
      </c>
      <c r="G42" s="15">
        <v>0</v>
      </c>
      <c r="H42" s="15">
        <v>0</v>
      </c>
      <c r="I42" s="15">
        <v>65</v>
      </c>
      <c r="J42" s="15">
        <v>-65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17</v>
      </c>
      <c r="AP42" s="15">
        <v>5</v>
      </c>
      <c r="AQ42" s="15">
        <v>1</v>
      </c>
      <c r="AR42" s="15">
        <v>8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2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7</v>
      </c>
      <c r="DC42" s="15">
        <v>6</v>
      </c>
      <c r="DD42" s="15">
        <v>3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7</v>
      </c>
      <c r="DP42" s="15">
        <v>8</v>
      </c>
      <c r="DQ42" s="15">
        <v>1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</row>
    <row r="43" spans="1:136" ht="15" customHeight="1" x14ac:dyDescent="0.35">
      <c r="A43" s="8" t="s">
        <v>12</v>
      </c>
      <c r="B43" s="8" t="s">
        <v>13</v>
      </c>
      <c r="C43" s="8" t="s">
        <v>13</v>
      </c>
      <c r="D43" s="8" t="s">
        <v>322</v>
      </c>
      <c r="E43" s="8" t="s">
        <v>14</v>
      </c>
      <c r="F43" s="8" t="s">
        <v>87</v>
      </c>
      <c r="G43" s="15">
        <v>0</v>
      </c>
      <c r="H43" s="15">
        <v>0</v>
      </c>
      <c r="I43" s="15">
        <v>20</v>
      </c>
      <c r="J43" s="15">
        <v>-20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2</v>
      </c>
      <c r="AM43" s="15">
        <v>15</v>
      </c>
      <c r="AN43" s="15">
        <v>3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</row>
    <row r="44" spans="1:136" ht="15" customHeight="1" x14ac:dyDescent="0.35">
      <c r="A44" s="8" t="s">
        <v>12</v>
      </c>
      <c r="B44" s="8" t="s">
        <v>9</v>
      </c>
      <c r="C44" s="8" t="s">
        <v>9</v>
      </c>
      <c r="D44" s="8" t="s">
        <v>318</v>
      </c>
      <c r="E44" s="8" t="s">
        <v>10</v>
      </c>
      <c r="F44" s="8" t="s">
        <v>81</v>
      </c>
      <c r="G44" s="15">
        <v>37.200000000000003</v>
      </c>
      <c r="H44" s="15">
        <v>152.19999999999999</v>
      </c>
      <c r="I44" s="15">
        <v>0</v>
      </c>
      <c r="J44" s="15">
        <v>152.19999999999999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</row>
    <row r="45" spans="1:136" ht="15" customHeight="1" x14ac:dyDescent="0.35">
      <c r="A45" s="8" t="s">
        <v>12</v>
      </c>
      <c r="B45" s="8" t="s">
        <v>9</v>
      </c>
      <c r="C45" s="8" t="s">
        <v>9</v>
      </c>
      <c r="D45" s="8" t="s">
        <v>317</v>
      </c>
      <c r="E45" s="8" t="s">
        <v>10</v>
      </c>
      <c r="F45" s="8" t="s">
        <v>81</v>
      </c>
      <c r="G45" s="15">
        <v>0</v>
      </c>
      <c r="H45" s="15">
        <v>0</v>
      </c>
      <c r="I45" s="15">
        <v>132.5</v>
      </c>
      <c r="J45" s="15">
        <v>-132.5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3</v>
      </c>
      <c r="AP45" s="15">
        <v>5.5</v>
      </c>
      <c r="AQ45" s="15">
        <v>9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1</v>
      </c>
      <c r="CU45" s="15">
        <v>0</v>
      </c>
      <c r="CV45" s="15">
        <v>0</v>
      </c>
      <c r="CW45" s="15">
        <v>8</v>
      </c>
      <c r="CX45" s="15">
        <v>0</v>
      </c>
      <c r="CY45" s="15">
        <v>0</v>
      </c>
      <c r="CZ45" s="15">
        <v>8</v>
      </c>
      <c r="DA45" s="15">
        <v>8</v>
      </c>
      <c r="DB45" s="15">
        <v>8</v>
      </c>
      <c r="DC45" s="15">
        <v>2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8</v>
      </c>
      <c r="DM45" s="15">
        <v>24</v>
      </c>
      <c r="DN45" s="15">
        <v>8</v>
      </c>
      <c r="DO45" s="15">
        <v>8</v>
      </c>
      <c r="DP45" s="15">
        <v>24</v>
      </c>
      <c r="DQ45" s="15">
        <v>8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</row>
    <row r="46" spans="1:136" ht="15" customHeight="1" x14ac:dyDescent="0.35">
      <c r="A46" s="8" t="s">
        <v>12</v>
      </c>
      <c r="B46" s="8" t="s">
        <v>9</v>
      </c>
      <c r="C46" s="8" t="s">
        <v>9</v>
      </c>
      <c r="D46" s="8" t="s">
        <v>318</v>
      </c>
      <c r="E46" s="8" t="s">
        <v>10</v>
      </c>
      <c r="F46" s="8" t="s">
        <v>94</v>
      </c>
      <c r="G46" s="15">
        <v>76</v>
      </c>
      <c r="H46" s="15">
        <v>162.5</v>
      </c>
      <c r="I46" s="15">
        <v>41.5</v>
      </c>
      <c r="J46" s="15">
        <v>121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11</v>
      </c>
      <c r="AD46" s="15">
        <v>5</v>
      </c>
      <c r="AE46" s="15">
        <v>0.5</v>
      </c>
      <c r="AF46" s="15">
        <v>3.5</v>
      </c>
      <c r="AG46" s="15">
        <v>7</v>
      </c>
      <c r="AH46" s="15">
        <v>0</v>
      </c>
      <c r="AI46" s="15">
        <v>10</v>
      </c>
      <c r="AJ46" s="15">
        <v>4.5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</row>
    <row r="47" spans="1:136" ht="15" customHeight="1" x14ac:dyDescent="0.35">
      <c r="A47" s="8" t="s">
        <v>12</v>
      </c>
      <c r="B47" s="8" t="s">
        <v>9</v>
      </c>
      <c r="C47" s="8" t="s">
        <v>9</v>
      </c>
      <c r="D47" s="8" t="s">
        <v>317</v>
      </c>
      <c r="E47" s="8" t="s">
        <v>10</v>
      </c>
      <c r="F47" s="8" t="s">
        <v>94</v>
      </c>
      <c r="G47" s="15">
        <v>0</v>
      </c>
      <c r="H47" s="15">
        <v>0</v>
      </c>
      <c r="I47" s="15">
        <v>121.7</v>
      </c>
      <c r="J47" s="15">
        <v>-121.7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4</v>
      </c>
      <c r="AM47" s="15">
        <v>0.5</v>
      </c>
      <c r="AN47" s="15">
        <v>0.5</v>
      </c>
      <c r="AO47" s="15">
        <v>25.2</v>
      </c>
      <c r="AP47" s="15">
        <v>2.5</v>
      </c>
      <c r="AQ47" s="15">
        <v>2.5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0.5</v>
      </c>
      <c r="CU47" s="15">
        <v>0</v>
      </c>
      <c r="CV47" s="15">
        <v>0</v>
      </c>
      <c r="CW47" s="15">
        <v>0</v>
      </c>
      <c r="CX47" s="15">
        <v>0.5</v>
      </c>
      <c r="CY47" s="15">
        <v>0</v>
      </c>
      <c r="CZ47" s="15">
        <v>2</v>
      </c>
      <c r="DA47" s="15">
        <v>0</v>
      </c>
      <c r="DB47" s="15">
        <v>3</v>
      </c>
      <c r="DC47" s="15">
        <v>3</v>
      </c>
      <c r="DD47" s="15">
        <v>1</v>
      </c>
      <c r="DE47" s="15">
        <v>0</v>
      </c>
      <c r="DF47" s="15">
        <v>7.5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3</v>
      </c>
      <c r="DN47" s="15">
        <v>7</v>
      </c>
      <c r="DO47" s="15">
        <v>5</v>
      </c>
      <c r="DP47" s="15">
        <v>36</v>
      </c>
      <c r="DQ47" s="15">
        <v>18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</row>
    <row r="48" spans="1:136" ht="15" customHeight="1" x14ac:dyDescent="0.35">
      <c r="A48" s="8" t="s">
        <v>12</v>
      </c>
      <c r="B48" s="8" t="s">
        <v>9</v>
      </c>
      <c r="C48" s="8" t="s">
        <v>9</v>
      </c>
      <c r="D48" s="8" t="s">
        <v>318</v>
      </c>
      <c r="E48" s="8" t="s">
        <v>10</v>
      </c>
      <c r="F48" s="8" t="s">
        <v>95</v>
      </c>
      <c r="G48" s="15">
        <v>206</v>
      </c>
      <c r="H48" s="15">
        <v>473</v>
      </c>
      <c r="I48" s="15">
        <v>98</v>
      </c>
      <c r="J48" s="15">
        <v>375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6</v>
      </c>
      <c r="AD48" s="15">
        <v>15.5</v>
      </c>
      <c r="AE48" s="15">
        <v>20</v>
      </c>
      <c r="AF48" s="15">
        <v>21</v>
      </c>
      <c r="AG48" s="15">
        <v>20.5</v>
      </c>
      <c r="AH48" s="15">
        <v>0</v>
      </c>
      <c r="AI48" s="15">
        <v>6</v>
      </c>
      <c r="AJ48" s="15">
        <v>9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</row>
    <row r="49" spans="1:136" ht="15" customHeight="1" x14ac:dyDescent="0.35">
      <c r="A49" s="8" t="s">
        <v>12</v>
      </c>
      <c r="B49" s="8" t="s">
        <v>9</v>
      </c>
      <c r="C49" s="8" t="s">
        <v>9</v>
      </c>
      <c r="D49" s="8" t="s">
        <v>317</v>
      </c>
      <c r="E49" s="8" t="s">
        <v>10</v>
      </c>
      <c r="F49" s="8" t="s">
        <v>95</v>
      </c>
      <c r="G49" s="15">
        <v>0</v>
      </c>
      <c r="H49" s="15">
        <v>0</v>
      </c>
      <c r="I49" s="15">
        <v>376</v>
      </c>
      <c r="J49" s="15">
        <v>-376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14</v>
      </c>
      <c r="AK49" s="15">
        <v>29.5</v>
      </c>
      <c r="AL49" s="15">
        <v>26.5</v>
      </c>
      <c r="AM49" s="15">
        <v>13</v>
      </c>
      <c r="AN49" s="15">
        <v>10</v>
      </c>
      <c r="AO49" s="15">
        <v>0.5</v>
      </c>
      <c r="AP49" s="15">
        <v>4</v>
      </c>
      <c r="AQ49" s="15">
        <v>3</v>
      </c>
      <c r="AR49" s="15">
        <v>8.5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3</v>
      </c>
      <c r="CZ49" s="15">
        <v>0</v>
      </c>
      <c r="DA49" s="15">
        <v>2</v>
      </c>
      <c r="DB49" s="15">
        <v>2</v>
      </c>
      <c r="DC49" s="15">
        <v>7</v>
      </c>
      <c r="DD49" s="15">
        <v>16</v>
      </c>
      <c r="DE49" s="15">
        <v>3</v>
      </c>
      <c r="DF49" s="15">
        <v>24</v>
      </c>
      <c r="DG49" s="15">
        <v>36</v>
      </c>
      <c r="DH49" s="15">
        <v>14</v>
      </c>
      <c r="DI49" s="15">
        <v>3</v>
      </c>
      <c r="DJ49" s="15">
        <v>0</v>
      </c>
      <c r="DK49" s="15">
        <v>0</v>
      </c>
      <c r="DL49" s="15">
        <v>6</v>
      </c>
      <c r="DM49" s="15">
        <v>3</v>
      </c>
      <c r="DN49" s="15">
        <v>14</v>
      </c>
      <c r="DO49" s="15">
        <v>58</v>
      </c>
      <c r="DP49" s="15">
        <v>67</v>
      </c>
      <c r="DQ49" s="15">
        <v>9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</row>
    <row r="50" spans="1:136" ht="15" customHeight="1" x14ac:dyDescent="0.35">
      <c r="A50" s="8" t="s">
        <v>12</v>
      </c>
      <c r="B50" s="8" t="s">
        <v>9</v>
      </c>
      <c r="C50" s="8" t="s">
        <v>9</v>
      </c>
      <c r="D50" s="8" t="s">
        <v>318</v>
      </c>
      <c r="E50" s="8" t="s">
        <v>10</v>
      </c>
      <c r="F50" s="8" t="s">
        <v>82</v>
      </c>
      <c r="G50" s="15">
        <v>12.1</v>
      </c>
      <c r="H50" s="15">
        <v>12.1</v>
      </c>
      <c r="I50" s="15">
        <v>12.1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12.1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</row>
    <row r="51" spans="1:136" ht="15" customHeight="1" x14ac:dyDescent="0.35">
      <c r="A51" s="8" t="s">
        <v>12</v>
      </c>
      <c r="B51" s="8" t="s">
        <v>9</v>
      </c>
      <c r="C51" s="8" t="s">
        <v>9</v>
      </c>
      <c r="D51" s="8" t="s">
        <v>317</v>
      </c>
      <c r="E51" s="8" t="s">
        <v>10</v>
      </c>
      <c r="F51" s="8" t="s">
        <v>82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</row>
    <row r="52" spans="1:136" ht="15" customHeight="1" x14ac:dyDescent="0.35">
      <c r="A52" s="8" t="s">
        <v>12</v>
      </c>
      <c r="B52" s="8" t="s">
        <v>9</v>
      </c>
      <c r="C52" s="8" t="s">
        <v>9</v>
      </c>
      <c r="D52" s="8" t="s">
        <v>318</v>
      </c>
      <c r="E52" s="8" t="s">
        <v>10</v>
      </c>
      <c r="F52" s="8" t="s">
        <v>83</v>
      </c>
      <c r="G52" s="15">
        <v>10</v>
      </c>
      <c r="H52" s="15">
        <v>10</v>
      </c>
      <c r="I52" s="15">
        <v>0</v>
      </c>
      <c r="J52" s="15">
        <v>10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5">
        <v>0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0</v>
      </c>
      <c r="DD52" s="15">
        <v>0</v>
      </c>
      <c r="DE52" s="15">
        <v>0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</v>
      </c>
      <c r="DO52" s="15">
        <v>0</v>
      </c>
      <c r="DP52" s="15">
        <v>0</v>
      </c>
      <c r="DQ52" s="15">
        <v>0</v>
      </c>
      <c r="DR52" s="15">
        <v>0</v>
      </c>
      <c r="DS52" s="15">
        <v>0</v>
      </c>
      <c r="DT52" s="15">
        <v>0</v>
      </c>
      <c r="DU52" s="15">
        <v>0</v>
      </c>
      <c r="DV52" s="15">
        <v>0</v>
      </c>
      <c r="DW52" s="15">
        <v>0</v>
      </c>
      <c r="DX52" s="15">
        <v>0</v>
      </c>
      <c r="DY52" s="15">
        <v>0</v>
      </c>
      <c r="DZ52" s="15">
        <v>0</v>
      </c>
      <c r="EA52" s="15">
        <v>0</v>
      </c>
      <c r="EB52" s="15">
        <v>0</v>
      </c>
      <c r="EC52" s="15">
        <v>0</v>
      </c>
      <c r="ED52" s="15">
        <v>0</v>
      </c>
      <c r="EE52" s="15">
        <v>0</v>
      </c>
      <c r="EF52" s="15">
        <v>0</v>
      </c>
    </row>
    <row r="53" spans="1:136" ht="15" customHeight="1" x14ac:dyDescent="0.35">
      <c r="A53" s="8" t="s">
        <v>12</v>
      </c>
      <c r="B53" s="8" t="s">
        <v>9</v>
      </c>
      <c r="C53" s="8" t="s">
        <v>9</v>
      </c>
      <c r="D53" s="8" t="s">
        <v>317</v>
      </c>
      <c r="E53" s="8" t="s">
        <v>10</v>
      </c>
      <c r="F53" s="8" t="s">
        <v>83</v>
      </c>
      <c r="G53" s="15">
        <v>0</v>
      </c>
      <c r="H53" s="15">
        <v>0</v>
      </c>
      <c r="I53" s="15">
        <v>15.5</v>
      </c>
      <c r="J53" s="15">
        <v>-15.5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6.5</v>
      </c>
      <c r="AO53" s="15">
        <v>9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5">
        <v>0</v>
      </c>
      <c r="CH53" s="15">
        <v>0</v>
      </c>
      <c r="CI53" s="15">
        <v>0</v>
      </c>
      <c r="CJ53" s="15">
        <v>0</v>
      </c>
      <c r="CK53" s="15">
        <v>0</v>
      </c>
      <c r="CL53" s="15">
        <v>0</v>
      </c>
      <c r="CM53" s="15">
        <v>0</v>
      </c>
      <c r="CN53" s="15">
        <v>0</v>
      </c>
      <c r="CO53" s="15">
        <v>0</v>
      </c>
      <c r="CP53" s="15">
        <v>0</v>
      </c>
      <c r="CQ53" s="15">
        <v>0</v>
      </c>
      <c r="CR53" s="15">
        <v>0</v>
      </c>
      <c r="CS53" s="15">
        <v>0</v>
      </c>
      <c r="CT53" s="15">
        <v>0</v>
      </c>
      <c r="CU53" s="15">
        <v>0</v>
      </c>
      <c r="CV53" s="15">
        <v>0</v>
      </c>
      <c r="CW53" s="15">
        <v>0</v>
      </c>
      <c r="CX53" s="15">
        <v>0</v>
      </c>
      <c r="CY53" s="15">
        <v>0</v>
      </c>
      <c r="CZ53" s="15">
        <v>0</v>
      </c>
      <c r="DA53" s="15">
        <v>0</v>
      </c>
      <c r="DB53" s="15">
        <v>0</v>
      </c>
      <c r="DC53" s="15">
        <v>0</v>
      </c>
      <c r="DD53" s="15">
        <v>0</v>
      </c>
      <c r="DE53" s="15">
        <v>0</v>
      </c>
      <c r="DF53" s="15">
        <v>0</v>
      </c>
      <c r="DG53" s="15">
        <v>0</v>
      </c>
      <c r="DH53" s="15">
        <v>0</v>
      </c>
      <c r="DI53" s="15">
        <v>0</v>
      </c>
      <c r="DJ53" s="15">
        <v>0</v>
      </c>
      <c r="DK53" s="15">
        <v>0</v>
      </c>
      <c r="DL53" s="15">
        <v>0</v>
      </c>
      <c r="DM53" s="15">
        <v>0</v>
      </c>
      <c r="DN53" s="15">
        <v>0</v>
      </c>
      <c r="DO53" s="15">
        <v>0</v>
      </c>
      <c r="DP53" s="15">
        <v>0</v>
      </c>
      <c r="DQ53" s="15">
        <v>0</v>
      </c>
      <c r="DR53" s="15">
        <v>0</v>
      </c>
      <c r="DS53" s="15">
        <v>0</v>
      </c>
      <c r="DT53" s="15">
        <v>0</v>
      </c>
      <c r="DU53" s="15">
        <v>0</v>
      </c>
      <c r="DV53" s="15">
        <v>0</v>
      </c>
      <c r="DW53" s="15">
        <v>0</v>
      </c>
      <c r="DX53" s="15">
        <v>0</v>
      </c>
      <c r="DY53" s="15">
        <v>0</v>
      </c>
      <c r="DZ53" s="15">
        <v>0</v>
      </c>
      <c r="EA53" s="15">
        <v>0</v>
      </c>
      <c r="EB53" s="15">
        <v>0</v>
      </c>
      <c r="EC53" s="15">
        <v>0</v>
      </c>
      <c r="ED53" s="15">
        <v>0</v>
      </c>
      <c r="EE53" s="15">
        <v>0</v>
      </c>
      <c r="EF53" s="15">
        <v>0</v>
      </c>
    </row>
    <row r="54" spans="1:136" ht="15" customHeight="1" x14ac:dyDescent="0.35">
      <c r="A54" s="8" t="s">
        <v>12</v>
      </c>
      <c r="B54" s="8" t="s">
        <v>9</v>
      </c>
      <c r="C54" s="8" t="s">
        <v>9</v>
      </c>
      <c r="D54" s="8" t="s">
        <v>318</v>
      </c>
      <c r="E54" s="8" t="s">
        <v>10</v>
      </c>
      <c r="F54" s="8" t="s">
        <v>84</v>
      </c>
      <c r="G54" s="15">
        <v>0</v>
      </c>
      <c r="H54" s="15">
        <v>10</v>
      </c>
      <c r="I54" s="15">
        <v>0</v>
      </c>
      <c r="J54" s="15">
        <v>10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</v>
      </c>
      <c r="CK54" s="15">
        <v>0</v>
      </c>
      <c r="CL54" s="15">
        <v>0</v>
      </c>
      <c r="CM54" s="15">
        <v>0</v>
      </c>
      <c r="CN54" s="15">
        <v>0</v>
      </c>
      <c r="CO54" s="15">
        <v>0</v>
      </c>
      <c r="CP54" s="15">
        <v>0</v>
      </c>
      <c r="CQ54" s="15">
        <v>0</v>
      </c>
      <c r="CR54" s="15">
        <v>0</v>
      </c>
      <c r="CS54" s="15">
        <v>0</v>
      </c>
      <c r="CT54" s="15">
        <v>0</v>
      </c>
      <c r="CU54" s="15">
        <v>0</v>
      </c>
      <c r="CV54" s="15">
        <v>0</v>
      </c>
      <c r="CW54" s="15">
        <v>0</v>
      </c>
      <c r="CX54" s="15">
        <v>0</v>
      </c>
      <c r="CY54" s="15">
        <v>0</v>
      </c>
      <c r="CZ54" s="15">
        <v>0</v>
      </c>
      <c r="DA54" s="15">
        <v>0</v>
      </c>
      <c r="DB54" s="15">
        <v>0</v>
      </c>
      <c r="DC54" s="15">
        <v>0</v>
      </c>
      <c r="DD54" s="15">
        <v>0</v>
      </c>
      <c r="DE54" s="15">
        <v>0</v>
      </c>
      <c r="DF54" s="15">
        <v>0</v>
      </c>
      <c r="DG54" s="15">
        <v>0</v>
      </c>
      <c r="DH54" s="15">
        <v>0</v>
      </c>
      <c r="DI54" s="15">
        <v>0</v>
      </c>
      <c r="DJ54" s="15">
        <v>0</v>
      </c>
      <c r="DK54" s="15">
        <v>0</v>
      </c>
      <c r="DL54" s="15">
        <v>0</v>
      </c>
      <c r="DM54" s="15">
        <v>0</v>
      </c>
      <c r="DN54" s="15">
        <v>0</v>
      </c>
      <c r="DO54" s="15">
        <v>0</v>
      </c>
      <c r="DP54" s="15">
        <v>0</v>
      </c>
      <c r="DQ54" s="15">
        <v>0</v>
      </c>
      <c r="DR54" s="15">
        <v>0</v>
      </c>
      <c r="DS54" s="15">
        <v>0</v>
      </c>
      <c r="DT54" s="15">
        <v>0</v>
      </c>
      <c r="DU54" s="15">
        <v>0</v>
      </c>
      <c r="DV54" s="15">
        <v>0</v>
      </c>
      <c r="DW54" s="15">
        <v>0</v>
      </c>
      <c r="DX54" s="15">
        <v>0</v>
      </c>
      <c r="DY54" s="15">
        <v>0</v>
      </c>
      <c r="DZ54" s="15">
        <v>0</v>
      </c>
      <c r="EA54" s="15">
        <v>0</v>
      </c>
      <c r="EB54" s="15">
        <v>0</v>
      </c>
      <c r="EC54" s="15">
        <v>0</v>
      </c>
      <c r="ED54" s="15">
        <v>0</v>
      </c>
      <c r="EE54" s="15">
        <v>0</v>
      </c>
      <c r="EF54" s="15">
        <v>0</v>
      </c>
    </row>
    <row r="55" spans="1:136" ht="15" customHeight="1" x14ac:dyDescent="0.35">
      <c r="A55" s="8" t="s">
        <v>12</v>
      </c>
      <c r="B55" s="8" t="s">
        <v>9</v>
      </c>
      <c r="C55" s="8" t="s">
        <v>9</v>
      </c>
      <c r="D55" s="8" t="s">
        <v>317</v>
      </c>
      <c r="E55" s="8" t="s">
        <v>10</v>
      </c>
      <c r="F55" s="8" t="s">
        <v>84</v>
      </c>
      <c r="G55" s="15">
        <v>0</v>
      </c>
      <c r="H55" s="15">
        <v>0</v>
      </c>
      <c r="I55" s="15">
        <v>10</v>
      </c>
      <c r="J55" s="15">
        <v>-10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5">
        <v>0</v>
      </c>
      <c r="CH55" s="15">
        <v>0</v>
      </c>
      <c r="CI55" s="15">
        <v>0</v>
      </c>
      <c r="CJ55" s="15">
        <v>0</v>
      </c>
      <c r="CK55" s="15">
        <v>0</v>
      </c>
      <c r="CL55" s="15">
        <v>0</v>
      </c>
      <c r="CM55" s="15">
        <v>0</v>
      </c>
      <c r="CN55" s="15">
        <v>0</v>
      </c>
      <c r="CO55" s="15">
        <v>0</v>
      </c>
      <c r="CP55" s="15">
        <v>0</v>
      </c>
      <c r="CQ55" s="15">
        <v>0</v>
      </c>
      <c r="CR55" s="15">
        <v>0</v>
      </c>
      <c r="CS55" s="15">
        <v>0</v>
      </c>
      <c r="CT55" s="15">
        <v>0</v>
      </c>
      <c r="CU55" s="15">
        <v>0</v>
      </c>
      <c r="CV55" s="15">
        <v>0</v>
      </c>
      <c r="CW55" s="15">
        <v>0</v>
      </c>
      <c r="CX55" s="15">
        <v>0</v>
      </c>
      <c r="CY55" s="15">
        <v>0</v>
      </c>
      <c r="CZ55" s="15">
        <v>5</v>
      </c>
      <c r="DA55" s="15">
        <v>5</v>
      </c>
      <c r="DB55" s="15">
        <v>0</v>
      </c>
      <c r="DC55" s="15">
        <v>0</v>
      </c>
      <c r="DD55" s="15">
        <v>0</v>
      </c>
      <c r="DE55" s="15">
        <v>0</v>
      </c>
      <c r="DF55" s="15">
        <v>0</v>
      </c>
      <c r="DG55" s="15">
        <v>0</v>
      </c>
      <c r="DH55" s="15">
        <v>0</v>
      </c>
      <c r="DI55" s="15">
        <v>0</v>
      </c>
      <c r="DJ55" s="15">
        <v>0</v>
      </c>
      <c r="DK55" s="15">
        <v>0</v>
      </c>
      <c r="DL55" s="15">
        <v>0</v>
      </c>
      <c r="DM55" s="15">
        <v>0</v>
      </c>
      <c r="DN55" s="15">
        <v>0</v>
      </c>
      <c r="DO55" s="15">
        <v>0</v>
      </c>
      <c r="DP55" s="15">
        <v>0</v>
      </c>
      <c r="DQ55" s="15">
        <v>0</v>
      </c>
      <c r="DR55" s="15">
        <v>0</v>
      </c>
      <c r="DS55" s="15">
        <v>0</v>
      </c>
      <c r="DT55" s="15">
        <v>0</v>
      </c>
      <c r="DU55" s="15">
        <v>0</v>
      </c>
      <c r="DV55" s="15">
        <v>0</v>
      </c>
      <c r="DW55" s="15">
        <v>0</v>
      </c>
      <c r="DX55" s="15">
        <v>0</v>
      </c>
      <c r="DY55" s="15">
        <v>0</v>
      </c>
      <c r="DZ55" s="15">
        <v>0</v>
      </c>
      <c r="EA55" s="15">
        <v>0</v>
      </c>
      <c r="EB55" s="15">
        <v>0</v>
      </c>
      <c r="EC55" s="15">
        <v>0</v>
      </c>
      <c r="ED55" s="15">
        <v>0</v>
      </c>
      <c r="EE55" s="15">
        <v>0</v>
      </c>
      <c r="EF55" s="15">
        <v>0</v>
      </c>
    </row>
    <row r="56" spans="1:136" ht="15" customHeight="1" x14ac:dyDescent="0.35">
      <c r="A56" s="8" t="s">
        <v>12</v>
      </c>
      <c r="B56" s="8" t="s">
        <v>9</v>
      </c>
      <c r="C56" s="8" t="s">
        <v>9</v>
      </c>
      <c r="D56" s="8" t="s">
        <v>318</v>
      </c>
      <c r="E56" s="8" t="s">
        <v>10</v>
      </c>
      <c r="F56" s="8" t="s">
        <v>40</v>
      </c>
      <c r="G56" s="15">
        <v>1</v>
      </c>
      <c r="H56" s="15">
        <v>25</v>
      </c>
      <c r="I56" s="15">
        <v>1</v>
      </c>
      <c r="J56" s="15">
        <v>24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1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0</v>
      </c>
      <c r="CF56" s="15">
        <v>0</v>
      </c>
      <c r="CG56" s="15">
        <v>0</v>
      </c>
      <c r="CH56" s="15">
        <v>0</v>
      </c>
      <c r="CI56" s="15">
        <v>0</v>
      </c>
      <c r="CJ56" s="15">
        <v>0</v>
      </c>
      <c r="CK56" s="15">
        <v>0</v>
      </c>
      <c r="CL56" s="15">
        <v>0</v>
      </c>
      <c r="CM56" s="15">
        <v>0</v>
      </c>
      <c r="CN56" s="15">
        <v>0</v>
      </c>
      <c r="CO56" s="15">
        <v>0</v>
      </c>
      <c r="CP56" s="15">
        <v>0</v>
      </c>
      <c r="CQ56" s="15">
        <v>0</v>
      </c>
      <c r="CR56" s="15">
        <v>0</v>
      </c>
      <c r="CS56" s="15">
        <v>0</v>
      </c>
      <c r="CT56" s="15">
        <v>0</v>
      </c>
      <c r="CU56" s="15">
        <v>0</v>
      </c>
      <c r="CV56" s="15">
        <v>0</v>
      </c>
      <c r="CW56" s="15">
        <v>0</v>
      </c>
      <c r="CX56" s="15">
        <v>0</v>
      </c>
      <c r="CY56" s="15">
        <v>0</v>
      </c>
      <c r="CZ56" s="15">
        <v>0</v>
      </c>
      <c r="DA56" s="15">
        <v>0</v>
      </c>
      <c r="DB56" s="15">
        <v>0</v>
      </c>
      <c r="DC56" s="15">
        <v>0</v>
      </c>
      <c r="DD56" s="15">
        <v>0</v>
      </c>
      <c r="DE56" s="15">
        <v>0</v>
      </c>
      <c r="DF56" s="15">
        <v>0</v>
      </c>
      <c r="DG56" s="15">
        <v>0</v>
      </c>
      <c r="DH56" s="15">
        <v>0</v>
      </c>
      <c r="DI56" s="15">
        <v>0</v>
      </c>
      <c r="DJ56" s="15">
        <v>0</v>
      </c>
      <c r="DK56" s="15">
        <v>0</v>
      </c>
      <c r="DL56" s="15">
        <v>0</v>
      </c>
      <c r="DM56" s="15">
        <v>0</v>
      </c>
      <c r="DN56" s="15">
        <v>0</v>
      </c>
      <c r="DO56" s="15">
        <v>0</v>
      </c>
      <c r="DP56" s="15">
        <v>0</v>
      </c>
      <c r="DQ56" s="15">
        <v>0</v>
      </c>
      <c r="DR56" s="15">
        <v>0</v>
      </c>
      <c r="DS56" s="15">
        <v>0</v>
      </c>
      <c r="DT56" s="15">
        <v>0</v>
      </c>
      <c r="DU56" s="15">
        <v>0</v>
      </c>
      <c r="DV56" s="15">
        <v>0</v>
      </c>
      <c r="DW56" s="15">
        <v>0</v>
      </c>
      <c r="DX56" s="15">
        <v>0</v>
      </c>
      <c r="DY56" s="15">
        <v>0</v>
      </c>
      <c r="DZ56" s="15">
        <v>0</v>
      </c>
      <c r="EA56" s="15">
        <v>0</v>
      </c>
      <c r="EB56" s="15">
        <v>0</v>
      </c>
      <c r="EC56" s="15">
        <v>0</v>
      </c>
      <c r="ED56" s="15">
        <v>0</v>
      </c>
      <c r="EE56" s="15">
        <v>0</v>
      </c>
      <c r="EF56" s="15">
        <v>0</v>
      </c>
    </row>
    <row r="57" spans="1:136" ht="15" customHeight="1" x14ac:dyDescent="0.35">
      <c r="A57" s="8" t="s">
        <v>12</v>
      </c>
      <c r="B57" s="8" t="s">
        <v>9</v>
      </c>
      <c r="C57" s="8" t="s">
        <v>9</v>
      </c>
      <c r="D57" s="8" t="s">
        <v>317</v>
      </c>
      <c r="E57" s="8" t="s">
        <v>10</v>
      </c>
      <c r="F57" s="8" t="s">
        <v>40</v>
      </c>
      <c r="G57" s="15">
        <v>0</v>
      </c>
      <c r="H57" s="15">
        <v>0</v>
      </c>
      <c r="I57" s="15">
        <v>35.5</v>
      </c>
      <c r="J57" s="15">
        <v>-35.5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11.5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5">
        <v>0</v>
      </c>
      <c r="CH57" s="15">
        <v>0</v>
      </c>
      <c r="CI57" s="15">
        <v>0</v>
      </c>
      <c r="CJ57" s="15">
        <v>0</v>
      </c>
      <c r="CK57" s="15">
        <v>0</v>
      </c>
      <c r="CL57" s="15">
        <v>0</v>
      </c>
      <c r="CM57" s="15">
        <v>0</v>
      </c>
      <c r="CN57" s="15">
        <v>0</v>
      </c>
      <c r="CO57" s="15">
        <v>0</v>
      </c>
      <c r="CP57" s="15">
        <v>0</v>
      </c>
      <c r="CQ57" s="15">
        <v>0</v>
      </c>
      <c r="CR57" s="15">
        <v>0</v>
      </c>
      <c r="CS57" s="15">
        <v>0</v>
      </c>
      <c r="CT57" s="15">
        <v>0</v>
      </c>
      <c r="CU57" s="15">
        <v>0</v>
      </c>
      <c r="CV57" s="15">
        <v>0</v>
      </c>
      <c r="CW57" s="15">
        <v>0</v>
      </c>
      <c r="CX57" s="15">
        <v>0</v>
      </c>
      <c r="CY57" s="15">
        <v>0</v>
      </c>
      <c r="CZ57" s="15">
        <v>0</v>
      </c>
      <c r="DA57" s="15">
        <v>0</v>
      </c>
      <c r="DB57" s="15">
        <v>0</v>
      </c>
      <c r="DC57" s="15">
        <v>0</v>
      </c>
      <c r="DD57" s="15">
        <v>0</v>
      </c>
      <c r="DE57" s="15">
        <v>0</v>
      </c>
      <c r="DF57" s="15">
        <v>0</v>
      </c>
      <c r="DG57" s="15">
        <v>0</v>
      </c>
      <c r="DH57" s="15">
        <v>0</v>
      </c>
      <c r="DI57" s="15">
        <v>0</v>
      </c>
      <c r="DJ57" s="15">
        <v>0</v>
      </c>
      <c r="DK57" s="15">
        <v>0</v>
      </c>
      <c r="DL57" s="15">
        <v>0</v>
      </c>
      <c r="DM57" s="15">
        <v>0</v>
      </c>
      <c r="DN57" s="15">
        <v>0</v>
      </c>
      <c r="DO57" s="15">
        <v>5.5</v>
      </c>
      <c r="DP57" s="15">
        <v>1.5</v>
      </c>
      <c r="DQ57" s="15">
        <v>16</v>
      </c>
      <c r="DR57" s="15">
        <v>1</v>
      </c>
      <c r="DS57" s="15">
        <v>0</v>
      </c>
      <c r="DT57" s="15">
        <v>0</v>
      </c>
      <c r="DU57" s="15">
        <v>0</v>
      </c>
      <c r="DV57" s="15">
        <v>0</v>
      </c>
      <c r="DW57" s="15">
        <v>0</v>
      </c>
      <c r="DX57" s="15">
        <v>0</v>
      </c>
      <c r="DY57" s="15">
        <v>0</v>
      </c>
      <c r="DZ57" s="15">
        <v>0</v>
      </c>
      <c r="EA57" s="15">
        <v>0</v>
      </c>
      <c r="EB57" s="15">
        <v>0</v>
      </c>
      <c r="EC57" s="15">
        <v>0</v>
      </c>
      <c r="ED57" s="15">
        <v>0</v>
      </c>
      <c r="EE57" s="15">
        <v>0</v>
      </c>
      <c r="EF57" s="15">
        <v>0</v>
      </c>
    </row>
    <row r="58" spans="1:136" ht="15" customHeight="1" x14ac:dyDescent="0.35">
      <c r="A58" s="8" t="s">
        <v>12</v>
      </c>
      <c r="B58" s="8" t="s">
        <v>9</v>
      </c>
      <c r="C58" s="8" t="s">
        <v>9</v>
      </c>
      <c r="D58" s="8" t="s">
        <v>318</v>
      </c>
      <c r="E58" s="8" t="s">
        <v>10</v>
      </c>
      <c r="F58" s="8" t="s">
        <v>96</v>
      </c>
      <c r="G58" s="15">
        <v>102.5</v>
      </c>
      <c r="H58" s="15">
        <v>243.2</v>
      </c>
      <c r="I58" s="15">
        <v>33</v>
      </c>
      <c r="J58" s="15">
        <v>210.2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1</v>
      </c>
      <c r="AC58" s="15">
        <v>5.5</v>
      </c>
      <c r="AD58" s="15">
        <v>10.5</v>
      </c>
      <c r="AE58" s="15">
        <v>2</v>
      </c>
      <c r="AF58" s="15">
        <v>8</v>
      </c>
      <c r="AG58" s="15">
        <v>2</v>
      </c>
      <c r="AH58" s="15">
        <v>0</v>
      </c>
      <c r="AI58" s="15">
        <v>3</v>
      </c>
      <c r="AJ58" s="15">
        <v>1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  <c r="CE58" s="15">
        <v>0</v>
      </c>
      <c r="CF58" s="15">
        <v>0</v>
      </c>
      <c r="CG58" s="15">
        <v>0</v>
      </c>
      <c r="CH58" s="15">
        <v>0</v>
      </c>
      <c r="CI58" s="15">
        <v>0</v>
      </c>
      <c r="CJ58" s="15">
        <v>0</v>
      </c>
      <c r="CK58" s="15">
        <v>0</v>
      </c>
      <c r="CL58" s="15">
        <v>0</v>
      </c>
      <c r="CM58" s="15">
        <v>0</v>
      </c>
      <c r="CN58" s="15">
        <v>0</v>
      </c>
      <c r="CO58" s="15">
        <v>0</v>
      </c>
      <c r="CP58" s="15">
        <v>0</v>
      </c>
      <c r="CQ58" s="15">
        <v>0</v>
      </c>
      <c r="CR58" s="15">
        <v>0</v>
      </c>
      <c r="CS58" s="15">
        <v>0</v>
      </c>
      <c r="CT58" s="15">
        <v>0</v>
      </c>
      <c r="CU58" s="15">
        <v>0</v>
      </c>
      <c r="CV58" s="15">
        <v>0</v>
      </c>
      <c r="CW58" s="15">
        <v>0</v>
      </c>
      <c r="CX58" s="15">
        <v>0</v>
      </c>
      <c r="CY58" s="15">
        <v>0</v>
      </c>
      <c r="CZ58" s="15">
        <v>0</v>
      </c>
      <c r="DA58" s="15">
        <v>0</v>
      </c>
      <c r="DB58" s="15">
        <v>0</v>
      </c>
      <c r="DC58" s="15">
        <v>0</v>
      </c>
      <c r="DD58" s="15">
        <v>0</v>
      </c>
      <c r="DE58" s="15">
        <v>0</v>
      </c>
      <c r="DF58" s="15">
        <v>0</v>
      </c>
      <c r="DG58" s="15">
        <v>0</v>
      </c>
      <c r="DH58" s="15">
        <v>0</v>
      </c>
      <c r="DI58" s="15">
        <v>0</v>
      </c>
      <c r="DJ58" s="15">
        <v>0</v>
      </c>
      <c r="DK58" s="15">
        <v>0</v>
      </c>
      <c r="DL58" s="15">
        <v>0</v>
      </c>
      <c r="DM58" s="15">
        <v>0</v>
      </c>
      <c r="DN58" s="15">
        <v>0</v>
      </c>
      <c r="DO58" s="15">
        <v>0</v>
      </c>
      <c r="DP58" s="15">
        <v>0</v>
      </c>
      <c r="DQ58" s="15">
        <v>0</v>
      </c>
      <c r="DR58" s="15">
        <v>0</v>
      </c>
      <c r="DS58" s="15">
        <v>0</v>
      </c>
      <c r="DT58" s="15">
        <v>0</v>
      </c>
      <c r="DU58" s="15">
        <v>0</v>
      </c>
      <c r="DV58" s="15">
        <v>0</v>
      </c>
      <c r="DW58" s="15">
        <v>0</v>
      </c>
      <c r="DX58" s="15">
        <v>0</v>
      </c>
      <c r="DY58" s="15">
        <v>0</v>
      </c>
      <c r="DZ58" s="15">
        <v>0</v>
      </c>
      <c r="EA58" s="15">
        <v>0</v>
      </c>
      <c r="EB58" s="15">
        <v>0</v>
      </c>
      <c r="EC58" s="15">
        <v>0</v>
      </c>
      <c r="ED58" s="15">
        <v>0</v>
      </c>
      <c r="EE58" s="15">
        <v>0</v>
      </c>
      <c r="EF58" s="15">
        <v>0</v>
      </c>
    </row>
    <row r="59" spans="1:136" ht="15" customHeight="1" x14ac:dyDescent="0.35">
      <c r="A59" s="8" t="s">
        <v>12</v>
      </c>
      <c r="B59" s="8" t="s">
        <v>9</v>
      </c>
      <c r="C59" s="8" t="s">
        <v>9</v>
      </c>
      <c r="D59" s="8" t="s">
        <v>317</v>
      </c>
      <c r="E59" s="8" t="s">
        <v>10</v>
      </c>
      <c r="F59" s="8" t="s">
        <v>96</v>
      </c>
      <c r="G59" s="15">
        <v>0</v>
      </c>
      <c r="H59" s="15">
        <v>0</v>
      </c>
      <c r="I59" s="15">
        <v>179.6</v>
      </c>
      <c r="J59" s="15">
        <v>-179.6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3</v>
      </c>
      <c r="AL59" s="15">
        <v>2</v>
      </c>
      <c r="AM59" s="15">
        <v>1.5</v>
      </c>
      <c r="AN59" s="15">
        <v>9</v>
      </c>
      <c r="AO59" s="15">
        <v>6.8</v>
      </c>
      <c r="AP59" s="15">
        <v>18</v>
      </c>
      <c r="AQ59" s="15">
        <v>0.5</v>
      </c>
      <c r="AR59" s="15">
        <v>15.7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5">
        <v>0</v>
      </c>
      <c r="CH59" s="15">
        <v>0</v>
      </c>
      <c r="CI59" s="15">
        <v>0</v>
      </c>
      <c r="CJ59" s="15">
        <v>0</v>
      </c>
      <c r="CK59" s="15">
        <v>0</v>
      </c>
      <c r="CL59" s="15">
        <v>0</v>
      </c>
      <c r="CM59" s="15">
        <v>0</v>
      </c>
      <c r="CN59" s="15">
        <v>0</v>
      </c>
      <c r="CO59" s="15">
        <v>0</v>
      </c>
      <c r="CP59" s="15">
        <v>0</v>
      </c>
      <c r="CQ59" s="15">
        <v>0</v>
      </c>
      <c r="CR59" s="15">
        <v>0</v>
      </c>
      <c r="CS59" s="15">
        <v>18</v>
      </c>
      <c r="CT59" s="15">
        <v>18</v>
      </c>
      <c r="CU59" s="15">
        <v>0</v>
      </c>
      <c r="CV59" s="15">
        <v>0</v>
      </c>
      <c r="CW59" s="15">
        <v>0</v>
      </c>
      <c r="CX59" s="15">
        <v>0</v>
      </c>
      <c r="CY59" s="15">
        <v>0</v>
      </c>
      <c r="CZ59" s="15">
        <v>0</v>
      </c>
      <c r="DA59" s="15">
        <v>0</v>
      </c>
      <c r="DB59" s="15">
        <v>0</v>
      </c>
      <c r="DC59" s="15">
        <v>8.5</v>
      </c>
      <c r="DD59" s="15">
        <v>3.5</v>
      </c>
      <c r="DE59" s="15">
        <v>0</v>
      </c>
      <c r="DF59" s="15">
        <v>18.399999999999999</v>
      </c>
      <c r="DG59" s="15">
        <v>15.8</v>
      </c>
      <c r="DH59" s="15">
        <v>1.5</v>
      </c>
      <c r="DI59" s="15">
        <v>0</v>
      </c>
      <c r="DJ59" s="15">
        <v>0</v>
      </c>
      <c r="DK59" s="15">
        <v>0</v>
      </c>
      <c r="DL59" s="15">
        <v>0</v>
      </c>
      <c r="DM59" s="15">
        <v>0</v>
      </c>
      <c r="DN59" s="15">
        <v>0</v>
      </c>
      <c r="DO59" s="15">
        <v>1</v>
      </c>
      <c r="DP59" s="15">
        <v>21.5</v>
      </c>
      <c r="DQ59" s="15">
        <v>16.899999999999999</v>
      </c>
      <c r="DR59" s="15">
        <v>0</v>
      </c>
      <c r="DS59" s="15">
        <v>0</v>
      </c>
      <c r="DT59" s="15">
        <v>0</v>
      </c>
      <c r="DU59" s="15">
        <v>0</v>
      </c>
      <c r="DV59" s="15">
        <v>0</v>
      </c>
      <c r="DW59" s="15">
        <v>0</v>
      </c>
      <c r="DX59" s="15">
        <v>0</v>
      </c>
      <c r="DY59" s="15">
        <v>0</v>
      </c>
      <c r="DZ59" s="15">
        <v>0</v>
      </c>
      <c r="EA59" s="15">
        <v>0</v>
      </c>
      <c r="EB59" s="15">
        <v>0</v>
      </c>
      <c r="EC59" s="15">
        <v>0</v>
      </c>
      <c r="ED59" s="15">
        <v>0</v>
      </c>
      <c r="EE59" s="15">
        <v>0</v>
      </c>
      <c r="EF59" s="15">
        <v>0</v>
      </c>
    </row>
    <row r="60" spans="1:136" ht="15" customHeight="1" x14ac:dyDescent="0.35">
      <c r="A60" s="8" t="s">
        <v>12</v>
      </c>
      <c r="B60" s="8" t="s">
        <v>9</v>
      </c>
      <c r="C60" s="8" t="s">
        <v>9</v>
      </c>
      <c r="D60" s="8" t="s">
        <v>318</v>
      </c>
      <c r="E60" s="8" t="s">
        <v>10</v>
      </c>
      <c r="F60" s="8" t="s">
        <v>97</v>
      </c>
      <c r="G60" s="15">
        <v>4.5</v>
      </c>
      <c r="H60" s="15">
        <v>4.5</v>
      </c>
      <c r="I60" s="15">
        <v>5</v>
      </c>
      <c r="J60" s="15">
        <v>-0.5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1.5</v>
      </c>
      <c r="AG60" s="15">
        <v>3</v>
      </c>
      <c r="AH60" s="15">
        <v>0</v>
      </c>
      <c r="AI60" s="15">
        <v>0</v>
      </c>
      <c r="AJ60" s="15">
        <v>0.5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5">
        <v>0</v>
      </c>
      <c r="CH60" s="15">
        <v>0</v>
      </c>
      <c r="CI60" s="15">
        <v>0</v>
      </c>
      <c r="CJ60" s="15">
        <v>0</v>
      </c>
      <c r="CK60" s="15">
        <v>0</v>
      </c>
      <c r="CL60" s="15">
        <v>0</v>
      </c>
      <c r="CM60" s="15">
        <v>0</v>
      </c>
      <c r="CN60" s="15">
        <v>0</v>
      </c>
      <c r="CO60" s="15">
        <v>0</v>
      </c>
      <c r="CP60" s="15">
        <v>0</v>
      </c>
      <c r="CQ60" s="15">
        <v>0</v>
      </c>
      <c r="CR60" s="15">
        <v>0</v>
      </c>
      <c r="CS60" s="15">
        <v>0</v>
      </c>
      <c r="CT60" s="15">
        <v>0</v>
      </c>
      <c r="CU60" s="15">
        <v>0</v>
      </c>
      <c r="CV60" s="15">
        <v>0</v>
      </c>
      <c r="CW60" s="15">
        <v>0</v>
      </c>
      <c r="CX60" s="15">
        <v>0</v>
      </c>
      <c r="CY60" s="15">
        <v>0</v>
      </c>
      <c r="CZ60" s="15">
        <v>0</v>
      </c>
      <c r="DA60" s="15">
        <v>0</v>
      </c>
      <c r="DB60" s="15">
        <v>0</v>
      </c>
      <c r="DC60" s="15">
        <v>0</v>
      </c>
      <c r="DD60" s="15">
        <v>0</v>
      </c>
      <c r="DE60" s="15">
        <v>0</v>
      </c>
      <c r="DF60" s="15">
        <v>0</v>
      </c>
      <c r="DG60" s="15">
        <v>0</v>
      </c>
      <c r="DH60" s="15">
        <v>0</v>
      </c>
      <c r="DI60" s="15">
        <v>0</v>
      </c>
      <c r="DJ60" s="15">
        <v>0</v>
      </c>
      <c r="DK60" s="15">
        <v>0</v>
      </c>
      <c r="DL60" s="15">
        <v>0</v>
      </c>
      <c r="DM60" s="15">
        <v>0</v>
      </c>
      <c r="DN60" s="15">
        <v>0</v>
      </c>
      <c r="DO60" s="15">
        <v>0</v>
      </c>
      <c r="DP60" s="15">
        <v>0</v>
      </c>
      <c r="DQ60" s="15">
        <v>0</v>
      </c>
      <c r="DR60" s="15">
        <v>0</v>
      </c>
      <c r="DS60" s="15">
        <v>0</v>
      </c>
      <c r="DT60" s="15">
        <v>0</v>
      </c>
      <c r="DU60" s="15">
        <v>0</v>
      </c>
      <c r="DV60" s="15">
        <v>0</v>
      </c>
      <c r="DW60" s="15">
        <v>0</v>
      </c>
      <c r="DX60" s="15">
        <v>0</v>
      </c>
      <c r="DY60" s="15">
        <v>0</v>
      </c>
      <c r="DZ60" s="15">
        <v>0</v>
      </c>
      <c r="EA60" s="15">
        <v>0</v>
      </c>
      <c r="EB60" s="15">
        <v>0</v>
      </c>
      <c r="EC60" s="15">
        <v>0</v>
      </c>
      <c r="ED60" s="15">
        <v>0</v>
      </c>
      <c r="EE60" s="15">
        <v>0</v>
      </c>
      <c r="EF60" s="15">
        <v>0</v>
      </c>
    </row>
    <row r="61" spans="1:136" ht="15" customHeight="1" x14ac:dyDescent="0.35">
      <c r="A61" s="8" t="s">
        <v>12</v>
      </c>
      <c r="B61" s="8" t="s">
        <v>9</v>
      </c>
      <c r="C61" s="8" t="s">
        <v>9</v>
      </c>
      <c r="D61" s="8" t="s">
        <v>317</v>
      </c>
      <c r="E61" s="8" t="s">
        <v>10</v>
      </c>
      <c r="F61" s="8" t="s">
        <v>97</v>
      </c>
      <c r="G61" s="15">
        <v>0</v>
      </c>
      <c r="H61" s="15">
        <v>0</v>
      </c>
      <c r="I61" s="15">
        <v>21</v>
      </c>
      <c r="J61" s="15">
        <v>-21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1</v>
      </c>
      <c r="AL61" s="15">
        <v>8.5</v>
      </c>
      <c r="AM61" s="15">
        <v>6</v>
      </c>
      <c r="AN61" s="15">
        <v>0</v>
      </c>
      <c r="AO61" s="15">
        <v>0</v>
      </c>
      <c r="AP61" s="15">
        <v>3.5</v>
      </c>
      <c r="AQ61" s="15">
        <v>2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5">
        <v>0</v>
      </c>
      <c r="CH61" s="15">
        <v>0</v>
      </c>
      <c r="CI61" s="15">
        <v>0</v>
      </c>
      <c r="CJ61" s="15">
        <v>0</v>
      </c>
      <c r="CK61" s="15">
        <v>0</v>
      </c>
      <c r="CL61" s="15">
        <v>0</v>
      </c>
      <c r="CM61" s="15">
        <v>0</v>
      </c>
      <c r="CN61" s="15">
        <v>0</v>
      </c>
      <c r="CO61" s="15">
        <v>0</v>
      </c>
      <c r="CP61" s="15">
        <v>0</v>
      </c>
      <c r="CQ61" s="15">
        <v>0</v>
      </c>
      <c r="CR61" s="15">
        <v>0</v>
      </c>
      <c r="CS61" s="15">
        <v>0</v>
      </c>
      <c r="CT61" s="15">
        <v>0</v>
      </c>
      <c r="CU61" s="15">
        <v>0</v>
      </c>
      <c r="CV61" s="15">
        <v>0</v>
      </c>
      <c r="CW61" s="15">
        <v>0</v>
      </c>
      <c r="CX61" s="15">
        <v>0</v>
      </c>
      <c r="CY61" s="15">
        <v>0</v>
      </c>
      <c r="CZ61" s="15">
        <v>0</v>
      </c>
      <c r="DA61" s="15">
        <v>0</v>
      </c>
      <c r="DB61" s="15">
        <v>0</v>
      </c>
      <c r="DC61" s="15">
        <v>0</v>
      </c>
      <c r="DD61" s="15">
        <v>0</v>
      </c>
      <c r="DE61" s="15">
        <v>0</v>
      </c>
      <c r="DF61" s="15">
        <v>0</v>
      </c>
      <c r="DG61" s="15">
        <v>0</v>
      </c>
      <c r="DH61" s="15">
        <v>0</v>
      </c>
      <c r="DI61" s="15">
        <v>0</v>
      </c>
      <c r="DJ61" s="15">
        <v>0</v>
      </c>
      <c r="DK61" s="15">
        <v>0</v>
      </c>
      <c r="DL61" s="15">
        <v>0</v>
      </c>
      <c r="DM61" s="15">
        <v>0</v>
      </c>
      <c r="DN61" s="15">
        <v>0</v>
      </c>
      <c r="DO61" s="15">
        <v>0</v>
      </c>
      <c r="DP61" s="15">
        <v>0</v>
      </c>
      <c r="DQ61" s="15">
        <v>0</v>
      </c>
      <c r="DR61" s="15">
        <v>0</v>
      </c>
      <c r="DS61" s="15">
        <v>0</v>
      </c>
      <c r="DT61" s="15">
        <v>0</v>
      </c>
      <c r="DU61" s="15">
        <v>0</v>
      </c>
      <c r="DV61" s="15">
        <v>0</v>
      </c>
      <c r="DW61" s="15">
        <v>0</v>
      </c>
      <c r="DX61" s="15">
        <v>0</v>
      </c>
      <c r="DY61" s="15">
        <v>0</v>
      </c>
      <c r="DZ61" s="15">
        <v>0</v>
      </c>
      <c r="EA61" s="15">
        <v>0</v>
      </c>
      <c r="EB61" s="15">
        <v>0</v>
      </c>
      <c r="EC61" s="15">
        <v>0</v>
      </c>
      <c r="ED61" s="15">
        <v>0</v>
      </c>
      <c r="EE61" s="15">
        <v>0</v>
      </c>
      <c r="EF61" s="15">
        <v>0</v>
      </c>
    </row>
    <row r="62" spans="1:136" ht="15" customHeight="1" x14ac:dyDescent="0.35">
      <c r="A62" s="8" t="s">
        <v>12</v>
      </c>
      <c r="B62" s="8" t="s">
        <v>9</v>
      </c>
      <c r="C62" s="8" t="s">
        <v>9</v>
      </c>
      <c r="D62" s="8" t="s">
        <v>318</v>
      </c>
      <c r="E62" s="8" t="s">
        <v>10</v>
      </c>
      <c r="F62" s="8" t="s">
        <v>86</v>
      </c>
      <c r="G62" s="15">
        <v>0</v>
      </c>
      <c r="H62" s="15">
        <v>0</v>
      </c>
      <c r="I62" s="15">
        <v>26.1</v>
      </c>
      <c r="J62" s="15">
        <v>-26.1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3</v>
      </c>
      <c r="Z62" s="15">
        <v>0</v>
      </c>
      <c r="AA62" s="15">
        <v>23.1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0</v>
      </c>
      <c r="CM62" s="15">
        <v>0</v>
      </c>
      <c r="CN62" s="15">
        <v>0</v>
      </c>
      <c r="CO62" s="15">
        <v>0</v>
      </c>
      <c r="CP62" s="15">
        <v>0</v>
      </c>
      <c r="CQ62" s="15">
        <v>0</v>
      </c>
      <c r="CR62" s="15">
        <v>0</v>
      </c>
      <c r="CS62" s="15">
        <v>0</v>
      </c>
      <c r="CT62" s="15">
        <v>0</v>
      </c>
      <c r="CU62" s="15">
        <v>0</v>
      </c>
      <c r="CV62" s="15">
        <v>0</v>
      </c>
      <c r="CW62" s="15">
        <v>0</v>
      </c>
      <c r="CX62" s="15">
        <v>0</v>
      </c>
      <c r="CY62" s="15">
        <v>0</v>
      </c>
      <c r="CZ62" s="15">
        <v>0</v>
      </c>
      <c r="DA62" s="15">
        <v>0</v>
      </c>
      <c r="DB62" s="15">
        <v>0</v>
      </c>
      <c r="DC62" s="15">
        <v>0</v>
      </c>
      <c r="DD62" s="15">
        <v>0</v>
      </c>
      <c r="DE62" s="15">
        <v>0</v>
      </c>
      <c r="DF62" s="15">
        <v>0</v>
      </c>
      <c r="DG62" s="15">
        <v>0</v>
      </c>
      <c r="DH62" s="15">
        <v>0</v>
      </c>
      <c r="DI62" s="15">
        <v>0</v>
      </c>
      <c r="DJ62" s="15">
        <v>0</v>
      </c>
      <c r="DK62" s="15">
        <v>0</v>
      </c>
      <c r="DL62" s="15">
        <v>0</v>
      </c>
      <c r="DM62" s="15">
        <v>0</v>
      </c>
      <c r="DN62" s="15">
        <v>0</v>
      </c>
      <c r="DO62" s="15">
        <v>0</v>
      </c>
      <c r="DP62" s="15">
        <v>0</v>
      </c>
      <c r="DQ62" s="15">
        <v>0</v>
      </c>
      <c r="DR62" s="15">
        <v>0</v>
      </c>
      <c r="DS62" s="15">
        <v>0</v>
      </c>
      <c r="DT62" s="15">
        <v>0</v>
      </c>
      <c r="DU62" s="15">
        <v>0</v>
      </c>
      <c r="DV62" s="15">
        <v>0</v>
      </c>
      <c r="DW62" s="15">
        <v>0</v>
      </c>
      <c r="DX62" s="15">
        <v>0</v>
      </c>
      <c r="DY62" s="15">
        <v>0</v>
      </c>
      <c r="DZ62" s="15">
        <v>0</v>
      </c>
      <c r="EA62" s="15">
        <v>0</v>
      </c>
      <c r="EB62" s="15">
        <v>0</v>
      </c>
      <c r="EC62" s="15">
        <v>0</v>
      </c>
      <c r="ED62" s="15">
        <v>0</v>
      </c>
      <c r="EE62" s="15">
        <v>0</v>
      </c>
      <c r="EF62" s="15">
        <v>0</v>
      </c>
    </row>
    <row r="63" spans="1:136" ht="15" customHeight="1" x14ac:dyDescent="0.35">
      <c r="A63" s="8" t="s">
        <v>12</v>
      </c>
      <c r="B63" s="8" t="s">
        <v>9</v>
      </c>
      <c r="C63" s="8" t="s">
        <v>9</v>
      </c>
      <c r="D63" s="8" t="s">
        <v>318</v>
      </c>
      <c r="E63" s="8" t="s">
        <v>10</v>
      </c>
      <c r="F63" s="8" t="s">
        <v>99</v>
      </c>
      <c r="G63" s="15">
        <v>38</v>
      </c>
      <c r="H63" s="15">
        <v>77.5</v>
      </c>
      <c r="I63" s="15">
        <v>0</v>
      </c>
      <c r="J63" s="15">
        <v>77.5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5">
        <v>0</v>
      </c>
      <c r="CH63" s="15">
        <v>0</v>
      </c>
      <c r="CI63" s="15">
        <v>0</v>
      </c>
      <c r="CJ63" s="15">
        <v>0</v>
      </c>
      <c r="CK63" s="15">
        <v>0</v>
      </c>
      <c r="CL63" s="15">
        <v>0</v>
      </c>
      <c r="CM63" s="15">
        <v>0</v>
      </c>
      <c r="CN63" s="15">
        <v>0</v>
      </c>
      <c r="CO63" s="15">
        <v>0</v>
      </c>
      <c r="CP63" s="15">
        <v>0</v>
      </c>
      <c r="CQ63" s="15">
        <v>0</v>
      </c>
      <c r="CR63" s="15">
        <v>0</v>
      </c>
      <c r="CS63" s="15">
        <v>0</v>
      </c>
      <c r="CT63" s="15">
        <v>0</v>
      </c>
      <c r="CU63" s="15">
        <v>0</v>
      </c>
      <c r="CV63" s="15">
        <v>0</v>
      </c>
      <c r="CW63" s="15">
        <v>0</v>
      </c>
      <c r="CX63" s="15">
        <v>0</v>
      </c>
      <c r="CY63" s="15">
        <v>0</v>
      </c>
      <c r="CZ63" s="15">
        <v>0</v>
      </c>
      <c r="DA63" s="15">
        <v>0</v>
      </c>
      <c r="DB63" s="15">
        <v>0</v>
      </c>
      <c r="DC63" s="15">
        <v>0</v>
      </c>
      <c r="DD63" s="15">
        <v>0</v>
      </c>
      <c r="DE63" s="15">
        <v>0</v>
      </c>
      <c r="DF63" s="15">
        <v>0</v>
      </c>
      <c r="DG63" s="15">
        <v>0</v>
      </c>
      <c r="DH63" s="15">
        <v>0</v>
      </c>
      <c r="DI63" s="15">
        <v>0</v>
      </c>
      <c r="DJ63" s="15">
        <v>0</v>
      </c>
      <c r="DK63" s="15">
        <v>0</v>
      </c>
      <c r="DL63" s="15">
        <v>0</v>
      </c>
      <c r="DM63" s="15">
        <v>0</v>
      </c>
      <c r="DN63" s="15">
        <v>0</v>
      </c>
      <c r="DO63" s="15">
        <v>0</v>
      </c>
      <c r="DP63" s="15">
        <v>0</v>
      </c>
      <c r="DQ63" s="15">
        <v>0</v>
      </c>
      <c r="DR63" s="15">
        <v>0</v>
      </c>
      <c r="DS63" s="15">
        <v>0</v>
      </c>
      <c r="DT63" s="15">
        <v>0</v>
      </c>
      <c r="DU63" s="15">
        <v>0</v>
      </c>
      <c r="DV63" s="15">
        <v>0</v>
      </c>
      <c r="DW63" s="15">
        <v>0</v>
      </c>
      <c r="DX63" s="15">
        <v>0</v>
      </c>
      <c r="DY63" s="15">
        <v>0</v>
      </c>
      <c r="DZ63" s="15">
        <v>0</v>
      </c>
      <c r="EA63" s="15">
        <v>0</v>
      </c>
      <c r="EB63" s="15">
        <v>0</v>
      </c>
      <c r="EC63" s="15">
        <v>0</v>
      </c>
      <c r="ED63" s="15">
        <v>0</v>
      </c>
      <c r="EE63" s="15">
        <v>0</v>
      </c>
      <c r="EF63" s="15">
        <v>0</v>
      </c>
    </row>
    <row r="64" spans="1:136" ht="15" customHeight="1" x14ac:dyDescent="0.35">
      <c r="A64" s="8" t="s">
        <v>12</v>
      </c>
      <c r="B64" s="8" t="s">
        <v>9</v>
      </c>
      <c r="C64" s="8" t="s">
        <v>9</v>
      </c>
      <c r="D64" s="8" t="s">
        <v>317</v>
      </c>
      <c r="E64" s="8" t="s">
        <v>10</v>
      </c>
      <c r="F64" s="8" t="s">
        <v>99</v>
      </c>
      <c r="G64" s="15">
        <v>0</v>
      </c>
      <c r="H64" s="15">
        <v>0</v>
      </c>
      <c r="I64" s="15">
        <v>45.5</v>
      </c>
      <c r="J64" s="15">
        <v>-45.5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0.5</v>
      </c>
      <c r="AQ64" s="15">
        <v>5.5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5">
        <v>0</v>
      </c>
      <c r="CN64" s="15">
        <v>0</v>
      </c>
      <c r="CO64" s="15">
        <v>0</v>
      </c>
      <c r="CP64" s="15">
        <v>0</v>
      </c>
      <c r="CQ64" s="15">
        <v>0</v>
      </c>
      <c r="CR64" s="15">
        <v>0</v>
      </c>
      <c r="CS64" s="15">
        <v>0</v>
      </c>
      <c r="CT64" s="15">
        <v>0</v>
      </c>
      <c r="CU64" s="15">
        <v>0</v>
      </c>
      <c r="CV64" s="15">
        <v>0</v>
      </c>
      <c r="CW64" s="15">
        <v>0</v>
      </c>
      <c r="CX64" s="15">
        <v>0</v>
      </c>
      <c r="CY64" s="15">
        <v>0</v>
      </c>
      <c r="CZ64" s="15">
        <v>0</v>
      </c>
      <c r="DA64" s="15">
        <v>0</v>
      </c>
      <c r="DB64" s="15">
        <v>3</v>
      </c>
      <c r="DC64" s="15">
        <v>1</v>
      </c>
      <c r="DD64" s="15">
        <v>2</v>
      </c>
      <c r="DE64" s="15">
        <v>0</v>
      </c>
      <c r="DF64" s="15">
        <v>0</v>
      </c>
      <c r="DG64" s="15">
        <v>0</v>
      </c>
      <c r="DH64" s="15">
        <v>0</v>
      </c>
      <c r="DI64" s="15">
        <v>0</v>
      </c>
      <c r="DJ64" s="15">
        <v>0</v>
      </c>
      <c r="DK64" s="15">
        <v>0</v>
      </c>
      <c r="DL64" s="15">
        <v>0</v>
      </c>
      <c r="DM64" s="15">
        <v>0</v>
      </c>
      <c r="DN64" s="15">
        <v>0</v>
      </c>
      <c r="DO64" s="15">
        <v>10</v>
      </c>
      <c r="DP64" s="15">
        <v>15</v>
      </c>
      <c r="DQ64" s="15">
        <v>8.5</v>
      </c>
      <c r="DR64" s="15">
        <v>0</v>
      </c>
      <c r="DS64" s="15">
        <v>0</v>
      </c>
      <c r="DT64" s="15">
        <v>0</v>
      </c>
      <c r="DU64" s="15">
        <v>0</v>
      </c>
      <c r="DV64" s="15">
        <v>0</v>
      </c>
      <c r="DW64" s="15">
        <v>0</v>
      </c>
      <c r="DX64" s="15">
        <v>0</v>
      </c>
      <c r="DY64" s="15">
        <v>0</v>
      </c>
      <c r="DZ64" s="15">
        <v>0</v>
      </c>
      <c r="EA64" s="15">
        <v>0</v>
      </c>
      <c r="EB64" s="15">
        <v>0</v>
      </c>
      <c r="EC64" s="15">
        <v>0</v>
      </c>
      <c r="ED64" s="15">
        <v>0</v>
      </c>
      <c r="EE64" s="15">
        <v>0</v>
      </c>
      <c r="EF64" s="15">
        <v>0</v>
      </c>
    </row>
    <row r="65" spans="1:136" ht="15" customHeight="1" x14ac:dyDescent="0.35">
      <c r="A65" s="8" t="s">
        <v>12</v>
      </c>
      <c r="B65" s="8" t="s">
        <v>9</v>
      </c>
      <c r="C65" s="8" t="s">
        <v>9</v>
      </c>
      <c r="D65" s="8" t="s">
        <v>318</v>
      </c>
      <c r="E65" s="8" t="s">
        <v>10</v>
      </c>
      <c r="F65" s="8" t="s">
        <v>43</v>
      </c>
      <c r="G65" s="15">
        <v>4</v>
      </c>
      <c r="H65" s="15">
        <v>43</v>
      </c>
      <c r="I65" s="15">
        <v>0</v>
      </c>
      <c r="J65" s="15">
        <v>43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>
        <v>0</v>
      </c>
      <c r="CH65" s="15">
        <v>0</v>
      </c>
      <c r="CI65" s="15">
        <v>0</v>
      </c>
      <c r="CJ65" s="15">
        <v>0</v>
      </c>
      <c r="CK65" s="15">
        <v>0</v>
      </c>
      <c r="CL65" s="15">
        <v>0</v>
      </c>
      <c r="CM65" s="15">
        <v>0</v>
      </c>
      <c r="CN65" s="15">
        <v>0</v>
      </c>
      <c r="CO65" s="15">
        <v>0</v>
      </c>
      <c r="CP65" s="15">
        <v>0</v>
      </c>
      <c r="CQ65" s="15">
        <v>0</v>
      </c>
      <c r="CR65" s="15">
        <v>0</v>
      </c>
      <c r="CS65" s="15">
        <v>0</v>
      </c>
      <c r="CT65" s="15">
        <v>0</v>
      </c>
      <c r="CU65" s="15">
        <v>0</v>
      </c>
      <c r="CV65" s="15">
        <v>0</v>
      </c>
      <c r="CW65" s="15">
        <v>0</v>
      </c>
      <c r="CX65" s="15">
        <v>0</v>
      </c>
      <c r="CY65" s="15">
        <v>0</v>
      </c>
      <c r="CZ65" s="15">
        <v>0</v>
      </c>
      <c r="DA65" s="15">
        <v>0</v>
      </c>
      <c r="DB65" s="15">
        <v>0</v>
      </c>
      <c r="DC65" s="15">
        <v>0</v>
      </c>
      <c r="DD65" s="15">
        <v>0</v>
      </c>
      <c r="DE65" s="15">
        <v>0</v>
      </c>
      <c r="DF65" s="15">
        <v>0</v>
      </c>
      <c r="DG65" s="15">
        <v>0</v>
      </c>
      <c r="DH65" s="15">
        <v>0</v>
      </c>
      <c r="DI65" s="15">
        <v>0</v>
      </c>
      <c r="DJ65" s="15">
        <v>0</v>
      </c>
      <c r="DK65" s="15">
        <v>0</v>
      </c>
      <c r="DL65" s="15">
        <v>0</v>
      </c>
      <c r="DM65" s="15">
        <v>0</v>
      </c>
      <c r="DN65" s="15">
        <v>0</v>
      </c>
      <c r="DO65" s="15">
        <v>0</v>
      </c>
      <c r="DP65" s="15">
        <v>0</v>
      </c>
      <c r="DQ65" s="15">
        <v>0</v>
      </c>
      <c r="DR65" s="15">
        <v>0</v>
      </c>
      <c r="DS65" s="15">
        <v>0</v>
      </c>
      <c r="DT65" s="15">
        <v>0</v>
      </c>
      <c r="DU65" s="15">
        <v>0</v>
      </c>
      <c r="DV65" s="15">
        <v>0</v>
      </c>
      <c r="DW65" s="15">
        <v>0</v>
      </c>
      <c r="DX65" s="15">
        <v>0</v>
      </c>
      <c r="DY65" s="15">
        <v>0</v>
      </c>
      <c r="DZ65" s="15">
        <v>0</v>
      </c>
      <c r="EA65" s="15">
        <v>0</v>
      </c>
      <c r="EB65" s="15">
        <v>0</v>
      </c>
      <c r="EC65" s="15">
        <v>0</v>
      </c>
      <c r="ED65" s="15">
        <v>0</v>
      </c>
      <c r="EE65" s="15">
        <v>0</v>
      </c>
      <c r="EF65" s="15">
        <v>0</v>
      </c>
    </row>
    <row r="66" spans="1:136" ht="15" customHeight="1" x14ac:dyDescent="0.35">
      <c r="A66" s="8" t="s">
        <v>12</v>
      </c>
      <c r="B66" s="8" t="s">
        <v>9</v>
      </c>
      <c r="C66" s="8" t="s">
        <v>9</v>
      </c>
      <c r="D66" s="8" t="s">
        <v>317</v>
      </c>
      <c r="E66" s="8" t="s">
        <v>10</v>
      </c>
      <c r="F66" s="8" t="s">
        <v>43</v>
      </c>
      <c r="G66" s="15">
        <v>0</v>
      </c>
      <c r="H66" s="15">
        <v>0</v>
      </c>
      <c r="I66" s="15">
        <v>41</v>
      </c>
      <c r="J66" s="15">
        <v>-41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2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0</v>
      </c>
      <c r="CG66" s="15">
        <v>0</v>
      </c>
      <c r="CH66" s="15">
        <v>0</v>
      </c>
      <c r="CI66" s="15">
        <v>0</v>
      </c>
      <c r="CJ66" s="15">
        <v>0</v>
      </c>
      <c r="CK66" s="15">
        <v>0</v>
      </c>
      <c r="CL66" s="15">
        <v>0</v>
      </c>
      <c r="CM66" s="15">
        <v>0</v>
      </c>
      <c r="CN66" s="15">
        <v>0</v>
      </c>
      <c r="CO66" s="15">
        <v>0</v>
      </c>
      <c r="CP66" s="15">
        <v>0</v>
      </c>
      <c r="CQ66" s="15">
        <v>0</v>
      </c>
      <c r="CR66" s="15">
        <v>0</v>
      </c>
      <c r="CS66" s="15">
        <v>3.5</v>
      </c>
      <c r="CT66" s="15">
        <v>2.5</v>
      </c>
      <c r="CU66" s="15">
        <v>0</v>
      </c>
      <c r="CV66" s="15">
        <v>0</v>
      </c>
      <c r="CW66" s="15">
        <v>0</v>
      </c>
      <c r="CX66" s="15">
        <v>0</v>
      </c>
      <c r="CY66" s="15">
        <v>0</v>
      </c>
      <c r="CZ66" s="15">
        <v>0</v>
      </c>
      <c r="DA66" s="15">
        <v>0</v>
      </c>
      <c r="DB66" s="15">
        <v>0</v>
      </c>
      <c r="DC66" s="15">
        <v>3</v>
      </c>
      <c r="DD66" s="15">
        <v>1</v>
      </c>
      <c r="DE66" s="15">
        <v>3</v>
      </c>
      <c r="DF66" s="15">
        <v>0</v>
      </c>
      <c r="DG66" s="15">
        <v>0</v>
      </c>
      <c r="DH66" s="15">
        <v>0</v>
      </c>
      <c r="DI66" s="15">
        <v>0</v>
      </c>
      <c r="DJ66" s="15">
        <v>0</v>
      </c>
      <c r="DK66" s="15">
        <v>0</v>
      </c>
      <c r="DL66" s="15">
        <v>0</v>
      </c>
      <c r="DM66" s="15">
        <v>0</v>
      </c>
      <c r="DN66" s="15">
        <v>0</v>
      </c>
      <c r="DO66" s="15">
        <v>0</v>
      </c>
      <c r="DP66" s="15">
        <v>6</v>
      </c>
      <c r="DQ66" s="15">
        <v>8.5</v>
      </c>
      <c r="DR66" s="15">
        <v>11.5</v>
      </c>
      <c r="DS66" s="15">
        <v>0</v>
      </c>
      <c r="DT66" s="15">
        <v>0</v>
      </c>
      <c r="DU66" s="15">
        <v>0</v>
      </c>
      <c r="DV66" s="15">
        <v>0</v>
      </c>
      <c r="DW66" s="15">
        <v>0</v>
      </c>
      <c r="DX66" s="15">
        <v>0</v>
      </c>
      <c r="DY66" s="15">
        <v>0</v>
      </c>
      <c r="DZ66" s="15">
        <v>0</v>
      </c>
      <c r="EA66" s="15">
        <v>0</v>
      </c>
      <c r="EB66" s="15">
        <v>0</v>
      </c>
      <c r="EC66" s="15">
        <v>0</v>
      </c>
      <c r="ED66" s="15">
        <v>0</v>
      </c>
      <c r="EE66" s="15">
        <v>0</v>
      </c>
      <c r="EF66" s="15">
        <v>0</v>
      </c>
    </row>
    <row r="67" spans="1:136" ht="15" customHeight="1" x14ac:dyDescent="0.35">
      <c r="A67" s="8" t="s">
        <v>12</v>
      </c>
      <c r="B67" s="8" t="s">
        <v>9</v>
      </c>
      <c r="C67" s="8" t="s">
        <v>9</v>
      </c>
      <c r="D67" s="8" t="s">
        <v>318</v>
      </c>
      <c r="E67" s="8" t="s">
        <v>10</v>
      </c>
      <c r="F67" s="8" t="s">
        <v>100</v>
      </c>
      <c r="G67" s="15">
        <v>13.5</v>
      </c>
      <c r="H67" s="15">
        <v>57</v>
      </c>
      <c r="I67" s="15">
        <v>2</v>
      </c>
      <c r="J67" s="15">
        <v>55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2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5">
        <v>0</v>
      </c>
      <c r="CH67" s="15">
        <v>0</v>
      </c>
      <c r="CI67" s="15">
        <v>0</v>
      </c>
      <c r="CJ67" s="15">
        <v>0</v>
      </c>
      <c r="CK67" s="15">
        <v>0</v>
      </c>
      <c r="CL67" s="15">
        <v>0</v>
      </c>
      <c r="CM67" s="15">
        <v>0</v>
      </c>
      <c r="CN67" s="15">
        <v>0</v>
      </c>
      <c r="CO67" s="15">
        <v>0</v>
      </c>
      <c r="CP67" s="15">
        <v>0</v>
      </c>
      <c r="CQ67" s="15">
        <v>0</v>
      </c>
      <c r="CR67" s="15">
        <v>0</v>
      </c>
      <c r="CS67" s="15">
        <v>0</v>
      </c>
      <c r="CT67" s="15">
        <v>0</v>
      </c>
      <c r="CU67" s="15">
        <v>0</v>
      </c>
      <c r="CV67" s="15">
        <v>0</v>
      </c>
      <c r="CW67" s="15">
        <v>0</v>
      </c>
      <c r="CX67" s="15">
        <v>0</v>
      </c>
      <c r="CY67" s="15">
        <v>0</v>
      </c>
      <c r="CZ67" s="15">
        <v>0</v>
      </c>
      <c r="DA67" s="15">
        <v>0</v>
      </c>
      <c r="DB67" s="15">
        <v>0</v>
      </c>
      <c r="DC67" s="15">
        <v>0</v>
      </c>
      <c r="DD67" s="15">
        <v>0</v>
      </c>
      <c r="DE67" s="15">
        <v>0</v>
      </c>
      <c r="DF67" s="15">
        <v>0</v>
      </c>
      <c r="DG67" s="15">
        <v>0</v>
      </c>
      <c r="DH67" s="15">
        <v>0</v>
      </c>
      <c r="DI67" s="15">
        <v>0</v>
      </c>
      <c r="DJ67" s="15">
        <v>0</v>
      </c>
      <c r="DK67" s="15">
        <v>0</v>
      </c>
      <c r="DL67" s="15">
        <v>0</v>
      </c>
      <c r="DM67" s="15">
        <v>0</v>
      </c>
      <c r="DN67" s="15">
        <v>0</v>
      </c>
      <c r="DO67" s="15">
        <v>0</v>
      </c>
      <c r="DP67" s="15">
        <v>0</v>
      </c>
      <c r="DQ67" s="15">
        <v>0</v>
      </c>
      <c r="DR67" s="15">
        <v>0</v>
      </c>
      <c r="DS67" s="15">
        <v>0</v>
      </c>
      <c r="DT67" s="15">
        <v>0</v>
      </c>
      <c r="DU67" s="15">
        <v>0</v>
      </c>
      <c r="DV67" s="15">
        <v>0</v>
      </c>
      <c r="DW67" s="15">
        <v>0</v>
      </c>
      <c r="DX67" s="15">
        <v>0</v>
      </c>
      <c r="DY67" s="15">
        <v>0</v>
      </c>
      <c r="DZ67" s="15">
        <v>0</v>
      </c>
      <c r="EA67" s="15">
        <v>0</v>
      </c>
      <c r="EB67" s="15">
        <v>0</v>
      </c>
      <c r="EC67" s="15">
        <v>0</v>
      </c>
      <c r="ED67" s="15">
        <v>0</v>
      </c>
      <c r="EE67" s="15">
        <v>0</v>
      </c>
      <c r="EF67" s="15">
        <v>0</v>
      </c>
    </row>
    <row r="68" spans="1:136" ht="15" customHeight="1" x14ac:dyDescent="0.35">
      <c r="A68" s="8" t="s">
        <v>12</v>
      </c>
      <c r="B68" s="8" t="s">
        <v>9</v>
      </c>
      <c r="C68" s="8" t="s">
        <v>9</v>
      </c>
      <c r="D68" s="8" t="s">
        <v>317</v>
      </c>
      <c r="E68" s="8" t="s">
        <v>10</v>
      </c>
      <c r="F68" s="8" t="s">
        <v>100</v>
      </c>
      <c r="G68" s="15">
        <v>0</v>
      </c>
      <c r="H68" s="15">
        <v>0</v>
      </c>
      <c r="I68" s="15">
        <v>48.5</v>
      </c>
      <c r="J68" s="15">
        <v>-48.5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2</v>
      </c>
      <c r="AP68" s="15">
        <v>2</v>
      </c>
      <c r="AQ68" s="15">
        <v>0</v>
      </c>
      <c r="AR68" s="15">
        <v>1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0</v>
      </c>
      <c r="CC68" s="15">
        <v>0</v>
      </c>
      <c r="CD68" s="15">
        <v>0</v>
      </c>
      <c r="CE68" s="15">
        <v>0</v>
      </c>
      <c r="CF68" s="15">
        <v>0</v>
      </c>
      <c r="CG68" s="15">
        <v>0</v>
      </c>
      <c r="CH68" s="15">
        <v>0</v>
      </c>
      <c r="CI68" s="15">
        <v>0</v>
      </c>
      <c r="CJ68" s="15">
        <v>0</v>
      </c>
      <c r="CK68" s="15">
        <v>0</v>
      </c>
      <c r="CL68" s="15">
        <v>0</v>
      </c>
      <c r="CM68" s="15">
        <v>0</v>
      </c>
      <c r="CN68" s="15">
        <v>0</v>
      </c>
      <c r="CO68" s="15">
        <v>0</v>
      </c>
      <c r="CP68" s="15">
        <v>0</v>
      </c>
      <c r="CQ68" s="15">
        <v>0</v>
      </c>
      <c r="CR68" s="15">
        <v>0</v>
      </c>
      <c r="CS68" s="15">
        <v>3.5</v>
      </c>
      <c r="CT68" s="15">
        <v>0</v>
      </c>
      <c r="CU68" s="15">
        <v>0</v>
      </c>
      <c r="CV68" s="15">
        <v>0</v>
      </c>
      <c r="CW68" s="15">
        <v>0</v>
      </c>
      <c r="CX68" s="15">
        <v>0</v>
      </c>
      <c r="CY68" s="15">
        <v>0</v>
      </c>
      <c r="CZ68" s="15">
        <v>0</v>
      </c>
      <c r="DA68" s="15">
        <v>0</v>
      </c>
      <c r="DB68" s="15">
        <v>4.5</v>
      </c>
      <c r="DC68" s="15">
        <v>0.5</v>
      </c>
      <c r="DD68" s="15">
        <v>0.5</v>
      </c>
      <c r="DE68" s="15">
        <v>6</v>
      </c>
      <c r="DF68" s="15">
        <v>2.5</v>
      </c>
      <c r="DG68" s="15">
        <v>0</v>
      </c>
      <c r="DH68" s="15">
        <v>0</v>
      </c>
      <c r="DI68" s="15">
        <v>0</v>
      </c>
      <c r="DJ68" s="15">
        <v>0</v>
      </c>
      <c r="DK68" s="15">
        <v>0</v>
      </c>
      <c r="DL68" s="15">
        <v>0</v>
      </c>
      <c r="DM68" s="15">
        <v>0</v>
      </c>
      <c r="DN68" s="15">
        <v>0</v>
      </c>
      <c r="DO68" s="15">
        <v>6</v>
      </c>
      <c r="DP68" s="15">
        <v>19</v>
      </c>
      <c r="DQ68" s="15">
        <v>1</v>
      </c>
      <c r="DR68" s="15">
        <v>0</v>
      </c>
      <c r="DS68" s="15">
        <v>0</v>
      </c>
      <c r="DT68" s="15">
        <v>0</v>
      </c>
      <c r="DU68" s="15">
        <v>0</v>
      </c>
      <c r="DV68" s="15">
        <v>0</v>
      </c>
      <c r="DW68" s="15">
        <v>0</v>
      </c>
      <c r="DX68" s="15">
        <v>0</v>
      </c>
      <c r="DY68" s="15">
        <v>0</v>
      </c>
      <c r="DZ68" s="15">
        <v>0</v>
      </c>
      <c r="EA68" s="15">
        <v>0</v>
      </c>
      <c r="EB68" s="15">
        <v>0</v>
      </c>
      <c r="EC68" s="15">
        <v>0</v>
      </c>
      <c r="ED68" s="15">
        <v>0</v>
      </c>
      <c r="EE68" s="15">
        <v>0</v>
      </c>
      <c r="EF68" s="15">
        <v>0</v>
      </c>
    </row>
    <row r="69" spans="1:136" ht="15" customHeight="1" x14ac:dyDescent="0.35">
      <c r="A69" s="8" t="s">
        <v>12</v>
      </c>
      <c r="B69" s="8" t="s">
        <v>9</v>
      </c>
      <c r="C69" s="8" t="s">
        <v>9</v>
      </c>
      <c r="D69" s="8" t="s">
        <v>318</v>
      </c>
      <c r="E69" s="8" t="s">
        <v>10</v>
      </c>
      <c r="F69" s="8" t="s">
        <v>87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5">
        <v>0</v>
      </c>
      <c r="CH69" s="15">
        <v>0</v>
      </c>
      <c r="CI69" s="15">
        <v>0</v>
      </c>
      <c r="CJ69" s="15">
        <v>0</v>
      </c>
      <c r="CK69" s="15">
        <v>0</v>
      </c>
      <c r="CL69" s="15">
        <v>0</v>
      </c>
      <c r="CM69" s="15">
        <v>0</v>
      </c>
      <c r="CN69" s="15">
        <v>0</v>
      </c>
      <c r="CO69" s="15">
        <v>0</v>
      </c>
      <c r="CP69" s="15">
        <v>0</v>
      </c>
      <c r="CQ69" s="15">
        <v>0</v>
      </c>
      <c r="CR69" s="15">
        <v>0</v>
      </c>
      <c r="CS69" s="15">
        <v>0</v>
      </c>
      <c r="CT69" s="15">
        <v>0</v>
      </c>
      <c r="CU69" s="15">
        <v>0</v>
      </c>
      <c r="CV69" s="15">
        <v>0</v>
      </c>
      <c r="CW69" s="15">
        <v>0</v>
      </c>
      <c r="CX69" s="15">
        <v>0</v>
      </c>
      <c r="CY69" s="15">
        <v>0</v>
      </c>
      <c r="CZ69" s="15">
        <v>0</v>
      </c>
      <c r="DA69" s="15">
        <v>0</v>
      </c>
      <c r="DB69" s="15">
        <v>0</v>
      </c>
      <c r="DC69" s="15">
        <v>0</v>
      </c>
      <c r="DD69" s="15">
        <v>0</v>
      </c>
      <c r="DE69" s="15">
        <v>0</v>
      </c>
      <c r="DF69" s="15">
        <v>0</v>
      </c>
      <c r="DG69" s="15">
        <v>0</v>
      </c>
      <c r="DH69" s="15">
        <v>0</v>
      </c>
      <c r="DI69" s="15">
        <v>0</v>
      </c>
      <c r="DJ69" s="15">
        <v>0</v>
      </c>
      <c r="DK69" s="15">
        <v>0</v>
      </c>
      <c r="DL69" s="15">
        <v>0</v>
      </c>
      <c r="DM69" s="15">
        <v>0</v>
      </c>
      <c r="DN69" s="15">
        <v>0</v>
      </c>
      <c r="DO69" s="15">
        <v>0</v>
      </c>
      <c r="DP69" s="15">
        <v>0</v>
      </c>
      <c r="DQ69" s="15">
        <v>0</v>
      </c>
      <c r="DR69" s="15">
        <v>0</v>
      </c>
      <c r="DS69" s="15">
        <v>0</v>
      </c>
      <c r="DT69" s="15">
        <v>0</v>
      </c>
      <c r="DU69" s="15">
        <v>0</v>
      </c>
      <c r="DV69" s="15">
        <v>0</v>
      </c>
      <c r="DW69" s="15">
        <v>0</v>
      </c>
      <c r="DX69" s="15">
        <v>0</v>
      </c>
      <c r="DY69" s="15">
        <v>0</v>
      </c>
      <c r="DZ69" s="15">
        <v>0</v>
      </c>
      <c r="EA69" s="15">
        <v>0</v>
      </c>
      <c r="EB69" s="15">
        <v>0</v>
      </c>
      <c r="EC69" s="15">
        <v>0</v>
      </c>
      <c r="ED69" s="15">
        <v>0</v>
      </c>
      <c r="EE69" s="15">
        <v>0</v>
      </c>
      <c r="EF69" s="15">
        <v>0</v>
      </c>
    </row>
    <row r="70" spans="1:136" ht="15" customHeight="1" x14ac:dyDescent="0.35">
      <c r="A70" s="8" t="s">
        <v>12</v>
      </c>
      <c r="B70" s="8" t="s">
        <v>9</v>
      </c>
      <c r="C70" s="8" t="s">
        <v>9</v>
      </c>
      <c r="D70" s="8" t="s">
        <v>317</v>
      </c>
      <c r="E70" s="8" t="s">
        <v>10</v>
      </c>
      <c r="F70" s="8" t="s">
        <v>87</v>
      </c>
      <c r="G70" s="15">
        <v>0</v>
      </c>
      <c r="H70" s="15">
        <v>0</v>
      </c>
      <c r="I70" s="15">
        <v>26.8</v>
      </c>
      <c r="J70" s="15">
        <v>-26.8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2</v>
      </c>
      <c r="AM70" s="15">
        <v>3</v>
      </c>
      <c r="AN70" s="15">
        <v>21.8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</v>
      </c>
      <c r="CK70" s="15">
        <v>0</v>
      </c>
      <c r="CL70" s="15">
        <v>0</v>
      </c>
      <c r="CM70" s="15">
        <v>0</v>
      </c>
      <c r="CN70" s="15">
        <v>0</v>
      </c>
      <c r="CO70" s="15">
        <v>0</v>
      </c>
      <c r="CP70" s="15">
        <v>0</v>
      </c>
      <c r="CQ70" s="15">
        <v>0</v>
      </c>
      <c r="CR70" s="15">
        <v>0</v>
      </c>
      <c r="CS70" s="15">
        <v>0</v>
      </c>
      <c r="CT70" s="15">
        <v>0</v>
      </c>
      <c r="CU70" s="15">
        <v>0</v>
      </c>
      <c r="CV70" s="15">
        <v>0</v>
      </c>
      <c r="CW70" s="15">
        <v>0</v>
      </c>
      <c r="CX70" s="15">
        <v>0</v>
      </c>
      <c r="CY70" s="15">
        <v>0</v>
      </c>
      <c r="CZ70" s="15">
        <v>0</v>
      </c>
      <c r="DA70" s="15">
        <v>0</v>
      </c>
      <c r="DB70" s="15">
        <v>0</v>
      </c>
      <c r="DC70" s="15">
        <v>0</v>
      </c>
      <c r="DD70" s="15">
        <v>0</v>
      </c>
      <c r="DE70" s="15">
        <v>0</v>
      </c>
      <c r="DF70" s="15">
        <v>0</v>
      </c>
      <c r="DG70" s="15">
        <v>0</v>
      </c>
      <c r="DH70" s="15">
        <v>0</v>
      </c>
      <c r="DI70" s="15">
        <v>0</v>
      </c>
      <c r="DJ70" s="15">
        <v>0</v>
      </c>
      <c r="DK70" s="15">
        <v>0</v>
      </c>
      <c r="DL70" s="15">
        <v>0</v>
      </c>
      <c r="DM70" s="15">
        <v>0</v>
      </c>
      <c r="DN70" s="15">
        <v>0</v>
      </c>
      <c r="DO70" s="15">
        <v>0</v>
      </c>
      <c r="DP70" s="15">
        <v>0</v>
      </c>
      <c r="DQ70" s="15">
        <v>0</v>
      </c>
      <c r="DR70" s="15">
        <v>0</v>
      </c>
      <c r="DS70" s="15">
        <v>0</v>
      </c>
      <c r="DT70" s="15">
        <v>0</v>
      </c>
      <c r="DU70" s="15">
        <v>0</v>
      </c>
      <c r="DV70" s="15">
        <v>0</v>
      </c>
      <c r="DW70" s="15">
        <v>0</v>
      </c>
      <c r="DX70" s="15">
        <v>0</v>
      </c>
      <c r="DY70" s="15">
        <v>0</v>
      </c>
      <c r="DZ70" s="15">
        <v>0</v>
      </c>
      <c r="EA70" s="15">
        <v>0</v>
      </c>
      <c r="EB70" s="15">
        <v>0</v>
      </c>
      <c r="EC70" s="15">
        <v>0</v>
      </c>
      <c r="ED70" s="15">
        <v>0</v>
      </c>
      <c r="EE70" s="15">
        <v>0</v>
      </c>
      <c r="EF70" s="15">
        <v>0</v>
      </c>
    </row>
    <row r="71" spans="1:136" ht="15" customHeight="1" x14ac:dyDescent="0.35">
      <c r="A71" s="8" t="s">
        <v>12</v>
      </c>
      <c r="B71" s="8" t="s">
        <v>26</v>
      </c>
      <c r="C71" s="8" t="s">
        <v>26</v>
      </c>
      <c r="D71" s="8" t="s">
        <v>316</v>
      </c>
      <c r="E71" s="8" t="s">
        <v>14</v>
      </c>
      <c r="F71" s="8" t="s">
        <v>80</v>
      </c>
      <c r="G71" s="15">
        <v>20</v>
      </c>
      <c r="H71" s="15">
        <v>62</v>
      </c>
      <c r="I71" s="15">
        <v>0</v>
      </c>
      <c r="J71" s="15">
        <v>62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5">
        <v>0</v>
      </c>
      <c r="CH71" s="15">
        <v>0</v>
      </c>
      <c r="CI71" s="15">
        <v>0</v>
      </c>
      <c r="CJ71" s="15">
        <v>0</v>
      </c>
      <c r="CK71" s="15">
        <v>0</v>
      </c>
      <c r="CL71" s="15">
        <v>0</v>
      </c>
      <c r="CM71" s="15">
        <v>0</v>
      </c>
      <c r="CN71" s="15">
        <v>0</v>
      </c>
      <c r="CO71" s="15">
        <v>0</v>
      </c>
      <c r="CP71" s="15">
        <v>0</v>
      </c>
      <c r="CQ71" s="15">
        <v>0</v>
      </c>
      <c r="CR71" s="15">
        <v>0</v>
      </c>
      <c r="CS71" s="15">
        <v>0</v>
      </c>
      <c r="CT71" s="15">
        <v>0</v>
      </c>
      <c r="CU71" s="15">
        <v>0</v>
      </c>
      <c r="CV71" s="15">
        <v>0</v>
      </c>
      <c r="CW71" s="15">
        <v>0</v>
      </c>
      <c r="CX71" s="15">
        <v>0</v>
      </c>
      <c r="CY71" s="15">
        <v>0</v>
      </c>
      <c r="CZ71" s="15">
        <v>0</v>
      </c>
      <c r="DA71" s="15">
        <v>0</v>
      </c>
      <c r="DB71" s="15">
        <v>0</v>
      </c>
      <c r="DC71" s="15">
        <v>0</v>
      </c>
      <c r="DD71" s="15">
        <v>0</v>
      </c>
      <c r="DE71" s="15">
        <v>0</v>
      </c>
      <c r="DF71" s="15">
        <v>0</v>
      </c>
      <c r="DG71" s="15">
        <v>0</v>
      </c>
      <c r="DH71" s="15">
        <v>0</v>
      </c>
      <c r="DI71" s="15">
        <v>0</v>
      </c>
      <c r="DJ71" s="15">
        <v>0</v>
      </c>
      <c r="DK71" s="15">
        <v>0</v>
      </c>
      <c r="DL71" s="15">
        <v>0</v>
      </c>
      <c r="DM71" s="15">
        <v>0</v>
      </c>
      <c r="DN71" s="15">
        <v>0</v>
      </c>
      <c r="DO71" s="15">
        <v>0</v>
      </c>
      <c r="DP71" s="15">
        <v>0</v>
      </c>
      <c r="DQ71" s="15">
        <v>0</v>
      </c>
      <c r="DR71" s="15">
        <v>0</v>
      </c>
      <c r="DS71" s="15">
        <v>0</v>
      </c>
      <c r="DT71" s="15">
        <v>0</v>
      </c>
      <c r="DU71" s="15">
        <v>0</v>
      </c>
      <c r="DV71" s="15">
        <v>0</v>
      </c>
      <c r="DW71" s="15">
        <v>0</v>
      </c>
      <c r="DX71" s="15">
        <v>0</v>
      </c>
      <c r="DY71" s="15">
        <v>0</v>
      </c>
      <c r="DZ71" s="15">
        <v>0</v>
      </c>
      <c r="EA71" s="15">
        <v>0</v>
      </c>
      <c r="EB71" s="15">
        <v>0</v>
      </c>
      <c r="EC71" s="15">
        <v>0</v>
      </c>
      <c r="ED71" s="15">
        <v>0</v>
      </c>
      <c r="EE71" s="15">
        <v>0</v>
      </c>
      <c r="EF71" s="15">
        <v>0</v>
      </c>
    </row>
    <row r="72" spans="1:136" ht="15" customHeight="1" x14ac:dyDescent="0.35">
      <c r="A72" s="8" t="s">
        <v>12</v>
      </c>
      <c r="B72" s="8" t="s">
        <v>26</v>
      </c>
      <c r="C72" s="8" t="s">
        <v>26</v>
      </c>
      <c r="D72" s="8" t="s">
        <v>322</v>
      </c>
      <c r="E72" s="8" t="s">
        <v>14</v>
      </c>
      <c r="F72" s="8" t="s">
        <v>80</v>
      </c>
      <c r="G72" s="15">
        <v>0</v>
      </c>
      <c r="H72" s="15">
        <v>0</v>
      </c>
      <c r="I72" s="15">
        <v>42</v>
      </c>
      <c r="J72" s="15">
        <v>-42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0</v>
      </c>
      <c r="CG72" s="15">
        <v>0</v>
      </c>
      <c r="CH72" s="15">
        <v>0</v>
      </c>
      <c r="CI72" s="15">
        <v>0</v>
      </c>
      <c r="CJ72" s="15">
        <v>0</v>
      </c>
      <c r="CK72" s="15">
        <v>0</v>
      </c>
      <c r="CL72" s="15">
        <v>0</v>
      </c>
      <c r="CM72" s="15">
        <v>0</v>
      </c>
      <c r="CN72" s="15">
        <v>0</v>
      </c>
      <c r="CO72" s="15">
        <v>0</v>
      </c>
      <c r="CP72" s="15">
        <v>0</v>
      </c>
      <c r="CQ72" s="15">
        <v>0</v>
      </c>
      <c r="CR72" s="15">
        <v>0</v>
      </c>
      <c r="CS72" s="15">
        <v>0</v>
      </c>
      <c r="CT72" s="15">
        <v>0</v>
      </c>
      <c r="CU72" s="15">
        <v>0</v>
      </c>
      <c r="CV72" s="15">
        <v>0</v>
      </c>
      <c r="CW72" s="15">
        <v>0</v>
      </c>
      <c r="CX72" s="15">
        <v>0</v>
      </c>
      <c r="CY72" s="15">
        <v>5</v>
      </c>
      <c r="CZ72" s="15">
        <v>8</v>
      </c>
      <c r="DA72" s="15">
        <v>2</v>
      </c>
      <c r="DB72" s="15">
        <v>0</v>
      </c>
      <c r="DC72" s="15">
        <v>0</v>
      </c>
      <c r="DD72" s="15">
        <v>0</v>
      </c>
      <c r="DE72" s="15">
        <v>0</v>
      </c>
      <c r="DF72" s="15">
        <v>0</v>
      </c>
      <c r="DG72" s="15">
        <v>5</v>
      </c>
      <c r="DH72" s="15">
        <v>6</v>
      </c>
      <c r="DI72" s="15">
        <v>0</v>
      </c>
      <c r="DJ72" s="15">
        <v>0</v>
      </c>
      <c r="DK72" s="15">
        <v>3</v>
      </c>
      <c r="DL72" s="15">
        <v>6</v>
      </c>
      <c r="DM72" s="15">
        <v>5</v>
      </c>
      <c r="DN72" s="15">
        <v>2</v>
      </c>
      <c r="DO72" s="15">
        <v>0</v>
      </c>
      <c r="DP72" s="15">
        <v>0</v>
      </c>
      <c r="DQ72" s="15">
        <v>0</v>
      </c>
      <c r="DR72" s="15">
        <v>0</v>
      </c>
      <c r="DS72" s="15">
        <v>0</v>
      </c>
      <c r="DT72" s="15">
        <v>0</v>
      </c>
      <c r="DU72" s="15">
        <v>0</v>
      </c>
      <c r="DV72" s="15">
        <v>0</v>
      </c>
      <c r="DW72" s="15">
        <v>0</v>
      </c>
      <c r="DX72" s="15">
        <v>0</v>
      </c>
      <c r="DY72" s="15">
        <v>0</v>
      </c>
      <c r="DZ72" s="15">
        <v>0</v>
      </c>
      <c r="EA72" s="15">
        <v>0</v>
      </c>
      <c r="EB72" s="15">
        <v>0</v>
      </c>
      <c r="EC72" s="15">
        <v>0</v>
      </c>
      <c r="ED72" s="15">
        <v>0</v>
      </c>
      <c r="EE72" s="15">
        <v>0</v>
      </c>
      <c r="EF72" s="15">
        <v>0</v>
      </c>
    </row>
    <row r="73" spans="1:136" ht="15" customHeight="1" x14ac:dyDescent="0.35">
      <c r="A73" s="8" t="s">
        <v>12</v>
      </c>
      <c r="B73" s="8" t="s">
        <v>26</v>
      </c>
      <c r="C73" s="8" t="s">
        <v>26</v>
      </c>
      <c r="D73" s="8" t="s">
        <v>316</v>
      </c>
      <c r="E73" s="8" t="s">
        <v>14</v>
      </c>
      <c r="F73" s="8" t="s">
        <v>102</v>
      </c>
      <c r="G73" s="15">
        <v>15</v>
      </c>
      <c r="H73" s="15">
        <v>520</v>
      </c>
      <c r="I73" s="15">
        <v>0</v>
      </c>
      <c r="J73" s="15">
        <v>520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15">
        <v>0</v>
      </c>
      <c r="CK73" s="15">
        <v>0</v>
      </c>
      <c r="CL73" s="15">
        <v>0</v>
      </c>
      <c r="CM73" s="15">
        <v>0</v>
      </c>
      <c r="CN73" s="15">
        <v>0</v>
      </c>
      <c r="CO73" s="15">
        <v>0</v>
      </c>
      <c r="CP73" s="15">
        <v>0</v>
      </c>
      <c r="CQ73" s="15">
        <v>0</v>
      </c>
      <c r="CR73" s="15">
        <v>0</v>
      </c>
      <c r="CS73" s="15">
        <v>0</v>
      </c>
      <c r="CT73" s="15">
        <v>0</v>
      </c>
      <c r="CU73" s="15">
        <v>0</v>
      </c>
      <c r="CV73" s="15">
        <v>0</v>
      </c>
      <c r="CW73" s="15">
        <v>0</v>
      </c>
      <c r="CX73" s="15">
        <v>0</v>
      </c>
      <c r="CY73" s="15">
        <v>0</v>
      </c>
      <c r="CZ73" s="15">
        <v>0</v>
      </c>
      <c r="DA73" s="15">
        <v>0</v>
      </c>
      <c r="DB73" s="15">
        <v>0</v>
      </c>
      <c r="DC73" s="15">
        <v>0</v>
      </c>
      <c r="DD73" s="15">
        <v>0</v>
      </c>
      <c r="DE73" s="15">
        <v>0</v>
      </c>
      <c r="DF73" s="15">
        <v>0</v>
      </c>
      <c r="DG73" s="15">
        <v>0</v>
      </c>
      <c r="DH73" s="15">
        <v>0</v>
      </c>
      <c r="DI73" s="15">
        <v>0</v>
      </c>
      <c r="DJ73" s="15">
        <v>0</v>
      </c>
      <c r="DK73" s="15">
        <v>0</v>
      </c>
      <c r="DL73" s="15">
        <v>0</v>
      </c>
      <c r="DM73" s="15">
        <v>0</v>
      </c>
      <c r="DN73" s="15">
        <v>0</v>
      </c>
      <c r="DO73" s="15">
        <v>0</v>
      </c>
      <c r="DP73" s="15">
        <v>0</v>
      </c>
      <c r="DQ73" s="15">
        <v>0</v>
      </c>
      <c r="DR73" s="15">
        <v>0</v>
      </c>
      <c r="DS73" s="15">
        <v>0</v>
      </c>
      <c r="DT73" s="15">
        <v>0</v>
      </c>
      <c r="DU73" s="15">
        <v>0</v>
      </c>
      <c r="DV73" s="15">
        <v>0</v>
      </c>
      <c r="DW73" s="15">
        <v>0</v>
      </c>
      <c r="DX73" s="15">
        <v>0</v>
      </c>
      <c r="DY73" s="15">
        <v>0</v>
      </c>
      <c r="DZ73" s="15">
        <v>0</v>
      </c>
      <c r="EA73" s="15">
        <v>0</v>
      </c>
      <c r="EB73" s="15">
        <v>0</v>
      </c>
      <c r="EC73" s="15">
        <v>0</v>
      </c>
      <c r="ED73" s="15">
        <v>0</v>
      </c>
      <c r="EE73" s="15">
        <v>0</v>
      </c>
      <c r="EF73" s="15">
        <v>0</v>
      </c>
    </row>
    <row r="74" spans="1:136" ht="15" customHeight="1" x14ac:dyDescent="0.35">
      <c r="A74" s="8" t="s">
        <v>12</v>
      </c>
      <c r="B74" s="8" t="s">
        <v>26</v>
      </c>
      <c r="C74" s="8" t="s">
        <v>26</v>
      </c>
      <c r="D74" s="8" t="s">
        <v>322</v>
      </c>
      <c r="E74" s="8" t="s">
        <v>14</v>
      </c>
      <c r="F74" s="8" t="s">
        <v>102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  <c r="CC74" s="15">
        <v>0</v>
      </c>
      <c r="CD74" s="15">
        <v>0</v>
      </c>
      <c r="CE74" s="15">
        <v>0</v>
      </c>
      <c r="CF74" s="15">
        <v>0</v>
      </c>
      <c r="CG74" s="15">
        <v>0</v>
      </c>
      <c r="CH74" s="15">
        <v>0</v>
      </c>
      <c r="CI74" s="15">
        <v>0</v>
      </c>
      <c r="CJ74" s="15">
        <v>0</v>
      </c>
      <c r="CK74" s="15">
        <v>0</v>
      </c>
      <c r="CL74" s="15">
        <v>0</v>
      </c>
      <c r="CM74" s="15">
        <v>0</v>
      </c>
      <c r="CN74" s="15">
        <v>0</v>
      </c>
      <c r="CO74" s="15">
        <v>0</v>
      </c>
      <c r="CP74" s="15">
        <v>0</v>
      </c>
      <c r="CQ74" s="15">
        <v>0</v>
      </c>
      <c r="CR74" s="15">
        <v>0</v>
      </c>
      <c r="CS74" s="15">
        <v>0</v>
      </c>
      <c r="CT74" s="15">
        <v>0</v>
      </c>
      <c r="CU74" s="15">
        <v>0</v>
      </c>
      <c r="CV74" s="15">
        <v>0</v>
      </c>
      <c r="CW74" s="15">
        <v>0</v>
      </c>
      <c r="CX74" s="15">
        <v>0</v>
      </c>
      <c r="CY74" s="15">
        <v>0</v>
      </c>
      <c r="CZ74" s="15">
        <v>0</v>
      </c>
      <c r="DA74" s="15">
        <v>0</v>
      </c>
      <c r="DB74" s="15">
        <v>0</v>
      </c>
      <c r="DC74" s="15">
        <v>0</v>
      </c>
      <c r="DD74" s="15">
        <v>0</v>
      </c>
      <c r="DE74" s="15">
        <v>0</v>
      </c>
      <c r="DF74" s="15">
        <v>0</v>
      </c>
      <c r="DG74" s="15">
        <v>0</v>
      </c>
      <c r="DH74" s="15">
        <v>0</v>
      </c>
      <c r="DI74" s="15">
        <v>0</v>
      </c>
      <c r="DJ74" s="15">
        <v>0</v>
      </c>
      <c r="DK74" s="15">
        <v>0</v>
      </c>
      <c r="DL74" s="15">
        <v>0</v>
      </c>
      <c r="DM74" s="15">
        <v>0</v>
      </c>
      <c r="DN74" s="15">
        <v>0</v>
      </c>
      <c r="DO74" s="15">
        <v>0</v>
      </c>
      <c r="DP74" s="15">
        <v>0</v>
      </c>
      <c r="DQ74" s="15">
        <v>0</v>
      </c>
      <c r="DR74" s="15">
        <v>0</v>
      </c>
      <c r="DS74" s="15">
        <v>0</v>
      </c>
      <c r="DT74" s="15">
        <v>0</v>
      </c>
      <c r="DU74" s="15">
        <v>0</v>
      </c>
      <c r="DV74" s="15">
        <v>0</v>
      </c>
      <c r="DW74" s="15">
        <v>0</v>
      </c>
      <c r="DX74" s="15">
        <v>0</v>
      </c>
      <c r="DY74" s="15">
        <v>0</v>
      </c>
      <c r="DZ74" s="15">
        <v>0</v>
      </c>
      <c r="EA74" s="15">
        <v>0</v>
      </c>
      <c r="EB74" s="15">
        <v>0</v>
      </c>
      <c r="EC74" s="15">
        <v>0</v>
      </c>
      <c r="ED74" s="15">
        <v>0</v>
      </c>
      <c r="EE74" s="15">
        <v>0</v>
      </c>
      <c r="EF74" s="15">
        <v>0</v>
      </c>
    </row>
    <row r="75" spans="1:136" ht="15" customHeight="1" x14ac:dyDescent="0.35">
      <c r="A75" s="8" t="s">
        <v>12</v>
      </c>
      <c r="B75" s="8" t="s">
        <v>26</v>
      </c>
      <c r="C75" s="8" t="s">
        <v>26</v>
      </c>
      <c r="D75" s="8" t="s">
        <v>322</v>
      </c>
      <c r="E75" s="8" t="s">
        <v>14</v>
      </c>
      <c r="F75" s="8" t="s">
        <v>83</v>
      </c>
      <c r="G75" s="15">
        <v>0</v>
      </c>
      <c r="H75" s="15">
        <v>0</v>
      </c>
      <c r="I75" s="15">
        <v>32</v>
      </c>
      <c r="J75" s="15">
        <v>-32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26</v>
      </c>
      <c r="AO75" s="15">
        <v>6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5">
        <v>0</v>
      </c>
      <c r="CH75" s="15">
        <v>0</v>
      </c>
      <c r="CI75" s="15">
        <v>0</v>
      </c>
      <c r="CJ75" s="15">
        <v>0</v>
      </c>
      <c r="CK75" s="15">
        <v>0</v>
      </c>
      <c r="CL75" s="15">
        <v>0</v>
      </c>
      <c r="CM75" s="15">
        <v>0</v>
      </c>
      <c r="CN75" s="15">
        <v>0</v>
      </c>
      <c r="CO75" s="15">
        <v>0</v>
      </c>
      <c r="CP75" s="15">
        <v>0</v>
      </c>
      <c r="CQ75" s="15">
        <v>0</v>
      </c>
      <c r="CR75" s="15">
        <v>0</v>
      </c>
      <c r="CS75" s="15">
        <v>0</v>
      </c>
      <c r="CT75" s="15">
        <v>0</v>
      </c>
      <c r="CU75" s="15">
        <v>0</v>
      </c>
      <c r="CV75" s="15">
        <v>0</v>
      </c>
      <c r="CW75" s="15">
        <v>0</v>
      </c>
      <c r="CX75" s="15">
        <v>0</v>
      </c>
      <c r="CY75" s="15">
        <v>0</v>
      </c>
      <c r="CZ75" s="15">
        <v>0</v>
      </c>
      <c r="DA75" s="15">
        <v>0</v>
      </c>
      <c r="DB75" s="15">
        <v>0</v>
      </c>
      <c r="DC75" s="15">
        <v>0</v>
      </c>
      <c r="DD75" s="15">
        <v>0</v>
      </c>
      <c r="DE75" s="15">
        <v>0</v>
      </c>
      <c r="DF75" s="15">
        <v>0</v>
      </c>
      <c r="DG75" s="15">
        <v>0</v>
      </c>
      <c r="DH75" s="15">
        <v>0</v>
      </c>
      <c r="DI75" s="15">
        <v>0</v>
      </c>
      <c r="DJ75" s="15">
        <v>0</v>
      </c>
      <c r="DK75" s="15">
        <v>0</v>
      </c>
      <c r="DL75" s="15">
        <v>0</v>
      </c>
      <c r="DM75" s="15">
        <v>0</v>
      </c>
      <c r="DN75" s="15">
        <v>0</v>
      </c>
      <c r="DO75" s="15">
        <v>0</v>
      </c>
      <c r="DP75" s="15">
        <v>0</v>
      </c>
      <c r="DQ75" s="15">
        <v>0</v>
      </c>
      <c r="DR75" s="15">
        <v>0</v>
      </c>
      <c r="DS75" s="15">
        <v>0</v>
      </c>
      <c r="DT75" s="15">
        <v>0</v>
      </c>
      <c r="DU75" s="15">
        <v>0</v>
      </c>
      <c r="DV75" s="15">
        <v>0</v>
      </c>
      <c r="DW75" s="15">
        <v>0</v>
      </c>
      <c r="DX75" s="15">
        <v>0</v>
      </c>
      <c r="DY75" s="15">
        <v>0</v>
      </c>
      <c r="DZ75" s="15">
        <v>0</v>
      </c>
      <c r="EA75" s="15">
        <v>0</v>
      </c>
      <c r="EB75" s="15">
        <v>0</v>
      </c>
      <c r="EC75" s="15">
        <v>0</v>
      </c>
      <c r="ED75" s="15">
        <v>0</v>
      </c>
      <c r="EE75" s="15">
        <v>0</v>
      </c>
      <c r="EF75" s="15">
        <v>0</v>
      </c>
    </row>
    <row r="76" spans="1:136" ht="15" customHeight="1" x14ac:dyDescent="0.35">
      <c r="A76" s="8" t="s">
        <v>12</v>
      </c>
      <c r="B76" s="8" t="s">
        <v>26</v>
      </c>
      <c r="C76" s="8" t="s">
        <v>26</v>
      </c>
      <c r="D76" s="8" t="s">
        <v>316</v>
      </c>
      <c r="E76" s="8" t="s">
        <v>14</v>
      </c>
      <c r="F76" s="8" t="s">
        <v>40</v>
      </c>
      <c r="G76" s="15">
        <v>0</v>
      </c>
      <c r="H76" s="15">
        <v>28</v>
      </c>
      <c r="I76" s="15">
        <v>0</v>
      </c>
      <c r="J76" s="15">
        <v>28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0</v>
      </c>
      <c r="CI76" s="15">
        <v>0</v>
      </c>
      <c r="CJ76" s="15">
        <v>0</v>
      </c>
      <c r="CK76" s="15">
        <v>0</v>
      </c>
      <c r="CL76" s="15">
        <v>0</v>
      </c>
      <c r="CM76" s="15">
        <v>0</v>
      </c>
      <c r="CN76" s="15">
        <v>0</v>
      </c>
      <c r="CO76" s="15">
        <v>0</v>
      </c>
      <c r="CP76" s="15">
        <v>0</v>
      </c>
      <c r="CQ76" s="15">
        <v>0</v>
      </c>
      <c r="CR76" s="15">
        <v>0</v>
      </c>
      <c r="CS76" s="15">
        <v>0</v>
      </c>
      <c r="CT76" s="15">
        <v>0</v>
      </c>
      <c r="CU76" s="15">
        <v>0</v>
      </c>
      <c r="CV76" s="15">
        <v>0</v>
      </c>
      <c r="CW76" s="15">
        <v>0</v>
      </c>
      <c r="CX76" s="15">
        <v>0</v>
      </c>
      <c r="CY76" s="15">
        <v>0</v>
      </c>
      <c r="CZ76" s="15">
        <v>0</v>
      </c>
      <c r="DA76" s="15">
        <v>0</v>
      </c>
      <c r="DB76" s="15">
        <v>0</v>
      </c>
      <c r="DC76" s="15">
        <v>0</v>
      </c>
      <c r="DD76" s="15">
        <v>0</v>
      </c>
      <c r="DE76" s="15">
        <v>0</v>
      </c>
      <c r="DF76" s="15">
        <v>0</v>
      </c>
      <c r="DG76" s="15">
        <v>0</v>
      </c>
      <c r="DH76" s="15">
        <v>0</v>
      </c>
      <c r="DI76" s="15">
        <v>0</v>
      </c>
      <c r="DJ76" s="15">
        <v>0</v>
      </c>
      <c r="DK76" s="15">
        <v>0</v>
      </c>
      <c r="DL76" s="15">
        <v>0</v>
      </c>
      <c r="DM76" s="15">
        <v>0</v>
      </c>
      <c r="DN76" s="15">
        <v>0</v>
      </c>
      <c r="DO76" s="15">
        <v>0</v>
      </c>
      <c r="DP76" s="15">
        <v>0</v>
      </c>
      <c r="DQ76" s="15">
        <v>0</v>
      </c>
      <c r="DR76" s="15">
        <v>0</v>
      </c>
      <c r="DS76" s="15">
        <v>0</v>
      </c>
      <c r="DT76" s="15">
        <v>0</v>
      </c>
      <c r="DU76" s="15">
        <v>0</v>
      </c>
      <c r="DV76" s="15">
        <v>0</v>
      </c>
      <c r="DW76" s="15">
        <v>0</v>
      </c>
      <c r="DX76" s="15">
        <v>0</v>
      </c>
      <c r="DY76" s="15">
        <v>0</v>
      </c>
      <c r="DZ76" s="15">
        <v>0</v>
      </c>
      <c r="EA76" s="15">
        <v>0</v>
      </c>
      <c r="EB76" s="15">
        <v>0</v>
      </c>
      <c r="EC76" s="15">
        <v>0</v>
      </c>
      <c r="ED76" s="15">
        <v>0</v>
      </c>
      <c r="EE76" s="15">
        <v>0</v>
      </c>
      <c r="EF76" s="15">
        <v>0</v>
      </c>
    </row>
    <row r="77" spans="1:136" ht="15" customHeight="1" x14ac:dyDescent="0.35">
      <c r="A77" s="8" t="s">
        <v>12</v>
      </c>
      <c r="B77" s="8" t="s">
        <v>26</v>
      </c>
      <c r="C77" s="8" t="s">
        <v>26</v>
      </c>
      <c r="D77" s="8" t="s">
        <v>322</v>
      </c>
      <c r="E77" s="8" t="s">
        <v>14</v>
      </c>
      <c r="F77" s="8" t="s">
        <v>40</v>
      </c>
      <c r="G77" s="15">
        <v>0</v>
      </c>
      <c r="H77" s="15">
        <v>0</v>
      </c>
      <c r="I77" s="15">
        <v>28</v>
      </c>
      <c r="J77" s="15">
        <v>-28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0</v>
      </c>
      <c r="CI77" s="15">
        <v>0</v>
      </c>
      <c r="CJ77" s="15">
        <v>0</v>
      </c>
      <c r="CK77" s="15">
        <v>0</v>
      </c>
      <c r="CL77" s="15">
        <v>0</v>
      </c>
      <c r="CM77" s="15">
        <v>0</v>
      </c>
      <c r="CN77" s="15">
        <v>0</v>
      </c>
      <c r="CO77" s="15">
        <v>0</v>
      </c>
      <c r="CP77" s="15">
        <v>0</v>
      </c>
      <c r="CQ77" s="15">
        <v>0</v>
      </c>
      <c r="CR77" s="15">
        <v>0</v>
      </c>
      <c r="CS77" s="15">
        <v>0</v>
      </c>
      <c r="CT77" s="15">
        <v>0</v>
      </c>
      <c r="CU77" s="15">
        <v>0</v>
      </c>
      <c r="CV77" s="15">
        <v>0</v>
      </c>
      <c r="CW77" s="15">
        <v>0</v>
      </c>
      <c r="CX77" s="15">
        <v>0</v>
      </c>
      <c r="CY77" s="15">
        <v>0</v>
      </c>
      <c r="CZ77" s="15">
        <v>0</v>
      </c>
      <c r="DA77" s="15">
        <v>0</v>
      </c>
      <c r="DB77" s="15">
        <v>0</v>
      </c>
      <c r="DC77" s="15">
        <v>0</v>
      </c>
      <c r="DD77" s="15">
        <v>0</v>
      </c>
      <c r="DE77" s="15">
        <v>0</v>
      </c>
      <c r="DF77" s="15">
        <v>0</v>
      </c>
      <c r="DG77" s="15">
        <v>0</v>
      </c>
      <c r="DH77" s="15">
        <v>0</v>
      </c>
      <c r="DI77" s="15">
        <v>0</v>
      </c>
      <c r="DJ77" s="15">
        <v>0</v>
      </c>
      <c r="DK77" s="15">
        <v>0</v>
      </c>
      <c r="DL77" s="15">
        <v>0</v>
      </c>
      <c r="DM77" s="15">
        <v>0</v>
      </c>
      <c r="DN77" s="15">
        <v>0</v>
      </c>
      <c r="DO77" s="15">
        <v>0</v>
      </c>
      <c r="DP77" s="15">
        <v>8</v>
      </c>
      <c r="DQ77" s="15">
        <v>10</v>
      </c>
      <c r="DR77" s="15">
        <v>10</v>
      </c>
      <c r="DS77" s="15">
        <v>0</v>
      </c>
      <c r="DT77" s="15">
        <v>0</v>
      </c>
      <c r="DU77" s="15">
        <v>0</v>
      </c>
      <c r="DV77" s="15">
        <v>0</v>
      </c>
      <c r="DW77" s="15">
        <v>0</v>
      </c>
      <c r="DX77" s="15">
        <v>0</v>
      </c>
      <c r="DY77" s="15">
        <v>0</v>
      </c>
      <c r="DZ77" s="15">
        <v>0</v>
      </c>
      <c r="EA77" s="15">
        <v>0</v>
      </c>
      <c r="EB77" s="15">
        <v>0</v>
      </c>
      <c r="EC77" s="15">
        <v>0</v>
      </c>
      <c r="ED77" s="15">
        <v>0</v>
      </c>
      <c r="EE77" s="15">
        <v>0</v>
      </c>
      <c r="EF77" s="15">
        <v>0</v>
      </c>
    </row>
    <row r="78" spans="1:136" ht="15" customHeight="1" x14ac:dyDescent="0.35">
      <c r="A78" s="8" t="s">
        <v>12</v>
      </c>
      <c r="B78" s="8" t="s">
        <v>26</v>
      </c>
      <c r="C78" s="8" t="s">
        <v>26</v>
      </c>
      <c r="D78" s="8" t="s">
        <v>316</v>
      </c>
      <c r="E78" s="8" t="s">
        <v>14</v>
      </c>
      <c r="F78" s="8" t="s">
        <v>97</v>
      </c>
      <c r="G78" s="15">
        <v>135</v>
      </c>
      <c r="H78" s="15">
        <v>380</v>
      </c>
      <c r="I78" s="15">
        <v>97</v>
      </c>
      <c r="J78" s="15">
        <v>283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4</v>
      </c>
      <c r="AF78" s="15">
        <v>18</v>
      </c>
      <c r="AG78" s="15">
        <v>23</v>
      </c>
      <c r="AH78" s="15">
        <v>15</v>
      </c>
      <c r="AI78" s="15">
        <v>25</v>
      </c>
      <c r="AJ78" s="15">
        <v>12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0</v>
      </c>
      <c r="CI78" s="15">
        <v>0</v>
      </c>
      <c r="CJ78" s="15">
        <v>0</v>
      </c>
      <c r="CK78" s="15">
        <v>0</v>
      </c>
      <c r="CL78" s="15">
        <v>0</v>
      </c>
      <c r="CM78" s="15">
        <v>0</v>
      </c>
      <c r="CN78" s="15">
        <v>0</v>
      </c>
      <c r="CO78" s="15">
        <v>0</v>
      </c>
      <c r="CP78" s="15">
        <v>0</v>
      </c>
      <c r="CQ78" s="15">
        <v>0</v>
      </c>
      <c r="CR78" s="15">
        <v>0</v>
      </c>
      <c r="CS78" s="15">
        <v>0</v>
      </c>
      <c r="CT78" s="15">
        <v>0</v>
      </c>
      <c r="CU78" s="15">
        <v>0</v>
      </c>
      <c r="CV78" s="15">
        <v>0</v>
      </c>
      <c r="CW78" s="15">
        <v>0</v>
      </c>
      <c r="CX78" s="15">
        <v>0</v>
      </c>
      <c r="CY78" s="15">
        <v>0</v>
      </c>
      <c r="CZ78" s="15">
        <v>0</v>
      </c>
      <c r="DA78" s="15">
        <v>0</v>
      </c>
      <c r="DB78" s="15">
        <v>0</v>
      </c>
      <c r="DC78" s="15">
        <v>0</v>
      </c>
      <c r="DD78" s="15">
        <v>0</v>
      </c>
      <c r="DE78" s="15">
        <v>0</v>
      </c>
      <c r="DF78" s="15">
        <v>0</v>
      </c>
      <c r="DG78" s="15">
        <v>0</v>
      </c>
      <c r="DH78" s="15">
        <v>0</v>
      </c>
      <c r="DI78" s="15">
        <v>0</v>
      </c>
      <c r="DJ78" s="15">
        <v>0</v>
      </c>
      <c r="DK78" s="15">
        <v>0</v>
      </c>
      <c r="DL78" s="15">
        <v>0</v>
      </c>
      <c r="DM78" s="15">
        <v>0</v>
      </c>
      <c r="DN78" s="15">
        <v>0</v>
      </c>
      <c r="DO78" s="15">
        <v>0</v>
      </c>
      <c r="DP78" s="15">
        <v>0</v>
      </c>
      <c r="DQ78" s="15">
        <v>0</v>
      </c>
      <c r="DR78" s="15">
        <v>0</v>
      </c>
      <c r="DS78" s="15">
        <v>0</v>
      </c>
      <c r="DT78" s="15">
        <v>0</v>
      </c>
      <c r="DU78" s="15">
        <v>0</v>
      </c>
      <c r="DV78" s="15">
        <v>0</v>
      </c>
      <c r="DW78" s="15">
        <v>0</v>
      </c>
      <c r="DX78" s="15">
        <v>0</v>
      </c>
      <c r="DY78" s="15">
        <v>0</v>
      </c>
      <c r="DZ78" s="15">
        <v>0</v>
      </c>
      <c r="EA78" s="15">
        <v>0</v>
      </c>
      <c r="EB78" s="15">
        <v>0</v>
      </c>
      <c r="EC78" s="15">
        <v>0</v>
      </c>
      <c r="ED78" s="15">
        <v>0</v>
      </c>
      <c r="EE78" s="15">
        <v>0</v>
      </c>
      <c r="EF78" s="15">
        <v>0</v>
      </c>
    </row>
    <row r="79" spans="1:136" ht="15" customHeight="1" x14ac:dyDescent="0.35">
      <c r="A79" s="8" t="s">
        <v>12</v>
      </c>
      <c r="B79" s="8" t="s">
        <v>26</v>
      </c>
      <c r="C79" s="8" t="s">
        <v>26</v>
      </c>
      <c r="D79" s="8" t="s">
        <v>322</v>
      </c>
      <c r="E79" s="8" t="s">
        <v>14</v>
      </c>
      <c r="F79" s="8" t="s">
        <v>97</v>
      </c>
      <c r="G79" s="15">
        <v>0</v>
      </c>
      <c r="H79" s="15">
        <v>0</v>
      </c>
      <c r="I79" s="15">
        <v>374</v>
      </c>
      <c r="J79" s="15">
        <v>-374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13.5</v>
      </c>
      <c r="AK79" s="15">
        <v>21.5</v>
      </c>
      <c r="AL79" s="15">
        <v>37</v>
      </c>
      <c r="AM79" s="15">
        <v>15</v>
      </c>
      <c r="AN79" s="15">
        <v>0</v>
      </c>
      <c r="AO79" s="15">
        <v>13</v>
      </c>
      <c r="AP79" s="15">
        <v>17</v>
      </c>
      <c r="AQ79" s="15">
        <v>4</v>
      </c>
      <c r="AR79" s="15">
        <v>8</v>
      </c>
      <c r="AS79" s="15">
        <v>0.5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0</v>
      </c>
      <c r="CI79" s="15">
        <v>0</v>
      </c>
      <c r="CJ79" s="15">
        <v>0</v>
      </c>
      <c r="CK79" s="15">
        <v>0</v>
      </c>
      <c r="CL79" s="15">
        <v>0</v>
      </c>
      <c r="CM79" s="15">
        <v>0</v>
      </c>
      <c r="CN79" s="15">
        <v>0</v>
      </c>
      <c r="CO79" s="15">
        <v>0</v>
      </c>
      <c r="CP79" s="15">
        <v>0</v>
      </c>
      <c r="CQ79" s="15">
        <v>0</v>
      </c>
      <c r="CR79" s="15">
        <v>0</v>
      </c>
      <c r="CS79" s="15">
        <v>10</v>
      </c>
      <c r="CT79" s="15">
        <v>0</v>
      </c>
      <c r="CU79" s="15">
        <v>20</v>
      </c>
      <c r="CV79" s="15">
        <v>20</v>
      </c>
      <c r="CW79" s="15">
        <v>20</v>
      </c>
      <c r="CX79" s="15">
        <v>0</v>
      </c>
      <c r="CY79" s="15">
        <v>0</v>
      </c>
      <c r="CZ79" s="15">
        <v>5</v>
      </c>
      <c r="DA79" s="15">
        <v>5</v>
      </c>
      <c r="DB79" s="15">
        <v>20</v>
      </c>
      <c r="DC79" s="15">
        <v>20</v>
      </c>
      <c r="DD79" s="15">
        <v>20</v>
      </c>
      <c r="DE79" s="15">
        <v>0</v>
      </c>
      <c r="DF79" s="15">
        <v>15</v>
      </c>
      <c r="DG79" s="15">
        <v>15</v>
      </c>
      <c r="DH79" s="15">
        <v>15</v>
      </c>
      <c r="DI79" s="15">
        <v>0</v>
      </c>
      <c r="DJ79" s="15">
        <v>0</v>
      </c>
      <c r="DK79" s="15">
        <v>10</v>
      </c>
      <c r="DL79" s="15">
        <v>10</v>
      </c>
      <c r="DM79" s="15">
        <v>10</v>
      </c>
      <c r="DN79" s="15">
        <v>10</v>
      </c>
      <c r="DO79" s="15">
        <v>10</v>
      </c>
      <c r="DP79" s="15">
        <v>5</v>
      </c>
      <c r="DQ79" s="15">
        <v>5</v>
      </c>
      <c r="DR79" s="15">
        <v>0</v>
      </c>
      <c r="DS79" s="15">
        <v>0</v>
      </c>
      <c r="DT79" s="15">
        <v>0</v>
      </c>
      <c r="DU79" s="15">
        <v>0</v>
      </c>
      <c r="DV79" s="15">
        <v>0</v>
      </c>
      <c r="DW79" s="15">
        <v>0</v>
      </c>
      <c r="DX79" s="15">
        <v>0</v>
      </c>
      <c r="DY79" s="15">
        <v>0</v>
      </c>
      <c r="DZ79" s="15">
        <v>0</v>
      </c>
      <c r="EA79" s="15">
        <v>0</v>
      </c>
      <c r="EB79" s="15">
        <v>0</v>
      </c>
      <c r="EC79" s="15">
        <v>0</v>
      </c>
      <c r="ED79" s="15">
        <v>0</v>
      </c>
      <c r="EE79" s="15">
        <v>0</v>
      </c>
      <c r="EF79" s="15">
        <v>0</v>
      </c>
    </row>
    <row r="80" spans="1:136" ht="15" customHeight="1" x14ac:dyDescent="0.35">
      <c r="A80" s="8" t="s">
        <v>12</v>
      </c>
      <c r="B80" s="8" t="s">
        <v>26</v>
      </c>
      <c r="C80" s="8" t="s">
        <v>26</v>
      </c>
      <c r="D80" s="8" t="s">
        <v>316</v>
      </c>
      <c r="E80" s="8" t="s">
        <v>14</v>
      </c>
      <c r="F80" s="8" t="s">
        <v>86</v>
      </c>
      <c r="G80" s="15">
        <v>0</v>
      </c>
      <c r="H80" s="15">
        <v>0</v>
      </c>
      <c r="I80" s="15">
        <v>3</v>
      </c>
      <c r="J80" s="15">
        <v>-3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3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0</v>
      </c>
      <c r="CD80" s="15">
        <v>0</v>
      </c>
      <c r="CE80" s="15">
        <v>0</v>
      </c>
      <c r="CF80" s="15">
        <v>0</v>
      </c>
      <c r="CG80" s="15">
        <v>0</v>
      </c>
      <c r="CH80" s="15">
        <v>0</v>
      </c>
      <c r="CI80" s="15">
        <v>0</v>
      </c>
      <c r="CJ80" s="15">
        <v>0</v>
      </c>
      <c r="CK80" s="15">
        <v>0</v>
      </c>
      <c r="CL80" s="15">
        <v>0</v>
      </c>
      <c r="CM80" s="15">
        <v>0</v>
      </c>
      <c r="CN80" s="15">
        <v>0</v>
      </c>
      <c r="CO80" s="15">
        <v>0</v>
      </c>
      <c r="CP80" s="15">
        <v>0</v>
      </c>
      <c r="CQ80" s="15">
        <v>0</v>
      </c>
      <c r="CR80" s="15">
        <v>0</v>
      </c>
      <c r="CS80" s="15">
        <v>0</v>
      </c>
      <c r="CT80" s="15">
        <v>0</v>
      </c>
      <c r="CU80" s="15">
        <v>0</v>
      </c>
      <c r="CV80" s="15">
        <v>0</v>
      </c>
      <c r="CW80" s="15">
        <v>0</v>
      </c>
      <c r="CX80" s="15">
        <v>0</v>
      </c>
      <c r="CY80" s="15">
        <v>0</v>
      </c>
      <c r="CZ80" s="15">
        <v>0</v>
      </c>
      <c r="DA80" s="15">
        <v>0</v>
      </c>
      <c r="DB80" s="15">
        <v>0</v>
      </c>
      <c r="DC80" s="15">
        <v>0</v>
      </c>
      <c r="DD80" s="15">
        <v>0</v>
      </c>
      <c r="DE80" s="15">
        <v>0</v>
      </c>
      <c r="DF80" s="15">
        <v>0</v>
      </c>
      <c r="DG80" s="15">
        <v>0</v>
      </c>
      <c r="DH80" s="15">
        <v>0</v>
      </c>
      <c r="DI80" s="15">
        <v>0</v>
      </c>
      <c r="DJ80" s="15">
        <v>0</v>
      </c>
      <c r="DK80" s="15">
        <v>0</v>
      </c>
      <c r="DL80" s="15">
        <v>0</v>
      </c>
      <c r="DM80" s="15">
        <v>0</v>
      </c>
      <c r="DN80" s="15">
        <v>0</v>
      </c>
      <c r="DO80" s="15">
        <v>0</v>
      </c>
      <c r="DP80" s="15">
        <v>0</v>
      </c>
      <c r="DQ80" s="15">
        <v>0</v>
      </c>
      <c r="DR80" s="15">
        <v>0</v>
      </c>
      <c r="DS80" s="15">
        <v>0</v>
      </c>
      <c r="DT80" s="15">
        <v>0</v>
      </c>
      <c r="DU80" s="15">
        <v>0</v>
      </c>
      <c r="DV80" s="15">
        <v>0</v>
      </c>
      <c r="DW80" s="15">
        <v>0</v>
      </c>
      <c r="DX80" s="15">
        <v>0</v>
      </c>
      <c r="DY80" s="15">
        <v>0</v>
      </c>
      <c r="DZ80" s="15">
        <v>0</v>
      </c>
      <c r="EA80" s="15">
        <v>0</v>
      </c>
      <c r="EB80" s="15">
        <v>0</v>
      </c>
      <c r="EC80" s="15">
        <v>0</v>
      </c>
      <c r="ED80" s="15">
        <v>0</v>
      </c>
      <c r="EE80" s="15">
        <v>0</v>
      </c>
      <c r="EF80" s="15">
        <v>0</v>
      </c>
    </row>
    <row r="81" spans="1:136" ht="15" customHeight="1" x14ac:dyDescent="0.35">
      <c r="A81" s="8" t="s">
        <v>12</v>
      </c>
      <c r="B81" s="8" t="s">
        <v>26</v>
      </c>
      <c r="C81" s="8" t="s">
        <v>26</v>
      </c>
      <c r="D81" s="8" t="s">
        <v>316</v>
      </c>
      <c r="E81" s="8" t="s">
        <v>14</v>
      </c>
      <c r="F81" s="8" t="s">
        <v>98</v>
      </c>
      <c r="G81" s="15">
        <v>86</v>
      </c>
      <c r="H81" s="15">
        <v>274</v>
      </c>
      <c r="I81" s="15">
        <v>7</v>
      </c>
      <c r="J81" s="15">
        <v>267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4</v>
      </c>
      <c r="AG81" s="15">
        <v>2</v>
      </c>
      <c r="AH81" s="15">
        <v>1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5">
        <v>0</v>
      </c>
      <c r="CH81" s="15">
        <v>0</v>
      </c>
      <c r="CI81" s="15">
        <v>0</v>
      </c>
      <c r="CJ81" s="15">
        <v>0</v>
      </c>
      <c r="CK81" s="15">
        <v>0</v>
      </c>
      <c r="CL81" s="15">
        <v>0</v>
      </c>
      <c r="CM81" s="15">
        <v>0</v>
      </c>
      <c r="CN81" s="15">
        <v>0</v>
      </c>
      <c r="CO81" s="15">
        <v>0</v>
      </c>
      <c r="CP81" s="15">
        <v>0</v>
      </c>
      <c r="CQ81" s="15">
        <v>0</v>
      </c>
      <c r="CR81" s="15">
        <v>0</v>
      </c>
      <c r="CS81" s="15">
        <v>0</v>
      </c>
      <c r="CT81" s="15">
        <v>0</v>
      </c>
      <c r="CU81" s="15">
        <v>0</v>
      </c>
      <c r="CV81" s="15">
        <v>0</v>
      </c>
      <c r="CW81" s="15">
        <v>0</v>
      </c>
      <c r="CX81" s="15">
        <v>0</v>
      </c>
      <c r="CY81" s="15">
        <v>0</v>
      </c>
      <c r="CZ81" s="15">
        <v>0</v>
      </c>
      <c r="DA81" s="15">
        <v>0</v>
      </c>
      <c r="DB81" s="15">
        <v>0</v>
      </c>
      <c r="DC81" s="15">
        <v>0</v>
      </c>
      <c r="DD81" s="15">
        <v>0</v>
      </c>
      <c r="DE81" s="15">
        <v>0</v>
      </c>
      <c r="DF81" s="15">
        <v>0</v>
      </c>
      <c r="DG81" s="15">
        <v>0</v>
      </c>
      <c r="DH81" s="15">
        <v>0</v>
      </c>
      <c r="DI81" s="15">
        <v>0</v>
      </c>
      <c r="DJ81" s="15">
        <v>0</v>
      </c>
      <c r="DK81" s="15">
        <v>0</v>
      </c>
      <c r="DL81" s="15">
        <v>0</v>
      </c>
      <c r="DM81" s="15">
        <v>0</v>
      </c>
      <c r="DN81" s="15">
        <v>0</v>
      </c>
      <c r="DO81" s="15">
        <v>0</v>
      </c>
      <c r="DP81" s="15">
        <v>0</v>
      </c>
      <c r="DQ81" s="15">
        <v>0</v>
      </c>
      <c r="DR81" s="15">
        <v>0</v>
      </c>
      <c r="DS81" s="15">
        <v>0</v>
      </c>
      <c r="DT81" s="15">
        <v>0</v>
      </c>
      <c r="DU81" s="15">
        <v>0</v>
      </c>
      <c r="DV81" s="15">
        <v>0</v>
      </c>
      <c r="DW81" s="15">
        <v>0</v>
      </c>
      <c r="DX81" s="15">
        <v>0</v>
      </c>
      <c r="DY81" s="15">
        <v>0</v>
      </c>
      <c r="DZ81" s="15">
        <v>0</v>
      </c>
      <c r="EA81" s="15">
        <v>0</v>
      </c>
      <c r="EB81" s="15">
        <v>0</v>
      </c>
      <c r="EC81" s="15">
        <v>0</v>
      </c>
      <c r="ED81" s="15">
        <v>0</v>
      </c>
      <c r="EE81" s="15">
        <v>0</v>
      </c>
      <c r="EF81" s="15">
        <v>0</v>
      </c>
    </row>
    <row r="82" spans="1:136" ht="15" customHeight="1" x14ac:dyDescent="0.35">
      <c r="A82" s="8" t="s">
        <v>12</v>
      </c>
      <c r="B82" s="8" t="s">
        <v>26</v>
      </c>
      <c r="C82" s="8" t="s">
        <v>26</v>
      </c>
      <c r="D82" s="8" t="s">
        <v>322</v>
      </c>
      <c r="E82" s="8" t="s">
        <v>14</v>
      </c>
      <c r="F82" s="8" t="s">
        <v>98</v>
      </c>
      <c r="G82" s="15">
        <v>0</v>
      </c>
      <c r="H82" s="15">
        <v>0</v>
      </c>
      <c r="I82" s="15">
        <v>119.5</v>
      </c>
      <c r="J82" s="15">
        <v>-119.5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4</v>
      </c>
      <c r="AP82" s="15">
        <v>4</v>
      </c>
      <c r="AQ82" s="15">
        <v>0</v>
      </c>
      <c r="AR82" s="15">
        <v>0</v>
      </c>
      <c r="AS82" s="15">
        <v>0.5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  <c r="CN82" s="15">
        <v>0</v>
      </c>
      <c r="CO82" s="15">
        <v>0</v>
      </c>
      <c r="CP82" s="15">
        <v>0</v>
      </c>
      <c r="CQ82" s="15">
        <v>0</v>
      </c>
      <c r="CR82" s="15">
        <v>0</v>
      </c>
      <c r="CS82" s="15">
        <v>0.5</v>
      </c>
      <c r="CT82" s="15">
        <v>0</v>
      </c>
      <c r="CU82" s="15">
        <v>0</v>
      </c>
      <c r="CV82" s="15">
        <v>0</v>
      </c>
      <c r="CW82" s="15">
        <v>0</v>
      </c>
      <c r="CX82" s="15">
        <v>0</v>
      </c>
      <c r="CY82" s="15">
        <v>0</v>
      </c>
      <c r="CZ82" s="15">
        <v>0</v>
      </c>
      <c r="DA82" s="15">
        <v>0</v>
      </c>
      <c r="DB82" s="15">
        <v>0</v>
      </c>
      <c r="DC82" s="15">
        <v>0</v>
      </c>
      <c r="DD82" s="15">
        <v>0</v>
      </c>
      <c r="DE82" s="15">
        <v>0</v>
      </c>
      <c r="DF82" s="15">
        <v>0</v>
      </c>
      <c r="DG82" s="15">
        <v>0</v>
      </c>
      <c r="DH82" s="15">
        <v>0</v>
      </c>
      <c r="DI82" s="15">
        <v>0</v>
      </c>
      <c r="DJ82" s="15">
        <v>0</v>
      </c>
      <c r="DK82" s="15">
        <v>15</v>
      </c>
      <c r="DL82" s="15">
        <v>15</v>
      </c>
      <c r="DM82" s="15">
        <v>15</v>
      </c>
      <c r="DN82" s="15">
        <v>15</v>
      </c>
      <c r="DO82" s="15">
        <v>15</v>
      </c>
      <c r="DP82" s="15">
        <v>16</v>
      </c>
      <c r="DQ82" s="15">
        <v>20</v>
      </c>
      <c r="DR82" s="15">
        <v>0</v>
      </c>
      <c r="DS82" s="15">
        <v>0</v>
      </c>
      <c r="DT82" s="15">
        <v>0</v>
      </c>
      <c r="DU82" s="15">
        <v>0</v>
      </c>
      <c r="DV82" s="15">
        <v>0</v>
      </c>
      <c r="DW82" s="15">
        <v>0</v>
      </c>
      <c r="DX82" s="15">
        <v>0</v>
      </c>
      <c r="DY82" s="15">
        <v>0</v>
      </c>
      <c r="DZ82" s="15">
        <v>0</v>
      </c>
      <c r="EA82" s="15">
        <v>0</v>
      </c>
      <c r="EB82" s="15">
        <v>0</v>
      </c>
      <c r="EC82" s="15">
        <v>0</v>
      </c>
      <c r="ED82" s="15">
        <v>0</v>
      </c>
      <c r="EE82" s="15">
        <v>0</v>
      </c>
      <c r="EF82" s="15">
        <v>0</v>
      </c>
    </row>
    <row r="83" spans="1:136" ht="15" customHeight="1" x14ac:dyDescent="0.35">
      <c r="A83" s="8" t="s">
        <v>12</v>
      </c>
      <c r="B83" s="8" t="s">
        <v>26</v>
      </c>
      <c r="C83" s="8" t="s">
        <v>26</v>
      </c>
      <c r="D83" s="8" t="s">
        <v>316</v>
      </c>
      <c r="E83" s="8" t="s">
        <v>14</v>
      </c>
      <c r="F83" s="8" t="s">
        <v>106</v>
      </c>
      <c r="G83" s="15">
        <v>132.5</v>
      </c>
      <c r="H83" s="15">
        <v>263.5</v>
      </c>
      <c r="I83" s="15">
        <v>63</v>
      </c>
      <c r="J83" s="15">
        <v>200.5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12</v>
      </c>
      <c r="AE83" s="15">
        <v>22</v>
      </c>
      <c r="AF83" s="15">
        <v>5</v>
      </c>
      <c r="AG83" s="15">
        <v>8</v>
      </c>
      <c r="AH83" s="15">
        <v>2</v>
      </c>
      <c r="AI83" s="15">
        <v>10</v>
      </c>
      <c r="AJ83" s="15">
        <v>4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>
        <v>0</v>
      </c>
      <c r="CH83" s="15">
        <v>0</v>
      </c>
      <c r="CI83" s="15">
        <v>0</v>
      </c>
      <c r="CJ83" s="15">
        <v>0</v>
      </c>
      <c r="CK83" s="15">
        <v>0</v>
      </c>
      <c r="CL83" s="15">
        <v>0</v>
      </c>
      <c r="CM83" s="15">
        <v>0</v>
      </c>
      <c r="CN83" s="15">
        <v>0</v>
      </c>
      <c r="CO83" s="15">
        <v>0</v>
      </c>
      <c r="CP83" s="15">
        <v>0</v>
      </c>
      <c r="CQ83" s="15">
        <v>0</v>
      </c>
      <c r="CR83" s="15">
        <v>0</v>
      </c>
      <c r="CS83" s="15">
        <v>0</v>
      </c>
      <c r="CT83" s="15">
        <v>0</v>
      </c>
      <c r="CU83" s="15">
        <v>0</v>
      </c>
      <c r="CV83" s="15">
        <v>0</v>
      </c>
      <c r="CW83" s="15">
        <v>0</v>
      </c>
      <c r="CX83" s="15">
        <v>0</v>
      </c>
      <c r="CY83" s="15">
        <v>0</v>
      </c>
      <c r="CZ83" s="15">
        <v>0</v>
      </c>
      <c r="DA83" s="15">
        <v>0</v>
      </c>
      <c r="DB83" s="15">
        <v>0</v>
      </c>
      <c r="DC83" s="15">
        <v>0</v>
      </c>
      <c r="DD83" s="15">
        <v>0</v>
      </c>
      <c r="DE83" s="15">
        <v>0</v>
      </c>
      <c r="DF83" s="15">
        <v>0</v>
      </c>
      <c r="DG83" s="15">
        <v>0</v>
      </c>
      <c r="DH83" s="15">
        <v>0</v>
      </c>
      <c r="DI83" s="15">
        <v>0</v>
      </c>
      <c r="DJ83" s="15">
        <v>0</v>
      </c>
      <c r="DK83" s="15">
        <v>0</v>
      </c>
      <c r="DL83" s="15">
        <v>0</v>
      </c>
      <c r="DM83" s="15">
        <v>0</v>
      </c>
      <c r="DN83" s="15">
        <v>0</v>
      </c>
      <c r="DO83" s="15">
        <v>0</v>
      </c>
      <c r="DP83" s="15">
        <v>0</v>
      </c>
      <c r="DQ83" s="15">
        <v>0</v>
      </c>
      <c r="DR83" s="15">
        <v>0</v>
      </c>
      <c r="DS83" s="15">
        <v>0</v>
      </c>
      <c r="DT83" s="15">
        <v>0</v>
      </c>
      <c r="DU83" s="15">
        <v>0</v>
      </c>
      <c r="DV83" s="15">
        <v>0</v>
      </c>
      <c r="DW83" s="15">
        <v>0</v>
      </c>
      <c r="DX83" s="15">
        <v>0</v>
      </c>
      <c r="DY83" s="15">
        <v>0</v>
      </c>
      <c r="DZ83" s="15">
        <v>0</v>
      </c>
      <c r="EA83" s="15">
        <v>0</v>
      </c>
      <c r="EB83" s="15">
        <v>0</v>
      </c>
      <c r="EC83" s="15">
        <v>0</v>
      </c>
      <c r="ED83" s="15">
        <v>0</v>
      </c>
      <c r="EE83" s="15">
        <v>0</v>
      </c>
      <c r="EF83" s="15">
        <v>0</v>
      </c>
    </row>
    <row r="84" spans="1:136" ht="15" customHeight="1" x14ac:dyDescent="0.35">
      <c r="A84" s="8" t="s">
        <v>12</v>
      </c>
      <c r="B84" s="8" t="s">
        <v>26</v>
      </c>
      <c r="C84" s="8" t="s">
        <v>26</v>
      </c>
      <c r="D84" s="8" t="s">
        <v>316</v>
      </c>
      <c r="E84" s="8" t="s">
        <v>14</v>
      </c>
      <c r="F84" s="8" t="s">
        <v>106</v>
      </c>
      <c r="G84" s="15">
        <v>0</v>
      </c>
      <c r="H84" s="15">
        <v>0</v>
      </c>
      <c r="I84" s="15">
        <v>4</v>
      </c>
      <c r="J84" s="15">
        <v>-4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3</v>
      </c>
      <c r="AA84" s="15">
        <v>1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0</v>
      </c>
      <c r="CI84" s="15">
        <v>0</v>
      </c>
      <c r="CJ84" s="15">
        <v>0</v>
      </c>
      <c r="CK84" s="15">
        <v>0</v>
      </c>
      <c r="CL84" s="15">
        <v>0</v>
      </c>
      <c r="CM84" s="15">
        <v>0</v>
      </c>
      <c r="CN84" s="15">
        <v>0</v>
      </c>
      <c r="CO84" s="15">
        <v>0</v>
      </c>
      <c r="CP84" s="15">
        <v>0</v>
      </c>
      <c r="CQ84" s="15">
        <v>0</v>
      </c>
      <c r="CR84" s="15">
        <v>0</v>
      </c>
      <c r="CS84" s="15">
        <v>0</v>
      </c>
      <c r="CT84" s="15">
        <v>0</v>
      </c>
      <c r="CU84" s="15">
        <v>0</v>
      </c>
      <c r="CV84" s="15">
        <v>0</v>
      </c>
      <c r="CW84" s="15">
        <v>0</v>
      </c>
      <c r="CX84" s="15">
        <v>0</v>
      </c>
      <c r="CY84" s="15">
        <v>0</v>
      </c>
      <c r="CZ84" s="15">
        <v>0</v>
      </c>
      <c r="DA84" s="15">
        <v>0</v>
      </c>
      <c r="DB84" s="15">
        <v>0</v>
      </c>
      <c r="DC84" s="15">
        <v>0</v>
      </c>
      <c r="DD84" s="15">
        <v>0</v>
      </c>
      <c r="DE84" s="15">
        <v>0</v>
      </c>
      <c r="DF84" s="15">
        <v>0</v>
      </c>
      <c r="DG84" s="15">
        <v>0</v>
      </c>
      <c r="DH84" s="15">
        <v>0</v>
      </c>
      <c r="DI84" s="15">
        <v>0</v>
      </c>
      <c r="DJ84" s="15">
        <v>0</v>
      </c>
      <c r="DK84" s="15">
        <v>0</v>
      </c>
      <c r="DL84" s="15">
        <v>0</v>
      </c>
      <c r="DM84" s="15">
        <v>0</v>
      </c>
      <c r="DN84" s="15">
        <v>0</v>
      </c>
      <c r="DO84" s="15">
        <v>0</v>
      </c>
      <c r="DP84" s="15">
        <v>0</v>
      </c>
      <c r="DQ84" s="15">
        <v>0</v>
      </c>
      <c r="DR84" s="15">
        <v>0</v>
      </c>
      <c r="DS84" s="15">
        <v>0</v>
      </c>
      <c r="DT84" s="15">
        <v>0</v>
      </c>
      <c r="DU84" s="15">
        <v>0</v>
      </c>
      <c r="DV84" s="15">
        <v>0</v>
      </c>
      <c r="DW84" s="15">
        <v>0</v>
      </c>
      <c r="DX84" s="15">
        <v>0</v>
      </c>
      <c r="DY84" s="15">
        <v>0</v>
      </c>
      <c r="DZ84" s="15">
        <v>0</v>
      </c>
      <c r="EA84" s="15">
        <v>0</v>
      </c>
      <c r="EB84" s="15">
        <v>0</v>
      </c>
      <c r="EC84" s="15">
        <v>0</v>
      </c>
      <c r="ED84" s="15">
        <v>0</v>
      </c>
      <c r="EE84" s="15">
        <v>0</v>
      </c>
      <c r="EF84" s="15">
        <v>0</v>
      </c>
    </row>
    <row r="85" spans="1:136" ht="15" customHeight="1" x14ac:dyDescent="0.35">
      <c r="A85" s="8" t="s">
        <v>12</v>
      </c>
      <c r="B85" s="8" t="s">
        <v>26</v>
      </c>
      <c r="C85" s="8" t="s">
        <v>26</v>
      </c>
      <c r="D85" s="8" t="s">
        <v>322</v>
      </c>
      <c r="E85" s="8" t="s">
        <v>14</v>
      </c>
      <c r="F85" s="8" t="s">
        <v>106</v>
      </c>
      <c r="G85" s="15">
        <v>0</v>
      </c>
      <c r="H85" s="15">
        <v>0</v>
      </c>
      <c r="I85" s="15">
        <v>207.5</v>
      </c>
      <c r="J85" s="15">
        <v>-207.5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8</v>
      </c>
      <c r="AK85" s="15">
        <v>4</v>
      </c>
      <c r="AL85" s="15">
        <v>3</v>
      </c>
      <c r="AM85" s="15">
        <v>2</v>
      </c>
      <c r="AN85" s="15">
        <v>0</v>
      </c>
      <c r="AO85" s="15">
        <v>3</v>
      </c>
      <c r="AP85" s="15">
        <v>6</v>
      </c>
      <c r="AQ85" s="15">
        <v>12</v>
      </c>
      <c r="AR85" s="15">
        <v>22.5</v>
      </c>
      <c r="AS85" s="15">
        <v>16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5">
        <v>0</v>
      </c>
      <c r="CH85" s="15">
        <v>0</v>
      </c>
      <c r="CI85" s="15">
        <v>0</v>
      </c>
      <c r="CJ85" s="15">
        <v>0</v>
      </c>
      <c r="CK85" s="15">
        <v>0</v>
      </c>
      <c r="CL85" s="15">
        <v>0</v>
      </c>
      <c r="CM85" s="15">
        <v>0</v>
      </c>
      <c r="CN85" s="15">
        <v>0</v>
      </c>
      <c r="CO85" s="15">
        <v>0</v>
      </c>
      <c r="CP85" s="15">
        <v>0</v>
      </c>
      <c r="CQ85" s="15">
        <v>0</v>
      </c>
      <c r="CR85" s="15">
        <v>0</v>
      </c>
      <c r="CS85" s="15">
        <v>16</v>
      </c>
      <c r="CT85" s="15">
        <v>0</v>
      </c>
      <c r="CU85" s="15">
        <v>0</v>
      </c>
      <c r="CV85" s="15">
        <v>0</v>
      </c>
      <c r="CW85" s="15">
        <v>0</v>
      </c>
      <c r="CX85" s="15">
        <v>12</v>
      </c>
      <c r="CY85" s="15">
        <v>12</v>
      </c>
      <c r="CZ85" s="15">
        <v>15</v>
      </c>
      <c r="DA85" s="15">
        <v>12</v>
      </c>
      <c r="DB85" s="15">
        <v>6</v>
      </c>
      <c r="DC85" s="15">
        <v>10</v>
      </c>
      <c r="DD85" s="15">
        <v>12</v>
      </c>
      <c r="DE85" s="15">
        <v>0</v>
      </c>
      <c r="DF85" s="15">
        <v>10</v>
      </c>
      <c r="DG85" s="15">
        <v>12</v>
      </c>
      <c r="DH85" s="15">
        <v>14</v>
      </c>
      <c r="DI85" s="15">
        <v>0</v>
      </c>
      <c r="DJ85" s="15">
        <v>0</v>
      </c>
      <c r="DK85" s="15">
        <v>8</v>
      </c>
      <c r="DL85" s="15">
        <v>8</v>
      </c>
      <c r="DM85" s="15">
        <v>0</v>
      </c>
      <c r="DN85" s="15">
        <v>0</v>
      </c>
      <c r="DO85" s="15">
        <v>0</v>
      </c>
      <c r="DP85" s="15">
        <v>0</v>
      </c>
      <c r="DQ85" s="15">
        <v>0</v>
      </c>
      <c r="DR85" s="15">
        <v>0</v>
      </c>
      <c r="DS85" s="15">
        <v>0</v>
      </c>
      <c r="DT85" s="15">
        <v>0</v>
      </c>
      <c r="DU85" s="15">
        <v>0</v>
      </c>
      <c r="DV85" s="15">
        <v>0</v>
      </c>
      <c r="DW85" s="15">
        <v>0</v>
      </c>
      <c r="DX85" s="15">
        <v>0</v>
      </c>
      <c r="DY85" s="15">
        <v>0</v>
      </c>
      <c r="DZ85" s="15">
        <v>0</v>
      </c>
      <c r="EA85" s="15">
        <v>0</v>
      </c>
      <c r="EB85" s="15">
        <v>0</v>
      </c>
      <c r="EC85" s="15">
        <v>0</v>
      </c>
      <c r="ED85" s="15">
        <v>0</v>
      </c>
      <c r="EE85" s="15">
        <v>0</v>
      </c>
      <c r="EF85" s="15">
        <v>0</v>
      </c>
    </row>
    <row r="86" spans="1:136" ht="15" customHeight="1" x14ac:dyDescent="0.35">
      <c r="A86" s="8" t="s">
        <v>12</v>
      </c>
      <c r="B86" s="8" t="s">
        <v>26</v>
      </c>
      <c r="C86" s="8" t="s">
        <v>26</v>
      </c>
      <c r="D86" s="8" t="s">
        <v>316</v>
      </c>
      <c r="E86" s="8" t="s">
        <v>14</v>
      </c>
      <c r="F86" s="8" t="s">
        <v>111</v>
      </c>
      <c r="G86" s="15">
        <v>58</v>
      </c>
      <c r="H86" s="15">
        <v>200</v>
      </c>
      <c r="I86" s="15">
        <v>11</v>
      </c>
      <c r="J86" s="15">
        <v>189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8</v>
      </c>
      <c r="AG86" s="15">
        <v>0</v>
      </c>
      <c r="AH86" s="15">
        <v>3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>
        <v>0</v>
      </c>
      <c r="CH86" s="15">
        <v>0</v>
      </c>
      <c r="CI86" s="15">
        <v>0</v>
      </c>
      <c r="CJ86" s="15">
        <v>0</v>
      </c>
      <c r="CK86" s="15">
        <v>0</v>
      </c>
      <c r="CL86" s="15">
        <v>0</v>
      </c>
      <c r="CM86" s="15">
        <v>0</v>
      </c>
      <c r="CN86" s="15">
        <v>0</v>
      </c>
      <c r="CO86" s="15">
        <v>0</v>
      </c>
      <c r="CP86" s="15">
        <v>0</v>
      </c>
      <c r="CQ86" s="15">
        <v>0</v>
      </c>
      <c r="CR86" s="15">
        <v>0</v>
      </c>
      <c r="CS86" s="15">
        <v>0</v>
      </c>
      <c r="CT86" s="15">
        <v>0</v>
      </c>
      <c r="CU86" s="15">
        <v>0</v>
      </c>
      <c r="CV86" s="15">
        <v>0</v>
      </c>
      <c r="CW86" s="15">
        <v>0</v>
      </c>
      <c r="CX86" s="15">
        <v>0</v>
      </c>
      <c r="CY86" s="15">
        <v>0</v>
      </c>
      <c r="CZ86" s="15">
        <v>0</v>
      </c>
      <c r="DA86" s="15">
        <v>0</v>
      </c>
      <c r="DB86" s="15">
        <v>0</v>
      </c>
      <c r="DC86" s="15">
        <v>0</v>
      </c>
      <c r="DD86" s="15">
        <v>0</v>
      </c>
      <c r="DE86" s="15">
        <v>0</v>
      </c>
      <c r="DF86" s="15">
        <v>0</v>
      </c>
      <c r="DG86" s="15">
        <v>0</v>
      </c>
      <c r="DH86" s="15">
        <v>0</v>
      </c>
      <c r="DI86" s="15">
        <v>0</v>
      </c>
      <c r="DJ86" s="15">
        <v>0</v>
      </c>
      <c r="DK86" s="15">
        <v>0</v>
      </c>
      <c r="DL86" s="15">
        <v>0</v>
      </c>
      <c r="DM86" s="15">
        <v>0</v>
      </c>
      <c r="DN86" s="15">
        <v>0</v>
      </c>
      <c r="DO86" s="15">
        <v>0</v>
      </c>
      <c r="DP86" s="15">
        <v>0</v>
      </c>
      <c r="DQ86" s="15">
        <v>0</v>
      </c>
      <c r="DR86" s="15">
        <v>0</v>
      </c>
      <c r="DS86" s="15">
        <v>0</v>
      </c>
      <c r="DT86" s="15">
        <v>0</v>
      </c>
      <c r="DU86" s="15">
        <v>0</v>
      </c>
      <c r="DV86" s="15">
        <v>0</v>
      </c>
      <c r="DW86" s="15">
        <v>0</v>
      </c>
      <c r="DX86" s="15">
        <v>0</v>
      </c>
      <c r="DY86" s="15">
        <v>0</v>
      </c>
      <c r="DZ86" s="15">
        <v>0</v>
      </c>
      <c r="EA86" s="15">
        <v>0</v>
      </c>
      <c r="EB86" s="15">
        <v>0</v>
      </c>
      <c r="EC86" s="15">
        <v>0</v>
      </c>
      <c r="ED86" s="15">
        <v>0</v>
      </c>
      <c r="EE86" s="15">
        <v>0</v>
      </c>
      <c r="EF86" s="15">
        <v>0</v>
      </c>
    </row>
    <row r="87" spans="1:136" ht="15" customHeight="1" x14ac:dyDescent="0.35">
      <c r="A87" s="8" t="s">
        <v>12</v>
      </c>
      <c r="B87" s="8" t="s">
        <v>26</v>
      </c>
      <c r="C87" s="8" t="s">
        <v>26</v>
      </c>
      <c r="D87" s="8" t="s">
        <v>322</v>
      </c>
      <c r="E87" s="8" t="s">
        <v>14</v>
      </c>
      <c r="F87" s="8" t="s">
        <v>111</v>
      </c>
      <c r="G87" s="15">
        <v>0</v>
      </c>
      <c r="H87" s="15">
        <v>0</v>
      </c>
      <c r="I87" s="15">
        <v>171</v>
      </c>
      <c r="J87" s="15">
        <v>-171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3</v>
      </c>
      <c r="AO87" s="15">
        <v>0</v>
      </c>
      <c r="AP87" s="15">
        <v>9</v>
      </c>
      <c r="AQ87" s="15">
        <v>7</v>
      </c>
      <c r="AR87" s="15">
        <v>10</v>
      </c>
      <c r="AS87" s="15">
        <v>2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5">
        <v>0</v>
      </c>
      <c r="CH87" s="15">
        <v>0</v>
      </c>
      <c r="CI87" s="15">
        <v>0</v>
      </c>
      <c r="CJ87" s="15">
        <v>0</v>
      </c>
      <c r="CK87" s="15">
        <v>0</v>
      </c>
      <c r="CL87" s="15">
        <v>0</v>
      </c>
      <c r="CM87" s="15">
        <v>0</v>
      </c>
      <c r="CN87" s="15">
        <v>0</v>
      </c>
      <c r="CO87" s="15">
        <v>0</v>
      </c>
      <c r="CP87" s="15">
        <v>0</v>
      </c>
      <c r="CQ87" s="15">
        <v>0</v>
      </c>
      <c r="CR87" s="15">
        <v>0</v>
      </c>
      <c r="CS87" s="15">
        <v>8</v>
      </c>
      <c r="CT87" s="15">
        <v>4</v>
      </c>
      <c r="CU87" s="15">
        <v>8</v>
      </c>
      <c r="CV87" s="15">
        <v>8</v>
      </c>
      <c r="CW87" s="15">
        <v>8</v>
      </c>
      <c r="CX87" s="15">
        <v>0</v>
      </c>
      <c r="CY87" s="15">
        <v>0</v>
      </c>
      <c r="CZ87" s="15">
        <v>0</v>
      </c>
      <c r="DA87" s="15">
        <v>0</v>
      </c>
      <c r="DB87" s="15">
        <v>8</v>
      </c>
      <c r="DC87" s="15">
        <v>8</v>
      </c>
      <c r="DD87" s="15">
        <v>8</v>
      </c>
      <c r="DE87" s="15">
        <v>0</v>
      </c>
      <c r="DF87" s="15">
        <v>8</v>
      </c>
      <c r="DG87" s="15">
        <v>8</v>
      </c>
      <c r="DH87" s="15">
        <v>8</v>
      </c>
      <c r="DI87" s="15">
        <v>0</v>
      </c>
      <c r="DJ87" s="15">
        <v>0</v>
      </c>
      <c r="DK87" s="15">
        <v>0</v>
      </c>
      <c r="DL87" s="15">
        <v>8</v>
      </c>
      <c r="DM87" s="15">
        <v>20</v>
      </c>
      <c r="DN87" s="15">
        <v>20</v>
      </c>
      <c r="DO87" s="15">
        <v>10</v>
      </c>
      <c r="DP87" s="15">
        <v>0</v>
      </c>
      <c r="DQ87" s="15">
        <v>0</v>
      </c>
      <c r="DR87" s="15">
        <v>0</v>
      </c>
      <c r="DS87" s="15">
        <v>0</v>
      </c>
      <c r="DT87" s="15">
        <v>0</v>
      </c>
      <c r="DU87" s="15">
        <v>0</v>
      </c>
      <c r="DV87" s="15">
        <v>0</v>
      </c>
      <c r="DW87" s="15">
        <v>0</v>
      </c>
      <c r="DX87" s="15">
        <v>0</v>
      </c>
      <c r="DY87" s="15">
        <v>0</v>
      </c>
      <c r="DZ87" s="15">
        <v>0</v>
      </c>
      <c r="EA87" s="15">
        <v>0</v>
      </c>
      <c r="EB87" s="15">
        <v>0</v>
      </c>
      <c r="EC87" s="15">
        <v>0</v>
      </c>
      <c r="ED87" s="15">
        <v>0</v>
      </c>
      <c r="EE87" s="15">
        <v>0</v>
      </c>
      <c r="EF87" s="15">
        <v>0</v>
      </c>
    </row>
    <row r="88" spans="1:136" ht="15" customHeight="1" x14ac:dyDescent="0.35">
      <c r="A88" s="8" t="s">
        <v>12</v>
      </c>
      <c r="B88" s="8" t="s">
        <v>26</v>
      </c>
      <c r="C88" s="8" t="s">
        <v>26</v>
      </c>
      <c r="D88" s="8" t="s">
        <v>316</v>
      </c>
      <c r="E88" s="8" t="s">
        <v>14</v>
      </c>
      <c r="F88" s="8" t="s">
        <v>112</v>
      </c>
      <c r="G88" s="15">
        <v>12</v>
      </c>
      <c r="H88" s="15">
        <v>108</v>
      </c>
      <c r="I88" s="15">
        <v>0</v>
      </c>
      <c r="J88" s="15">
        <v>108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0</v>
      </c>
      <c r="CE88" s="15">
        <v>0</v>
      </c>
      <c r="CF88" s="15">
        <v>0</v>
      </c>
      <c r="CG88" s="15">
        <v>0</v>
      </c>
      <c r="CH88" s="15">
        <v>0</v>
      </c>
      <c r="CI88" s="15">
        <v>0</v>
      </c>
      <c r="CJ88" s="15">
        <v>0</v>
      </c>
      <c r="CK88" s="15">
        <v>0</v>
      </c>
      <c r="CL88" s="15">
        <v>0</v>
      </c>
      <c r="CM88" s="15">
        <v>0</v>
      </c>
      <c r="CN88" s="15">
        <v>0</v>
      </c>
      <c r="CO88" s="15">
        <v>0</v>
      </c>
      <c r="CP88" s="15">
        <v>0</v>
      </c>
      <c r="CQ88" s="15">
        <v>0</v>
      </c>
      <c r="CR88" s="15">
        <v>0</v>
      </c>
      <c r="CS88" s="15">
        <v>0</v>
      </c>
      <c r="CT88" s="15">
        <v>0</v>
      </c>
      <c r="CU88" s="15">
        <v>0</v>
      </c>
      <c r="CV88" s="15">
        <v>0</v>
      </c>
      <c r="CW88" s="15">
        <v>0</v>
      </c>
      <c r="CX88" s="15">
        <v>0</v>
      </c>
      <c r="CY88" s="15">
        <v>0</v>
      </c>
      <c r="CZ88" s="15">
        <v>0</v>
      </c>
      <c r="DA88" s="15">
        <v>0</v>
      </c>
      <c r="DB88" s="15">
        <v>0</v>
      </c>
      <c r="DC88" s="15">
        <v>0</v>
      </c>
      <c r="DD88" s="15">
        <v>0</v>
      </c>
      <c r="DE88" s="15">
        <v>0</v>
      </c>
      <c r="DF88" s="15">
        <v>0</v>
      </c>
      <c r="DG88" s="15">
        <v>0</v>
      </c>
      <c r="DH88" s="15">
        <v>0</v>
      </c>
      <c r="DI88" s="15">
        <v>0</v>
      </c>
      <c r="DJ88" s="15">
        <v>0</v>
      </c>
      <c r="DK88" s="15">
        <v>0</v>
      </c>
      <c r="DL88" s="15">
        <v>0</v>
      </c>
      <c r="DM88" s="15">
        <v>0</v>
      </c>
      <c r="DN88" s="15">
        <v>0</v>
      </c>
      <c r="DO88" s="15">
        <v>0</v>
      </c>
      <c r="DP88" s="15">
        <v>0</v>
      </c>
      <c r="DQ88" s="15">
        <v>0</v>
      </c>
      <c r="DR88" s="15">
        <v>0</v>
      </c>
      <c r="DS88" s="15">
        <v>0</v>
      </c>
      <c r="DT88" s="15">
        <v>0</v>
      </c>
      <c r="DU88" s="15">
        <v>0</v>
      </c>
      <c r="DV88" s="15">
        <v>0</v>
      </c>
      <c r="DW88" s="15">
        <v>0</v>
      </c>
      <c r="DX88" s="15">
        <v>0</v>
      </c>
      <c r="DY88" s="15">
        <v>0</v>
      </c>
      <c r="DZ88" s="15">
        <v>0</v>
      </c>
      <c r="EA88" s="15">
        <v>0</v>
      </c>
      <c r="EB88" s="15">
        <v>0</v>
      </c>
      <c r="EC88" s="15">
        <v>0</v>
      </c>
      <c r="ED88" s="15">
        <v>0</v>
      </c>
      <c r="EE88" s="15">
        <v>0</v>
      </c>
      <c r="EF88" s="15">
        <v>0</v>
      </c>
    </row>
    <row r="89" spans="1:136" ht="15" customHeight="1" x14ac:dyDescent="0.35">
      <c r="A89" s="8" t="s">
        <v>12</v>
      </c>
      <c r="B89" s="8" t="s">
        <v>26</v>
      </c>
      <c r="C89" s="8" t="s">
        <v>26</v>
      </c>
      <c r="D89" s="8" t="s">
        <v>322</v>
      </c>
      <c r="E89" s="8" t="s">
        <v>14</v>
      </c>
      <c r="F89" s="8" t="s">
        <v>112</v>
      </c>
      <c r="G89" s="15">
        <v>0</v>
      </c>
      <c r="H89" s="15">
        <v>0</v>
      </c>
      <c r="I89" s="15">
        <v>96</v>
      </c>
      <c r="J89" s="15">
        <v>-96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>
        <v>0</v>
      </c>
      <c r="CH89" s="15">
        <v>0</v>
      </c>
      <c r="CI89" s="15">
        <v>0</v>
      </c>
      <c r="CJ89" s="15">
        <v>0</v>
      </c>
      <c r="CK89" s="15">
        <v>0</v>
      </c>
      <c r="CL89" s="15">
        <v>0</v>
      </c>
      <c r="CM89" s="15">
        <v>0</v>
      </c>
      <c r="CN89" s="15">
        <v>0</v>
      </c>
      <c r="CO89" s="15">
        <v>0</v>
      </c>
      <c r="CP89" s="15">
        <v>0</v>
      </c>
      <c r="CQ89" s="15">
        <v>0</v>
      </c>
      <c r="CR89" s="15">
        <v>0</v>
      </c>
      <c r="CS89" s="15">
        <v>4</v>
      </c>
      <c r="CT89" s="15">
        <v>4</v>
      </c>
      <c r="CU89" s="15">
        <v>6</v>
      </c>
      <c r="CV89" s="15">
        <v>6</v>
      </c>
      <c r="CW89" s="15">
        <v>6</v>
      </c>
      <c r="CX89" s="15">
        <v>6</v>
      </c>
      <c r="CY89" s="15">
        <v>2</v>
      </c>
      <c r="CZ89" s="15">
        <v>0</v>
      </c>
      <c r="DA89" s="15">
        <v>0</v>
      </c>
      <c r="DB89" s="15">
        <v>0</v>
      </c>
      <c r="DC89" s="15">
        <v>0</v>
      </c>
      <c r="DD89" s="15">
        <v>0</v>
      </c>
      <c r="DE89" s="15">
        <v>0</v>
      </c>
      <c r="DF89" s="15">
        <v>0</v>
      </c>
      <c r="DG89" s="15">
        <v>0</v>
      </c>
      <c r="DH89" s="15">
        <v>0</v>
      </c>
      <c r="DI89" s="15">
        <v>0</v>
      </c>
      <c r="DJ89" s="15">
        <v>0</v>
      </c>
      <c r="DK89" s="15">
        <v>2</v>
      </c>
      <c r="DL89" s="15">
        <v>6</v>
      </c>
      <c r="DM89" s="15">
        <v>8</v>
      </c>
      <c r="DN89" s="15">
        <v>8</v>
      </c>
      <c r="DO89" s="15">
        <v>8</v>
      </c>
      <c r="DP89" s="15">
        <v>10</v>
      </c>
      <c r="DQ89" s="15">
        <v>10</v>
      </c>
      <c r="DR89" s="15">
        <v>10</v>
      </c>
      <c r="DS89" s="15">
        <v>0</v>
      </c>
      <c r="DT89" s="15">
        <v>0</v>
      </c>
      <c r="DU89" s="15">
        <v>0</v>
      </c>
      <c r="DV89" s="15">
        <v>0</v>
      </c>
      <c r="DW89" s="15">
        <v>0</v>
      </c>
      <c r="DX89" s="15">
        <v>0</v>
      </c>
      <c r="DY89" s="15">
        <v>0</v>
      </c>
      <c r="DZ89" s="15">
        <v>0</v>
      </c>
      <c r="EA89" s="15">
        <v>0</v>
      </c>
      <c r="EB89" s="15">
        <v>0</v>
      </c>
      <c r="EC89" s="15">
        <v>0</v>
      </c>
      <c r="ED89" s="15">
        <v>0</v>
      </c>
      <c r="EE89" s="15">
        <v>0</v>
      </c>
      <c r="EF89" s="15">
        <v>0</v>
      </c>
    </row>
    <row r="90" spans="1:136" ht="15" customHeight="1" x14ac:dyDescent="0.35">
      <c r="A90" s="8" t="s">
        <v>12</v>
      </c>
      <c r="B90" s="8" t="s">
        <v>26</v>
      </c>
      <c r="C90" s="8" t="s">
        <v>26</v>
      </c>
      <c r="D90" s="8" t="s">
        <v>316</v>
      </c>
      <c r="E90" s="8" t="s">
        <v>14</v>
      </c>
      <c r="F90" s="8" t="s">
        <v>87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0</v>
      </c>
      <c r="CD90" s="15">
        <v>0</v>
      </c>
      <c r="CE90" s="15">
        <v>0</v>
      </c>
      <c r="CF90" s="15">
        <v>0</v>
      </c>
      <c r="CG90" s="15">
        <v>0</v>
      </c>
      <c r="CH90" s="15">
        <v>0</v>
      </c>
      <c r="CI90" s="15">
        <v>0</v>
      </c>
      <c r="CJ90" s="15">
        <v>0</v>
      </c>
      <c r="CK90" s="15">
        <v>0</v>
      </c>
      <c r="CL90" s="15">
        <v>0</v>
      </c>
      <c r="CM90" s="15">
        <v>0</v>
      </c>
      <c r="CN90" s="15">
        <v>0</v>
      </c>
      <c r="CO90" s="15">
        <v>0</v>
      </c>
      <c r="CP90" s="15">
        <v>0</v>
      </c>
      <c r="CQ90" s="15">
        <v>0</v>
      </c>
      <c r="CR90" s="15">
        <v>0</v>
      </c>
      <c r="CS90" s="15">
        <v>0</v>
      </c>
      <c r="CT90" s="15">
        <v>0</v>
      </c>
      <c r="CU90" s="15">
        <v>0</v>
      </c>
      <c r="CV90" s="15">
        <v>0</v>
      </c>
      <c r="CW90" s="15">
        <v>0</v>
      </c>
      <c r="CX90" s="15">
        <v>0</v>
      </c>
      <c r="CY90" s="15">
        <v>0</v>
      </c>
      <c r="CZ90" s="15">
        <v>0</v>
      </c>
      <c r="DA90" s="15">
        <v>0</v>
      </c>
      <c r="DB90" s="15">
        <v>0</v>
      </c>
      <c r="DC90" s="15">
        <v>0</v>
      </c>
      <c r="DD90" s="15">
        <v>0</v>
      </c>
      <c r="DE90" s="15">
        <v>0</v>
      </c>
      <c r="DF90" s="15">
        <v>0</v>
      </c>
      <c r="DG90" s="15">
        <v>0</v>
      </c>
      <c r="DH90" s="15">
        <v>0</v>
      </c>
      <c r="DI90" s="15">
        <v>0</v>
      </c>
      <c r="DJ90" s="15">
        <v>0</v>
      </c>
      <c r="DK90" s="15">
        <v>0</v>
      </c>
      <c r="DL90" s="15">
        <v>0</v>
      </c>
      <c r="DM90" s="15">
        <v>0</v>
      </c>
      <c r="DN90" s="15">
        <v>0</v>
      </c>
      <c r="DO90" s="15">
        <v>0</v>
      </c>
      <c r="DP90" s="15">
        <v>0</v>
      </c>
      <c r="DQ90" s="15">
        <v>0</v>
      </c>
      <c r="DR90" s="15">
        <v>0</v>
      </c>
      <c r="DS90" s="15">
        <v>0</v>
      </c>
      <c r="DT90" s="15">
        <v>0</v>
      </c>
      <c r="DU90" s="15">
        <v>0</v>
      </c>
      <c r="DV90" s="15">
        <v>0</v>
      </c>
      <c r="DW90" s="15">
        <v>0</v>
      </c>
      <c r="DX90" s="15">
        <v>0</v>
      </c>
      <c r="DY90" s="15">
        <v>0</v>
      </c>
      <c r="DZ90" s="15">
        <v>0</v>
      </c>
      <c r="EA90" s="15">
        <v>0</v>
      </c>
      <c r="EB90" s="15">
        <v>0</v>
      </c>
      <c r="EC90" s="15">
        <v>0</v>
      </c>
      <c r="ED90" s="15">
        <v>0</v>
      </c>
      <c r="EE90" s="15">
        <v>0</v>
      </c>
      <c r="EF90" s="15">
        <v>0</v>
      </c>
    </row>
    <row r="91" spans="1:136" ht="15" customHeight="1" x14ac:dyDescent="0.35">
      <c r="A91" s="8" t="s">
        <v>12</v>
      </c>
      <c r="B91" s="8" t="s">
        <v>26</v>
      </c>
      <c r="C91" s="8" t="s">
        <v>26</v>
      </c>
      <c r="D91" s="8" t="s">
        <v>322</v>
      </c>
      <c r="E91" s="8" t="s">
        <v>14</v>
      </c>
      <c r="F91" s="8" t="s">
        <v>87</v>
      </c>
      <c r="G91" s="15">
        <v>0</v>
      </c>
      <c r="H91" s="15">
        <v>0</v>
      </c>
      <c r="I91" s="15">
        <v>48</v>
      </c>
      <c r="J91" s="15">
        <v>-48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26</v>
      </c>
      <c r="AN91" s="15">
        <v>22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5">
        <v>0</v>
      </c>
      <c r="CH91" s="15">
        <v>0</v>
      </c>
      <c r="CI91" s="15">
        <v>0</v>
      </c>
      <c r="CJ91" s="15">
        <v>0</v>
      </c>
      <c r="CK91" s="15">
        <v>0</v>
      </c>
      <c r="CL91" s="15">
        <v>0</v>
      </c>
      <c r="CM91" s="15">
        <v>0</v>
      </c>
      <c r="CN91" s="15">
        <v>0</v>
      </c>
      <c r="CO91" s="15">
        <v>0</v>
      </c>
      <c r="CP91" s="15">
        <v>0</v>
      </c>
      <c r="CQ91" s="15">
        <v>0</v>
      </c>
      <c r="CR91" s="15">
        <v>0</v>
      </c>
      <c r="CS91" s="15">
        <v>0</v>
      </c>
      <c r="CT91" s="15">
        <v>0</v>
      </c>
      <c r="CU91" s="15">
        <v>0</v>
      </c>
      <c r="CV91" s="15">
        <v>0</v>
      </c>
      <c r="CW91" s="15">
        <v>0</v>
      </c>
      <c r="CX91" s="15">
        <v>0</v>
      </c>
      <c r="CY91" s="15">
        <v>0</v>
      </c>
      <c r="CZ91" s="15">
        <v>0</v>
      </c>
      <c r="DA91" s="15">
        <v>0</v>
      </c>
      <c r="DB91" s="15">
        <v>0</v>
      </c>
      <c r="DC91" s="15">
        <v>0</v>
      </c>
      <c r="DD91" s="15">
        <v>0</v>
      </c>
      <c r="DE91" s="15">
        <v>0</v>
      </c>
      <c r="DF91" s="15">
        <v>0</v>
      </c>
      <c r="DG91" s="15">
        <v>0</v>
      </c>
      <c r="DH91" s="15">
        <v>0</v>
      </c>
      <c r="DI91" s="15">
        <v>0</v>
      </c>
      <c r="DJ91" s="15">
        <v>0</v>
      </c>
      <c r="DK91" s="15">
        <v>0</v>
      </c>
      <c r="DL91" s="15">
        <v>0</v>
      </c>
      <c r="DM91" s="15">
        <v>0</v>
      </c>
      <c r="DN91" s="15">
        <v>0</v>
      </c>
      <c r="DO91" s="15">
        <v>0</v>
      </c>
      <c r="DP91" s="15">
        <v>0</v>
      </c>
      <c r="DQ91" s="15">
        <v>0</v>
      </c>
      <c r="DR91" s="15">
        <v>0</v>
      </c>
      <c r="DS91" s="15">
        <v>0</v>
      </c>
      <c r="DT91" s="15">
        <v>0</v>
      </c>
      <c r="DU91" s="15">
        <v>0</v>
      </c>
      <c r="DV91" s="15">
        <v>0</v>
      </c>
      <c r="DW91" s="15">
        <v>0</v>
      </c>
      <c r="DX91" s="15">
        <v>0</v>
      </c>
      <c r="DY91" s="15">
        <v>0</v>
      </c>
      <c r="DZ91" s="15">
        <v>0</v>
      </c>
      <c r="EA91" s="15">
        <v>0</v>
      </c>
      <c r="EB91" s="15">
        <v>0</v>
      </c>
      <c r="EC91" s="15">
        <v>0</v>
      </c>
      <c r="ED91" s="15">
        <v>0</v>
      </c>
      <c r="EE91" s="15">
        <v>0</v>
      </c>
      <c r="EF91" s="15">
        <v>0</v>
      </c>
    </row>
    <row r="92" spans="1:136" ht="15" customHeight="1" x14ac:dyDescent="0.35">
      <c r="A92" s="8" t="s">
        <v>12</v>
      </c>
      <c r="B92" s="8" t="s">
        <v>26</v>
      </c>
      <c r="C92" s="8" t="s">
        <v>26</v>
      </c>
      <c r="D92" s="8" t="s">
        <v>316</v>
      </c>
      <c r="E92" s="8" t="s">
        <v>14</v>
      </c>
      <c r="F92" s="8" t="s">
        <v>107</v>
      </c>
      <c r="G92" s="15">
        <v>10.4</v>
      </c>
      <c r="H92" s="15">
        <v>164.4</v>
      </c>
      <c r="I92" s="15">
        <v>0</v>
      </c>
      <c r="J92" s="15">
        <v>164.4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>
        <v>0</v>
      </c>
      <c r="CF92" s="15">
        <v>0</v>
      </c>
      <c r="CG92" s="15">
        <v>0</v>
      </c>
      <c r="CH92" s="15">
        <v>0</v>
      </c>
      <c r="CI92" s="15">
        <v>0</v>
      </c>
      <c r="CJ92" s="15">
        <v>0</v>
      </c>
      <c r="CK92" s="15">
        <v>0</v>
      </c>
      <c r="CL92" s="15">
        <v>0</v>
      </c>
      <c r="CM92" s="15">
        <v>0</v>
      </c>
      <c r="CN92" s="15">
        <v>0</v>
      </c>
      <c r="CO92" s="15">
        <v>0</v>
      </c>
      <c r="CP92" s="15">
        <v>0</v>
      </c>
      <c r="CQ92" s="15">
        <v>0</v>
      </c>
      <c r="CR92" s="15">
        <v>0</v>
      </c>
      <c r="CS92" s="15">
        <v>0</v>
      </c>
      <c r="CT92" s="15">
        <v>0</v>
      </c>
      <c r="CU92" s="15">
        <v>0</v>
      </c>
      <c r="CV92" s="15">
        <v>0</v>
      </c>
      <c r="CW92" s="15">
        <v>0</v>
      </c>
      <c r="CX92" s="15">
        <v>0</v>
      </c>
      <c r="CY92" s="15">
        <v>0</v>
      </c>
      <c r="CZ92" s="15">
        <v>0</v>
      </c>
      <c r="DA92" s="15">
        <v>0</v>
      </c>
      <c r="DB92" s="15">
        <v>0</v>
      </c>
      <c r="DC92" s="15">
        <v>0</v>
      </c>
      <c r="DD92" s="15">
        <v>0</v>
      </c>
      <c r="DE92" s="15">
        <v>0</v>
      </c>
      <c r="DF92" s="15">
        <v>0</v>
      </c>
      <c r="DG92" s="15">
        <v>0</v>
      </c>
      <c r="DH92" s="15">
        <v>0</v>
      </c>
      <c r="DI92" s="15">
        <v>0</v>
      </c>
      <c r="DJ92" s="15">
        <v>0</v>
      </c>
      <c r="DK92" s="15">
        <v>0</v>
      </c>
      <c r="DL92" s="15">
        <v>0</v>
      </c>
      <c r="DM92" s="15">
        <v>0</v>
      </c>
      <c r="DN92" s="15">
        <v>0</v>
      </c>
      <c r="DO92" s="15">
        <v>0</v>
      </c>
      <c r="DP92" s="15">
        <v>0</v>
      </c>
      <c r="DQ92" s="15">
        <v>0</v>
      </c>
      <c r="DR92" s="15">
        <v>0</v>
      </c>
      <c r="DS92" s="15">
        <v>0</v>
      </c>
      <c r="DT92" s="15">
        <v>0</v>
      </c>
      <c r="DU92" s="15">
        <v>0</v>
      </c>
      <c r="DV92" s="15">
        <v>0</v>
      </c>
      <c r="DW92" s="15">
        <v>0</v>
      </c>
      <c r="DX92" s="15">
        <v>0</v>
      </c>
      <c r="DY92" s="15">
        <v>0</v>
      </c>
      <c r="DZ92" s="15">
        <v>0</v>
      </c>
      <c r="EA92" s="15">
        <v>0</v>
      </c>
      <c r="EB92" s="15">
        <v>0</v>
      </c>
      <c r="EC92" s="15">
        <v>0</v>
      </c>
      <c r="ED92" s="15">
        <v>0</v>
      </c>
      <c r="EE92" s="15">
        <v>0</v>
      </c>
      <c r="EF92" s="15">
        <v>0</v>
      </c>
    </row>
    <row r="93" spans="1:136" ht="15" customHeight="1" x14ac:dyDescent="0.35">
      <c r="A93" s="8" t="s">
        <v>12</v>
      </c>
      <c r="B93" s="8" t="s">
        <v>26</v>
      </c>
      <c r="C93" s="8" t="s">
        <v>26</v>
      </c>
      <c r="D93" s="8" t="s">
        <v>322</v>
      </c>
      <c r="E93" s="8" t="s">
        <v>14</v>
      </c>
      <c r="F93" s="8" t="s">
        <v>107</v>
      </c>
      <c r="G93" s="15">
        <v>0</v>
      </c>
      <c r="H93" s="15">
        <v>0</v>
      </c>
      <c r="I93" s="15">
        <v>154</v>
      </c>
      <c r="J93" s="15">
        <v>-154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>
        <v>0</v>
      </c>
      <c r="CH93" s="15">
        <v>0</v>
      </c>
      <c r="CI93" s="15">
        <v>0</v>
      </c>
      <c r="CJ93" s="15">
        <v>0</v>
      </c>
      <c r="CK93" s="15">
        <v>0</v>
      </c>
      <c r="CL93" s="15">
        <v>0</v>
      </c>
      <c r="CM93" s="15">
        <v>0</v>
      </c>
      <c r="CN93" s="15">
        <v>0</v>
      </c>
      <c r="CO93" s="15">
        <v>0</v>
      </c>
      <c r="CP93" s="15">
        <v>0</v>
      </c>
      <c r="CQ93" s="15">
        <v>0</v>
      </c>
      <c r="CR93" s="15">
        <v>0</v>
      </c>
      <c r="CS93" s="15">
        <v>8</v>
      </c>
      <c r="CT93" s="15">
        <v>8</v>
      </c>
      <c r="CU93" s="15">
        <v>5</v>
      </c>
      <c r="CV93" s="15">
        <v>1</v>
      </c>
      <c r="CW93" s="15">
        <v>1.1000000000000001</v>
      </c>
      <c r="CX93" s="15">
        <v>2</v>
      </c>
      <c r="CY93" s="15">
        <v>0.3</v>
      </c>
      <c r="CZ93" s="15">
        <v>0.1</v>
      </c>
      <c r="DA93" s="15">
        <v>0.2</v>
      </c>
      <c r="DB93" s="15">
        <v>0.4</v>
      </c>
      <c r="DC93" s="15">
        <v>0</v>
      </c>
      <c r="DD93" s="15">
        <v>0</v>
      </c>
      <c r="DE93" s="15">
        <v>0</v>
      </c>
      <c r="DF93" s="15">
        <v>10</v>
      </c>
      <c r="DG93" s="15">
        <v>10</v>
      </c>
      <c r="DH93" s="15">
        <v>10</v>
      </c>
      <c r="DI93" s="15">
        <v>0</v>
      </c>
      <c r="DJ93" s="15">
        <v>0</v>
      </c>
      <c r="DK93" s="15">
        <v>11.7</v>
      </c>
      <c r="DL93" s="15">
        <v>0.2</v>
      </c>
      <c r="DM93" s="15">
        <v>0</v>
      </c>
      <c r="DN93" s="15">
        <v>0</v>
      </c>
      <c r="DO93" s="15">
        <v>0</v>
      </c>
      <c r="DP93" s="15">
        <v>0</v>
      </c>
      <c r="DQ93" s="15">
        <v>0</v>
      </c>
      <c r="DR93" s="15">
        <v>1.9</v>
      </c>
      <c r="DS93" s="15">
        <v>6.3</v>
      </c>
      <c r="DT93" s="15">
        <v>8.6999999999999993</v>
      </c>
      <c r="DU93" s="15">
        <v>16</v>
      </c>
      <c r="DV93" s="15">
        <v>16</v>
      </c>
      <c r="DW93" s="15">
        <v>16</v>
      </c>
      <c r="DX93" s="15">
        <v>16</v>
      </c>
      <c r="DY93" s="15">
        <v>5.0999999999999996</v>
      </c>
      <c r="DZ93" s="15">
        <v>0</v>
      </c>
      <c r="EA93" s="15">
        <v>0</v>
      </c>
      <c r="EB93" s="15">
        <v>0</v>
      </c>
      <c r="EC93" s="15">
        <v>0</v>
      </c>
      <c r="ED93" s="15">
        <v>0</v>
      </c>
      <c r="EE93" s="15">
        <v>0</v>
      </c>
      <c r="EF93" s="15">
        <v>0</v>
      </c>
    </row>
    <row r="94" spans="1:136" ht="15" customHeight="1" x14ac:dyDescent="0.35">
      <c r="A94" s="8" t="s">
        <v>12</v>
      </c>
      <c r="B94" s="8" t="s">
        <v>36</v>
      </c>
      <c r="C94" s="8" t="s">
        <v>36</v>
      </c>
      <c r="D94" s="8" t="s">
        <v>317</v>
      </c>
      <c r="E94" s="8" t="s">
        <v>10</v>
      </c>
      <c r="F94" s="8" t="s">
        <v>108</v>
      </c>
      <c r="G94" s="15">
        <v>0</v>
      </c>
      <c r="H94" s="15">
        <v>0</v>
      </c>
      <c r="I94" s="15">
        <v>73.400000000000006</v>
      </c>
      <c r="J94" s="15">
        <v>-73.400000000000006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1</v>
      </c>
      <c r="AL94" s="15">
        <v>0</v>
      </c>
      <c r="AM94" s="15">
        <v>0</v>
      </c>
      <c r="AN94" s="15">
        <v>0</v>
      </c>
      <c r="AO94" s="15">
        <v>1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>
        <v>0</v>
      </c>
      <c r="CH94" s="15">
        <v>0</v>
      </c>
      <c r="CI94" s="15">
        <v>0</v>
      </c>
      <c r="CJ94" s="15">
        <v>0</v>
      </c>
      <c r="CK94" s="15">
        <v>0</v>
      </c>
      <c r="CL94" s="15">
        <v>0</v>
      </c>
      <c r="CM94" s="15">
        <v>0</v>
      </c>
      <c r="CN94" s="15">
        <v>0</v>
      </c>
      <c r="CO94" s="15">
        <v>0</v>
      </c>
      <c r="CP94" s="15">
        <v>0</v>
      </c>
      <c r="CQ94" s="15">
        <v>0</v>
      </c>
      <c r="CR94" s="15">
        <v>0</v>
      </c>
      <c r="CS94" s="15">
        <v>4</v>
      </c>
      <c r="CT94" s="15">
        <v>0</v>
      </c>
      <c r="CU94" s="15">
        <v>0</v>
      </c>
      <c r="CV94" s="15">
        <v>0</v>
      </c>
      <c r="CW94" s="15">
        <v>0</v>
      </c>
      <c r="CX94" s="15">
        <v>0.4</v>
      </c>
      <c r="CY94" s="15">
        <v>0</v>
      </c>
      <c r="CZ94" s="15">
        <v>0</v>
      </c>
      <c r="DA94" s="15">
        <v>0</v>
      </c>
      <c r="DB94" s="15">
        <v>0</v>
      </c>
      <c r="DC94" s="15">
        <v>0</v>
      </c>
      <c r="DD94" s="15">
        <v>0</v>
      </c>
      <c r="DE94" s="15">
        <v>0</v>
      </c>
      <c r="DF94" s="15">
        <v>0</v>
      </c>
      <c r="DG94" s="15">
        <v>1</v>
      </c>
      <c r="DH94" s="15">
        <v>1</v>
      </c>
      <c r="DI94" s="15">
        <v>0</v>
      </c>
      <c r="DJ94" s="15">
        <v>0</v>
      </c>
      <c r="DK94" s="15">
        <v>0.5</v>
      </c>
      <c r="DL94" s="15">
        <v>11</v>
      </c>
      <c r="DM94" s="15">
        <v>0.5</v>
      </c>
      <c r="DN94" s="15">
        <v>5.5</v>
      </c>
      <c r="DO94" s="15">
        <v>21.5</v>
      </c>
      <c r="DP94" s="15">
        <v>14.5</v>
      </c>
      <c r="DQ94" s="15">
        <v>11.5</v>
      </c>
      <c r="DR94" s="15">
        <v>0</v>
      </c>
      <c r="DS94" s="15">
        <v>0</v>
      </c>
      <c r="DT94" s="15">
        <v>0</v>
      </c>
      <c r="DU94" s="15">
        <v>0</v>
      </c>
      <c r="DV94" s="15">
        <v>0</v>
      </c>
      <c r="DW94" s="15">
        <v>0</v>
      </c>
      <c r="DX94" s="15">
        <v>0</v>
      </c>
      <c r="DY94" s="15">
        <v>0</v>
      </c>
      <c r="DZ94" s="15">
        <v>0</v>
      </c>
      <c r="EA94" s="15">
        <v>0</v>
      </c>
      <c r="EB94" s="15">
        <v>0</v>
      </c>
      <c r="EC94" s="15">
        <v>0</v>
      </c>
      <c r="ED94" s="15">
        <v>0</v>
      </c>
      <c r="EE94" s="15">
        <v>0</v>
      </c>
      <c r="EF94" s="15">
        <v>0</v>
      </c>
    </row>
    <row r="95" spans="1:136" ht="15" customHeight="1" x14ac:dyDescent="0.35">
      <c r="A95" s="8" t="s">
        <v>12</v>
      </c>
      <c r="B95" s="8" t="s">
        <v>36</v>
      </c>
      <c r="C95" s="8" t="s">
        <v>36</v>
      </c>
      <c r="D95" s="8" t="s">
        <v>316</v>
      </c>
      <c r="E95" s="8" t="s">
        <v>10</v>
      </c>
      <c r="F95" s="8" t="s">
        <v>108</v>
      </c>
      <c r="G95" s="15">
        <v>39.9</v>
      </c>
      <c r="H95" s="15">
        <v>135.9</v>
      </c>
      <c r="I95" s="15">
        <v>0</v>
      </c>
      <c r="J95" s="15">
        <v>135.9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5">
        <v>0</v>
      </c>
      <c r="CH95" s="15">
        <v>0</v>
      </c>
      <c r="CI95" s="15">
        <v>0</v>
      </c>
      <c r="CJ95" s="15">
        <v>0</v>
      </c>
      <c r="CK95" s="15">
        <v>0</v>
      </c>
      <c r="CL95" s="15">
        <v>0</v>
      </c>
      <c r="CM95" s="15">
        <v>0</v>
      </c>
      <c r="CN95" s="15">
        <v>0</v>
      </c>
      <c r="CO95" s="15">
        <v>0</v>
      </c>
      <c r="CP95" s="15">
        <v>0</v>
      </c>
      <c r="CQ95" s="15">
        <v>0</v>
      </c>
      <c r="CR95" s="15">
        <v>0</v>
      </c>
      <c r="CS95" s="15">
        <v>0</v>
      </c>
      <c r="CT95" s="15">
        <v>0</v>
      </c>
      <c r="CU95" s="15">
        <v>0</v>
      </c>
      <c r="CV95" s="15">
        <v>0</v>
      </c>
      <c r="CW95" s="15">
        <v>0</v>
      </c>
      <c r="CX95" s="15">
        <v>0</v>
      </c>
      <c r="CY95" s="15">
        <v>0</v>
      </c>
      <c r="CZ95" s="15">
        <v>0</v>
      </c>
      <c r="DA95" s="15">
        <v>0</v>
      </c>
      <c r="DB95" s="15">
        <v>0</v>
      </c>
      <c r="DC95" s="15">
        <v>0</v>
      </c>
      <c r="DD95" s="15">
        <v>0</v>
      </c>
      <c r="DE95" s="15">
        <v>0</v>
      </c>
      <c r="DF95" s="15">
        <v>0</v>
      </c>
      <c r="DG95" s="15">
        <v>0</v>
      </c>
      <c r="DH95" s="15">
        <v>0</v>
      </c>
      <c r="DI95" s="15">
        <v>0</v>
      </c>
      <c r="DJ95" s="15">
        <v>0</v>
      </c>
      <c r="DK95" s="15">
        <v>0</v>
      </c>
      <c r="DL95" s="15">
        <v>0</v>
      </c>
      <c r="DM95" s="15">
        <v>0</v>
      </c>
      <c r="DN95" s="15">
        <v>0</v>
      </c>
      <c r="DO95" s="15">
        <v>0</v>
      </c>
      <c r="DP95" s="15">
        <v>0</v>
      </c>
      <c r="DQ95" s="15">
        <v>0</v>
      </c>
      <c r="DR95" s="15">
        <v>0</v>
      </c>
      <c r="DS95" s="15">
        <v>0</v>
      </c>
      <c r="DT95" s="15">
        <v>0</v>
      </c>
      <c r="DU95" s="15">
        <v>0</v>
      </c>
      <c r="DV95" s="15">
        <v>0</v>
      </c>
      <c r="DW95" s="15">
        <v>0</v>
      </c>
      <c r="DX95" s="15">
        <v>0</v>
      </c>
      <c r="DY95" s="15">
        <v>0</v>
      </c>
      <c r="DZ95" s="15">
        <v>0</v>
      </c>
      <c r="EA95" s="15">
        <v>0</v>
      </c>
      <c r="EB95" s="15">
        <v>0</v>
      </c>
      <c r="EC95" s="15">
        <v>0</v>
      </c>
      <c r="ED95" s="15">
        <v>0</v>
      </c>
      <c r="EE95" s="15">
        <v>0</v>
      </c>
      <c r="EF95" s="15">
        <v>0</v>
      </c>
    </row>
    <row r="96" spans="1:136" ht="15" customHeight="1" x14ac:dyDescent="0.35">
      <c r="A96" s="8" t="s">
        <v>12</v>
      </c>
      <c r="B96" s="8" t="s">
        <v>36</v>
      </c>
      <c r="C96" s="8" t="s">
        <v>36</v>
      </c>
      <c r="D96" s="8" t="s">
        <v>317</v>
      </c>
      <c r="E96" s="8" t="s">
        <v>10</v>
      </c>
      <c r="F96" s="8" t="s">
        <v>81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0</v>
      </c>
      <c r="CD96" s="15">
        <v>0</v>
      </c>
      <c r="CE96" s="15">
        <v>0</v>
      </c>
      <c r="CF96" s="15">
        <v>0</v>
      </c>
      <c r="CG96" s="15">
        <v>0</v>
      </c>
      <c r="CH96" s="15">
        <v>0</v>
      </c>
      <c r="CI96" s="15">
        <v>0</v>
      </c>
      <c r="CJ96" s="15">
        <v>0</v>
      </c>
      <c r="CK96" s="15">
        <v>0</v>
      </c>
      <c r="CL96" s="15">
        <v>0</v>
      </c>
      <c r="CM96" s="15">
        <v>0</v>
      </c>
      <c r="CN96" s="15">
        <v>0</v>
      </c>
      <c r="CO96" s="15">
        <v>0</v>
      </c>
      <c r="CP96" s="15">
        <v>0</v>
      </c>
      <c r="CQ96" s="15">
        <v>0</v>
      </c>
      <c r="CR96" s="15">
        <v>0</v>
      </c>
      <c r="CS96" s="15">
        <v>0</v>
      </c>
      <c r="CT96" s="15">
        <v>0</v>
      </c>
      <c r="CU96" s="15">
        <v>0</v>
      </c>
      <c r="CV96" s="15">
        <v>0</v>
      </c>
      <c r="CW96" s="15">
        <v>0</v>
      </c>
      <c r="CX96" s="15">
        <v>0</v>
      </c>
      <c r="CY96" s="15">
        <v>0</v>
      </c>
      <c r="CZ96" s="15">
        <v>0</v>
      </c>
      <c r="DA96" s="15">
        <v>0</v>
      </c>
      <c r="DB96" s="15">
        <v>0</v>
      </c>
      <c r="DC96" s="15">
        <v>0</v>
      </c>
      <c r="DD96" s="15">
        <v>0</v>
      </c>
      <c r="DE96" s="15">
        <v>0</v>
      </c>
      <c r="DF96" s="15">
        <v>0</v>
      </c>
      <c r="DG96" s="15">
        <v>0</v>
      </c>
      <c r="DH96" s="15">
        <v>0</v>
      </c>
      <c r="DI96" s="15">
        <v>0</v>
      </c>
      <c r="DJ96" s="15">
        <v>0</v>
      </c>
      <c r="DK96" s="15">
        <v>0</v>
      </c>
      <c r="DL96" s="15">
        <v>0</v>
      </c>
      <c r="DM96" s="15">
        <v>0</v>
      </c>
      <c r="DN96" s="15">
        <v>0</v>
      </c>
      <c r="DO96" s="15">
        <v>0</v>
      </c>
      <c r="DP96" s="15">
        <v>0</v>
      </c>
      <c r="DQ96" s="15">
        <v>0</v>
      </c>
      <c r="DR96" s="15">
        <v>0</v>
      </c>
      <c r="DS96" s="15">
        <v>0</v>
      </c>
      <c r="DT96" s="15">
        <v>0</v>
      </c>
      <c r="DU96" s="15">
        <v>0</v>
      </c>
      <c r="DV96" s="15">
        <v>0</v>
      </c>
      <c r="DW96" s="15">
        <v>0</v>
      </c>
      <c r="DX96" s="15">
        <v>0</v>
      </c>
      <c r="DY96" s="15">
        <v>0</v>
      </c>
      <c r="DZ96" s="15">
        <v>0</v>
      </c>
      <c r="EA96" s="15">
        <v>0</v>
      </c>
      <c r="EB96" s="15">
        <v>0</v>
      </c>
      <c r="EC96" s="15">
        <v>0</v>
      </c>
      <c r="ED96" s="15">
        <v>0</v>
      </c>
      <c r="EE96" s="15">
        <v>0</v>
      </c>
      <c r="EF96" s="15">
        <v>0</v>
      </c>
    </row>
    <row r="97" spans="1:136" ht="15" customHeight="1" x14ac:dyDescent="0.35">
      <c r="A97" s="8" t="s">
        <v>12</v>
      </c>
      <c r="B97" s="8" t="s">
        <v>36</v>
      </c>
      <c r="C97" s="8" t="s">
        <v>36</v>
      </c>
      <c r="D97" s="8" t="s">
        <v>316</v>
      </c>
      <c r="E97" s="8" t="s">
        <v>10</v>
      </c>
      <c r="F97" s="8" t="s">
        <v>81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5">
        <v>0</v>
      </c>
      <c r="CH97" s="15">
        <v>0</v>
      </c>
      <c r="CI97" s="15">
        <v>0</v>
      </c>
      <c r="CJ97" s="15">
        <v>0</v>
      </c>
      <c r="CK97" s="15">
        <v>0</v>
      </c>
      <c r="CL97" s="15">
        <v>0</v>
      </c>
      <c r="CM97" s="15">
        <v>0</v>
      </c>
      <c r="CN97" s="15">
        <v>0</v>
      </c>
      <c r="CO97" s="15">
        <v>0</v>
      </c>
      <c r="CP97" s="15">
        <v>0</v>
      </c>
      <c r="CQ97" s="15">
        <v>0</v>
      </c>
      <c r="CR97" s="15">
        <v>0</v>
      </c>
      <c r="CS97" s="15">
        <v>0</v>
      </c>
      <c r="CT97" s="15">
        <v>0</v>
      </c>
      <c r="CU97" s="15">
        <v>0</v>
      </c>
      <c r="CV97" s="15">
        <v>0</v>
      </c>
      <c r="CW97" s="15">
        <v>0</v>
      </c>
      <c r="CX97" s="15">
        <v>0</v>
      </c>
      <c r="CY97" s="15">
        <v>0</v>
      </c>
      <c r="CZ97" s="15">
        <v>0</v>
      </c>
      <c r="DA97" s="15">
        <v>0</v>
      </c>
      <c r="DB97" s="15">
        <v>0</v>
      </c>
      <c r="DC97" s="15">
        <v>0</v>
      </c>
      <c r="DD97" s="15">
        <v>0</v>
      </c>
      <c r="DE97" s="15">
        <v>0</v>
      </c>
      <c r="DF97" s="15">
        <v>0</v>
      </c>
      <c r="DG97" s="15">
        <v>0</v>
      </c>
      <c r="DH97" s="15">
        <v>0</v>
      </c>
      <c r="DI97" s="15">
        <v>0</v>
      </c>
      <c r="DJ97" s="15">
        <v>0</v>
      </c>
      <c r="DK97" s="15">
        <v>0</v>
      </c>
      <c r="DL97" s="15">
        <v>0</v>
      </c>
      <c r="DM97" s="15">
        <v>0</v>
      </c>
      <c r="DN97" s="15">
        <v>0</v>
      </c>
      <c r="DO97" s="15">
        <v>0</v>
      </c>
      <c r="DP97" s="15">
        <v>0</v>
      </c>
      <c r="DQ97" s="15">
        <v>0</v>
      </c>
      <c r="DR97" s="15">
        <v>0</v>
      </c>
      <c r="DS97" s="15">
        <v>0</v>
      </c>
      <c r="DT97" s="15">
        <v>0</v>
      </c>
      <c r="DU97" s="15">
        <v>0</v>
      </c>
      <c r="DV97" s="15">
        <v>0</v>
      </c>
      <c r="DW97" s="15">
        <v>0</v>
      </c>
      <c r="DX97" s="15">
        <v>0</v>
      </c>
      <c r="DY97" s="15">
        <v>0</v>
      </c>
      <c r="DZ97" s="15">
        <v>0</v>
      </c>
      <c r="EA97" s="15">
        <v>0</v>
      </c>
      <c r="EB97" s="15">
        <v>0</v>
      </c>
      <c r="EC97" s="15">
        <v>0</v>
      </c>
      <c r="ED97" s="15">
        <v>0</v>
      </c>
      <c r="EE97" s="15">
        <v>0</v>
      </c>
      <c r="EF97" s="15">
        <v>0</v>
      </c>
    </row>
    <row r="98" spans="1:136" ht="15" customHeight="1" x14ac:dyDescent="0.35">
      <c r="A98" s="8" t="s">
        <v>12</v>
      </c>
      <c r="B98" s="8" t="s">
        <v>36</v>
      </c>
      <c r="C98" s="8" t="s">
        <v>36</v>
      </c>
      <c r="D98" s="8" t="s">
        <v>317</v>
      </c>
      <c r="E98" s="8" t="s">
        <v>10</v>
      </c>
      <c r="F98" s="8" t="s">
        <v>109</v>
      </c>
      <c r="G98" s="15">
        <v>0</v>
      </c>
      <c r="H98" s="15">
        <v>0</v>
      </c>
      <c r="I98" s="15">
        <v>90</v>
      </c>
      <c r="J98" s="15">
        <v>-90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7</v>
      </c>
      <c r="AK98" s="15">
        <v>0.5</v>
      </c>
      <c r="AL98" s="15">
        <v>0</v>
      </c>
      <c r="AM98" s="15">
        <v>0</v>
      </c>
      <c r="AN98" s="15">
        <v>0.5</v>
      </c>
      <c r="AO98" s="15">
        <v>0</v>
      </c>
      <c r="AP98" s="15">
        <v>0</v>
      </c>
      <c r="AQ98" s="15">
        <v>0</v>
      </c>
      <c r="AR98" s="15">
        <v>8</v>
      </c>
      <c r="AS98" s="15">
        <v>3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>
        <v>0</v>
      </c>
      <c r="CH98" s="15">
        <v>0</v>
      </c>
      <c r="CI98" s="15">
        <v>0</v>
      </c>
      <c r="CJ98" s="15">
        <v>0</v>
      </c>
      <c r="CK98" s="15">
        <v>0</v>
      </c>
      <c r="CL98" s="15">
        <v>0</v>
      </c>
      <c r="CM98" s="15">
        <v>0</v>
      </c>
      <c r="CN98" s="15">
        <v>0</v>
      </c>
      <c r="CO98" s="15">
        <v>0</v>
      </c>
      <c r="CP98" s="15">
        <v>0</v>
      </c>
      <c r="CQ98" s="15">
        <v>0</v>
      </c>
      <c r="CR98" s="15">
        <v>0</v>
      </c>
      <c r="CS98" s="15">
        <v>10</v>
      </c>
      <c r="CT98" s="15">
        <v>10</v>
      </c>
      <c r="CU98" s="15">
        <v>0</v>
      </c>
      <c r="CV98" s="15">
        <v>0</v>
      </c>
      <c r="CW98" s="15">
        <v>0</v>
      </c>
      <c r="CX98" s="15">
        <v>0</v>
      </c>
      <c r="CY98" s="15">
        <v>0</v>
      </c>
      <c r="CZ98" s="15">
        <v>0</v>
      </c>
      <c r="DA98" s="15">
        <v>0</v>
      </c>
      <c r="DB98" s="15">
        <v>0</v>
      </c>
      <c r="DC98" s="15">
        <v>10</v>
      </c>
      <c r="DD98" s="15">
        <v>10</v>
      </c>
      <c r="DE98" s="15">
        <v>0</v>
      </c>
      <c r="DF98" s="15">
        <v>0</v>
      </c>
      <c r="DG98" s="15">
        <v>0</v>
      </c>
      <c r="DH98" s="15">
        <v>0</v>
      </c>
      <c r="DI98" s="15">
        <v>0</v>
      </c>
      <c r="DJ98" s="15">
        <v>0</v>
      </c>
      <c r="DK98" s="15">
        <v>0</v>
      </c>
      <c r="DL98" s="15">
        <v>0</v>
      </c>
      <c r="DM98" s="15">
        <v>9</v>
      </c>
      <c r="DN98" s="15">
        <v>7</v>
      </c>
      <c r="DO98" s="15">
        <v>6</v>
      </c>
      <c r="DP98" s="15">
        <v>6</v>
      </c>
      <c r="DQ98" s="15">
        <v>6</v>
      </c>
      <c r="DR98" s="15">
        <v>0</v>
      </c>
      <c r="DS98" s="15">
        <v>0</v>
      </c>
      <c r="DT98" s="15">
        <v>0</v>
      </c>
      <c r="DU98" s="15">
        <v>0</v>
      </c>
      <c r="DV98" s="15">
        <v>0</v>
      </c>
      <c r="DW98" s="15">
        <v>0</v>
      </c>
      <c r="DX98" s="15">
        <v>0</v>
      </c>
      <c r="DY98" s="15">
        <v>0</v>
      </c>
      <c r="DZ98" s="15">
        <v>0</v>
      </c>
      <c r="EA98" s="15">
        <v>0</v>
      </c>
      <c r="EB98" s="15">
        <v>0</v>
      </c>
      <c r="EC98" s="15">
        <v>0</v>
      </c>
      <c r="ED98" s="15">
        <v>0</v>
      </c>
      <c r="EE98" s="15">
        <v>0</v>
      </c>
      <c r="EF98" s="15">
        <v>0</v>
      </c>
    </row>
    <row r="99" spans="1:136" ht="15" customHeight="1" x14ac:dyDescent="0.35">
      <c r="A99" s="8" t="s">
        <v>12</v>
      </c>
      <c r="B99" s="8" t="s">
        <v>36</v>
      </c>
      <c r="C99" s="8" t="s">
        <v>36</v>
      </c>
      <c r="D99" s="8" t="s">
        <v>316</v>
      </c>
      <c r="E99" s="8" t="s">
        <v>10</v>
      </c>
      <c r="F99" s="8" t="s">
        <v>109</v>
      </c>
      <c r="G99" s="15">
        <v>59</v>
      </c>
      <c r="H99" s="15">
        <v>133</v>
      </c>
      <c r="I99" s="15">
        <v>43</v>
      </c>
      <c r="J99" s="15">
        <v>90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2.5</v>
      </c>
      <c r="AC99" s="15">
        <v>3</v>
      </c>
      <c r="AD99" s="15">
        <v>18</v>
      </c>
      <c r="AE99" s="15">
        <v>11.5</v>
      </c>
      <c r="AF99" s="15">
        <v>2</v>
      </c>
      <c r="AG99" s="15">
        <v>3</v>
      </c>
      <c r="AH99" s="15">
        <v>0</v>
      </c>
      <c r="AI99" s="15">
        <v>1</v>
      </c>
      <c r="AJ99" s="15">
        <v>2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>
        <v>0</v>
      </c>
      <c r="CH99" s="15">
        <v>0</v>
      </c>
      <c r="CI99" s="15">
        <v>0</v>
      </c>
      <c r="CJ99" s="15">
        <v>0</v>
      </c>
      <c r="CK99" s="15">
        <v>0</v>
      </c>
      <c r="CL99" s="15">
        <v>0</v>
      </c>
      <c r="CM99" s="15">
        <v>0</v>
      </c>
      <c r="CN99" s="15">
        <v>0</v>
      </c>
      <c r="CO99" s="15">
        <v>0</v>
      </c>
      <c r="CP99" s="15">
        <v>0</v>
      </c>
      <c r="CQ99" s="15">
        <v>0</v>
      </c>
      <c r="CR99" s="15">
        <v>0</v>
      </c>
      <c r="CS99" s="15">
        <v>0</v>
      </c>
      <c r="CT99" s="15">
        <v>0</v>
      </c>
      <c r="CU99" s="15">
        <v>0</v>
      </c>
      <c r="CV99" s="15">
        <v>0</v>
      </c>
      <c r="CW99" s="15">
        <v>0</v>
      </c>
      <c r="CX99" s="15">
        <v>0</v>
      </c>
      <c r="CY99" s="15">
        <v>0</v>
      </c>
      <c r="CZ99" s="15">
        <v>0</v>
      </c>
      <c r="DA99" s="15">
        <v>0</v>
      </c>
      <c r="DB99" s="15">
        <v>0</v>
      </c>
      <c r="DC99" s="15">
        <v>0</v>
      </c>
      <c r="DD99" s="15">
        <v>0</v>
      </c>
      <c r="DE99" s="15">
        <v>0</v>
      </c>
      <c r="DF99" s="15">
        <v>0</v>
      </c>
      <c r="DG99" s="15">
        <v>0</v>
      </c>
      <c r="DH99" s="15">
        <v>0</v>
      </c>
      <c r="DI99" s="15">
        <v>0</v>
      </c>
      <c r="DJ99" s="15">
        <v>0</v>
      </c>
      <c r="DK99" s="15">
        <v>0</v>
      </c>
      <c r="DL99" s="15">
        <v>0</v>
      </c>
      <c r="DM99" s="15">
        <v>0</v>
      </c>
      <c r="DN99" s="15">
        <v>0</v>
      </c>
      <c r="DO99" s="15">
        <v>0</v>
      </c>
      <c r="DP99" s="15">
        <v>0</v>
      </c>
      <c r="DQ99" s="15">
        <v>0</v>
      </c>
      <c r="DR99" s="15">
        <v>0</v>
      </c>
      <c r="DS99" s="15">
        <v>0</v>
      </c>
      <c r="DT99" s="15">
        <v>0</v>
      </c>
      <c r="DU99" s="15">
        <v>0</v>
      </c>
      <c r="DV99" s="15">
        <v>0</v>
      </c>
      <c r="DW99" s="15">
        <v>0</v>
      </c>
      <c r="DX99" s="15">
        <v>0</v>
      </c>
      <c r="DY99" s="15">
        <v>0</v>
      </c>
      <c r="DZ99" s="15">
        <v>0</v>
      </c>
      <c r="EA99" s="15">
        <v>0</v>
      </c>
      <c r="EB99" s="15">
        <v>0</v>
      </c>
      <c r="EC99" s="15">
        <v>0</v>
      </c>
      <c r="ED99" s="15">
        <v>0</v>
      </c>
      <c r="EE99" s="15">
        <v>0</v>
      </c>
      <c r="EF99" s="15">
        <v>0</v>
      </c>
    </row>
    <row r="100" spans="1:136" ht="15" customHeight="1" x14ac:dyDescent="0.35">
      <c r="A100" s="8" t="s">
        <v>12</v>
      </c>
      <c r="B100" s="8" t="s">
        <v>36</v>
      </c>
      <c r="C100" s="8" t="s">
        <v>36</v>
      </c>
      <c r="D100" s="8" t="s">
        <v>317</v>
      </c>
      <c r="E100" s="8" t="s">
        <v>10</v>
      </c>
      <c r="F100" s="8" t="s">
        <v>110</v>
      </c>
      <c r="G100" s="15">
        <v>0</v>
      </c>
      <c r="H100" s="15">
        <v>0</v>
      </c>
      <c r="I100" s="15">
        <v>171</v>
      </c>
      <c r="J100" s="15">
        <v>-171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2</v>
      </c>
      <c r="AL100" s="15">
        <v>0</v>
      </c>
      <c r="AM100" s="15">
        <v>1</v>
      </c>
      <c r="AN100" s="15">
        <v>1</v>
      </c>
      <c r="AO100" s="15">
        <v>4</v>
      </c>
      <c r="AP100" s="15">
        <v>0</v>
      </c>
      <c r="AQ100" s="15">
        <v>0</v>
      </c>
      <c r="AR100" s="15">
        <v>2</v>
      </c>
      <c r="AS100" s="15">
        <v>2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15">
        <v>0</v>
      </c>
      <c r="CK100" s="15">
        <v>0</v>
      </c>
      <c r="CL100" s="15">
        <v>0</v>
      </c>
      <c r="CM100" s="15">
        <v>0</v>
      </c>
      <c r="CN100" s="15">
        <v>0</v>
      </c>
      <c r="CO100" s="15">
        <v>0</v>
      </c>
      <c r="CP100" s="15">
        <v>0</v>
      </c>
      <c r="CQ100" s="15">
        <v>0</v>
      </c>
      <c r="CR100" s="15">
        <v>0</v>
      </c>
      <c r="CS100" s="15">
        <v>2</v>
      </c>
      <c r="CT100" s="15">
        <v>8</v>
      </c>
      <c r="CU100" s="15">
        <v>8</v>
      </c>
      <c r="CV100" s="15">
        <v>0</v>
      </c>
      <c r="CW100" s="15">
        <v>0</v>
      </c>
      <c r="CX100" s="15">
        <v>0</v>
      </c>
      <c r="CY100" s="15">
        <v>0</v>
      </c>
      <c r="CZ100" s="15">
        <v>10.5</v>
      </c>
      <c r="DA100" s="15">
        <v>10.5</v>
      </c>
      <c r="DB100" s="15">
        <v>8</v>
      </c>
      <c r="DC100" s="15">
        <v>8</v>
      </c>
      <c r="DD100" s="15">
        <v>0</v>
      </c>
      <c r="DE100" s="15">
        <v>0</v>
      </c>
      <c r="DF100" s="15">
        <v>0</v>
      </c>
      <c r="DG100" s="15">
        <v>6</v>
      </c>
      <c r="DH100" s="15">
        <v>6</v>
      </c>
      <c r="DI100" s="15">
        <v>0</v>
      </c>
      <c r="DJ100" s="15">
        <v>0</v>
      </c>
      <c r="DK100" s="15">
        <v>0</v>
      </c>
      <c r="DL100" s="15">
        <v>11</v>
      </c>
      <c r="DM100" s="15">
        <v>22.5</v>
      </c>
      <c r="DN100" s="15">
        <v>18.5</v>
      </c>
      <c r="DO100" s="15">
        <v>9</v>
      </c>
      <c r="DP100" s="15">
        <v>10</v>
      </c>
      <c r="DQ100" s="15">
        <v>10</v>
      </c>
      <c r="DR100" s="15">
        <v>13</v>
      </c>
      <c r="DS100" s="15">
        <v>0</v>
      </c>
      <c r="DT100" s="15">
        <v>0</v>
      </c>
      <c r="DU100" s="15">
        <v>0</v>
      </c>
      <c r="DV100" s="15">
        <v>0</v>
      </c>
      <c r="DW100" s="15">
        <v>0</v>
      </c>
      <c r="DX100" s="15">
        <v>0</v>
      </c>
      <c r="DY100" s="15">
        <v>0</v>
      </c>
      <c r="DZ100" s="15">
        <v>0</v>
      </c>
      <c r="EA100" s="15">
        <v>0</v>
      </c>
      <c r="EB100" s="15">
        <v>0</v>
      </c>
      <c r="EC100" s="15">
        <v>0</v>
      </c>
      <c r="ED100" s="15">
        <v>0</v>
      </c>
      <c r="EE100" s="15">
        <v>0</v>
      </c>
      <c r="EF100" s="15">
        <v>0</v>
      </c>
    </row>
    <row r="101" spans="1:136" ht="15" customHeight="1" x14ac:dyDescent="0.35">
      <c r="A101" s="8" t="s">
        <v>12</v>
      </c>
      <c r="B101" s="8" t="s">
        <v>36</v>
      </c>
      <c r="C101" s="8" t="s">
        <v>36</v>
      </c>
      <c r="D101" s="8" t="s">
        <v>316</v>
      </c>
      <c r="E101" s="8" t="s">
        <v>10</v>
      </c>
      <c r="F101" s="8" t="s">
        <v>110</v>
      </c>
      <c r="G101" s="15">
        <v>52.6</v>
      </c>
      <c r="H101" s="15">
        <v>204.8</v>
      </c>
      <c r="I101" s="15">
        <v>9.5</v>
      </c>
      <c r="J101" s="15">
        <v>195.3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2</v>
      </c>
      <c r="AC101" s="15">
        <v>1</v>
      </c>
      <c r="AD101" s="15">
        <v>0</v>
      </c>
      <c r="AE101" s="15">
        <v>0</v>
      </c>
      <c r="AF101" s="15">
        <v>1</v>
      </c>
      <c r="AG101" s="15">
        <v>1.5</v>
      </c>
      <c r="AH101" s="15">
        <v>0</v>
      </c>
      <c r="AI101" s="15">
        <v>4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15">
        <v>0</v>
      </c>
      <c r="CK101" s="15">
        <v>0</v>
      </c>
      <c r="CL101" s="15">
        <v>0</v>
      </c>
      <c r="CM101" s="15">
        <v>0</v>
      </c>
      <c r="CN101" s="15">
        <v>0</v>
      </c>
      <c r="CO101" s="15">
        <v>0</v>
      </c>
      <c r="CP101" s="15">
        <v>0</v>
      </c>
      <c r="CQ101" s="15">
        <v>0</v>
      </c>
      <c r="CR101" s="15">
        <v>0</v>
      </c>
      <c r="CS101" s="15">
        <v>0</v>
      </c>
      <c r="CT101" s="15">
        <v>0</v>
      </c>
      <c r="CU101" s="15">
        <v>0</v>
      </c>
      <c r="CV101" s="15">
        <v>0</v>
      </c>
      <c r="CW101" s="15">
        <v>0</v>
      </c>
      <c r="CX101" s="15">
        <v>0</v>
      </c>
      <c r="CY101" s="15">
        <v>0</v>
      </c>
      <c r="CZ101" s="15">
        <v>0</v>
      </c>
      <c r="DA101" s="15">
        <v>0</v>
      </c>
      <c r="DB101" s="15">
        <v>0</v>
      </c>
      <c r="DC101" s="15">
        <v>0</v>
      </c>
      <c r="DD101" s="15">
        <v>0</v>
      </c>
      <c r="DE101" s="15">
        <v>0</v>
      </c>
      <c r="DF101" s="15">
        <v>0</v>
      </c>
      <c r="DG101" s="15">
        <v>0</v>
      </c>
      <c r="DH101" s="15">
        <v>0</v>
      </c>
      <c r="DI101" s="15">
        <v>0</v>
      </c>
      <c r="DJ101" s="15">
        <v>0</v>
      </c>
      <c r="DK101" s="15">
        <v>0</v>
      </c>
      <c r="DL101" s="15">
        <v>0</v>
      </c>
      <c r="DM101" s="15">
        <v>0</v>
      </c>
      <c r="DN101" s="15">
        <v>0</v>
      </c>
      <c r="DO101" s="15">
        <v>0</v>
      </c>
      <c r="DP101" s="15">
        <v>0</v>
      </c>
      <c r="DQ101" s="15">
        <v>0</v>
      </c>
      <c r="DR101" s="15">
        <v>0</v>
      </c>
      <c r="DS101" s="15">
        <v>0</v>
      </c>
      <c r="DT101" s="15">
        <v>0</v>
      </c>
      <c r="DU101" s="15">
        <v>0</v>
      </c>
      <c r="DV101" s="15">
        <v>0</v>
      </c>
      <c r="DW101" s="15">
        <v>0</v>
      </c>
      <c r="DX101" s="15">
        <v>0</v>
      </c>
      <c r="DY101" s="15">
        <v>0</v>
      </c>
      <c r="DZ101" s="15">
        <v>0</v>
      </c>
      <c r="EA101" s="15">
        <v>0</v>
      </c>
      <c r="EB101" s="15">
        <v>0</v>
      </c>
      <c r="EC101" s="15">
        <v>0</v>
      </c>
      <c r="ED101" s="15">
        <v>0</v>
      </c>
      <c r="EE101" s="15">
        <v>0</v>
      </c>
      <c r="EF101" s="15">
        <v>0</v>
      </c>
    </row>
    <row r="102" spans="1:136" ht="15" customHeight="1" x14ac:dyDescent="0.35">
      <c r="A102" s="8" t="s">
        <v>12</v>
      </c>
      <c r="B102" s="8" t="s">
        <v>36</v>
      </c>
      <c r="C102" s="8" t="s">
        <v>36</v>
      </c>
      <c r="D102" s="8" t="s">
        <v>317</v>
      </c>
      <c r="E102" s="8" t="s">
        <v>10</v>
      </c>
      <c r="F102" s="8" t="s">
        <v>82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>
        <v>0</v>
      </c>
      <c r="CH102" s="15">
        <v>0</v>
      </c>
      <c r="CI102" s="15">
        <v>0</v>
      </c>
      <c r="CJ102" s="15">
        <v>0</v>
      </c>
      <c r="CK102" s="15">
        <v>0</v>
      </c>
      <c r="CL102" s="15">
        <v>0</v>
      </c>
      <c r="CM102" s="15">
        <v>0</v>
      </c>
      <c r="CN102" s="15">
        <v>0</v>
      </c>
      <c r="CO102" s="15">
        <v>0</v>
      </c>
      <c r="CP102" s="15">
        <v>0</v>
      </c>
      <c r="CQ102" s="15">
        <v>0</v>
      </c>
      <c r="CR102" s="15">
        <v>0</v>
      </c>
      <c r="CS102" s="15">
        <v>0</v>
      </c>
      <c r="CT102" s="15">
        <v>0</v>
      </c>
      <c r="CU102" s="15">
        <v>0</v>
      </c>
      <c r="CV102" s="15">
        <v>0</v>
      </c>
      <c r="CW102" s="15">
        <v>0</v>
      </c>
      <c r="CX102" s="15">
        <v>0</v>
      </c>
      <c r="CY102" s="15">
        <v>0</v>
      </c>
      <c r="CZ102" s="15">
        <v>0</v>
      </c>
      <c r="DA102" s="15">
        <v>0</v>
      </c>
      <c r="DB102" s="15">
        <v>0</v>
      </c>
      <c r="DC102" s="15">
        <v>0</v>
      </c>
      <c r="DD102" s="15">
        <v>0</v>
      </c>
      <c r="DE102" s="15">
        <v>0</v>
      </c>
      <c r="DF102" s="15">
        <v>0</v>
      </c>
      <c r="DG102" s="15">
        <v>0</v>
      </c>
      <c r="DH102" s="15">
        <v>0</v>
      </c>
      <c r="DI102" s="15">
        <v>0</v>
      </c>
      <c r="DJ102" s="15">
        <v>0</v>
      </c>
      <c r="DK102" s="15">
        <v>0</v>
      </c>
      <c r="DL102" s="15">
        <v>0</v>
      </c>
      <c r="DM102" s="15">
        <v>0</v>
      </c>
      <c r="DN102" s="15">
        <v>0</v>
      </c>
      <c r="DO102" s="15">
        <v>0</v>
      </c>
      <c r="DP102" s="15">
        <v>0</v>
      </c>
      <c r="DQ102" s="15">
        <v>0</v>
      </c>
      <c r="DR102" s="15">
        <v>0</v>
      </c>
      <c r="DS102" s="15">
        <v>0</v>
      </c>
      <c r="DT102" s="15">
        <v>0</v>
      </c>
      <c r="DU102" s="15">
        <v>0</v>
      </c>
      <c r="DV102" s="15">
        <v>0</v>
      </c>
      <c r="DW102" s="15">
        <v>0</v>
      </c>
      <c r="DX102" s="15">
        <v>0</v>
      </c>
      <c r="DY102" s="15">
        <v>0</v>
      </c>
      <c r="DZ102" s="15">
        <v>0</v>
      </c>
      <c r="EA102" s="15">
        <v>0</v>
      </c>
      <c r="EB102" s="15">
        <v>0</v>
      </c>
      <c r="EC102" s="15">
        <v>0</v>
      </c>
      <c r="ED102" s="15">
        <v>0</v>
      </c>
      <c r="EE102" s="15">
        <v>0</v>
      </c>
      <c r="EF102" s="15">
        <v>0</v>
      </c>
    </row>
    <row r="103" spans="1:136" ht="15" customHeight="1" x14ac:dyDescent="0.35">
      <c r="A103" s="8" t="s">
        <v>12</v>
      </c>
      <c r="B103" s="8" t="s">
        <v>36</v>
      </c>
      <c r="C103" s="8" t="s">
        <v>36</v>
      </c>
      <c r="D103" s="8" t="s">
        <v>316</v>
      </c>
      <c r="E103" s="8" t="s">
        <v>10</v>
      </c>
      <c r="F103" s="8" t="s">
        <v>82</v>
      </c>
      <c r="G103" s="15">
        <v>1</v>
      </c>
      <c r="H103" s="15">
        <v>1</v>
      </c>
      <c r="I103" s="15">
        <v>1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1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>
        <v>0</v>
      </c>
      <c r="CH103" s="15">
        <v>0</v>
      </c>
      <c r="CI103" s="15">
        <v>0</v>
      </c>
      <c r="CJ103" s="15">
        <v>0</v>
      </c>
      <c r="CK103" s="15">
        <v>0</v>
      </c>
      <c r="CL103" s="15">
        <v>0</v>
      </c>
      <c r="CM103" s="15">
        <v>0</v>
      </c>
      <c r="CN103" s="15">
        <v>0</v>
      </c>
      <c r="CO103" s="15">
        <v>0</v>
      </c>
      <c r="CP103" s="15">
        <v>0</v>
      </c>
      <c r="CQ103" s="15">
        <v>0</v>
      </c>
      <c r="CR103" s="15">
        <v>0</v>
      </c>
      <c r="CS103" s="15">
        <v>0</v>
      </c>
      <c r="CT103" s="15">
        <v>0</v>
      </c>
      <c r="CU103" s="15">
        <v>0</v>
      </c>
      <c r="CV103" s="15">
        <v>0</v>
      </c>
      <c r="CW103" s="15">
        <v>0</v>
      </c>
      <c r="CX103" s="15">
        <v>0</v>
      </c>
      <c r="CY103" s="15">
        <v>0</v>
      </c>
      <c r="CZ103" s="15">
        <v>0</v>
      </c>
      <c r="DA103" s="15">
        <v>0</v>
      </c>
      <c r="DB103" s="15">
        <v>0</v>
      </c>
      <c r="DC103" s="15">
        <v>0</v>
      </c>
      <c r="DD103" s="15">
        <v>0</v>
      </c>
      <c r="DE103" s="15">
        <v>0</v>
      </c>
      <c r="DF103" s="15">
        <v>0</v>
      </c>
      <c r="DG103" s="15">
        <v>0</v>
      </c>
      <c r="DH103" s="15">
        <v>0</v>
      </c>
      <c r="DI103" s="15">
        <v>0</v>
      </c>
      <c r="DJ103" s="15">
        <v>0</v>
      </c>
      <c r="DK103" s="15">
        <v>0</v>
      </c>
      <c r="DL103" s="15">
        <v>0</v>
      </c>
      <c r="DM103" s="15">
        <v>0</v>
      </c>
      <c r="DN103" s="15">
        <v>0</v>
      </c>
      <c r="DO103" s="15">
        <v>0</v>
      </c>
      <c r="DP103" s="15">
        <v>0</v>
      </c>
      <c r="DQ103" s="15">
        <v>0</v>
      </c>
      <c r="DR103" s="15">
        <v>0</v>
      </c>
      <c r="DS103" s="15">
        <v>0</v>
      </c>
      <c r="DT103" s="15">
        <v>0</v>
      </c>
      <c r="DU103" s="15">
        <v>0</v>
      </c>
      <c r="DV103" s="15">
        <v>0</v>
      </c>
      <c r="DW103" s="15">
        <v>0</v>
      </c>
      <c r="DX103" s="15">
        <v>0</v>
      </c>
      <c r="DY103" s="15">
        <v>0</v>
      </c>
      <c r="DZ103" s="15">
        <v>0</v>
      </c>
      <c r="EA103" s="15">
        <v>0</v>
      </c>
      <c r="EB103" s="15">
        <v>0</v>
      </c>
      <c r="EC103" s="15">
        <v>0</v>
      </c>
      <c r="ED103" s="15">
        <v>0</v>
      </c>
      <c r="EE103" s="15">
        <v>0</v>
      </c>
      <c r="EF103" s="15">
        <v>0</v>
      </c>
    </row>
    <row r="104" spans="1:136" ht="15" customHeight="1" x14ac:dyDescent="0.35">
      <c r="A104" s="8" t="s">
        <v>12</v>
      </c>
      <c r="B104" s="8" t="s">
        <v>36</v>
      </c>
      <c r="C104" s="8" t="s">
        <v>36</v>
      </c>
      <c r="D104" s="8" t="s">
        <v>316</v>
      </c>
      <c r="E104" s="8" t="s">
        <v>10</v>
      </c>
      <c r="F104" s="8" t="s">
        <v>82</v>
      </c>
      <c r="G104" s="15">
        <v>0</v>
      </c>
      <c r="H104" s="15">
        <v>0</v>
      </c>
      <c r="I104" s="15">
        <v>18</v>
      </c>
      <c r="J104" s="15">
        <v>-18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2</v>
      </c>
      <c r="AA104" s="15">
        <v>16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0</v>
      </c>
      <c r="CH104" s="15">
        <v>0</v>
      </c>
      <c r="CI104" s="15">
        <v>0</v>
      </c>
      <c r="CJ104" s="15">
        <v>0</v>
      </c>
      <c r="CK104" s="15">
        <v>0</v>
      </c>
      <c r="CL104" s="15">
        <v>0</v>
      </c>
      <c r="CM104" s="15">
        <v>0</v>
      </c>
      <c r="CN104" s="15">
        <v>0</v>
      </c>
      <c r="CO104" s="15">
        <v>0</v>
      </c>
      <c r="CP104" s="15">
        <v>0</v>
      </c>
      <c r="CQ104" s="15">
        <v>0</v>
      </c>
      <c r="CR104" s="15">
        <v>0</v>
      </c>
      <c r="CS104" s="15">
        <v>0</v>
      </c>
      <c r="CT104" s="15">
        <v>0</v>
      </c>
      <c r="CU104" s="15">
        <v>0</v>
      </c>
      <c r="CV104" s="15">
        <v>0</v>
      </c>
      <c r="CW104" s="15">
        <v>0</v>
      </c>
      <c r="CX104" s="15">
        <v>0</v>
      </c>
      <c r="CY104" s="15">
        <v>0</v>
      </c>
      <c r="CZ104" s="15">
        <v>0</v>
      </c>
      <c r="DA104" s="15">
        <v>0</v>
      </c>
      <c r="DB104" s="15">
        <v>0</v>
      </c>
      <c r="DC104" s="15">
        <v>0</v>
      </c>
      <c r="DD104" s="15">
        <v>0</v>
      </c>
      <c r="DE104" s="15">
        <v>0</v>
      </c>
      <c r="DF104" s="15">
        <v>0</v>
      </c>
      <c r="DG104" s="15">
        <v>0</v>
      </c>
      <c r="DH104" s="15">
        <v>0</v>
      </c>
      <c r="DI104" s="15">
        <v>0</v>
      </c>
      <c r="DJ104" s="15">
        <v>0</v>
      </c>
      <c r="DK104" s="15">
        <v>0</v>
      </c>
      <c r="DL104" s="15">
        <v>0</v>
      </c>
      <c r="DM104" s="15">
        <v>0</v>
      </c>
      <c r="DN104" s="15">
        <v>0</v>
      </c>
      <c r="DO104" s="15">
        <v>0</v>
      </c>
      <c r="DP104" s="15">
        <v>0</v>
      </c>
      <c r="DQ104" s="15">
        <v>0</v>
      </c>
      <c r="DR104" s="15">
        <v>0</v>
      </c>
      <c r="DS104" s="15">
        <v>0</v>
      </c>
      <c r="DT104" s="15">
        <v>0</v>
      </c>
      <c r="DU104" s="15">
        <v>0</v>
      </c>
      <c r="DV104" s="15">
        <v>0</v>
      </c>
      <c r="DW104" s="15">
        <v>0</v>
      </c>
      <c r="DX104" s="15">
        <v>0</v>
      </c>
      <c r="DY104" s="15">
        <v>0</v>
      </c>
      <c r="DZ104" s="15">
        <v>0</v>
      </c>
      <c r="EA104" s="15">
        <v>0</v>
      </c>
      <c r="EB104" s="15">
        <v>0</v>
      </c>
      <c r="EC104" s="15">
        <v>0</v>
      </c>
      <c r="ED104" s="15">
        <v>0</v>
      </c>
      <c r="EE104" s="15">
        <v>0</v>
      </c>
      <c r="EF104" s="15">
        <v>0</v>
      </c>
    </row>
    <row r="105" spans="1:136" ht="15" customHeight="1" x14ac:dyDescent="0.35">
      <c r="A105" s="8" t="s">
        <v>12</v>
      </c>
      <c r="B105" s="8" t="s">
        <v>36</v>
      </c>
      <c r="C105" s="8" t="s">
        <v>36</v>
      </c>
      <c r="D105" s="8" t="s">
        <v>317</v>
      </c>
      <c r="E105" s="8" t="s">
        <v>10</v>
      </c>
      <c r="F105" s="8" t="s">
        <v>83</v>
      </c>
      <c r="G105" s="15">
        <v>0</v>
      </c>
      <c r="H105" s="15">
        <v>0</v>
      </c>
      <c r="I105" s="15">
        <v>35</v>
      </c>
      <c r="J105" s="15">
        <v>-35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2</v>
      </c>
      <c r="AN105" s="15">
        <v>7</v>
      </c>
      <c r="AO105" s="15">
        <v>26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>
        <v>0</v>
      </c>
      <c r="CH105" s="15">
        <v>0</v>
      </c>
      <c r="CI105" s="15">
        <v>0</v>
      </c>
      <c r="CJ105" s="15">
        <v>0</v>
      </c>
      <c r="CK105" s="15">
        <v>0</v>
      </c>
      <c r="CL105" s="15">
        <v>0</v>
      </c>
      <c r="CM105" s="15">
        <v>0</v>
      </c>
      <c r="CN105" s="15">
        <v>0</v>
      </c>
      <c r="CO105" s="15">
        <v>0</v>
      </c>
      <c r="CP105" s="15">
        <v>0</v>
      </c>
      <c r="CQ105" s="15">
        <v>0</v>
      </c>
      <c r="CR105" s="15">
        <v>0</v>
      </c>
      <c r="CS105" s="15">
        <v>0</v>
      </c>
      <c r="CT105" s="15">
        <v>0</v>
      </c>
      <c r="CU105" s="15">
        <v>0</v>
      </c>
      <c r="CV105" s="15">
        <v>0</v>
      </c>
      <c r="CW105" s="15">
        <v>0</v>
      </c>
      <c r="CX105" s="15">
        <v>0</v>
      </c>
      <c r="CY105" s="15">
        <v>0</v>
      </c>
      <c r="CZ105" s="15">
        <v>0</v>
      </c>
      <c r="DA105" s="15">
        <v>0</v>
      </c>
      <c r="DB105" s="15">
        <v>0</v>
      </c>
      <c r="DC105" s="15">
        <v>0</v>
      </c>
      <c r="DD105" s="15">
        <v>0</v>
      </c>
      <c r="DE105" s="15">
        <v>0</v>
      </c>
      <c r="DF105" s="15">
        <v>0</v>
      </c>
      <c r="DG105" s="15">
        <v>0</v>
      </c>
      <c r="DH105" s="15">
        <v>0</v>
      </c>
      <c r="DI105" s="15">
        <v>0</v>
      </c>
      <c r="DJ105" s="15">
        <v>0</v>
      </c>
      <c r="DK105" s="15">
        <v>0</v>
      </c>
      <c r="DL105" s="15">
        <v>0</v>
      </c>
      <c r="DM105" s="15">
        <v>0</v>
      </c>
      <c r="DN105" s="15">
        <v>0</v>
      </c>
      <c r="DO105" s="15">
        <v>0</v>
      </c>
      <c r="DP105" s="15">
        <v>0</v>
      </c>
      <c r="DQ105" s="15">
        <v>0</v>
      </c>
      <c r="DR105" s="15">
        <v>0</v>
      </c>
      <c r="DS105" s="15">
        <v>0</v>
      </c>
      <c r="DT105" s="15">
        <v>0</v>
      </c>
      <c r="DU105" s="15">
        <v>0</v>
      </c>
      <c r="DV105" s="15">
        <v>0</v>
      </c>
      <c r="DW105" s="15">
        <v>0</v>
      </c>
      <c r="DX105" s="15">
        <v>0</v>
      </c>
      <c r="DY105" s="15">
        <v>0</v>
      </c>
      <c r="DZ105" s="15">
        <v>0</v>
      </c>
      <c r="EA105" s="15">
        <v>0</v>
      </c>
      <c r="EB105" s="15">
        <v>0</v>
      </c>
      <c r="EC105" s="15">
        <v>0</v>
      </c>
      <c r="ED105" s="15">
        <v>0</v>
      </c>
      <c r="EE105" s="15">
        <v>0</v>
      </c>
      <c r="EF105" s="15">
        <v>0</v>
      </c>
    </row>
    <row r="106" spans="1:136" ht="15" customHeight="1" x14ac:dyDescent="0.35">
      <c r="A106" s="8" t="s">
        <v>12</v>
      </c>
      <c r="B106" s="8" t="s">
        <v>36</v>
      </c>
      <c r="C106" s="8" t="s">
        <v>36</v>
      </c>
      <c r="D106" s="8" t="s">
        <v>316</v>
      </c>
      <c r="E106" s="8" t="s">
        <v>10</v>
      </c>
      <c r="F106" s="8" t="s">
        <v>83</v>
      </c>
      <c r="G106" s="15">
        <v>15</v>
      </c>
      <c r="H106" s="15">
        <v>15</v>
      </c>
      <c r="I106" s="15">
        <v>0</v>
      </c>
      <c r="J106" s="15">
        <v>15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>
        <v>0</v>
      </c>
      <c r="CH106" s="15">
        <v>0</v>
      </c>
      <c r="CI106" s="15">
        <v>0</v>
      </c>
      <c r="CJ106" s="15">
        <v>0</v>
      </c>
      <c r="CK106" s="15">
        <v>0</v>
      </c>
      <c r="CL106" s="15">
        <v>0</v>
      </c>
      <c r="CM106" s="15">
        <v>0</v>
      </c>
      <c r="CN106" s="15">
        <v>0</v>
      </c>
      <c r="CO106" s="15">
        <v>0</v>
      </c>
      <c r="CP106" s="15">
        <v>0</v>
      </c>
      <c r="CQ106" s="15">
        <v>0</v>
      </c>
      <c r="CR106" s="15">
        <v>0</v>
      </c>
      <c r="CS106" s="15">
        <v>0</v>
      </c>
      <c r="CT106" s="15">
        <v>0</v>
      </c>
      <c r="CU106" s="15">
        <v>0</v>
      </c>
      <c r="CV106" s="15">
        <v>0</v>
      </c>
      <c r="CW106" s="15">
        <v>0</v>
      </c>
      <c r="CX106" s="15">
        <v>0</v>
      </c>
      <c r="CY106" s="15">
        <v>0</v>
      </c>
      <c r="CZ106" s="15">
        <v>0</v>
      </c>
      <c r="DA106" s="15">
        <v>0</v>
      </c>
      <c r="DB106" s="15">
        <v>0</v>
      </c>
      <c r="DC106" s="15">
        <v>0</v>
      </c>
      <c r="DD106" s="15">
        <v>0</v>
      </c>
      <c r="DE106" s="15">
        <v>0</v>
      </c>
      <c r="DF106" s="15">
        <v>0</v>
      </c>
      <c r="DG106" s="15">
        <v>0</v>
      </c>
      <c r="DH106" s="15">
        <v>0</v>
      </c>
      <c r="DI106" s="15">
        <v>0</v>
      </c>
      <c r="DJ106" s="15">
        <v>0</v>
      </c>
      <c r="DK106" s="15">
        <v>0</v>
      </c>
      <c r="DL106" s="15">
        <v>0</v>
      </c>
      <c r="DM106" s="15">
        <v>0</v>
      </c>
      <c r="DN106" s="15">
        <v>0</v>
      </c>
      <c r="DO106" s="15">
        <v>0</v>
      </c>
      <c r="DP106" s="15">
        <v>0</v>
      </c>
      <c r="DQ106" s="15">
        <v>0</v>
      </c>
      <c r="DR106" s="15">
        <v>0</v>
      </c>
      <c r="DS106" s="15">
        <v>0</v>
      </c>
      <c r="DT106" s="15">
        <v>0</v>
      </c>
      <c r="DU106" s="15">
        <v>0</v>
      </c>
      <c r="DV106" s="15">
        <v>0</v>
      </c>
      <c r="DW106" s="15">
        <v>0</v>
      </c>
      <c r="DX106" s="15">
        <v>0</v>
      </c>
      <c r="DY106" s="15">
        <v>0</v>
      </c>
      <c r="DZ106" s="15">
        <v>0</v>
      </c>
      <c r="EA106" s="15">
        <v>0</v>
      </c>
      <c r="EB106" s="15">
        <v>0</v>
      </c>
      <c r="EC106" s="15">
        <v>0</v>
      </c>
      <c r="ED106" s="15">
        <v>0</v>
      </c>
      <c r="EE106" s="15">
        <v>0</v>
      </c>
      <c r="EF106" s="15">
        <v>0</v>
      </c>
    </row>
    <row r="107" spans="1:136" ht="15" customHeight="1" x14ac:dyDescent="0.35">
      <c r="A107" s="8" t="s">
        <v>12</v>
      </c>
      <c r="B107" s="8" t="s">
        <v>36</v>
      </c>
      <c r="C107" s="8" t="s">
        <v>36</v>
      </c>
      <c r="D107" s="8" t="s">
        <v>317</v>
      </c>
      <c r="E107" s="8" t="s">
        <v>10</v>
      </c>
      <c r="F107" s="8" t="s">
        <v>84</v>
      </c>
      <c r="G107" s="15">
        <v>0</v>
      </c>
      <c r="H107" s="15">
        <v>0</v>
      </c>
      <c r="I107" s="15">
        <v>15</v>
      </c>
      <c r="J107" s="15">
        <v>-15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>
        <v>0</v>
      </c>
      <c r="CH107" s="15">
        <v>0</v>
      </c>
      <c r="CI107" s="15">
        <v>0</v>
      </c>
      <c r="CJ107" s="15">
        <v>0</v>
      </c>
      <c r="CK107" s="15">
        <v>0</v>
      </c>
      <c r="CL107" s="15">
        <v>0</v>
      </c>
      <c r="CM107" s="15">
        <v>0</v>
      </c>
      <c r="CN107" s="15">
        <v>0</v>
      </c>
      <c r="CO107" s="15">
        <v>0</v>
      </c>
      <c r="CP107" s="15">
        <v>0</v>
      </c>
      <c r="CQ107" s="15">
        <v>0</v>
      </c>
      <c r="CR107" s="15">
        <v>0</v>
      </c>
      <c r="CS107" s="15">
        <v>0</v>
      </c>
      <c r="CT107" s="15">
        <v>0</v>
      </c>
      <c r="CU107" s="15">
        <v>0</v>
      </c>
      <c r="CV107" s="15">
        <v>0</v>
      </c>
      <c r="CW107" s="15">
        <v>0</v>
      </c>
      <c r="CX107" s="15">
        <v>0</v>
      </c>
      <c r="CY107" s="15">
        <v>0</v>
      </c>
      <c r="CZ107" s="15">
        <v>10</v>
      </c>
      <c r="DA107" s="15">
        <v>5</v>
      </c>
      <c r="DB107" s="15">
        <v>0</v>
      </c>
      <c r="DC107" s="15">
        <v>0</v>
      </c>
      <c r="DD107" s="15">
        <v>0</v>
      </c>
      <c r="DE107" s="15">
        <v>0</v>
      </c>
      <c r="DF107" s="15">
        <v>0</v>
      </c>
      <c r="DG107" s="15">
        <v>0</v>
      </c>
      <c r="DH107" s="15">
        <v>0</v>
      </c>
      <c r="DI107" s="15">
        <v>0</v>
      </c>
      <c r="DJ107" s="15">
        <v>0</v>
      </c>
      <c r="DK107" s="15">
        <v>0</v>
      </c>
      <c r="DL107" s="15">
        <v>0</v>
      </c>
      <c r="DM107" s="15">
        <v>0</v>
      </c>
      <c r="DN107" s="15">
        <v>0</v>
      </c>
      <c r="DO107" s="15">
        <v>0</v>
      </c>
      <c r="DP107" s="15">
        <v>0</v>
      </c>
      <c r="DQ107" s="15">
        <v>0</v>
      </c>
      <c r="DR107" s="15">
        <v>0</v>
      </c>
      <c r="DS107" s="15">
        <v>0</v>
      </c>
      <c r="DT107" s="15">
        <v>0</v>
      </c>
      <c r="DU107" s="15">
        <v>0</v>
      </c>
      <c r="DV107" s="15">
        <v>0</v>
      </c>
      <c r="DW107" s="15">
        <v>0</v>
      </c>
      <c r="DX107" s="15">
        <v>0</v>
      </c>
      <c r="DY107" s="15">
        <v>0</v>
      </c>
      <c r="DZ107" s="15">
        <v>0</v>
      </c>
      <c r="EA107" s="15">
        <v>0</v>
      </c>
      <c r="EB107" s="15">
        <v>0</v>
      </c>
      <c r="EC107" s="15">
        <v>0</v>
      </c>
      <c r="ED107" s="15">
        <v>0</v>
      </c>
      <c r="EE107" s="15">
        <v>0</v>
      </c>
      <c r="EF107" s="15">
        <v>0</v>
      </c>
    </row>
    <row r="108" spans="1:136" ht="15" customHeight="1" x14ac:dyDescent="0.35">
      <c r="A108" s="8" t="s">
        <v>12</v>
      </c>
      <c r="B108" s="8" t="s">
        <v>36</v>
      </c>
      <c r="C108" s="8" t="s">
        <v>36</v>
      </c>
      <c r="D108" s="8" t="s">
        <v>316</v>
      </c>
      <c r="E108" s="8" t="s">
        <v>10</v>
      </c>
      <c r="F108" s="8" t="s">
        <v>84</v>
      </c>
      <c r="G108" s="15">
        <v>0</v>
      </c>
      <c r="H108" s="15">
        <v>15</v>
      </c>
      <c r="I108" s="15">
        <v>0</v>
      </c>
      <c r="J108" s="15">
        <v>15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>
        <v>0</v>
      </c>
      <c r="CH108" s="15">
        <v>0</v>
      </c>
      <c r="CI108" s="15">
        <v>0</v>
      </c>
      <c r="CJ108" s="15">
        <v>0</v>
      </c>
      <c r="CK108" s="15">
        <v>0</v>
      </c>
      <c r="CL108" s="15">
        <v>0</v>
      </c>
      <c r="CM108" s="15">
        <v>0</v>
      </c>
      <c r="CN108" s="15">
        <v>0</v>
      </c>
      <c r="CO108" s="15">
        <v>0</v>
      </c>
      <c r="CP108" s="15">
        <v>0</v>
      </c>
      <c r="CQ108" s="15">
        <v>0</v>
      </c>
      <c r="CR108" s="15">
        <v>0</v>
      </c>
      <c r="CS108" s="15">
        <v>0</v>
      </c>
      <c r="CT108" s="15">
        <v>0</v>
      </c>
      <c r="CU108" s="15">
        <v>0</v>
      </c>
      <c r="CV108" s="15">
        <v>0</v>
      </c>
      <c r="CW108" s="15">
        <v>0</v>
      </c>
      <c r="CX108" s="15">
        <v>0</v>
      </c>
      <c r="CY108" s="15">
        <v>0</v>
      </c>
      <c r="CZ108" s="15">
        <v>0</v>
      </c>
      <c r="DA108" s="15">
        <v>0</v>
      </c>
      <c r="DB108" s="15">
        <v>0</v>
      </c>
      <c r="DC108" s="15">
        <v>0</v>
      </c>
      <c r="DD108" s="15">
        <v>0</v>
      </c>
      <c r="DE108" s="15">
        <v>0</v>
      </c>
      <c r="DF108" s="15">
        <v>0</v>
      </c>
      <c r="DG108" s="15">
        <v>0</v>
      </c>
      <c r="DH108" s="15">
        <v>0</v>
      </c>
      <c r="DI108" s="15">
        <v>0</v>
      </c>
      <c r="DJ108" s="15">
        <v>0</v>
      </c>
      <c r="DK108" s="15">
        <v>0</v>
      </c>
      <c r="DL108" s="15">
        <v>0</v>
      </c>
      <c r="DM108" s="15">
        <v>0</v>
      </c>
      <c r="DN108" s="15">
        <v>0</v>
      </c>
      <c r="DO108" s="15">
        <v>0</v>
      </c>
      <c r="DP108" s="15">
        <v>0</v>
      </c>
      <c r="DQ108" s="15">
        <v>0</v>
      </c>
      <c r="DR108" s="15">
        <v>0</v>
      </c>
      <c r="DS108" s="15">
        <v>0</v>
      </c>
      <c r="DT108" s="15">
        <v>0</v>
      </c>
      <c r="DU108" s="15">
        <v>0</v>
      </c>
      <c r="DV108" s="15">
        <v>0</v>
      </c>
      <c r="DW108" s="15">
        <v>0</v>
      </c>
      <c r="DX108" s="15">
        <v>0</v>
      </c>
      <c r="DY108" s="15">
        <v>0</v>
      </c>
      <c r="DZ108" s="15">
        <v>0</v>
      </c>
      <c r="EA108" s="15">
        <v>0</v>
      </c>
      <c r="EB108" s="15">
        <v>0</v>
      </c>
      <c r="EC108" s="15">
        <v>0</v>
      </c>
      <c r="ED108" s="15">
        <v>0</v>
      </c>
      <c r="EE108" s="15">
        <v>0</v>
      </c>
      <c r="EF108" s="15">
        <v>0</v>
      </c>
    </row>
    <row r="109" spans="1:136" ht="15" customHeight="1" x14ac:dyDescent="0.35">
      <c r="A109" s="8" t="s">
        <v>12</v>
      </c>
      <c r="B109" s="8" t="s">
        <v>36</v>
      </c>
      <c r="C109" s="8" t="s">
        <v>36</v>
      </c>
      <c r="D109" s="8" t="s">
        <v>317</v>
      </c>
      <c r="E109" s="8" t="s">
        <v>10</v>
      </c>
      <c r="F109" s="8" t="s">
        <v>40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15">
        <v>0</v>
      </c>
      <c r="CK109" s="15">
        <v>0</v>
      </c>
      <c r="CL109" s="15">
        <v>0</v>
      </c>
      <c r="CM109" s="15">
        <v>0</v>
      </c>
      <c r="CN109" s="15">
        <v>0</v>
      </c>
      <c r="CO109" s="15">
        <v>0</v>
      </c>
      <c r="CP109" s="15">
        <v>0</v>
      </c>
      <c r="CQ109" s="15">
        <v>0</v>
      </c>
      <c r="CR109" s="15">
        <v>0</v>
      </c>
      <c r="CS109" s="15">
        <v>0</v>
      </c>
      <c r="CT109" s="15">
        <v>0</v>
      </c>
      <c r="CU109" s="15">
        <v>0</v>
      </c>
      <c r="CV109" s="15">
        <v>0</v>
      </c>
      <c r="CW109" s="15">
        <v>0</v>
      </c>
      <c r="CX109" s="15">
        <v>0</v>
      </c>
      <c r="CY109" s="15">
        <v>0</v>
      </c>
      <c r="CZ109" s="15">
        <v>0</v>
      </c>
      <c r="DA109" s="15">
        <v>0</v>
      </c>
      <c r="DB109" s="15">
        <v>0</v>
      </c>
      <c r="DC109" s="15">
        <v>0</v>
      </c>
      <c r="DD109" s="15">
        <v>0</v>
      </c>
      <c r="DE109" s="15">
        <v>0</v>
      </c>
      <c r="DF109" s="15">
        <v>0</v>
      </c>
      <c r="DG109" s="15">
        <v>0</v>
      </c>
      <c r="DH109" s="15">
        <v>0</v>
      </c>
      <c r="DI109" s="15">
        <v>0</v>
      </c>
      <c r="DJ109" s="15">
        <v>0</v>
      </c>
      <c r="DK109" s="15">
        <v>0</v>
      </c>
      <c r="DL109" s="15">
        <v>0</v>
      </c>
      <c r="DM109" s="15">
        <v>0</v>
      </c>
      <c r="DN109" s="15">
        <v>0</v>
      </c>
      <c r="DO109" s="15">
        <v>0</v>
      </c>
      <c r="DP109" s="15">
        <v>0</v>
      </c>
      <c r="DQ109" s="15">
        <v>0</v>
      </c>
      <c r="DR109" s="15">
        <v>0</v>
      </c>
      <c r="DS109" s="15">
        <v>0</v>
      </c>
      <c r="DT109" s="15">
        <v>0</v>
      </c>
      <c r="DU109" s="15">
        <v>0</v>
      </c>
      <c r="DV109" s="15">
        <v>0</v>
      </c>
      <c r="DW109" s="15">
        <v>0</v>
      </c>
      <c r="DX109" s="15">
        <v>0</v>
      </c>
      <c r="DY109" s="15">
        <v>0</v>
      </c>
      <c r="DZ109" s="15">
        <v>0</v>
      </c>
      <c r="EA109" s="15">
        <v>0</v>
      </c>
      <c r="EB109" s="15">
        <v>0</v>
      </c>
      <c r="EC109" s="15">
        <v>0</v>
      </c>
      <c r="ED109" s="15">
        <v>0</v>
      </c>
      <c r="EE109" s="15">
        <v>0</v>
      </c>
      <c r="EF109" s="15">
        <v>0</v>
      </c>
    </row>
    <row r="110" spans="1:136" ht="15" customHeight="1" x14ac:dyDescent="0.35">
      <c r="A110" s="8" t="s">
        <v>12</v>
      </c>
      <c r="B110" s="8" t="s">
        <v>36</v>
      </c>
      <c r="C110" s="8" t="s">
        <v>36</v>
      </c>
      <c r="D110" s="8" t="s">
        <v>316</v>
      </c>
      <c r="E110" s="8" t="s">
        <v>10</v>
      </c>
      <c r="F110" s="8" t="s">
        <v>40</v>
      </c>
      <c r="G110" s="15">
        <v>0</v>
      </c>
      <c r="H110" s="15">
        <v>28</v>
      </c>
      <c r="I110" s="15">
        <v>0</v>
      </c>
      <c r="J110" s="15">
        <v>28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>
        <v>0</v>
      </c>
      <c r="CH110" s="15">
        <v>0</v>
      </c>
      <c r="CI110" s="15">
        <v>0</v>
      </c>
      <c r="CJ110" s="15">
        <v>0</v>
      </c>
      <c r="CK110" s="15">
        <v>0</v>
      </c>
      <c r="CL110" s="15">
        <v>0</v>
      </c>
      <c r="CM110" s="15">
        <v>0</v>
      </c>
      <c r="CN110" s="15">
        <v>0</v>
      </c>
      <c r="CO110" s="15">
        <v>0</v>
      </c>
      <c r="CP110" s="15">
        <v>0</v>
      </c>
      <c r="CQ110" s="15">
        <v>0</v>
      </c>
      <c r="CR110" s="15">
        <v>0</v>
      </c>
      <c r="CS110" s="15">
        <v>0</v>
      </c>
      <c r="CT110" s="15">
        <v>0</v>
      </c>
      <c r="CU110" s="15">
        <v>0</v>
      </c>
      <c r="CV110" s="15">
        <v>0</v>
      </c>
      <c r="CW110" s="15">
        <v>0</v>
      </c>
      <c r="CX110" s="15">
        <v>0</v>
      </c>
      <c r="CY110" s="15">
        <v>0</v>
      </c>
      <c r="CZ110" s="15">
        <v>0</v>
      </c>
      <c r="DA110" s="15">
        <v>0</v>
      </c>
      <c r="DB110" s="15">
        <v>0</v>
      </c>
      <c r="DC110" s="15">
        <v>0</v>
      </c>
      <c r="DD110" s="15">
        <v>0</v>
      </c>
      <c r="DE110" s="15">
        <v>0</v>
      </c>
      <c r="DF110" s="15">
        <v>0</v>
      </c>
      <c r="DG110" s="15">
        <v>0</v>
      </c>
      <c r="DH110" s="15">
        <v>0</v>
      </c>
      <c r="DI110" s="15">
        <v>0</v>
      </c>
      <c r="DJ110" s="15">
        <v>0</v>
      </c>
      <c r="DK110" s="15">
        <v>0</v>
      </c>
      <c r="DL110" s="15">
        <v>0</v>
      </c>
      <c r="DM110" s="15">
        <v>0</v>
      </c>
      <c r="DN110" s="15">
        <v>0</v>
      </c>
      <c r="DO110" s="15">
        <v>0</v>
      </c>
      <c r="DP110" s="15">
        <v>0</v>
      </c>
      <c r="DQ110" s="15">
        <v>0</v>
      </c>
      <c r="DR110" s="15">
        <v>0</v>
      </c>
      <c r="DS110" s="15">
        <v>0</v>
      </c>
      <c r="DT110" s="15">
        <v>0</v>
      </c>
      <c r="DU110" s="15">
        <v>0</v>
      </c>
      <c r="DV110" s="15">
        <v>0</v>
      </c>
      <c r="DW110" s="15">
        <v>0</v>
      </c>
      <c r="DX110" s="15">
        <v>0</v>
      </c>
      <c r="DY110" s="15">
        <v>0</v>
      </c>
      <c r="DZ110" s="15">
        <v>0</v>
      </c>
      <c r="EA110" s="15">
        <v>0</v>
      </c>
      <c r="EB110" s="15">
        <v>0</v>
      </c>
      <c r="EC110" s="15">
        <v>0</v>
      </c>
      <c r="ED110" s="15">
        <v>0</v>
      </c>
      <c r="EE110" s="15">
        <v>0</v>
      </c>
      <c r="EF110" s="15">
        <v>0</v>
      </c>
    </row>
    <row r="111" spans="1:136" ht="15" customHeight="1" x14ac:dyDescent="0.35">
      <c r="A111" s="8" t="s">
        <v>12</v>
      </c>
      <c r="B111" s="8" t="s">
        <v>36</v>
      </c>
      <c r="C111" s="8" t="s">
        <v>36</v>
      </c>
      <c r="D111" s="8" t="s">
        <v>317</v>
      </c>
      <c r="E111" s="8" t="s">
        <v>10</v>
      </c>
      <c r="F111" s="8" t="s">
        <v>97</v>
      </c>
      <c r="G111" s="15">
        <v>0</v>
      </c>
      <c r="H111" s="15">
        <v>0</v>
      </c>
      <c r="I111" s="15">
        <v>187</v>
      </c>
      <c r="J111" s="15">
        <v>-187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6</v>
      </c>
      <c r="AK111" s="15">
        <v>9.5</v>
      </c>
      <c r="AL111" s="15">
        <v>18.5</v>
      </c>
      <c r="AM111" s="15">
        <v>17</v>
      </c>
      <c r="AN111" s="15">
        <v>2</v>
      </c>
      <c r="AO111" s="15">
        <v>6.5</v>
      </c>
      <c r="AP111" s="15">
        <v>0</v>
      </c>
      <c r="AQ111" s="15">
        <v>0</v>
      </c>
      <c r="AR111" s="15">
        <v>13.5</v>
      </c>
      <c r="AS111" s="15">
        <v>4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5">
        <v>0</v>
      </c>
      <c r="CH111" s="15">
        <v>0</v>
      </c>
      <c r="CI111" s="15">
        <v>0</v>
      </c>
      <c r="CJ111" s="15">
        <v>0</v>
      </c>
      <c r="CK111" s="15">
        <v>0</v>
      </c>
      <c r="CL111" s="15">
        <v>0</v>
      </c>
      <c r="CM111" s="15">
        <v>0</v>
      </c>
      <c r="CN111" s="15">
        <v>0</v>
      </c>
      <c r="CO111" s="15">
        <v>0</v>
      </c>
      <c r="CP111" s="15">
        <v>0</v>
      </c>
      <c r="CQ111" s="15">
        <v>0</v>
      </c>
      <c r="CR111" s="15">
        <v>0</v>
      </c>
      <c r="CS111" s="15">
        <v>4</v>
      </c>
      <c r="CT111" s="15">
        <v>0</v>
      </c>
      <c r="CU111" s="15">
        <v>0</v>
      </c>
      <c r="CV111" s="15">
        <v>0</v>
      </c>
      <c r="CW111" s="15">
        <v>0</v>
      </c>
      <c r="CX111" s="15">
        <v>0</v>
      </c>
      <c r="CY111" s="15">
        <v>0</v>
      </c>
      <c r="CZ111" s="15">
        <v>10</v>
      </c>
      <c r="DA111" s="15">
        <v>10</v>
      </c>
      <c r="DB111" s="15">
        <v>10</v>
      </c>
      <c r="DC111" s="15">
        <v>10</v>
      </c>
      <c r="DD111" s="15">
        <v>15</v>
      </c>
      <c r="DE111" s="15">
        <v>0</v>
      </c>
      <c r="DF111" s="15">
        <v>5</v>
      </c>
      <c r="DG111" s="15">
        <v>5</v>
      </c>
      <c r="DH111" s="15">
        <v>5</v>
      </c>
      <c r="DI111" s="15">
        <v>0</v>
      </c>
      <c r="DJ111" s="15">
        <v>0</v>
      </c>
      <c r="DK111" s="15">
        <v>5</v>
      </c>
      <c r="DL111" s="15">
        <v>5</v>
      </c>
      <c r="DM111" s="15">
        <v>5</v>
      </c>
      <c r="DN111" s="15">
        <v>5</v>
      </c>
      <c r="DO111" s="15">
        <v>5</v>
      </c>
      <c r="DP111" s="15">
        <v>5</v>
      </c>
      <c r="DQ111" s="15">
        <v>5</v>
      </c>
      <c r="DR111" s="15">
        <v>5</v>
      </c>
      <c r="DS111" s="15">
        <v>0</v>
      </c>
      <c r="DT111" s="15">
        <v>0</v>
      </c>
      <c r="DU111" s="15">
        <v>0</v>
      </c>
      <c r="DV111" s="15">
        <v>0</v>
      </c>
      <c r="DW111" s="15">
        <v>0</v>
      </c>
      <c r="DX111" s="15">
        <v>0</v>
      </c>
      <c r="DY111" s="15">
        <v>0</v>
      </c>
      <c r="DZ111" s="15">
        <v>0</v>
      </c>
      <c r="EA111" s="15">
        <v>0</v>
      </c>
      <c r="EB111" s="15">
        <v>0</v>
      </c>
      <c r="EC111" s="15">
        <v>0</v>
      </c>
      <c r="ED111" s="15">
        <v>0</v>
      </c>
      <c r="EE111" s="15">
        <v>0</v>
      </c>
      <c r="EF111" s="15">
        <v>0</v>
      </c>
    </row>
    <row r="112" spans="1:136" ht="15" customHeight="1" x14ac:dyDescent="0.35">
      <c r="A112" s="8" t="s">
        <v>12</v>
      </c>
      <c r="B112" s="8" t="s">
        <v>36</v>
      </c>
      <c r="C112" s="8" t="s">
        <v>36</v>
      </c>
      <c r="D112" s="8" t="s">
        <v>316</v>
      </c>
      <c r="E112" s="8" t="s">
        <v>10</v>
      </c>
      <c r="F112" s="8" t="s">
        <v>97</v>
      </c>
      <c r="G112" s="15">
        <v>85</v>
      </c>
      <c r="H112" s="15">
        <v>195</v>
      </c>
      <c r="I112" s="15">
        <v>90.5</v>
      </c>
      <c r="J112" s="15">
        <v>104.5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4</v>
      </c>
      <c r="AF112" s="15">
        <v>32</v>
      </c>
      <c r="AG112" s="15">
        <v>17</v>
      </c>
      <c r="AH112" s="15">
        <v>11.5</v>
      </c>
      <c r="AI112" s="15">
        <v>18</v>
      </c>
      <c r="AJ112" s="15">
        <v>8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0</v>
      </c>
      <c r="CE112" s="15">
        <v>0</v>
      </c>
      <c r="CF112" s="15">
        <v>0</v>
      </c>
      <c r="CG112" s="15">
        <v>0</v>
      </c>
      <c r="CH112" s="15">
        <v>0</v>
      </c>
      <c r="CI112" s="15">
        <v>0</v>
      </c>
      <c r="CJ112" s="15">
        <v>0</v>
      </c>
      <c r="CK112" s="15">
        <v>0</v>
      </c>
      <c r="CL112" s="15">
        <v>0</v>
      </c>
      <c r="CM112" s="15">
        <v>0</v>
      </c>
      <c r="CN112" s="15">
        <v>0</v>
      </c>
      <c r="CO112" s="15">
        <v>0</v>
      </c>
      <c r="CP112" s="15">
        <v>0</v>
      </c>
      <c r="CQ112" s="15">
        <v>0</v>
      </c>
      <c r="CR112" s="15">
        <v>0</v>
      </c>
      <c r="CS112" s="15">
        <v>0</v>
      </c>
      <c r="CT112" s="15">
        <v>0</v>
      </c>
      <c r="CU112" s="15">
        <v>0</v>
      </c>
      <c r="CV112" s="15">
        <v>0</v>
      </c>
      <c r="CW112" s="15">
        <v>0</v>
      </c>
      <c r="CX112" s="15">
        <v>0</v>
      </c>
      <c r="CY112" s="15">
        <v>0</v>
      </c>
      <c r="CZ112" s="15">
        <v>0</v>
      </c>
      <c r="DA112" s="15">
        <v>0</v>
      </c>
      <c r="DB112" s="15">
        <v>0</v>
      </c>
      <c r="DC112" s="15">
        <v>0</v>
      </c>
      <c r="DD112" s="15">
        <v>0</v>
      </c>
      <c r="DE112" s="15">
        <v>0</v>
      </c>
      <c r="DF112" s="15">
        <v>0</v>
      </c>
      <c r="DG112" s="15">
        <v>0</v>
      </c>
      <c r="DH112" s="15">
        <v>0</v>
      </c>
      <c r="DI112" s="15">
        <v>0</v>
      </c>
      <c r="DJ112" s="15">
        <v>0</v>
      </c>
      <c r="DK112" s="15">
        <v>0</v>
      </c>
      <c r="DL112" s="15">
        <v>0</v>
      </c>
      <c r="DM112" s="15">
        <v>0</v>
      </c>
      <c r="DN112" s="15">
        <v>0</v>
      </c>
      <c r="DO112" s="15">
        <v>0</v>
      </c>
      <c r="DP112" s="15">
        <v>0</v>
      </c>
      <c r="DQ112" s="15">
        <v>0</v>
      </c>
      <c r="DR112" s="15">
        <v>0</v>
      </c>
      <c r="DS112" s="15">
        <v>0</v>
      </c>
      <c r="DT112" s="15">
        <v>0</v>
      </c>
      <c r="DU112" s="15">
        <v>0</v>
      </c>
      <c r="DV112" s="15">
        <v>0</v>
      </c>
      <c r="DW112" s="15">
        <v>0</v>
      </c>
      <c r="DX112" s="15">
        <v>0</v>
      </c>
      <c r="DY112" s="15">
        <v>0</v>
      </c>
      <c r="DZ112" s="15">
        <v>0</v>
      </c>
      <c r="EA112" s="15">
        <v>0</v>
      </c>
      <c r="EB112" s="15">
        <v>0</v>
      </c>
      <c r="EC112" s="15">
        <v>0</v>
      </c>
      <c r="ED112" s="15">
        <v>0</v>
      </c>
      <c r="EE112" s="15">
        <v>0</v>
      </c>
      <c r="EF112" s="15">
        <v>0</v>
      </c>
    </row>
    <row r="113" spans="1:136" ht="15" customHeight="1" x14ac:dyDescent="0.35">
      <c r="A113" s="8" t="s">
        <v>12</v>
      </c>
      <c r="B113" s="8" t="s">
        <v>36</v>
      </c>
      <c r="C113" s="8" t="s">
        <v>36</v>
      </c>
      <c r="D113" s="8" t="s">
        <v>317</v>
      </c>
      <c r="E113" s="8" t="s">
        <v>10</v>
      </c>
      <c r="F113" s="8" t="s">
        <v>85</v>
      </c>
      <c r="G113" s="15">
        <v>0</v>
      </c>
      <c r="H113" s="15">
        <v>0</v>
      </c>
      <c r="I113" s="15">
        <v>18.5</v>
      </c>
      <c r="J113" s="15">
        <v>-18.5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1</v>
      </c>
      <c r="AK113" s="15">
        <v>1.5</v>
      </c>
      <c r="AL113" s="15">
        <v>5</v>
      </c>
      <c r="AM113" s="15">
        <v>5.5</v>
      </c>
      <c r="AN113" s="15">
        <v>0.5</v>
      </c>
      <c r="AO113" s="15">
        <v>2</v>
      </c>
      <c r="AP113" s="15">
        <v>0</v>
      </c>
      <c r="AQ113" s="15">
        <v>0</v>
      </c>
      <c r="AR113" s="15">
        <v>1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5">
        <v>0</v>
      </c>
      <c r="CH113" s="15">
        <v>0</v>
      </c>
      <c r="CI113" s="15">
        <v>0</v>
      </c>
      <c r="CJ113" s="15">
        <v>0</v>
      </c>
      <c r="CK113" s="15">
        <v>0</v>
      </c>
      <c r="CL113" s="15">
        <v>0</v>
      </c>
      <c r="CM113" s="15">
        <v>0</v>
      </c>
      <c r="CN113" s="15">
        <v>0</v>
      </c>
      <c r="CO113" s="15">
        <v>0</v>
      </c>
      <c r="CP113" s="15">
        <v>0</v>
      </c>
      <c r="CQ113" s="15">
        <v>0</v>
      </c>
      <c r="CR113" s="15">
        <v>0</v>
      </c>
      <c r="CS113" s="15">
        <v>2</v>
      </c>
      <c r="CT113" s="15">
        <v>0</v>
      </c>
      <c r="CU113" s="15">
        <v>0</v>
      </c>
      <c r="CV113" s="15">
        <v>0</v>
      </c>
      <c r="CW113" s="15">
        <v>0</v>
      </c>
      <c r="CX113" s="15">
        <v>0</v>
      </c>
      <c r="CY113" s="15">
        <v>0</v>
      </c>
      <c r="CZ113" s="15">
        <v>0</v>
      </c>
      <c r="DA113" s="15">
        <v>0</v>
      </c>
      <c r="DB113" s="15">
        <v>0</v>
      </c>
      <c r="DC113" s="15">
        <v>0</v>
      </c>
      <c r="DD113" s="15">
        <v>0</v>
      </c>
      <c r="DE113" s="15">
        <v>0</v>
      </c>
      <c r="DF113" s="15">
        <v>0</v>
      </c>
      <c r="DG113" s="15">
        <v>0</v>
      </c>
      <c r="DH113" s="15">
        <v>0</v>
      </c>
      <c r="DI113" s="15">
        <v>0</v>
      </c>
      <c r="DJ113" s="15">
        <v>0</v>
      </c>
      <c r="DK113" s="15">
        <v>0</v>
      </c>
      <c r="DL113" s="15">
        <v>0</v>
      </c>
      <c r="DM113" s="15">
        <v>0</v>
      </c>
      <c r="DN113" s="15">
        <v>0</v>
      </c>
      <c r="DO113" s="15">
        <v>0</v>
      </c>
      <c r="DP113" s="15">
        <v>0</v>
      </c>
      <c r="DQ113" s="15">
        <v>0</v>
      </c>
      <c r="DR113" s="15">
        <v>0</v>
      </c>
      <c r="DS113" s="15">
        <v>0</v>
      </c>
      <c r="DT113" s="15">
        <v>0</v>
      </c>
      <c r="DU113" s="15">
        <v>0</v>
      </c>
      <c r="DV113" s="15">
        <v>0</v>
      </c>
      <c r="DW113" s="15">
        <v>0</v>
      </c>
      <c r="DX113" s="15">
        <v>0</v>
      </c>
      <c r="DY113" s="15">
        <v>0</v>
      </c>
      <c r="DZ113" s="15">
        <v>0</v>
      </c>
      <c r="EA113" s="15">
        <v>0</v>
      </c>
      <c r="EB113" s="15">
        <v>0</v>
      </c>
      <c r="EC113" s="15">
        <v>0</v>
      </c>
      <c r="ED113" s="15">
        <v>0</v>
      </c>
      <c r="EE113" s="15">
        <v>0</v>
      </c>
      <c r="EF113" s="15">
        <v>0</v>
      </c>
    </row>
    <row r="114" spans="1:136" ht="15" customHeight="1" x14ac:dyDescent="0.35">
      <c r="A114" s="8" t="s">
        <v>12</v>
      </c>
      <c r="B114" s="8" t="s">
        <v>36</v>
      </c>
      <c r="C114" s="8" t="s">
        <v>36</v>
      </c>
      <c r="D114" s="8" t="s">
        <v>316</v>
      </c>
      <c r="E114" s="8" t="s">
        <v>10</v>
      </c>
      <c r="F114" s="8" t="s">
        <v>85</v>
      </c>
      <c r="G114" s="15">
        <v>40.5</v>
      </c>
      <c r="H114" s="15">
        <v>40.5</v>
      </c>
      <c r="I114" s="15">
        <v>43.5</v>
      </c>
      <c r="J114" s="15">
        <v>-3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11</v>
      </c>
      <c r="AC114" s="15">
        <v>3</v>
      </c>
      <c r="AD114" s="15">
        <v>4.5</v>
      </c>
      <c r="AE114" s="15">
        <v>8</v>
      </c>
      <c r="AF114" s="15">
        <v>7.5</v>
      </c>
      <c r="AG114" s="15">
        <v>6.5</v>
      </c>
      <c r="AH114" s="15">
        <v>2.5</v>
      </c>
      <c r="AI114" s="15">
        <v>0.5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0</v>
      </c>
      <c r="CE114" s="15">
        <v>0</v>
      </c>
      <c r="CF114" s="15">
        <v>0</v>
      </c>
      <c r="CG114" s="15">
        <v>0</v>
      </c>
      <c r="CH114" s="15">
        <v>0</v>
      </c>
      <c r="CI114" s="15">
        <v>0</v>
      </c>
      <c r="CJ114" s="15">
        <v>0</v>
      </c>
      <c r="CK114" s="15">
        <v>0</v>
      </c>
      <c r="CL114" s="15">
        <v>0</v>
      </c>
      <c r="CM114" s="15">
        <v>0</v>
      </c>
      <c r="CN114" s="15">
        <v>0</v>
      </c>
      <c r="CO114" s="15">
        <v>0</v>
      </c>
      <c r="CP114" s="15">
        <v>0</v>
      </c>
      <c r="CQ114" s="15">
        <v>0</v>
      </c>
      <c r="CR114" s="15">
        <v>0</v>
      </c>
      <c r="CS114" s="15">
        <v>0</v>
      </c>
      <c r="CT114" s="15">
        <v>0</v>
      </c>
      <c r="CU114" s="15">
        <v>0</v>
      </c>
      <c r="CV114" s="15">
        <v>0</v>
      </c>
      <c r="CW114" s="15">
        <v>0</v>
      </c>
      <c r="CX114" s="15">
        <v>0</v>
      </c>
      <c r="CY114" s="15">
        <v>0</v>
      </c>
      <c r="CZ114" s="15">
        <v>0</v>
      </c>
      <c r="DA114" s="15">
        <v>0</v>
      </c>
      <c r="DB114" s="15">
        <v>0</v>
      </c>
      <c r="DC114" s="15">
        <v>0</v>
      </c>
      <c r="DD114" s="15">
        <v>0</v>
      </c>
      <c r="DE114" s="15">
        <v>0</v>
      </c>
      <c r="DF114" s="15">
        <v>0</v>
      </c>
      <c r="DG114" s="15">
        <v>0</v>
      </c>
      <c r="DH114" s="15">
        <v>0</v>
      </c>
      <c r="DI114" s="15">
        <v>0</v>
      </c>
      <c r="DJ114" s="15">
        <v>0</v>
      </c>
      <c r="DK114" s="15">
        <v>0</v>
      </c>
      <c r="DL114" s="15">
        <v>0</v>
      </c>
      <c r="DM114" s="15">
        <v>0</v>
      </c>
      <c r="DN114" s="15">
        <v>0</v>
      </c>
      <c r="DO114" s="15">
        <v>0</v>
      </c>
      <c r="DP114" s="15">
        <v>0</v>
      </c>
      <c r="DQ114" s="15">
        <v>0</v>
      </c>
      <c r="DR114" s="15">
        <v>0</v>
      </c>
      <c r="DS114" s="15">
        <v>0</v>
      </c>
      <c r="DT114" s="15">
        <v>0</v>
      </c>
      <c r="DU114" s="15">
        <v>0</v>
      </c>
      <c r="DV114" s="15">
        <v>0</v>
      </c>
      <c r="DW114" s="15">
        <v>0</v>
      </c>
      <c r="DX114" s="15">
        <v>0</v>
      </c>
      <c r="DY114" s="15">
        <v>0</v>
      </c>
      <c r="DZ114" s="15">
        <v>0</v>
      </c>
      <c r="EA114" s="15">
        <v>0</v>
      </c>
      <c r="EB114" s="15">
        <v>0</v>
      </c>
      <c r="EC114" s="15">
        <v>0</v>
      </c>
      <c r="ED114" s="15">
        <v>0</v>
      </c>
      <c r="EE114" s="15">
        <v>0</v>
      </c>
      <c r="EF114" s="15">
        <v>0</v>
      </c>
    </row>
    <row r="115" spans="1:136" ht="15" customHeight="1" x14ac:dyDescent="0.35">
      <c r="A115" s="8" t="s">
        <v>12</v>
      </c>
      <c r="B115" s="8" t="s">
        <v>36</v>
      </c>
      <c r="C115" s="8" t="s">
        <v>36</v>
      </c>
      <c r="D115" s="8" t="s">
        <v>316</v>
      </c>
      <c r="E115" s="8" t="s">
        <v>10</v>
      </c>
      <c r="F115" s="8" t="s">
        <v>85</v>
      </c>
      <c r="G115" s="15">
        <v>0</v>
      </c>
      <c r="H115" s="15">
        <v>0</v>
      </c>
      <c r="I115" s="15">
        <v>7</v>
      </c>
      <c r="J115" s="15">
        <v>-7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7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>
        <v>0</v>
      </c>
      <c r="CH115" s="15">
        <v>0</v>
      </c>
      <c r="CI115" s="15">
        <v>0</v>
      </c>
      <c r="CJ115" s="15">
        <v>0</v>
      </c>
      <c r="CK115" s="15">
        <v>0</v>
      </c>
      <c r="CL115" s="15">
        <v>0</v>
      </c>
      <c r="CM115" s="15">
        <v>0</v>
      </c>
      <c r="CN115" s="15">
        <v>0</v>
      </c>
      <c r="CO115" s="15">
        <v>0</v>
      </c>
      <c r="CP115" s="15">
        <v>0</v>
      </c>
      <c r="CQ115" s="15">
        <v>0</v>
      </c>
      <c r="CR115" s="15">
        <v>0</v>
      </c>
      <c r="CS115" s="15">
        <v>0</v>
      </c>
      <c r="CT115" s="15">
        <v>0</v>
      </c>
      <c r="CU115" s="15">
        <v>0</v>
      </c>
      <c r="CV115" s="15">
        <v>0</v>
      </c>
      <c r="CW115" s="15">
        <v>0</v>
      </c>
      <c r="CX115" s="15">
        <v>0</v>
      </c>
      <c r="CY115" s="15">
        <v>0</v>
      </c>
      <c r="CZ115" s="15">
        <v>0</v>
      </c>
      <c r="DA115" s="15">
        <v>0</v>
      </c>
      <c r="DB115" s="15">
        <v>0</v>
      </c>
      <c r="DC115" s="15">
        <v>0</v>
      </c>
      <c r="DD115" s="15">
        <v>0</v>
      </c>
      <c r="DE115" s="15">
        <v>0</v>
      </c>
      <c r="DF115" s="15">
        <v>0</v>
      </c>
      <c r="DG115" s="15">
        <v>0</v>
      </c>
      <c r="DH115" s="15">
        <v>0</v>
      </c>
      <c r="DI115" s="15">
        <v>0</v>
      </c>
      <c r="DJ115" s="15">
        <v>0</v>
      </c>
      <c r="DK115" s="15">
        <v>0</v>
      </c>
      <c r="DL115" s="15">
        <v>0</v>
      </c>
      <c r="DM115" s="15">
        <v>0</v>
      </c>
      <c r="DN115" s="15">
        <v>0</v>
      </c>
      <c r="DO115" s="15">
        <v>0</v>
      </c>
      <c r="DP115" s="15">
        <v>0</v>
      </c>
      <c r="DQ115" s="15">
        <v>0</v>
      </c>
      <c r="DR115" s="15">
        <v>0</v>
      </c>
      <c r="DS115" s="15">
        <v>0</v>
      </c>
      <c r="DT115" s="15">
        <v>0</v>
      </c>
      <c r="DU115" s="15">
        <v>0</v>
      </c>
      <c r="DV115" s="15">
        <v>0</v>
      </c>
      <c r="DW115" s="15">
        <v>0</v>
      </c>
      <c r="DX115" s="15">
        <v>0</v>
      </c>
      <c r="DY115" s="15">
        <v>0</v>
      </c>
      <c r="DZ115" s="15">
        <v>0</v>
      </c>
      <c r="EA115" s="15">
        <v>0</v>
      </c>
      <c r="EB115" s="15">
        <v>0</v>
      </c>
      <c r="EC115" s="15">
        <v>0</v>
      </c>
      <c r="ED115" s="15">
        <v>0</v>
      </c>
      <c r="EE115" s="15">
        <v>0</v>
      </c>
      <c r="EF115" s="15">
        <v>0</v>
      </c>
    </row>
    <row r="116" spans="1:136" ht="15" customHeight="1" x14ac:dyDescent="0.35">
      <c r="A116" s="8" t="s">
        <v>12</v>
      </c>
      <c r="B116" s="8" t="s">
        <v>36</v>
      </c>
      <c r="C116" s="8" t="s">
        <v>36</v>
      </c>
      <c r="D116" s="8" t="s">
        <v>316</v>
      </c>
      <c r="E116" s="8" t="s">
        <v>10</v>
      </c>
      <c r="F116" s="8" t="s">
        <v>86</v>
      </c>
      <c r="G116" s="15">
        <v>0</v>
      </c>
      <c r="H116" s="15">
        <v>0</v>
      </c>
      <c r="I116" s="15">
        <v>34</v>
      </c>
      <c r="J116" s="15">
        <v>-34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4</v>
      </c>
      <c r="Z116" s="15">
        <v>20</v>
      </c>
      <c r="AA116" s="15">
        <v>10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>
        <v>0</v>
      </c>
      <c r="CH116" s="15">
        <v>0</v>
      </c>
      <c r="CI116" s="15">
        <v>0</v>
      </c>
      <c r="CJ116" s="15">
        <v>0</v>
      </c>
      <c r="CK116" s="15">
        <v>0</v>
      </c>
      <c r="CL116" s="15">
        <v>0</v>
      </c>
      <c r="CM116" s="15">
        <v>0</v>
      </c>
      <c r="CN116" s="15">
        <v>0</v>
      </c>
      <c r="CO116" s="15">
        <v>0</v>
      </c>
      <c r="CP116" s="15">
        <v>0</v>
      </c>
      <c r="CQ116" s="15">
        <v>0</v>
      </c>
      <c r="CR116" s="15">
        <v>0</v>
      </c>
      <c r="CS116" s="15">
        <v>0</v>
      </c>
      <c r="CT116" s="15">
        <v>0</v>
      </c>
      <c r="CU116" s="15">
        <v>0</v>
      </c>
      <c r="CV116" s="15">
        <v>0</v>
      </c>
      <c r="CW116" s="15">
        <v>0</v>
      </c>
      <c r="CX116" s="15">
        <v>0</v>
      </c>
      <c r="CY116" s="15">
        <v>0</v>
      </c>
      <c r="CZ116" s="15">
        <v>0</v>
      </c>
      <c r="DA116" s="15">
        <v>0</v>
      </c>
      <c r="DB116" s="15">
        <v>0</v>
      </c>
      <c r="DC116" s="15">
        <v>0</v>
      </c>
      <c r="DD116" s="15">
        <v>0</v>
      </c>
      <c r="DE116" s="15">
        <v>0</v>
      </c>
      <c r="DF116" s="15">
        <v>0</v>
      </c>
      <c r="DG116" s="15">
        <v>0</v>
      </c>
      <c r="DH116" s="15">
        <v>0</v>
      </c>
      <c r="DI116" s="15">
        <v>0</v>
      </c>
      <c r="DJ116" s="15">
        <v>0</v>
      </c>
      <c r="DK116" s="15">
        <v>0</v>
      </c>
      <c r="DL116" s="15">
        <v>0</v>
      </c>
      <c r="DM116" s="15">
        <v>0</v>
      </c>
      <c r="DN116" s="15">
        <v>0</v>
      </c>
      <c r="DO116" s="15">
        <v>0</v>
      </c>
      <c r="DP116" s="15">
        <v>0</v>
      </c>
      <c r="DQ116" s="15">
        <v>0</v>
      </c>
      <c r="DR116" s="15">
        <v>0</v>
      </c>
      <c r="DS116" s="15">
        <v>0</v>
      </c>
      <c r="DT116" s="15">
        <v>0</v>
      </c>
      <c r="DU116" s="15">
        <v>0</v>
      </c>
      <c r="DV116" s="15">
        <v>0</v>
      </c>
      <c r="DW116" s="15">
        <v>0</v>
      </c>
      <c r="DX116" s="15">
        <v>0</v>
      </c>
      <c r="DY116" s="15">
        <v>0</v>
      </c>
      <c r="DZ116" s="15">
        <v>0</v>
      </c>
      <c r="EA116" s="15">
        <v>0</v>
      </c>
      <c r="EB116" s="15">
        <v>0</v>
      </c>
      <c r="EC116" s="15">
        <v>0</v>
      </c>
      <c r="ED116" s="15">
        <v>0</v>
      </c>
      <c r="EE116" s="15">
        <v>0</v>
      </c>
      <c r="EF116" s="15">
        <v>0</v>
      </c>
    </row>
    <row r="117" spans="1:136" ht="15" customHeight="1" x14ac:dyDescent="0.35">
      <c r="A117" s="8" t="s">
        <v>12</v>
      </c>
      <c r="B117" s="8" t="s">
        <v>36</v>
      </c>
      <c r="C117" s="8" t="s">
        <v>36</v>
      </c>
      <c r="D117" s="8" t="s">
        <v>317</v>
      </c>
      <c r="E117" s="8" t="s">
        <v>10</v>
      </c>
      <c r="F117" s="8" t="s">
        <v>111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5">
        <v>0</v>
      </c>
      <c r="CI117" s="15">
        <v>0</v>
      </c>
      <c r="CJ117" s="15">
        <v>0</v>
      </c>
      <c r="CK117" s="15">
        <v>0</v>
      </c>
      <c r="CL117" s="15">
        <v>0</v>
      </c>
      <c r="CM117" s="15">
        <v>0</v>
      </c>
      <c r="CN117" s="15">
        <v>0</v>
      </c>
      <c r="CO117" s="15">
        <v>0</v>
      </c>
      <c r="CP117" s="15">
        <v>0</v>
      </c>
      <c r="CQ117" s="15">
        <v>0</v>
      </c>
      <c r="CR117" s="15">
        <v>0</v>
      </c>
      <c r="CS117" s="15">
        <v>0</v>
      </c>
      <c r="CT117" s="15">
        <v>0</v>
      </c>
      <c r="CU117" s="15">
        <v>0</v>
      </c>
      <c r="CV117" s="15">
        <v>0</v>
      </c>
      <c r="CW117" s="15">
        <v>0</v>
      </c>
      <c r="CX117" s="15">
        <v>0</v>
      </c>
      <c r="CY117" s="15">
        <v>0</v>
      </c>
      <c r="CZ117" s="15">
        <v>0</v>
      </c>
      <c r="DA117" s="15">
        <v>0</v>
      </c>
      <c r="DB117" s="15">
        <v>0</v>
      </c>
      <c r="DC117" s="15">
        <v>0</v>
      </c>
      <c r="DD117" s="15">
        <v>0</v>
      </c>
      <c r="DE117" s="15">
        <v>0</v>
      </c>
      <c r="DF117" s="15">
        <v>0</v>
      </c>
      <c r="DG117" s="15">
        <v>0</v>
      </c>
      <c r="DH117" s="15">
        <v>0</v>
      </c>
      <c r="DI117" s="15">
        <v>0</v>
      </c>
      <c r="DJ117" s="15">
        <v>0</v>
      </c>
      <c r="DK117" s="15">
        <v>0</v>
      </c>
      <c r="DL117" s="15">
        <v>0</v>
      </c>
      <c r="DM117" s="15">
        <v>0</v>
      </c>
      <c r="DN117" s="15">
        <v>0</v>
      </c>
      <c r="DO117" s="15">
        <v>0</v>
      </c>
      <c r="DP117" s="15">
        <v>0</v>
      </c>
      <c r="DQ117" s="15">
        <v>0</v>
      </c>
      <c r="DR117" s="15">
        <v>0</v>
      </c>
      <c r="DS117" s="15">
        <v>0</v>
      </c>
      <c r="DT117" s="15">
        <v>0</v>
      </c>
      <c r="DU117" s="15">
        <v>0</v>
      </c>
      <c r="DV117" s="15">
        <v>0</v>
      </c>
      <c r="DW117" s="15">
        <v>0</v>
      </c>
      <c r="DX117" s="15">
        <v>0</v>
      </c>
      <c r="DY117" s="15">
        <v>0</v>
      </c>
      <c r="DZ117" s="15">
        <v>0</v>
      </c>
      <c r="EA117" s="15">
        <v>0</v>
      </c>
      <c r="EB117" s="15">
        <v>0</v>
      </c>
      <c r="EC117" s="15">
        <v>0</v>
      </c>
      <c r="ED117" s="15">
        <v>0</v>
      </c>
      <c r="EE117" s="15">
        <v>0</v>
      </c>
      <c r="EF117" s="15">
        <v>0</v>
      </c>
    </row>
    <row r="118" spans="1:136" ht="15" customHeight="1" x14ac:dyDescent="0.35">
      <c r="A118" s="8" t="s">
        <v>12</v>
      </c>
      <c r="B118" s="8" t="s">
        <v>36</v>
      </c>
      <c r="C118" s="8" t="s">
        <v>36</v>
      </c>
      <c r="D118" s="8" t="s">
        <v>316</v>
      </c>
      <c r="E118" s="8" t="s">
        <v>10</v>
      </c>
      <c r="F118" s="8" t="s">
        <v>111</v>
      </c>
      <c r="G118" s="15">
        <v>0</v>
      </c>
      <c r="H118" s="15">
        <v>0</v>
      </c>
      <c r="I118" s="15">
        <v>6.5</v>
      </c>
      <c r="J118" s="15">
        <v>-6.5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2</v>
      </c>
      <c r="AH118" s="15">
        <v>4.5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15">
        <v>0</v>
      </c>
      <c r="CK118" s="15">
        <v>0</v>
      </c>
      <c r="CL118" s="15">
        <v>0</v>
      </c>
      <c r="CM118" s="15">
        <v>0</v>
      </c>
      <c r="CN118" s="15">
        <v>0</v>
      </c>
      <c r="CO118" s="15">
        <v>0</v>
      </c>
      <c r="CP118" s="15">
        <v>0</v>
      </c>
      <c r="CQ118" s="15">
        <v>0</v>
      </c>
      <c r="CR118" s="15">
        <v>0</v>
      </c>
      <c r="CS118" s="15">
        <v>0</v>
      </c>
      <c r="CT118" s="15">
        <v>0</v>
      </c>
      <c r="CU118" s="15">
        <v>0</v>
      </c>
      <c r="CV118" s="15">
        <v>0</v>
      </c>
      <c r="CW118" s="15">
        <v>0</v>
      </c>
      <c r="CX118" s="15">
        <v>0</v>
      </c>
      <c r="CY118" s="15">
        <v>0</v>
      </c>
      <c r="CZ118" s="15">
        <v>0</v>
      </c>
      <c r="DA118" s="15">
        <v>0</v>
      </c>
      <c r="DB118" s="15">
        <v>0</v>
      </c>
      <c r="DC118" s="15">
        <v>0</v>
      </c>
      <c r="DD118" s="15">
        <v>0</v>
      </c>
      <c r="DE118" s="15">
        <v>0</v>
      </c>
      <c r="DF118" s="15">
        <v>0</v>
      </c>
      <c r="DG118" s="15">
        <v>0</v>
      </c>
      <c r="DH118" s="15">
        <v>0</v>
      </c>
      <c r="DI118" s="15">
        <v>0</v>
      </c>
      <c r="DJ118" s="15">
        <v>0</v>
      </c>
      <c r="DK118" s="15">
        <v>0</v>
      </c>
      <c r="DL118" s="15">
        <v>0</v>
      </c>
      <c r="DM118" s="15">
        <v>0</v>
      </c>
      <c r="DN118" s="15">
        <v>0</v>
      </c>
      <c r="DO118" s="15">
        <v>0</v>
      </c>
      <c r="DP118" s="15">
        <v>0</v>
      </c>
      <c r="DQ118" s="15">
        <v>0</v>
      </c>
      <c r="DR118" s="15">
        <v>0</v>
      </c>
      <c r="DS118" s="15">
        <v>0</v>
      </c>
      <c r="DT118" s="15">
        <v>0</v>
      </c>
      <c r="DU118" s="15">
        <v>0</v>
      </c>
      <c r="DV118" s="15">
        <v>0</v>
      </c>
      <c r="DW118" s="15">
        <v>0</v>
      </c>
      <c r="DX118" s="15">
        <v>0</v>
      </c>
      <c r="DY118" s="15">
        <v>0</v>
      </c>
      <c r="DZ118" s="15">
        <v>0</v>
      </c>
      <c r="EA118" s="15">
        <v>0</v>
      </c>
      <c r="EB118" s="15">
        <v>0</v>
      </c>
      <c r="EC118" s="15">
        <v>0</v>
      </c>
      <c r="ED118" s="15">
        <v>0</v>
      </c>
      <c r="EE118" s="15">
        <v>0</v>
      </c>
      <c r="EF118" s="15">
        <v>0</v>
      </c>
    </row>
    <row r="119" spans="1:136" ht="15" customHeight="1" x14ac:dyDescent="0.35">
      <c r="A119" s="8" t="s">
        <v>12</v>
      </c>
      <c r="B119" s="8" t="s">
        <v>36</v>
      </c>
      <c r="C119" s="8" t="s">
        <v>36</v>
      </c>
      <c r="D119" s="8" t="s">
        <v>317</v>
      </c>
      <c r="E119" s="8" t="s">
        <v>10</v>
      </c>
      <c r="F119" s="8" t="s">
        <v>112</v>
      </c>
      <c r="G119" s="15">
        <v>0</v>
      </c>
      <c r="H119" s="15">
        <v>62</v>
      </c>
      <c r="I119" s="15">
        <v>62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>
        <v>0</v>
      </c>
      <c r="CH119" s="15">
        <v>0</v>
      </c>
      <c r="CI119" s="15">
        <v>0</v>
      </c>
      <c r="CJ119" s="15">
        <v>0</v>
      </c>
      <c r="CK119" s="15">
        <v>0</v>
      </c>
      <c r="CL119" s="15">
        <v>0</v>
      </c>
      <c r="CM119" s="15">
        <v>0</v>
      </c>
      <c r="CN119" s="15">
        <v>0</v>
      </c>
      <c r="CO119" s="15">
        <v>0</v>
      </c>
      <c r="CP119" s="15">
        <v>0</v>
      </c>
      <c r="CQ119" s="15">
        <v>0</v>
      </c>
      <c r="CR119" s="15">
        <v>0</v>
      </c>
      <c r="CS119" s="15">
        <v>0</v>
      </c>
      <c r="CT119" s="15">
        <v>0</v>
      </c>
      <c r="CU119" s="15">
        <v>0</v>
      </c>
      <c r="CV119" s="15">
        <v>0</v>
      </c>
      <c r="CW119" s="15">
        <v>0</v>
      </c>
      <c r="CX119" s="15">
        <v>0</v>
      </c>
      <c r="CY119" s="15">
        <v>0</v>
      </c>
      <c r="CZ119" s="15">
        <v>0</v>
      </c>
      <c r="DA119" s="15">
        <v>0</v>
      </c>
      <c r="DB119" s="15">
        <v>0</v>
      </c>
      <c r="DC119" s="15">
        <v>0</v>
      </c>
      <c r="DD119" s="15">
        <v>0</v>
      </c>
      <c r="DE119" s="15">
        <v>0</v>
      </c>
      <c r="DF119" s="15">
        <v>0</v>
      </c>
      <c r="DG119" s="15">
        <v>0</v>
      </c>
      <c r="DH119" s="15">
        <v>0</v>
      </c>
      <c r="DI119" s="15">
        <v>0</v>
      </c>
      <c r="DJ119" s="15">
        <v>0</v>
      </c>
      <c r="DK119" s="15">
        <v>2</v>
      </c>
      <c r="DL119" s="15">
        <v>6</v>
      </c>
      <c r="DM119" s="15">
        <v>8</v>
      </c>
      <c r="DN119" s="15">
        <v>8</v>
      </c>
      <c r="DO119" s="15">
        <v>8</v>
      </c>
      <c r="DP119" s="15">
        <v>10</v>
      </c>
      <c r="DQ119" s="15">
        <v>10</v>
      </c>
      <c r="DR119" s="15">
        <v>10</v>
      </c>
      <c r="DS119" s="15">
        <v>0</v>
      </c>
      <c r="DT119" s="15">
        <v>0</v>
      </c>
      <c r="DU119" s="15">
        <v>0</v>
      </c>
      <c r="DV119" s="15">
        <v>0</v>
      </c>
      <c r="DW119" s="15">
        <v>0</v>
      </c>
      <c r="DX119" s="15">
        <v>0</v>
      </c>
      <c r="DY119" s="15">
        <v>0</v>
      </c>
      <c r="DZ119" s="15">
        <v>0</v>
      </c>
      <c r="EA119" s="15">
        <v>0</v>
      </c>
      <c r="EB119" s="15">
        <v>0</v>
      </c>
      <c r="EC119" s="15">
        <v>0</v>
      </c>
      <c r="ED119" s="15">
        <v>0</v>
      </c>
      <c r="EE119" s="15">
        <v>0</v>
      </c>
      <c r="EF119" s="15">
        <v>0</v>
      </c>
    </row>
    <row r="120" spans="1:136" ht="15" customHeight="1" x14ac:dyDescent="0.35">
      <c r="A120" s="8" t="s">
        <v>12</v>
      </c>
      <c r="B120" s="8" t="s">
        <v>36</v>
      </c>
      <c r="C120" s="8" t="s">
        <v>36</v>
      </c>
      <c r="D120" s="8" t="s">
        <v>317</v>
      </c>
      <c r="E120" s="8" t="s">
        <v>10</v>
      </c>
      <c r="F120" s="8" t="s">
        <v>87</v>
      </c>
      <c r="G120" s="15">
        <v>0</v>
      </c>
      <c r="H120" s="15">
        <v>0</v>
      </c>
      <c r="I120" s="15">
        <v>45</v>
      </c>
      <c r="J120" s="15">
        <v>-45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9</v>
      </c>
      <c r="AN120" s="15">
        <v>35.5</v>
      </c>
      <c r="AO120" s="15">
        <v>0.5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>
        <v>0</v>
      </c>
      <c r="CH120" s="15">
        <v>0</v>
      </c>
      <c r="CI120" s="15">
        <v>0</v>
      </c>
      <c r="CJ120" s="15">
        <v>0</v>
      </c>
      <c r="CK120" s="15">
        <v>0</v>
      </c>
      <c r="CL120" s="15">
        <v>0</v>
      </c>
      <c r="CM120" s="15">
        <v>0</v>
      </c>
      <c r="CN120" s="15">
        <v>0</v>
      </c>
      <c r="CO120" s="15">
        <v>0</v>
      </c>
      <c r="CP120" s="15">
        <v>0</v>
      </c>
      <c r="CQ120" s="15">
        <v>0</v>
      </c>
      <c r="CR120" s="15">
        <v>0</v>
      </c>
      <c r="CS120" s="15">
        <v>0</v>
      </c>
      <c r="CT120" s="15">
        <v>0</v>
      </c>
      <c r="CU120" s="15">
        <v>0</v>
      </c>
      <c r="CV120" s="15">
        <v>0</v>
      </c>
      <c r="CW120" s="15">
        <v>0</v>
      </c>
      <c r="CX120" s="15">
        <v>0</v>
      </c>
      <c r="CY120" s="15">
        <v>0</v>
      </c>
      <c r="CZ120" s="15">
        <v>0</v>
      </c>
      <c r="DA120" s="15">
        <v>0</v>
      </c>
      <c r="DB120" s="15">
        <v>0</v>
      </c>
      <c r="DC120" s="15">
        <v>0</v>
      </c>
      <c r="DD120" s="15">
        <v>0</v>
      </c>
      <c r="DE120" s="15">
        <v>0</v>
      </c>
      <c r="DF120" s="15">
        <v>0</v>
      </c>
      <c r="DG120" s="15">
        <v>0</v>
      </c>
      <c r="DH120" s="15">
        <v>0</v>
      </c>
      <c r="DI120" s="15">
        <v>0</v>
      </c>
      <c r="DJ120" s="15">
        <v>0</v>
      </c>
      <c r="DK120" s="15">
        <v>0</v>
      </c>
      <c r="DL120" s="15">
        <v>0</v>
      </c>
      <c r="DM120" s="15">
        <v>0</v>
      </c>
      <c r="DN120" s="15">
        <v>0</v>
      </c>
      <c r="DO120" s="15">
        <v>0</v>
      </c>
      <c r="DP120" s="15">
        <v>0</v>
      </c>
      <c r="DQ120" s="15">
        <v>0</v>
      </c>
      <c r="DR120" s="15">
        <v>0</v>
      </c>
      <c r="DS120" s="15">
        <v>0</v>
      </c>
      <c r="DT120" s="15">
        <v>0</v>
      </c>
      <c r="DU120" s="15">
        <v>0</v>
      </c>
      <c r="DV120" s="15">
        <v>0</v>
      </c>
      <c r="DW120" s="15">
        <v>0</v>
      </c>
      <c r="DX120" s="15">
        <v>0</v>
      </c>
      <c r="DY120" s="15">
        <v>0</v>
      </c>
      <c r="DZ120" s="15">
        <v>0</v>
      </c>
      <c r="EA120" s="15">
        <v>0</v>
      </c>
      <c r="EB120" s="15">
        <v>0</v>
      </c>
      <c r="EC120" s="15">
        <v>0</v>
      </c>
      <c r="ED120" s="15">
        <v>0</v>
      </c>
      <c r="EE120" s="15">
        <v>0</v>
      </c>
      <c r="EF120" s="15">
        <v>0</v>
      </c>
    </row>
    <row r="121" spans="1:136" ht="15" customHeight="1" x14ac:dyDescent="0.35">
      <c r="A121" s="8" t="s">
        <v>12</v>
      </c>
      <c r="B121" s="8" t="s">
        <v>36</v>
      </c>
      <c r="C121" s="8" t="s">
        <v>36</v>
      </c>
      <c r="D121" s="8" t="s">
        <v>316</v>
      </c>
      <c r="E121" s="8" t="s">
        <v>10</v>
      </c>
      <c r="F121" s="8" t="s">
        <v>87</v>
      </c>
      <c r="G121" s="15">
        <v>18</v>
      </c>
      <c r="H121" s="15">
        <v>18</v>
      </c>
      <c r="I121" s="15">
        <v>0</v>
      </c>
      <c r="J121" s="15">
        <v>18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>
        <v>0</v>
      </c>
      <c r="CH121" s="15">
        <v>0</v>
      </c>
      <c r="CI121" s="15">
        <v>0</v>
      </c>
      <c r="CJ121" s="15">
        <v>0</v>
      </c>
      <c r="CK121" s="15">
        <v>0</v>
      </c>
      <c r="CL121" s="15">
        <v>0</v>
      </c>
      <c r="CM121" s="15">
        <v>0</v>
      </c>
      <c r="CN121" s="15">
        <v>0</v>
      </c>
      <c r="CO121" s="15">
        <v>0</v>
      </c>
      <c r="CP121" s="15">
        <v>0</v>
      </c>
      <c r="CQ121" s="15">
        <v>0</v>
      </c>
      <c r="CR121" s="15">
        <v>0</v>
      </c>
      <c r="CS121" s="15">
        <v>0</v>
      </c>
      <c r="CT121" s="15">
        <v>0</v>
      </c>
      <c r="CU121" s="15">
        <v>0</v>
      </c>
      <c r="CV121" s="15">
        <v>0</v>
      </c>
      <c r="CW121" s="15">
        <v>0</v>
      </c>
      <c r="CX121" s="15">
        <v>0</v>
      </c>
      <c r="CY121" s="15">
        <v>0</v>
      </c>
      <c r="CZ121" s="15">
        <v>0</v>
      </c>
      <c r="DA121" s="15">
        <v>0</v>
      </c>
      <c r="DB121" s="15">
        <v>0</v>
      </c>
      <c r="DC121" s="15">
        <v>0</v>
      </c>
      <c r="DD121" s="15">
        <v>0</v>
      </c>
      <c r="DE121" s="15">
        <v>0</v>
      </c>
      <c r="DF121" s="15">
        <v>0</v>
      </c>
      <c r="DG121" s="15">
        <v>0</v>
      </c>
      <c r="DH121" s="15">
        <v>0</v>
      </c>
      <c r="DI121" s="15">
        <v>0</v>
      </c>
      <c r="DJ121" s="15">
        <v>0</v>
      </c>
      <c r="DK121" s="15">
        <v>0</v>
      </c>
      <c r="DL121" s="15">
        <v>0</v>
      </c>
      <c r="DM121" s="15">
        <v>0</v>
      </c>
      <c r="DN121" s="15">
        <v>0</v>
      </c>
      <c r="DO121" s="15">
        <v>0</v>
      </c>
      <c r="DP121" s="15">
        <v>0</v>
      </c>
      <c r="DQ121" s="15">
        <v>0</v>
      </c>
      <c r="DR121" s="15">
        <v>0</v>
      </c>
      <c r="DS121" s="15">
        <v>0</v>
      </c>
      <c r="DT121" s="15">
        <v>0</v>
      </c>
      <c r="DU121" s="15">
        <v>0</v>
      </c>
      <c r="DV121" s="15">
        <v>0</v>
      </c>
      <c r="DW121" s="15">
        <v>0</v>
      </c>
      <c r="DX121" s="15">
        <v>0</v>
      </c>
      <c r="DY121" s="15">
        <v>0</v>
      </c>
      <c r="DZ121" s="15">
        <v>0</v>
      </c>
      <c r="EA121" s="15">
        <v>0</v>
      </c>
      <c r="EB121" s="15">
        <v>0</v>
      </c>
      <c r="EC121" s="15">
        <v>0</v>
      </c>
      <c r="ED121" s="15">
        <v>0</v>
      </c>
      <c r="EE121" s="15">
        <v>0</v>
      </c>
      <c r="EF121" s="15">
        <v>0</v>
      </c>
    </row>
    <row r="122" spans="1:136" ht="15" customHeight="1" x14ac:dyDescent="0.35">
      <c r="A122" s="8" t="s">
        <v>12</v>
      </c>
      <c r="B122" s="8" t="s">
        <v>36</v>
      </c>
      <c r="C122" s="8" t="s">
        <v>36</v>
      </c>
      <c r="D122" s="8" t="s">
        <v>317</v>
      </c>
      <c r="E122" s="8" t="s">
        <v>10</v>
      </c>
      <c r="F122" s="8" t="s">
        <v>88</v>
      </c>
      <c r="G122" s="15">
        <v>0</v>
      </c>
      <c r="H122" s="15">
        <v>0</v>
      </c>
      <c r="I122" s="15">
        <v>18</v>
      </c>
      <c r="J122" s="15">
        <v>-18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0</v>
      </c>
      <c r="BZ122" s="15">
        <v>0</v>
      </c>
      <c r="CA122" s="15">
        <v>0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>
        <v>0</v>
      </c>
      <c r="CH122" s="15">
        <v>0</v>
      </c>
      <c r="CI122" s="15">
        <v>0</v>
      </c>
      <c r="CJ122" s="15">
        <v>0</v>
      </c>
      <c r="CK122" s="15">
        <v>0</v>
      </c>
      <c r="CL122" s="15">
        <v>0</v>
      </c>
      <c r="CM122" s="15">
        <v>0</v>
      </c>
      <c r="CN122" s="15">
        <v>0</v>
      </c>
      <c r="CO122" s="15">
        <v>0</v>
      </c>
      <c r="CP122" s="15">
        <v>0</v>
      </c>
      <c r="CQ122" s="15">
        <v>0</v>
      </c>
      <c r="CR122" s="15">
        <v>0</v>
      </c>
      <c r="CS122" s="15">
        <v>0</v>
      </c>
      <c r="CT122" s="15">
        <v>0</v>
      </c>
      <c r="CU122" s="15">
        <v>0</v>
      </c>
      <c r="CV122" s="15">
        <v>0</v>
      </c>
      <c r="CW122" s="15">
        <v>0</v>
      </c>
      <c r="CX122" s="15">
        <v>0</v>
      </c>
      <c r="CY122" s="15">
        <v>0</v>
      </c>
      <c r="CZ122" s="15">
        <v>12</v>
      </c>
      <c r="DA122" s="15">
        <v>6</v>
      </c>
      <c r="DB122" s="15">
        <v>0</v>
      </c>
      <c r="DC122" s="15">
        <v>0</v>
      </c>
      <c r="DD122" s="15">
        <v>0</v>
      </c>
      <c r="DE122" s="15">
        <v>0</v>
      </c>
      <c r="DF122" s="15">
        <v>0</v>
      </c>
      <c r="DG122" s="15">
        <v>0</v>
      </c>
      <c r="DH122" s="15">
        <v>0</v>
      </c>
      <c r="DI122" s="15">
        <v>0</v>
      </c>
      <c r="DJ122" s="15">
        <v>0</v>
      </c>
      <c r="DK122" s="15">
        <v>0</v>
      </c>
      <c r="DL122" s="15">
        <v>0</v>
      </c>
      <c r="DM122" s="15">
        <v>0</v>
      </c>
      <c r="DN122" s="15">
        <v>0</v>
      </c>
      <c r="DO122" s="15">
        <v>0</v>
      </c>
      <c r="DP122" s="15">
        <v>0</v>
      </c>
      <c r="DQ122" s="15">
        <v>0</v>
      </c>
      <c r="DR122" s="15">
        <v>0</v>
      </c>
      <c r="DS122" s="15">
        <v>0</v>
      </c>
      <c r="DT122" s="15">
        <v>0</v>
      </c>
      <c r="DU122" s="15">
        <v>0</v>
      </c>
      <c r="DV122" s="15">
        <v>0</v>
      </c>
      <c r="DW122" s="15">
        <v>0</v>
      </c>
      <c r="DX122" s="15">
        <v>0</v>
      </c>
      <c r="DY122" s="15">
        <v>0</v>
      </c>
      <c r="DZ122" s="15">
        <v>0</v>
      </c>
      <c r="EA122" s="15">
        <v>0</v>
      </c>
      <c r="EB122" s="15">
        <v>0</v>
      </c>
      <c r="EC122" s="15">
        <v>0</v>
      </c>
      <c r="ED122" s="15">
        <v>0</v>
      </c>
      <c r="EE122" s="15">
        <v>0</v>
      </c>
      <c r="EF122" s="15">
        <v>0</v>
      </c>
    </row>
    <row r="123" spans="1:136" ht="15" customHeight="1" x14ac:dyDescent="0.35">
      <c r="A123" s="8" t="s">
        <v>12</v>
      </c>
      <c r="B123" s="8" t="s">
        <v>36</v>
      </c>
      <c r="C123" s="8" t="s">
        <v>36</v>
      </c>
      <c r="D123" s="8" t="s">
        <v>316</v>
      </c>
      <c r="E123" s="8" t="s">
        <v>10</v>
      </c>
      <c r="F123" s="8" t="s">
        <v>88</v>
      </c>
      <c r="G123" s="15">
        <v>0</v>
      </c>
      <c r="H123" s="15">
        <v>18</v>
      </c>
      <c r="I123" s="15">
        <v>0</v>
      </c>
      <c r="J123" s="15">
        <v>18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5">
        <v>0</v>
      </c>
      <c r="CH123" s="15">
        <v>0</v>
      </c>
      <c r="CI123" s="15">
        <v>0</v>
      </c>
      <c r="CJ123" s="15">
        <v>0</v>
      </c>
      <c r="CK123" s="15">
        <v>0</v>
      </c>
      <c r="CL123" s="15">
        <v>0</v>
      </c>
      <c r="CM123" s="15">
        <v>0</v>
      </c>
      <c r="CN123" s="15">
        <v>0</v>
      </c>
      <c r="CO123" s="15">
        <v>0</v>
      </c>
      <c r="CP123" s="15">
        <v>0</v>
      </c>
      <c r="CQ123" s="15">
        <v>0</v>
      </c>
      <c r="CR123" s="15">
        <v>0</v>
      </c>
      <c r="CS123" s="15">
        <v>0</v>
      </c>
      <c r="CT123" s="15">
        <v>0</v>
      </c>
      <c r="CU123" s="15">
        <v>0</v>
      </c>
      <c r="CV123" s="15">
        <v>0</v>
      </c>
      <c r="CW123" s="15">
        <v>0</v>
      </c>
      <c r="CX123" s="15">
        <v>0</v>
      </c>
      <c r="CY123" s="15">
        <v>0</v>
      </c>
      <c r="CZ123" s="15">
        <v>0</v>
      </c>
      <c r="DA123" s="15">
        <v>0</v>
      </c>
      <c r="DB123" s="15">
        <v>0</v>
      </c>
      <c r="DC123" s="15">
        <v>0</v>
      </c>
      <c r="DD123" s="15">
        <v>0</v>
      </c>
      <c r="DE123" s="15">
        <v>0</v>
      </c>
      <c r="DF123" s="15">
        <v>0</v>
      </c>
      <c r="DG123" s="15">
        <v>0</v>
      </c>
      <c r="DH123" s="15">
        <v>0</v>
      </c>
      <c r="DI123" s="15">
        <v>0</v>
      </c>
      <c r="DJ123" s="15">
        <v>0</v>
      </c>
      <c r="DK123" s="15">
        <v>0</v>
      </c>
      <c r="DL123" s="15">
        <v>0</v>
      </c>
      <c r="DM123" s="15">
        <v>0</v>
      </c>
      <c r="DN123" s="15">
        <v>0</v>
      </c>
      <c r="DO123" s="15">
        <v>0</v>
      </c>
      <c r="DP123" s="15">
        <v>0</v>
      </c>
      <c r="DQ123" s="15">
        <v>0</v>
      </c>
      <c r="DR123" s="15">
        <v>0</v>
      </c>
      <c r="DS123" s="15">
        <v>0</v>
      </c>
      <c r="DT123" s="15">
        <v>0</v>
      </c>
      <c r="DU123" s="15">
        <v>0</v>
      </c>
      <c r="DV123" s="15">
        <v>0</v>
      </c>
      <c r="DW123" s="15">
        <v>0</v>
      </c>
      <c r="DX123" s="15">
        <v>0</v>
      </c>
      <c r="DY123" s="15">
        <v>0</v>
      </c>
      <c r="DZ123" s="15">
        <v>0</v>
      </c>
      <c r="EA123" s="15">
        <v>0</v>
      </c>
      <c r="EB123" s="15">
        <v>0</v>
      </c>
      <c r="EC123" s="15">
        <v>0</v>
      </c>
      <c r="ED123" s="15">
        <v>0</v>
      </c>
      <c r="EE123" s="15">
        <v>0</v>
      </c>
      <c r="EF123" s="15">
        <v>0</v>
      </c>
    </row>
    <row r="124" spans="1:136" ht="15" customHeight="1" x14ac:dyDescent="0.35">
      <c r="A124" s="8" t="s">
        <v>12</v>
      </c>
      <c r="B124" s="8" t="s">
        <v>36</v>
      </c>
      <c r="C124" s="8" t="s">
        <v>36</v>
      </c>
      <c r="D124" s="8" t="s">
        <v>317</v>
      </c>
      <c r="E124" s="8" t="s">
        <v>10</v>
      </c>
      <c r="F124" s="8" t="s">
        <v>105</v>
      </c>
      <c r="G124" s="15">
        <v>0</v>
      </c>
      <c r="H124" s="15">
        <v>0</v>
      </c>
      <c r="I124" s="15">
        <v>6</v>
      </c>
      <c r="J124" s="15">
        <v>-6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4.5</v>
      </c>
      <c r="AL124" s="15">
        <v>1.5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0</v>
      </c>
      <c r="CG124" s="15">
        <v>0</v>
      </c>
      <c r="CH124" s="15">
        <v>0</v>
      </c>
      <c r="CI124" s="15">
        <v>0</v>
      </c>
      <c r="CJ124" s="15">
        <v>0</v>
      </c>
      <c r="CK124" s="15">
        <v>0</v>
      </c>
      <c r="CL124" s="15">
        <v>0</v>
      </c>
      <c r="CM124" s="15">
        <v>0</v>
      </c>
      <c r="CN124" s="15">
        <v>0</v>
      </c>
      <c r="CO124" s="15">
        <v>0</v>
      </c>
      <c r="CP124" s="15">
        <v>0</v>
      </c>
      <c r="CQ124" s="15">
        <v>0</v>
      </c>
      <c r="CR124" s="15">
        <v>0</v>
      </c>
      <c r="CS124" s="15">
        <v>0</v>
      </c>
      <c r="CT124" s="15">
        <v>0</v>
      </c>
      <c r="CU124" s="15">
        <v>0</v>
      </c>
      <c r="CV124" s="15">
        <v>0</v>
      </c>
      <c r="CW124" s="15">
        <v>0</v>
      </c>
      <c r="CX124" s="15">
        <v>0</v>
      </c>
      <c r="CY124" s="15">
        <v>0</v>
      </c>
      <c r="CZ124" s="15">
        <v>0</v>
      </c>
      <c r="DA124" s="15">
        <v>0</v>
      </c>
      <c r="DB124" s="15">
        <v>0</v>
      </c>
      <c r="DC124" s="15">
        <v>0</v>
      </c>
      <c r="DD124" s="15">
        <v>0</v>
      </c>
      <c r="DE124" s="15">
        <v>0</v>
      </c>
      <c r="DF124" s="15">
        <v>0</v>
      </c>
      <c r="DG124" s="15">
        <v>0</v>
      </c>
      <c r="DH124" s="15">
        <v>0</v>
      </c>
      <c r="DI124" s="15">
        <v>0</v>
      </c>
      <c r="DJ124" s="15">
        <v>0</v>
      </c>
      <c r="DK124" s="15">
        <v>0</v>
      </c>
      <c r="DL124" s="15">
        <v>0</v>
      </c>
      <c r="DM124" s="15">
        <v>0</v>
      </c>
      <c r="DN124" s="15">
        <v>0</v>
      </c>
      <c r="DO124" s="15">
        <v>0</v>
      </c>
      <c r="DP124" s="15">
        <v>0</v>
      </c>
      <c r="DQ124" s="15">
        <v>0</v>
      </c>
      <c r="DR124" s="15">
        <v>0</v>
      </c>
      <c r="DS124" s="15">
        <v>0</v>
      </c>
      <c r="DT124" s="15">
        <v>0</v>
      </c>
      <c r="DU124" s="15">
        <v>0</v>
      </c>
      <c r="DV124" s="15">
        <v>0</v>
      </c>
      <c r="DW124" s="15">
        <v>0</v>
      </c>
      <c r="DX124" s="15">
        <v>0</v>
      </c>
      <c r="DY124" s="15">
        <v>0</v>
      </c>
      <c r="DZ124" s="15">
        <v>0</v>
      </c>
      <c r="EA124" s="15">
        <v>0</v>
      </c>
      <c r="EB124" s="15">
        <v>0</v>
      </c>
      <c r="EC124" s="15">
        <v>0</v>
      </c>
      <c r="ED124" s="15">
        <v>0</v>
      </c>
      <c r="EE124" s="15">
        <v>0</v>
      </c>
      <c r="EF124" s="15">
        <v>0</v>
      </c>
    </row>
    <row r="125" spans="1:136" ht="15" customHeight="1" x14ac:dyDescent="0.35">
      <c r="A125" s="8" t="s">
        <v>12</v>
      </c>
      <c r="B125" s="8" t="s">
        <v>36</v>
      </c>
      <c r="C125" s="8" t="s">
        <v>36</v>
      </c>
      <c r="D125" s="8" t="s">
        <v>316</v>
      </c>
      <c r="E125" s="8" t="s">
        <v>10</v>
      </c>
      <c r="F125" s="8" t="s">
        <v>105</v>
      </c>
      <c r="G125" s="15">
        <v>0.5</v>
      </c>
      <c r="H125" s="15">
        <v>0.5</v>
      </c>
      <c r="I125" s="15">
        <v>0.5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0.5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0</v>
      </c>
      <c r="CJ125" s="15">
        <v>0</v>
      </c>
      <c r="CK125" s="15">
        <v>0</v>
      </c>
      <c r="CL125" s="15">
        <v>0</v>
      </c>
      <c r="CM125" s="15">
        <v>0</v>
      </c>
      <c r="CN125" s="15">
        <v>0</v>
      </c>
      <c r="CO125" s="15">
        <v>0</v>
      </c>
      <c r="CP125" s="15">
        <v>0</v>
      </c>
      <c r="CQ125" s="15">
        <v>0</v>
      </c>
      <c r="CR125" s="15">
        <v>0</v>
      </c>
      <c r="CS125" s="15">
        <v>0</v>
      </c>
      <c r="CT125" s="15">
        <v>0</v>
      </c>
      <c r="CU125" s="15">
        <v>0</v>
      </c>
      <c r="CV125" s="15">
        <v>0</v>
      </c>
      <c r="CW125" s="15">
        <v>0</v>
      </c>
      <c r="CX125" s="15">
        <v>0</v>
      </c>
      <c r="CY125" s="15">
        <v>0</v>
      </c>
      <c r="CZ125" s="15">
        <v>0</v>
      </c>
      <c r="DA125" s="15">
        <v>0</v>
      </c>
      <c r="DB125" s="15">
        <v>0</v>
      </c>
      <c r="DC125" s="15">
        <v>0</v>
      </c>
      <c r="DD125" s="15">
        <v>0</v>
      </c>
      <c r="DE125" s="15">
        <v>0</v>
      </c>
      <c r="DF125" s="15">
        <v>0</v>
      </c>
      <c r="DG125" s="15">
        <v>0</v>
      </c>
      <c r="DH125" s="15">
        <v>0</v>
      </c>
      <c r="DI125" s="15">
        <v>0</v>
      </c>
      <c r="DJ125" s="15">
        <v>0</v>
      </c>
      <c r="DK125" s="15">
        <v>0</v>
      </c>
      <c r="DL125" s="15">
        <v>0</v>
      </c>
      <c r="DM125" s="15">
        <v>0</v>
      </c>
      <c r="DN125" s="15">
        <v>0</v>
      </c>
      <c r="DO125" s="15">
        <v>0</v>
      </c>
      <c r="DP125" s="15">
        <v>0</v>
      </c>
      <c r="DQ125" s="15">
        <v>0</v>
      </c>
      <c r="DR125" s="15">
        <v>0</v>
      </c>
      <c r="DS125" s="15">
        <v>0</v>
      </c>
      <c r="DT125" s="15">
        <v>0</v>
      </c>
      <c r="DU125" s="15">
        <v>0</v>
      </c>
      <c r="DV125" s="15">
        <v>0</v>
      </c>
      <c r="DW125" s="15">
        <v>0</v>
      </c>
      <c r="DX125" s="15">
        <v>0</v>
      </c>
      <c r="DY125" s="15">
        <v>0</v>
      </c>
      <c r="DZ125" s="15">
        <v>0</v>
      </c>
      <c r="EA125" s="15">
        <v>0</v>
      </c>
      <c r="EB125" s="15">
        <v>0</v>
      </c>
      <c r="EC125" s="15">
        <v>0</v>
      </c>
      <c r="ED125" s="15">
        <v>0</v>
      </c>
      <c r="EE125" s="15">
        <v>0</v>
      </c>
      <c r="EF125" s="15">
        <v>0</v>
      </c>
    </row>
    <row r="126" spans="1:136" ht="15" customHeight="1" x14ac:dyDescent="0.35">
      <c r="A126" s="8" t="s">
        <v>12</v>
      </c>
      <c r="B126" s="8" t="s">
        <v>22</v>
      </c>
      <c r="C126" s="8" t="s">
        <v>22</v>
      </c>
      <c r="D126" s="8" t="s">
        <v>317</v>
      </c>
      <c r="E126" s="8" t="s">
        <v>10</v>
      </c>
      <c r="F126" s="8" t="s">
        <v>113</v>
      </c>
      <c r="G126" s="15">
        <v>0</v>
      </c>
      <c r="H126" s="15">
        <v>0</v>
      </c>
      <c r="I126" s="15">
        <v>70</v>
      </c>
      <c r="J126" s="15">
        <v>-70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>
        <v>0</v>
      </c>
      <c r="CH126" s="15">
        <v>0</v>
      </c>
      <c r="CI126" s="15">
        <v>0</v>
      </c>
      <c r="CJ126" s="15">
        <v>0</v>
      </c>
      <c r="CK126" s="15">
        <v>0</v>
      </c>
      <c r="CL126" s="15">
        <v>0</v>
      </c>
      <c r="CM126" s="15">
        <v>0</v>
      </c>
      <c r="CN126" s="15">
        <v>0</v>
      </c>
      <c r="CO126" s="15">
        <v>0</v>
      </c>
      <c r="CP126" s="15">
        <v>0</v>
      </c>
      <c r="CQ126" s="15">
        <v>0</v>
      </c>
      <c r="CR126" s="15">
        <v>0</v>
      </c>
      <c r="CS126" s="15">
        <v>0</v>
      </c>
      <c r="CT126" s="15">
        <v>0</v>
      </c>
      <c r="CU126" s="15">
        <v>3</v>
      </c>
      <c r="CV126" s="15">
        <v>3</v>
      </c>
      <c r="CW126" s="15">
        <v>3</v>
      </c>
      <c r="CX126" s="15">
        <v>3</v>
      </c>
      <c r="CY126" s="15">
        <v>3</v>
      </c>
      <c r="CZ126" s="15">
        <v>3</v>
      </c>
      <c r="DA126" s="15">
        <v>0</v>
      </c>
      <c r="DB126" s="15">
        <v>0</v>
      </c>
      <c r="DC126" s="15">
        <v>0</v>
      </c>
      <c r="DD126" s="15">
        <v>0</v>
      </c>
      <c r="DE126" s="15">
        <v>0</v>
      </c>
      <c r="DF126" s="15">
        <v>0</v>
      </c>
      <c r="DG126" s="15">
        <v>0</v>
      </c>
      <c r="DH126" s="15">
        <v>0</v>
      </c>
      <c r="DI126" s="15">
        <v>0</v>
      </c>
      <c r="DJ126" s="15">
        <v>0</v>
      </c>
      <c r="DK126" s="15">
        <v>0</v>
      </c>
      <c r="DL126" s="15">
        <v>0</v>
      </c>
      <c r="DM126" s="15">
        <v>0</v>
      </c>
      <c r="DN126" s="15">
        <v>0</v>
      </c>
      <c r="DO126" s="15">
        <v>0</v>
      </c>
      <c r="DP126" s="15">
        <v>0</v>
      </c>
      <c r="DQ126" s="15">
        <v>0</v>
      </c>
      <c r="DR126" s="15">
        <v>0</v>
      </c>
      <c r="DS126" s="15">
        <v>12</v>
      </c>
      <c r="DT126" s="15">
        <v>16</v>
      </c>
      <c r="DU126" s="15">
        <v>16</v>
      </c>
      <c r="DV126" s="15">
        <v>8</v>
      </c>
      <c r="DW126" s="15">
        <v>0</v>
      </c>
      <c r="DX126" s="15">
        <v>0</v>
      </c>
      <c r="DY126" s="15">
        <v>0</v>
      </c>
      <c r="DZ126" s="15">
        <v>0</v>
      </c>
      <c r="EA126" s="15">
        <v>0</v>
      </c>
      <c r="EB126" s="15">
        <v>0</v>
      </c>
      <c r="EC126" s="15">
        <v>0</v>
      </c>
      <c r="ED126" s="15">
        <v>0</v>
      </c>
      <c r="EE126" s="15">
        <v>0</v>
      </c>
      <c r="EF126" s="15">
        <v>0</v>
      </c>
    </row>
    <row r="127" spans="1:136" ht="15" customHeight="1" x14ac:dyDescent="0.35">
      <c r="A127" s="8" t="s">
        <v>12</v>
      </c>
      <c r="B127" s="8" t="s">
        <v>22</v>
      </c>
      <c r="C127" s="8" t="s">
        <v>22</v>
      </c>
      <c r="D127" s="8" t="s">
        <v>316</v>
      </c>
      <c r="E127" s="8" t="s">
        <v>10</v>
      </c>
      <c r="F127" s="8" t="s">
        <v>113</v>
      </c>
      <c r="G127" s="15">
        <v>0</v>
      </c>
      <c r="H127" s="15">
        <v>70</v>
      </c>
      <c r="I127" s="15">
        <v>0</v>
      </c>
      <c r="J127" s="15">
        <v>70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5">
        <v>0</v>
      </c>
      <c r="CH127" s="15">
        <v>0</v>
      </c>
      <c r="CI127" s="15">
        <v>0</v>
      </c>
      <c r="CJ127" s="15">
        <v>0</v>
      </c>
      <c r="CK127" s="15">
        <v>0</v>
      </c>
      <c r="CL127" s="15">
        <v>0</v>
      </c>
      <c r="CM127" s="15">
        <v>0</v>
      </c>
      <c r="CN127" s="15">
        <v>0</v>
      </c>
      <c r="CO127" s="15">
        <v>0</v>
      </c>
      <c r="CP127" s="15">
        <v>0</v>
      </c>
      <c r="CQ127" s="15">
        <v>0</v>
      </c>
      <c r="CR127" s="15">
        <v>0</v>
      </c>
      <c r="CS127" s="15">
        <v>0</v>
      </c>
      <c r="CT127" s="15">
        <v>0</v>
      </c>
      <c r="CU127" s="15">
        <v>0</v>
      </c>
      <c r="CV127" s="15">
        <v>0</v>
      </c>
      <c r="CW127" s="15">
        <v>0</v>
      </c>
      <c r="CX127" s="15">
        <v>0</v>
      </c>
      <c r="CY127" s="15">
        <v>0</v>
      </c>
      <c r="CZ127" s="15">
        <v>0</v>
      </c>
      <c r="DA127" s="15">
        <v>0</v>
      </c>
      <c r="DB127" s="15">
        <v>0</v>
      </c>
      <c r="DC127" s="15">
        <v>0</v>
      </c>
      <c r="DD127" s="15">
        <v>0</v>
      </c>
      <c r="DE127" s="15">
        <v>0</v>
      </c>
      <c r="DF127" s="15">
        <v>0</v>
      </c>
      <c r="DG127" s="15">
        <v>0</v>
      </c>
      <c r="DH127" s="15">
        <v>0</v>
      </c>
      <c r="DI127" s="15">
        <v>0</v>
      </c>
      <c r="DJ127" s="15">
        <v>0</v>
      </c>
      <c r="DK127" s="15">
        <v>0</v>
      </c>
      <c r="DL127" s="15">
        <v>0</v>
      </c>
      <c r="DM127" s="15">
        <v>0</v>
      </c>
      <c r="DN127" s="15">
        <v>0</v>
      </c>
      <c r="DO127" s="15">
        <v>0</v>
      </c>
      <c r="DP127" s="15">
        <v>0</v>
      </c>
      <c r="DQ127" s="15">
        <v>0</v>
      </c>
      <c r="DR127" s="15">
        <v>0</v>
      </c>
      <c r="DS127" s="15">
        <v>0</v>
      </c>
      <c r="DT127" s="15">
        <v>0</v>
      </c>
      <c r="DU127" s="15">
        <v>0</v>
      </c>
      <c r="DV127" s="15">
        <v>0</v>
      </c>
      <c r="DW127" s="15">
        <v>0</v>
      </c>
      <c r="DX127" s="15">
        <v>0</v>
      </c>
      <c r="DY127" s="15">
        <v>0</v>
      </c>
      <c r="DZ127" s="15">
        <v>0</v>
      </c>
      <c r="EA127" s="15">
        <v>0</v>
      </c>
      <c r="EB127" s="15">
        <v>0</v>
      </c>
      <c r="EC127" s="15">
        <v>0</v>
      </c>
      <c r="ED127" s="15">
        <v>0</v>
      </c>
      <c r="EE127" s="15">
        <v>0</v>
      </c>
      <c r="EF127" s="15">
        <v>0</v>
      </c>
    </row>
    <row r="128" spans="1:136" ht="15" customHeight="1" x14ac:dyDescent="0.35">
      <c r="A128" s="8" t="s">
        <v>12</v>
      </c>
      <c r="B128" s="8" t="s">
        <v>22</v>
      </c>
      <c r="C128" s="8" t="s">
        <v>22</v>
      </c>
      <c r="D128" s="8" t="s">
        <v>317</v>
      </c>
      <c r="E128" s="8" t="s">
        <v>10</v>
      </c>
      <c r="F128" s="8" t="s">
        <v>102</v>
      </c>
      <c r="G128" s="15">
        <v>0</v>
      </c>
      <c r="H128" s="15">
        <v>0</v>
      </c>
      <c r="I128" s="15">
        <v>122</v>
      </c>
      <c r="J128" s="15">
        <v>-122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0</v>
      </c>
      <c r="CE128" s="15">
        <v>0</v>
      </c>
      <c r="CF128" s="15">
        <v>0</v>
      </c>
      <c r="CG128" s="15">
        <v>0</v>
      </c>
      <c r="CH128" s="15">
        <v>0</v>
      </c>
      <c r="CI128" s="15">
        <v>0</v>
      </c>
      <c r="CJ128" s="15">
        <v>0</v>
      </c>
      <c r="CK128" s="15">
        <v>0</v>
      </c>
      <c r="CL128" s="15">
        <v>0</v>
      </c>
      <c r="CM128" s="15">
        <v>0</v>
      </c>
      <c r="CN128" s="15">
        <v>0</v>
      </c>
      <c r="CO128" s="15">
        <v>0</v>
      </c>
      <c r="CP128" s="15">
        <v>0</v>
      </c>
      <c r="CQ128" s="15">
        <v>0</v>
      </c>
      <c r="CR128" s="15">
        <v>0</v>
      </c>
      <c r="CS128" s="15">
        <v>0</v>
      </c>
      <c r="CT128" s="15">
        <v>0</v>
      </c>
      <c r="CU128" s="15">
        <v>0</v>
      </c>
      <c r="CV128" s="15">
        <v>0</v>
      </c>
      <c r="CW128" s="15">
        <v>0</v>
      </c>
      <c r="CX128" s="15">
        <v>0</v>
      </c>
      <c r="CY128" s="15">
        <v>0</v>
      </c>
      <c r="CZ128" s="15">
        <v>0</v>
      </c>
      <c r="DA128" s="15">
        <v>0</v>
      </c>
      <c r="DB128" s="15">
        <v>0</v>
      </c>
      <c r="DC128" s="15">
        <v>0</v>
      </c>
      <c r="DD128" s="15">
        <v>0</v>
      </c>
      <c r="DE128" s="15">
        <v>0</v>
      </c>
      <c r="DF128" s="15">
        <v>0</v>
      </c>
      <c r="DG128" s="15">
        <v>0</v>
      </c>
      <c r="DH128" s="15">
        <v>0</v>
      </c>
      <c r="DI128" s="15">
        <v>0</v>
      </c>
      <c r="DJ128" s="15">
        <v>0</v>
      </c>
      <c r="DK128" s="15">
        <v>8</v>
      </c>
      <c r="DL128" s="15">
        <v>15</v>
      </c>
      <c r="DM128" s="15">
        <v>15</v>
      </c>
      <c r="DN128" s="15">
        <v>20</v>
      </c>
      <c r="DO128" s="15">
        <v>20</v>
      </c>
      <c r="DP128" s="15">
        <v>21</v>
      </c>
      <c r="DQ128" s="15">
        <v>17</v>
      </c>
      <c r="DR128" s="15">
        <v>6</v>
      </c>
      <c r="DS128" s="15">
        <v>0</v>
      </c>
      <c r="DT128" s="15">
        <v>0</v>
      </c>
      <c r="DU128" s="15">
        <v>0</v>
      </c>
      <c r="DV128" s="15">
        <v>0</v>
      </c>
      <c r="DW128" s="15">
        <v>0</v>
      </c>
      <c r="DX128" s="15">
        <v>0</v>
      </c>
      <c r="DY128" s="15">
        <v>0</v>
      </c>
      <c r="DZ128" s="15">
        <v>0</v>
      </c>
      <c r="EA128" s="15">
        <v>0</v>
      </c>
      <c r="EB128" s="15">
        <v>0</v>
      </c>
      <c r="EC128" s="15">
        <v>0</v>
      </c>
      <c r="ED128" s="15">
        <v>0</v>
      </c>
      <c r="EE128" s="15">
        <v>0</v>
      </c>
      <c r="EF128" s="15">
        <v>0</v>
      </c>
    </row>
    <row r="129" spans="1:136" ht="15" customHeight="1" x14ac:dyDescent="0.35">
      <c r="A129" s="8" t="s">
        <v>12</v>
      </c>
      <c r="B129" s="8" t="s">
        <v>22</v>
      </c>
      <c r="C129" s="8" t="s">
        <v>22</v>
      </c>
      <c r="D129" s="8" t="s">
        <v>316</v>
      </c>
      <c r="E129" s="8" t="s">
        <v>10</v>
      </c>
      <c r="F129" s="8" t="s">
        <v>102</v>
      </c>
      <c r="G129" s="15">
        <v>0</v>
      </c>
      <c r="H129" s="15">
        <v>122</v>
      </c>
      <c r="I129" s="15">
        <v>0</v>
      </c>
      <c r="J129" s="15">
        <v>122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>
        <v>0</v>
      </c>
      <c r="CH129" s="15">
        <v>0</v>
      </c>
      <c r="CI129" s="15">
        <v>0</v>
      </c>
      <c r="CJ129" s="15">
        <v>0</v>
      </c>
      <c r="CK129" s="15">
        <v>0</v>
      </c>
      <c r="CL129" s="15">
        <v>0</v>
      </c>
      <c r="CM129" s="15">
        <v>0</v>
      </c>
      <c r="CN129" s="15">
        <v>0</v>
      </c>
      <c r="CO129" s="15">
        <v>0</v>
      </c>
      <c r="CP129" s="15">
        <v>0</v>
      </c>
      <c r="CQ129" s="15">
        <v>0</v>
      </c>
      <c r="CR129" s="15">
        <v>0</v>
      </c>
      <c r="CS129" s="15">
        <v>0</v>
      </c>
      <c r="CT129" s="15">
        <v>0</v>
      </c>
      <c r="CU129" s="15">
        <v>0</v>
      </c>
      <c r="CV129" s="15">
        <v>0</v>
      </c>
      <c r="CW129" s="15">
        <v>0</v>
      </c>
      <c r="CX129" s="15">
        <v>0</v>
      </c>
      <c r="CY129" s="15">
        <v>0</v>
      </c>
      <c r="CZ129" s="15">
        <v>0</v>
      </c>
      <c r="DA129" s="15">
        <v>0</v>
      </c>
      <c r="DB129" s="15">
        <v>0</v>
      </c>
      <c r="DC129" s="15">
        <v>0</v>
      </c>
      <c r="DD129" s="15">
        <v>0</v>
      </c>
      <c r="DE129" s="15">
        <v>0</v>
      </c>
      <c r="DF129" s="15">
        <v>0</v>
      </c>
      <c r="DG129" s="15">
        <v>0</v>
      </c>
      <c r="DH129" s="15">
        <v>0</v>
      </c>
      <c r="DI129" s="15">
        <v>0</v>
      </c>
      <c r="DJ129" s="15">
        <v>0</v>
      </c>
      <c r="DK129" s="15">
        <v>0</v>
      </c>
      <c r="DL129" s="15">
        <v>0</v>
      </c>
      <c r="DM129" s="15">
        <v>0</v>
      </c>
      <c r="DN129" s="15">
        <v>0</v>
      </c>
      <c r="DO129" s="15">
        <v>0</v>
      </c>
      <c r="DP129" s="15">
        <v>0</v>
      </c>
      <c r="DQ129" s="15">
        <v>0</v>
      </c>
      <c r="DR129" s="15">
        <v>0</v>
      </c>
      <c r="DS129" s="15">
        <v>0</v>
      </c>
      <c r="DT129" s="15">
        <v>0</v>
      </c>
      <c r="DU129" s="15">
        <v>0</v>
      </c>
      <c r="DV129" s="15">
        <v>0</v>
      </c>
      <c r="DW129" s="15">
        <v>0</v>
      </c>
      <c r="DX129" s="15">
        <v>0</v>
      </c>
      <c r="DY129" s="15">
        <v>0</v>
      </c>
      <c r="DZ129" s="15">
        <v>0</v>
      </c>
      <c r="EA129" s="15">
        <v>0</v>
      </c>
      <c r="EB129" s="15">
        <v>0</v>
      </c>
      <c r="EC129" s="15">
        <v>0</v>
      </c>
      <c r="ED129" s="15">
        <v>0</v>
      </c>
      <c r="EE129" s="15">
        <v>0</v>
      </c>
      <c r="EF129" s="15">
        <v>0</v>
      </c>
    </row>
    <row r="130" spans="1:136" ht="15" customHeight="1" x14ac:dyDescent="0.35">
      <c r="A130" s="8" t="s">
        <v>12</v>
      </c>
      <c r="B130" s="8" t="s">
        <v>22</v>
      </c>
      <c r="C130" s="8" t="s">
        <v>22</v>
      </c>
      <c r="D130" s="8" t="s">
        <v>317</v>
      </c>
      <c r="E130" s="8" t="s">
        <v>10</v>
      </c>
      <c r="F130" s="8" t="s">
        <v>83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15">
        <v>0</v>
      </c>
      <c r="CK130" s="15">
        <v>0</v>
      </c>
      <c r="CL130" s="15">
        <v>0</v>
      </c>
      <c r="CM130" s="15">
        <v>0</v>
      </c>
      <c r="CN130" s="15">
        <v>0</v>
      </c>
      <c r="CO130" s="15">
        <v>0</v>
      </c>
      <c r="CP130" s="15">
        <v>0</v>
      </c>
      <c r="CQ130" s="15">
        <v>0</v>
      </c>
      <c r="CR130" s="15">
        <v>0</v>
      </c>
      <c r="CS130" s="15">
        <v>0</v>
      </c>
      <c r="CT130" s="15">
        <v>0</v>
      </c>
      <c r="CU130" s="15">
        <v>0</v>
      </c>
      <c r="CV130" s="15">
        <v>0</v>
      </c>
      <c r="CW130" s="15">
        <v>0</v>
      </c>
      <c r="CX130" s="15">
        <v>0</v>
      </c>
      <c r="CY130" s="15">
        <v>0</v>
      </c>
      <c r="CZ130" s="15">
        <v>0</v>
      </c>
      <c r="DA130" s="15">
        <v>0</v>
      </c>
      <c r="DB130" s="15">
        <v>0</v>
      </c>
      <c r="DC130" s="15">
        <v>0</v>
      </c>
      <c r="DD130" s="15">
        <v>0</v>
      </c>
      <c r="DE130" s="15">
        <v>0</v>
      </c>
      <c r="DF130" s="15">
        <v>0</v>
      </c>
      <c r="DG130" s="15">
        <v>0</v>
      </c>
      <c r="DH130" s="15">
        <v>0</v>
      </c>
      <c r="DI130" s="15">
        <v>0</v>
      </c>
      <c r="DJ130" s="15">
        <v>0</v>
      </c>
      <c r="DK130" s="15">
        <v>0</v>
      </c>
      <c r="DL130" s="15">
        <v>0</v>
      </c>
      <c r="DM130" s="15">
        <v>0</v>
      </c>
      <c r="DN130" s="15">
        <v>0</v>
      </c>
      <c r="DO130" s="15">
        <v>0</v>
      </c>
      <c r="DP130" s="15">
        <v>0</v>
      </c>
      <c r="DQ130" s="15">
        <v>0</v>
      </c>
      <c r="DR130" s="15">
        <v>0</v>
      </c>
      <c r="DS130" s="15">
        <v>0</v>
      </c>
      <c r="DT130" s="15">
        <v>0</v>
      </c>
      <c r="DU130" s="15">
        <v>0</v>
      </c>
      <c r="DV130" s="15">
        <v>0</v>
      </c>
      <c r="DW130" s="15">
        <v>0</v>
      </c>
      <c r="DX130" s="15">
        <v>0</v>
      </c>
      <c r="DY130" s="15">
        <v>0</v>
      </c>
      <c r="DZ130" s="15">
        <v>0</v>
      </c>
      <c r="EA130" s="15">
        <v>0</v>
      </c>
      <c r="EB130" s="15">
        <v>0</v>
      </c>
      <c r="EC130" s="15">
        <v>0</v>
      </c>
      <c r="ED130" s="15">
        <v>0</v>
      </c>
      <c r="EE130" s="15">
        <v>0</v>
      </c>
      <c r="EF130" s="15">
        <v>0</v>
      </c>
    </row>
    <row r="131" spans="1:136" ht="15" customHeight="1" x14ac:dyDescent="0.35">
      <c r="A131" s="8" t="s">
        <v>12</v>
      </c>
      <c r="B131" s="8" t="s">
        <v>22</v>
      </c>
      <c r="C131" s="8" t="s">
        <v>22</v>
      </c>
      <c r="D131" s="8" t="s">
        <v>316</v>
      </c>
      <c r="E131" s="8" t="s">
        <v>10</v>
      </c>
      <c r="F131" s="8" t="s">
        <v>83</v>
      </c>
      <c r="G131" s="15">
        <v>10</v>
      </c>
      <c r="H131" s="15">
        <v>10</v>
      </c>
      <c r="I131" s="15">
        <v>0</v>
      </c>
      <c r="J131" s="15">
        <v>10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5">
        <v>0</v>
      </c>
      <c r="CH131" s="15">
        <v>0</v>
      </c>
      <c r="CI131" s="15">
        <v>0</v>
      </c>
      <c r="CJ131" s="15">
        <v>0</v>
      </c>
      <c r="CK131" s="15">
        <v>0</v>
      </c>
      <c r="CL131" s="15">
        <v>0</v>
      </c>
      <c r="CM131" s="15">
        <v>0</v>
      </c>
      <c r="CN131" s="15">
        <v>0</v>
      </c>
      <c r="CO131" s="15">
        <v>0</v>
      </c>
      <c r="CP131" s="15">
        <v>0</v>
      </c>
      <c r="CQ131" s="15">
        <v>0</v>
      </c>
      <c r="CR131" s="15">
        <v>0</v>
      </c>
      <c r="CS131" s="15">
        <v>0</v>
      </c>
      <c r="CT131" s="15">
        <v>0</v>
      </c>
      <c r="CU131" s="15">
        <v>0</v>
      </c>
      <c r="CV131" s="15">
        <v>0</v>
      </c>
      <c r="CW131" s="15">
        <v>0</v>
      </c>
      <c r="CX131" s="15">
        <v>0</v>
      </c>
      <c r="CY131" s="15">
        <v>0</v>
      </c>
      <c r="CZ131" s="15">
        <v>0</v>
      </c>
      <c r="DA131" s="15">
        <v>0</v>
      </c>
      <c r="DB131" s="15">
        <v>0</v>
      </c>
      <c r="DC131" s="15">
        <v>0</v>
      </c>
      <c r="DD131" s="15">
        <v>0</v>
      </c>
      <c r="DE131" s="15">
        <v>0</v>
      </c>
      <c r="DF131" s="15">
        <v>0</v>
      </c>
      <c r="DG131" s="15">
        <v>0</v>
      </c>
      <c r="DH131" s="15">
        <v>0</v>
      </c>
      <c r="DI131" s="15">
        <v>0</v>
      </c>
      <c r="DJ131" s="15">
        <v>0</v>
      </c>
      <c r="DK131" s="15">
        <v>0</v>
      </c>
      <c r="DL131" s="15">
        <v>0</v>
      </c>
      <c r="DM131" s="15">
        <v>0</v>
      </c>
      <c r="DN131" s="15">
        <v>0</v>
      </c>
      <c r="DO131" s="15">
        <v>0</v>
      </c>
      <c r="DP131" s="15">
        <v>0</v>
      </c>
      <c r="DQ131" s="15">
        <v>0</v>
      </c>
      <c r="DR131" s="15">
        <v>0</v>
      </c>
      <c r="DS131" s="15">
        <v>0</v>
      </c>
      <c r="DT131" s="15">
        <v>0</v>
      </c>
      <c r="DU131" s="15">
        <v>0</v>
      </c>
      <c r="DV131" s="15">
        <v>0</v>
      </c>
      <c r="DW131" s="15">
        <v>0</v>
      </c>
      <c r="DX131" s="15">
        <v>0</v>
      </c>
      <c r="DY131" s="15">
        <v>0</v>
      </c>
      <c r="DZ131" s="15">
        <v>0</v>
      </c>
      <c r="EA131" s="15">
        <v>0</v>
      </c>
      <c r="EB131" s="15">
        <v>0</v>
      </c>
      <c r="EC131" s="15">
        <v>0</v>
      </c>
      <c r="ED131" s="15">
        <v>0</v>
      </c>
      <c r="EE131" s="15">
        <v>0</v>
      </c>
      <c r="EF131" s="15">
        <v>0</v>
      </c>
    </row>
    <row r="132" spans="1:136" ht="15" customHeight="1" x14ac:dyDescent="0.35">
      <c r="A132" s="8" t="s">
        <v>12</v>
      </c>
      <c r="B132" s="8" t="s">
        <v>22</v>
      </c>
      <c r="C132" s="8" t="s">
        <v>22</v>
      </c>
      <c r="D132" s="8" t="s">
        <v>317</v>
      </c>
      <c r="E132" s="8" t="s">
        <v>10</v>
      </c>
      <c r="F132" s="8" t="s">
        <v>84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0</v>
      </c>
      <c r="BT132" s="15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15">
        <v>0</v>
      </c>
      <c r="CK132" s="15">
        <v>0</v>
      </c>
      <c r="CL132" s="15">
        <v>0</v>
      </c>
      <c r="CM132" s="15">
        <v>0</v>
      </c>
      <c r="CN132" s="15">
        <v>0</v>
      </c>
      <c r="CO132" s="15">
        <v>0</v>
      </c>
      <c r="CP132" s="15">
        <v>0</v>
      </c>
      <c r="CQ132" s="15">
        <v>0</v>
      </c>
      <c r="CR132" s="15">
        <v>0</v>
      </c>
      <c r="CS132" s="15">
        <v>0</v>
      </c>
      <c r="CT132" s="15">
        <v>0</v>
      </c>
      <c r="CU132" s="15">
        <v>0</v>
      </c>
      <c r="CV132" s="15">
        <v>0</v>
      </c>
      <c r="CW132" s="15">
        <v>0</v>
      </c>
      <c r="CX132" s="15">
        <v>0</v>
      </c>
      <c r="CY132" s="15">
        <v>0</v>
      </c>
      <c r="CZ132" s="15">
        <v>0</v>
      </c>
      <c r="DA132" s="15">
        <v>0</v>
      </c>
      <c r="DB132" s="15">
        <v>0</v>
      </c>
      <c r="DC132" s="15">
        <v>0</v>
      </c>
      <c r="DD132" s="15">
        <v>0</v>
      </c>
      <c r="DE132" s="15">
        <v>0</v>
      </c>
      <c r="DF132" s="15">
        <v>0</v>
      </c>
      <c r="DG132" s="15">
        <v>0</v>
      </c>
      <c r="DH132" s="15">
        <v>0</v>
      </c>
      <c r="DI132" s="15">
        <v>0</v>
      </c>
      <c r="DJ132" s="15">
        <v>0</v>
      </c>
      <c r="DK132" s="15">
        <v>0</v>
      </c>
      <c r="DL132" s="15">
        <v>0</v>
      </c>
      <c r="DM132" s="15">
        <v>0</v>
      </c>
      <c r="DN132" s="15">
        <v>0</v>
      </c>
      <c r="DO132" s="15">
        <v>0</v>
      </c>
      <c r="DP132" s="15">
        <v>0</v>
      </c>
      <c r="DQ132" s="15">
        <v>0</v>
      </c>
      <c r="DR132" s="15">
        <v>0</v>
      </c>
      <c r="DS132" s="15">
        <v>0</v>
      </c>
      <c r="DT132" s="15">
        <v>0</v>
      </c>
      <c r="DU132" s="15">
        <v>0</v>
      </c>
      <c r="DV132" s="15">
        <v>0</v>
      </c>
      <c r="DW132" s="15">
        <v>0</v>
      </c>
      <c r="DX132" s="15">
        <v>0</v>
      </c>
      <c r="DY132" s="15">
        <v>0</v>
      </c>
      <c r="DZ132" s="15">
        <v>0</v>
      </c>
      <c r="EA132" s="15">
        <v>0</v>
      </c>
      <c r="EB132" s="15">
        <v>0</v>
      </c>
      <c r="EC132" s="15">
        <v>0</v>
      </c>
      <c r="ED132" s="15">
        <v>0</v>
      </c>
      <c r="EE132" s="15">
        <v>0</v>
      </c>
      <c r="EF132" s="15">
        <v>0</v>
      </c>
    </row>
    <row r="133" spans="1:136" ht="15" customHeight="1" x14ac:dyDescent="0.35">
      <c r="A133" s="8" t="s">
        <v>12</v>
      </c>
      <c r="B133" s="8" t="s">
        <v>22</v>
      </c>
      <c r="C133" s="8" t="s">
        <v>22</v>
      </c>
      <c r="D133" s="8" t="s">
        <v>316</v>
      </c>
      <c r="E133" s="8" t="s">
        <v>10</v>
      </c>
      <c r="F133" s="8" t="s">
        <v>84</v>
      </c>
      <c r="G133" s="15">
        <v>0</v>
      </c>
      <c r="H133" s="15">
        <v>10</v>
      </c>
      <c r="I133" s="15">
        <v>0</v>
      </c>
      <c r="J133" s="15">
        <v>10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5">
        <v>0</v>
      </c>
      <c r="CH133" s="15">
        <v>0</v>
      </c>
      <c r="CI133" s="15">
        <v>0</v>
      </c>
      <c r="CJ133" s="15">
        <v>0</v>
      </c>
      <c r="CK133" s="15">
        <v>0</v>
      </c>
      <c r="CL133" s="15">
        <v>0</v>
      </c>
      <c r="CM133" s="15">
        <v>0</v>
      </c>
      <c r="CN133" s="15">
        <v>0</v>
      </c>
      <c r="CO133" s="15">
        <v>0</v>
      </c>
      <c r="CP133" s="15">
        <v>0</v>
      </c>
      <c r="CQ133" s="15">
        <v>0</v>
      </c>
      <c r="CR133" s="15">
        <v>0</v>
      </c>
      <c r="CS133" s="15">
        <v>0</v>
      </c>
      <c r="CT133" s="15">
        <v>0</v>
      </c>
      <c r="CU133" s="15">
        <v>0</v>
      </c>
      <c r="CV133" s="15">
        <v>0</v>
      </c>
      <c r="CW133" s="15">
        <v>0</v>
      </c>
      <c r="CX133" s="15">
        <v>0</v>
      </c>
      <c r="CY133" s="15">
        <v>0</v>
      </c>
      <c r="CZ133" s="15">
        <v>0</v>
      </c>
      <c r="DA133" s="15">
        <v>0</v>
      </c>
      <c r="DB133" s="15">
        <v>0</v>
      </c>
      <c r="DC133" s="15">
        <v>0</v>
      </c>
      <c r="DD133" s="15">
        <v>0</v>
      </c>
      <c r="DE133" s="15">
        <v>0</v>
      </c>
      <c r="DF133" s="15">
        <v>0</v>
      </c>
      <c r="DG133" s="15">
        <v>0</v>
      </c>
      <c r="DH133" s="15">
        <v>0</v>
      </c>
      <c r="DI133" s="15">
        <v>0</v>
      </c>
      <c r="DJ133" s="15">
        <v>0</v>
      </c>
      <c r="DK133" s="15">
        <v>0</v>
      </c>
      <c r="DL133" s="15">
        <v>0</v>
      </c>
      <c r="DM133" s="15">
        <v>0</v>
      </c>
      <c r="DN133" s="15">
        <v>0</v>
      </c>
      <c r="DO133" s="15">
        <v>0</v>
      </c>
      <c r="DP133" s="15">
        <v>0</v>
      </c>
      <c r="DQ133" s="15">
        <v>0</v>
      </c>
      <c r="DR133" s="15">
        <v>0</v>
      </c>
      <c r="DS133" s="15">
        <v>0</v>
      </c>
      <c r="DT133" s="15">
        <v>0</v>
      </c>
      <c r="DU133" s="15">
        <v>0</v>
      </c>
      <c r="DV133" s="15">
        <v>0</v>
      </c>
      <c r="DW133" s="15">
        <v>0</v>
      </c>
      <c r="DX133" s="15">
        <v>0</v>
      </c>
      <c r="DY133" s="15">
        <v>0</v>
      </c>
      <c r="DZ133" s="15">
        <v>0</v>
      </c>
      <c r="EA133" s="15">
        <v>0</v>
      </c>
      <c r="EB133" s="15">
        <v>0</v>
      </c>
      <c r="EC133" s="15">
        <v>0</v>
      </c>
      <c r="ED133" s="15">
        <v>0</v>
      </c>
      <c r="EE133" s="15">
        <v>0</v>
      </c>
      <c r="EF133" s="15">
        <v>0</v>
      </c>
    </row>
    <row r="134" spans="1:136" ht="15" customHeight="1" x14ac:dyDescent="0.35">
      <c r="A134" s="8" t="s">
        <v>12</v>
      </c>
      <c r="B134" s="8" t="s">
        <v>22</v>
      </c>
      <c r="C134" s="8" t="s">
        <v>22</v>
      </c>
      <c r="D134" s="8" t="s">
        <v>317</v>
      </c>
      <c r="E134" s="8" t="s">
        <v>10</v>
      </c>
      <c r="F134" s="8" t="s">
        <v>40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0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</v>
      </c>
      <c r="CI134" s="15">
        <v>0</v>
      </c>
      <c r="CJ134" s="15">
        <v>0</v>
      </c>
      <c r="CK134" s="15">
        <v>0</v>
      </c>
      <c r="CL134" s="15">
        <v>0</v>
      </c>
      <c r="CM134" s="15">
        <v>0</v>
      </c>
      <c r="CN134" s="15">
        <v>0</v>
      </c>
      <c r="CO134" s="15">
        <v>0</v>
      </c>
      <c r="CP134" s="15">
        <v>0</v>
      </c>
      <c r="CQ134" s="15">
        <v>0</v>
      </c>
      <c r="CR134" s="15">
        <v>0</v>
      </c>
      <c r="CS134" s="15">
        <v>0</v>
      </c>
      <c r="CT134" s="15">
        <v>0</v>
      </c>
      <c r="CU134" s="15">
        <v>0</v>
      </c>
      <c r="CV134" s="15">
        <v>0</v>
      </c>
      <c r="CW134" s="15">
        <v>0</v>
      </c>
      <c r="CX134" s="15">
        <v>0</v>
      </c>
      <c r="CY134" s="15">
        <v>0</v>
      </c>
      <c r="CZ134" s="15">
        <v>0</v>
      </c>
      <c r="DA134" s="15">
        <v>0</v>
      </c>
      <c r="DB134" s="15">
        <v>0</v>
      </c>
      <c r="DC134" s="15">
        <v>0</v>
      </c>
      <c r="DD134" s="15">
        <v>0</v>
      </c>
      <c r="DE134" s="15">
        <v>0</v>
      </c>
      <c r="DF134" s="15">
        <v>0</v>
      </c>
      <c r="DG134" s="15">
        <v>0</v>
      </c>
      <c r="DH134" s="15">
        <v>0</v>
      </c>
      <c r="DI134" s="15">
        <v>0</v>
      </c>
      <c r="DJ134" s="15">
        <v>0</v>
      </c>
      <c r="DK134" s="15">
        <v>0</v>
      </c>
      <c r="DL134" s="15">
        <v>0</v>
      </c>
      <c r="DM134" s="15">
        <v>0</v>
      </c>
      <c r="DN134" s="15">
        <v>0</v>
      </c>
      <c r="DO134" s="15">
        <v>0</v>
      </c>
      <c r="DP134" s="15">
        <v>0</v>
      </c>
      <c r="DQ134" s="15">
        <v>0</v>
      </c>
      <c r="DR134" s="15">
        <v>0</v>
      </c>
      <c r="DS134" s="15">
        <v>0</v>
      </c>
      <c r="DT134" s="15">
        <v>0</v>
      </c>
      <c r="DU134" s="15">
        <v>0</v>
      </c>
      <c r="DV134" s="15">
        <v>0</v>
      </c>
      <c r="DW134" s="15">
        <v>0</v>
      </c>
      <c r="DX134" s="15">
        <v>0</v>
      </c>
      <c r="DY134" s="15">
        <v>0</v>
      </c>
      <c r="DZ134" s="15">
        <v>0</v>
      </c>
      <c r="EA134" s="15">
        <v>0</v>
      </c>
      <c r="EB134" s="15">
        <v>0</v>
      </c>
      <c r="EC134" s="15">
        <v>0</v>
      </c>
      <c r="ED134" s="15">
        <v>0</v>
      </c>
      <c r="EE134" s="15">
        <v>0</v>
      </c>
      <c r="EF134" s="15">
        <v>0</v>
      </c>
    </row>
    <row r="135" spans="1:136" ht="15" customHeight="1" x14ac:dyDescent="0.35">
      <c r="A135" s="8" t="s">
        <v>12</v>
      </c>
      <c r="B135" s="8" t="s">
        <v>22</v>
      </c>
      <c r="C135" s="8" t="s">
        <v>22</v>
      </c>
      <c r="D135" s="8" t="s">
        <v>316</v>
      </c>
      <c r="E135" s="8" t="s">
        <v>10</v>
      </c>
      <c r="F135" s="8" t="s">
        <v>40</v>
      </c>
      <c r="G135" s="15">
        <v>0</v>
      </c>
      <c r="H135" s="15">
        <v>28</v>
      </c>
      <c r="I135" s="15">
        <v>0</v>
      </c>
      <c r="J135" s="15">
        <v>28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5">
        <v>0</v>
      </c>
      <c r="CI135" s="15">
        <v>0</v>
      </c>
      <c r="CJ135" s="15">
        <v>0</v>
      </c>
      <c r="CK135" s="15">
        <v>0</v>
      </c>
      <c r="CL135" s="15">
        <v>0</v>
      </c>
      <c r="CM135" s="15">
        <v>0</v>
      </c>
      <c r="CN135" s="15">
        <v>0</v>
      </c>
      <c r="CO135" s="15">
        <v>0</v>
      </c>
      <c r="CP135" s="15">
        <v>0</v>
      </c>
      <c r="CQ135" s="15">
        <v>0</v>
      </c>
      <c r="CR135" s="15">
        <v>0</v>
      </c>
      <c r="CS135" s="15">
        <v>0</v>
      </c>
      <c r="CT135" s="15">
        <v>0</v>
      </c>
      <c r="CU135" s="15">
        <v>0</v>
      </c>
      <c r="CV135" s="15">
        <v>0</v>
      </c>
      <c r="CW135" s="15">
        <v>0</v>
      </c>
      <c r="CX135" s="15">
        <v>0</v>
      </c>
      <c r="CY135" s="15">
        <v>0</v>
      </c>
      <c r="CZ135" s="15">
        <v>0</v>
      </c>
      <c r="DA135" s="15">
        <v>0</v>
      </c>
      <c r="DB135" s="15">
        <v>0</v>
      </c>
      <c r="DC135" s="15">
        <v>0</v>
      </c>
      <c r="DD135" s="15">
        <v>0</v>
      </c>
      <c r="DE135" s="15">
        <v>0</v>
      </c>
      <c r="DF135" s="15">
        <v>0</v>
      </c>
      <c r="DG135" s="15">
        <v>0</v>
      </c>
      <c r="DH135" s="15">
        <v>0</v>
      </c>
      <c r="DI135" s="15">
        <v>0</v>
      </c>
      <c r="DJ135" s="15">
        <v>0</v>
      </c>
      <c r="DK135" s="15">
        <v>0</v>
      </c>
      <c r="DL135" s="15">
        <v>0</v>
      </c>
      <c r="DM135" s="15">
        <v>0</v>
      </c>
      <c r="DN135" s="15">
        <v>0</v>
      </c>
      <c r="DO135" s="15">
        <v>0</v>
      </c>
      <c r="DP135" s="15">
        <v>0</v>
      </c>
      <c r="DQ135" s="15">
        <v>0</v>
      </c>
      <c r="DR135" s="15">
        <v>0</v>
      </c>
      <c r="DS135" s="15">
        <v>0</v>
      </c>
      <c r="DT135" s="15">
        <v>0</v>
      </c>
      <c r="DU135" s="15">
        <v>0</v>
      </c>
      <c r="DV135" s="15">
        <v>0</v>
      </c>
      <c r="DW135" s="15">
        <v>0</v>
      </c>
      <c r="DX135" s="15">
        <v>0</v>
      </c>
      <c r="DY135" s="15">
        <v>0</v>
      </c>
      <c r="DZ135" s="15">
        <v>0</v>
      </c>
      <c r="EA135" s="15">
        <v>0</v>
      </c>
      <c r="EB135" s="15">
        <v>0</v>
      </c>
      <c r="EC135" s="15">
        <v>0</v>
      </c>
      <c r="ED135" s="15">
        <v>0</v>
      </c>
      <c r="EE135" s="15">
        <v>0</v>
      </c>
      <c r="EF135" s="15">
        <v>0</v>
      </c>
    </row>
    <row r="136" spans="1:136" ht="15" customHeight="1" x14ac:dyDescent="0.35">
      <c r="A136" s="8" t="s">
        <v>12</v>
      </c>
      <c r="B136" s="8" t="s">
        <v>22</v>
      </c>
      <c r="C136" s="8" t="s">
        <v>22</v>
      </c>
      <c r="D136" s="8" t="s">
        <v>317</v>
      </c>
      <c r="E136" s="8" t="s">
        <v>10</v>
      </c>
      <c r="F136" s="8" t="s">
        <v>103</v>
      </c>
      <c r="G136" s="15">
        <v>0</v>
      </c>
      <c r="H136" s="15">
        <v>0</v>
      </c>
      <c r="I136" s="15">
        <v>192.5</v>
      </c>
      <c r="J136" s="15">
        <v>-192.5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11</v>
      </c>
      <c r="AK136" s="15">
        <v>19</v>
      </c>
      <c r="AL136" s="15">
        <v>15</v>
      </c>
      <c r="AM136" s="15">
        <v>15</v>
      </c>
      <c r="AN136" s="15">
        <v>6.5</v>
      </c>
      <c r="AO136" s="15">
        <v>11</v>
      </c>
      <c r="AP136" s="15">
        <v>10</v>
      </c>
      <c r="AQ136" s="15">
        <v>12</v>
      </c>
      <c r="AR136" s="15">
        <v>13</v>
      </c>
      <c r="AS136" s="15">
        <v>2.5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15">
        <v>0</v>
      </c>
      <c r="BU136" s="15">
        <v>0</v>
      </c>
      <c r="BV136" s="15">
        <v>0</v>
      </c>
      <c r="BW136" s="15">
        <v>0</v>
      </c>
      <c r="BX136" s="15">
        <v>0</v>
      </c>
      <c r="BY136" s="15">
        <v>0</v>
      </c>
      <c r="BZ136" s="15">
        <v>0</v>
      </c>
      <c r="CA136" s="15">
        <v>0</v>
      </c>
      <c r="CB136" s="15">
        <v>0</v>
      </c>
      <c r="CC136" s="15">
        <v>0</v>
      </c>
      <c r="CD136" s="15">
        <v>0</v>
      </c>
      <c r="CE136" s="15">
        <v>0</v>
      </c>
      <c r="CF136" s="15">
        <v>0</v>
      </c>
      <c r="CG136" s="15">
        <v>0</v>
      </c>
      <c r="CH136" s="15">
        <v>0</v>
      </c>
      <c r="CI136" s="15">
        <v>0</v>
      </c>
      <c r="CJ136" s="15">
        <v>0</v>
      </c>
      <c r="CK136" s="15">
        <v>0</v>
      </c>
      <c r="CL136" s="15">
        <v>0</v>
      </c>
      <c r="CM136" s="15">
        <v>0</v>
      </c>
      <c r="CN136" s="15">
        <v>0</v>
      </c>
      <c r="CO136" s="15">
        <v>0</v>
      </c>
      <c r="CP136" s="15">
        <v>0</v>
      </c>
      <c r="CQ136" s="15">
        <v>0</v>
      </c>
      <c r="CR136" s="15">
        <v>0</v>
      </c>
      <c r="CS136" s="15">
        <v>10</v>
      </c>
      <c r="CT136" s="15">
        <v>0</v>
      </c>
      <c r="CU136" s="15">
        <v>0</v>
      </c>
      <c r="CV136" s="15">
        <v>0</v>
      </c>
      <c r="CW136" s="15">
        <v>0</v>
      </c>
      <c r="CX136" s="15">
        <v>0</v>
      </c>
      <c r="CY136" s="15">
        <v>0</v>
      </c>
      <c r="CZ136" s="15">
        <v>0</v>
      </c>
      <c r="DA136" s="15">
        <v>0</v>
      </c>
      <c r="DB136" s="15">
        <v>5</v>
      </c>
      <c r="DC136" s="15">
        <v>5</v>
      </c>
      <c r="DD136" s="15">
        <v>10</v>
      </c>
      <c r="DE136" s="15">
        <v>10</v>
      </c>
      <c r="DF136" s="15">
        <v>0</v>
      </c>
      <c r="DG136" s="15">
        <v>0</v>
      </c>
      <c r="DH136" s="15">
        <v>0</v>
      </c>
      <c r="DI136" s="15">
        <v>0</v>
      </c>
      <c r="DJ136" s="15">
        <v>0</v>
      </c>
      <c r="DK136" s="15">
        <v>0</v>
      </c>
      <c r="DL136" s="15">
        <v>10</v>
      </c>
      <c r="DM136" s="15">
        <v>10</v>
      </c>
      <c r="DN136" s="15">
        <v>10</v>
      </c>
      <c r="DO136" s="15">
        <v>10</v>
      </c>
      <c r="DP136" s="15">
        <v>0</v>
      </c>
      <c r="DQ136" s="15">
        <v>0</v>
      </c>
      <c r="DR136" s="15">
        <v>0</v>
      </c>
      <c r="DS136" s="15">
        <v>0</v>
      </c>
      <c r="DT136" s="15">
        <v>0</v>
      </c>
      <c r="DU136" s="15">
        <v>0</v>
      </c>
      <c r="DV136" s="15">
        <v>0</v>
      </c>
      <c r="DW136" s="15">
        <v>0</v>
      </c>
      <c r="DX136" s="15">
        <v>0</v>
      </c>
      <c r="DY136" s="15">
        <v>0</v>
      </c>
      <c r="DZ136" s="15">
        <v>0</v>
      </c>
      <c r="EA136" s="15">
        <v>0</v>
      </c>
      <c r="EB136" s="15">
        <v>0</v>
      </c>
      <c r="EC136" s="15">
        <v>0</v>
      </c>
      <c r="ED136" s="15">
        <v>0</v>
      </c>
      <c r="EE136" s="15">
        <v>0</v>
      </c>
      <c r="EF136" s="15">
        <v>0</v>
      </c>
    </row>
    <row r="137" spans="1:136" ht="15" customHeight="1" x14ac:dyDescent="0.35">
      <c r="A137" s="8" t="s">
        <v>12</v>
      </c>
      <c r="B137" s="8" t="s">
        <v>22</v>
      </c>
      <c r="C137" s="8" t="s">
        <v>22</v>
      </c>
      <c r="D137" s="8" t="s">
        <v>316</v>
      </c>
      <c r="E137" s="8" t="s">
        <v>10</v>
      </c>
      <c r="F137" s="8" t="s">
        <v>103</v>
      </c>
      <c r="G137" s="15">
        <v>180.5</v>
      </c>
      <c r="H137" s="15">
        <v>270.5</v>
      </c>
      <c r="I137" s="15">
        <v>109</v>
      </c>
      <c r="J137" s="15">
        <v>161.5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7</v>
      </c>
      <c r="AD137" s="15">
        <v>7</v>
      </c>
      <c r="AE137" s="15">
        <v>11</v>
      </c>
      <c r="AF137" s="15">
        <v>16</v>
      </c>
      <c r="AG137" s="15">
        <v>25</v>
      </c>
      <c r="AH137" s="15">
        <v>18</v>
      </c>
      <c r="AI137" s="15">
        <v>18</v>
      </c>
      <c r="AJ137" s="15">
        <v>7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5">
        <v>0</v>
      </c>
      <c r="CH137" s="15">
        <v>0</v>
      </c>
      <c r="CI137" s="15">
        <v>0</v>
      </c>
      <c r="CJ137" s="15">
        <v>0</v>
      </c>
      <c r="CK137" s="15">
        <v>0</v>
      </c>
      <c r="CL137" s="15">
        <v>0</v>
      </c>
      <c r="CM137" s="15">
        <v>0</v>
      </c>
      <c r="CN137" s="15">
        <v>0</v>
      </c>
      <c r="CO137" s="15">
        <v>0</v>
      </c>
      <c r="CP137" s="15">
        <v>0</v>
      </c>
      <c r="CQ137" s="15">
        <v>0</v>
      </c>
      <c r="CR137" s="15">
        <v>0</v>
      </c>
      <c r="CS137" s="15">
        <v>0</v>
      </c>
      <c r="CT137" s="15">
        <v>0</v>
      </c>
      <c r="CU137" s="15">
        <v>0</v>
      </c>
      <c r="CV137" s="15">
        <v>0</v>
      </c>
      <c r="CW137" s="15">
        <v>0</v>
      </c>
      <c r="CX137" s="15">
        <v>0</v>
      </c>
      <c r="CY137" s="15">
        <v>0</v>
      </c>
      <c r="CZ137" s="15">
        <v>0</v>
      </c>
      <c r="DA137" s="15">
        <v>0</v>
      </c>
      <c r="DB137" s="15">
        <v>0</v>
      </c>
      <c r="DC137" s="15">
        <v>0</v>
      </c>
      <c r="DD137" s="15">
        <v>0</v>
      </c>
      <c r="DE137" s="15">
        <v>0</v>
      </c>
      <c r="DF137" s="15">
        <v>0</v>
      </c>
      <c r="DG137" s="15">
        <v>0</v>
      </c>
      <c r="DH137" s="15">
        <v>0</v>
      </c>
      <c r="DI137" s="15">
        <v>0</v>
      </c>
      <c r="DJ137" s="15">
        <v>0</v>
      </c>
      <c r="DK137" s="15">
        <v>0</v>
      </c>
      <c r="DL137" s="15">
        <v>0</v>
      </c>
      <c r="DM137" s="15">
        <v>0</v>
      </c>
      <c r="DN137" s="15">
        <v>0</v>
      </c>
      <c r="DO137" s="15">
        <v>0</v>
      </c>
      <c r="DP137" s="15">
        <v>0</v>
      </c>
      <c r="DQ137" s="15">
        <v>0</v>
      </c>
      <c r="DR137" s="15">
        <v>0</v>
      </c>
      <c r="DS137" s="15">
        <v>0</v>
      </c>
      <c r="DT137" s="15">
        <v>0</v>
      </c>
      <c r="DU137" s="15">
        <v>0</v>
      </c>
      <c r="DV137" s="15">
        <v>0</v>
      </c>
      <c r="DW137" s="15">
        <v>0</v>
      </c>
      <c r="DX137" s="15">
        <v>0</v>
      </c>
      <c r="DY137" s="15">
        <v>0</v>
      </c>
      <c r="DZ137" s="15">
        <v>0</v>
      </c>
      <c r="EA137" s="15">
        <v>0</v>
      </c>
      <c r="EB137" s="15">
        <v>0</v>
      </c>
      <c r="EC137" s="15">
        <v>0</v>
      </c>
      <c r="ED137" s="15">
        <v>0</v>
      </c>
      <c r="EE137" s="15">
        <v>0</v>
      </c>
      <c r="EF137" s="15">
        <v>0</v>
      </c>
    </row>
    <row r="138" spans="1:136" ht="15" customHeight="1" x14ac:dyDescent="0.35">
      <c r="A138" s="8" t="s">
        <v>12</v>
      </c>
      <c r="B138" s="8" t="s">
        <v>22</v>
      </c>
      <c r="C138" s="8" t="s">
        <v>22</v>
      </c>
      <c r="D138" s="8" t="s">
        <v>317</v>
      </c>
      <c r="E138" s="8" t="s">
        <v>10</v>
      </c>
      <c r="F138" s="8" t="s">
        <v>99</v>
      </c>
      <c r="G138" s="15">
        <v>0</v>
      </c>
      <c r="H138" s="15">
        <v>0</v>
      </c>
      <c r="I138" s="15">
        <v>415</v>
      </c>
      <c r="J138" s="15">
        <v>-415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5</v>
      </c>
      <c r="AK138" s="15">
        <v>11.5</v>
      </c>
      <c r="AL138" s="15">
        <v>12.5</v>
      </c>
      <c r="AM138" s="15">
        <v>17</v>
      </c>
      <c r="AN138" s="15">
        <v>7.5</v>
      </c>
      <c r="AO138" s="15">
        <v>16</v>
      </c>
      <c r="AP138" s="15">
        <v>17.5</v>
      </c>
      <c r="AQ138" s="15">
        <v>7</v>
      </c>
      <c r="AR138" s="15">
        <v>8</v>
      </c>
      <c r="AS138" s="15">
        <v>1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0</v>
      </c>
      <c r="CC138" s="15">
        <v>0</v>
      </c>
      <c r="CD138" s="15">
        <v>0</v>
      </c>
      <c r="CE138" s="15">
        <v>0</v>
      </c>
      <c r="CF138" s="15">
        <v>0</v>
      </c>
      <c r="CG138" s="15">
        <v>0</v>
      </c>
      <c r="CH138" s="15">
        <v>0</v>
      </c>
      <c r="CI138" s="15">
        <v>0</v>
      </c>
      <c r="CJ138" s="15">
        <v>0</v>
      </c>
      <c r="CK138" s="15">
        <v>0</v>
      </c>
      <c r="CL138" s="15">
        <v>0</v>
      </c>
      <c r="CM138" s="15">
        <v>0</v>
      </c>
      <c r="CN138" s="15">
        <v>0</v>
      </c>
      <c r="CO138" s="15">
        <v>0</v>
      </c>
      <c r="CP138" s="15">
        <v>0</v>
      </c>
      <c r="CQ138" s="15">
        <v>0</v>
      </c>
      <c r="CR138" s="15">
        <v>0</v>
      </c>
      <c r="CS138" s="15">
        <v>5</v>
      </c>
      <c r="CT138" s="15">
        <v>5</v>
      </c>
      <c r="CU138" s="15">
        <v>5</v>
      </c>
      <c r="CV138" s="15">
        <v>0</v>
      </c>
      <c r="CW138" s="15">
        <v>0</v>
      </c>
      <c r="CX138" s="15">
        <v>0</v>
      </c>
      <c r="CY138" s="15">
        <v>10</v>
      </c>
      <c r="CZ138" s="15">
        <v>10</v>
      </c>
      <c r="DA138" s="15">
        <v>0</v>
      </c>
      <c r="DB138" s="15">
        <v>0</v>
      </c>
      <c r="DC138" s="15">
        <v>0</v>
      </c>
      <c r="DD138" s="15">
        <v>0</v>
      </c>
      <c r="DE138" s="15">
        <v>0</v>
      </c>
      <c r="DF138" s="15">
        <v>0</v>
      </c>
      <c r="DG138" s="15">
        <v>0</v>
      </c>
      <c r="DH138" s="15">
        <v>8</v>
      </c>
      <c r="DI138" s="15">
        <v>0</v>
      </c>
      <c r="DJ138" s="15">
        <v>0</v>
      </c>
      <c r="DK138" s="15">
        <v>15</v>
      </c>
      <c r="DL138" s="15">
        <v>20</v>
      </c>
      <c r="DM138" s="15">
        <v>35</v>
      </c>
      <c r="DN138" s="15">
        <v>40</v>
      </c>
      <c r="DO138" s="15">
        <v>40</v>
      </c>
      <c r="DP138" s="15">
        <v>40</v>
      </c>
      <c r="DQ138" s="15">
        <v>40</v>
      </c>
      <c r="DR138" s="15">
        <v>40</v>
      </c>
      <c r="DS138" s="15">
        <v>0</v>
      </c>
      <c r="DT138" s="15">
        <v>0</v>
      </c>
      <c r="DU138" s="15">
        <v>0</v>
      </c>
      <c r="DV138" s="15">
        <v>0</v>
      </c>
      <c r="DW138" s="15">
        <v>0</v>
      </c>
      <c r="DX138" s="15">
        <v>0</v>
      </c>
      <c r="DY138" s="15">
        <v>0</v>
      </c>
      <c r="DZ138" s="15">
        <v>0</v>
      </c>
      <c r="EA138" s="15">
        <v>0</v>
      </c>
      <c r="EB138" s="15">
        <v>0</v>
      </c>
      <c r="EC138" s="15">
        <v>0</v>
      </c>
      <c r="ED138" s="15">
        <v>0</v>
      </c>
      <c r="EE138" s="15">
        <v>0</v>
      </c>
      <c r="EF138" s="15">
        <v>0</v>
      </c>
    </row>
    <row r="139" spans="1:136" ht="15" customHeight="1" x14ac:dyDescent="0.35">
      <c r="A139" s="8" t="s">
        <v>12</v>
      </c>
      <c r="B139" s="8" t="s">
        <v>22</v>
      </c>
      <c r="C139" s="8" t="s">
        <v>22</v>
      </c>
      <c r="D139" s="8" t="s">
        <v>316</v>
      </c>
      <c r="E139" s="8" t="s">
        <v>10</v>
      </c>
      <c r="F139" s="8" t="s">
        <v>99</v>
      </c>
      <c r="G139" s="15">
        <v>107</v>
      </c>
      <c r="H139" s="15">
        <v>405</v>
      </c>
      <c r="I139" s="15">
        <v>13</v>
      </c>
      <c r="J139" s="15">
        <v>392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5</v>
      </c>
      <c r="AI139" s="15">
        <v>2</v>
      </c>
      <c r="AJ139" s="15">
        <v>6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5">
        <v>0</v>
      </c>
      <c r="CH139" s="15">
        <v>0</v>
      </c>
      <c r="CI139" s="15">
        <v>0</v>
      </c>
      <c r="CJ139" s="15">
        <v>0</v>
      </c>
      <c r="CK139" s="15">
        <v>0</v>
      </c>
      <c r="CL139" s="15">
        <v>0</v>
      </c>
      <c r="CM139" s="15">
        <v>0</v>
      </c>
      <c r="CN139" s="15">
        <v>0</v>
      </c>
      <c r="CO139" s="15">
        <v>0</v>
      </c>
      <c r="CP139" s="15">
        <v>0</v>
      </c>
      <c r="CQ139" s="15">
        <v>0</v>
      </c>
      <c r="CR139" s="15">
        <v>0</v>
      </c>
      <c r="CS139" s="15">
        <v>0</v>
      </c>
      <c r="CT139" s="15">
        <v>0</v>
      </c>
      <c r="CU139" s="15">
        <v>0</v>
      </c>
      <c r="CV139" s="15">
        <v>0</v>
      </c>
      <c r="CW139" s="15">
        <v>0</v>
      </c>
      <c r="CX139" s="15">
        <v>0</v>
      </c>
      <c r="CY139" s="15">
        <v>0</v>
      </c>
      <c r="CZ139" s="15">
        <v>0</v>
      </c>
      <c r="DA139" s="15">
        <v>0</v>
      </c>
      <c r="DB139" s="15">
        <v>0</v>
      </c>
      <c r="DC139" s="15">
        <v>0</v>
      </c>
      <c r="DD139" s="15">
        <v>0</v>
      </c>
      <c r="DE139" s="15">
        <v>0</v>
      </c>
      <c r="DF139" s="15">
        <v>0</v>
      </c>
      <c r="DG139" s="15">
        <v>0</v>
      </c>
      <c r="DH139" s="15">
        <v>0</v>
      </c>
      <c r="DI139" s="15">
        <v>0</v>
      </c>
      <c r="DJ139" s="15">
        <v>0</v>
      </c>
      <c r="DK139" s="15">
        <v>0</v>
      </c>
      <c r="DL139" s="15">
        <v>0</v>
      </c>
      <c r="DM139" s="15">
        <v>0</v>
      </c>
      <c r="DN139" s="15">
        <v>0</v>
      </c>
      <c r="DO139" s="15">
        <v>0</v>
      </c>
      <c r="DP139" s="15">
        <v>0</v>
      </c>
      <c r="DQ139" s="15">
        <v>0</v>
      </c>
      <c r="DR139" s="15">
        <v>0</v>
      </c>
      <c r="DS139" s="15">
        <v>0</v>
      </c>
      <c r="DT139" s="15">
        <v>0</v>
      </c>
      <c r="DU139" s="15">
        <v>0</v>
      </c>
      <c r="DV139" s="15">
        <v>0</v>
      </c>
      <c r="DW139" s="15">
        <v>0</v>
      </c>
      <c r="DX139" s="15">
        <v>0</v>
      </c>
      <c r="DY139" s="15">
        <v>0</v>
      </c>
      <c r="DZ139" s="15">
        <v>0</v>
      </c>
      <c r="EA139" s="15">
        <v>0</v>
      </c>
      <c r="EB139" s="15">
        <v>0</v>
      </c>
      <c r="EC139" s="15">
        <v>0</v>
      </c>
      <c r="ED139" s="15">
        <v>0</v>
      </c>
      <c r="EE139" s="15">
        <v>0</v>
      </c>
      <c r="EF139" s="15">
        <v>0</v>
      </c>
    </row>
    <row r="140" spans="1:136" ht="15" customHeight="1" x14ac:dyDescent="0.35">
      <c r="A140" s="8" t="s">
        <v>12</v>
      </c>
      <c r="B140" s="8" t="s">
        <v>22</v>
      </c>
      <c r="C140" s="8" t="s">
        <v>22</v>
      </c>
      <c r="D140" s="8" t="s">
        <v>317</v>
      </c>
      <c r="E140" s="8" t="s">
        <v>10</v>
      </c>
      <c r="F140" s="8" t="s">
        <v>87</v>
      </c>
      <c r="G140" s="15">
        <v>0</v>
      </c>
      <c r="H140" s="15">
        <v>0</v>
      </c>
      <c r="I140" s="15">
        <v>2</v>
      </c>
      <c r="J140" s="15">
        <v>-2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2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0</v>
      </c>
      <c r="CC140" s="15">
        <v>0</v>
      </c>
      <c r="CD140" s="15">
        <v>0</v>
      </c>
      <c r="CE140" s="15">
        <v>0</v>
      </c>
      <c r="CF140" s="15">
        <v>0</v>
      </c>
      <c r="CG140" s="15">
        <v>0</v>
      </c>
      <c r="CH140" s="15">
        <v>0</v>
      </c>
      <c r="CI140" s="15">
        <v>0</v>
      </c>
      <c r="CJ140" s="15">
        <v>0</v>
      </c>
      <c r="CK140" s="15">
        <v>0</v>
      </c>
      <c r="CL140" s="15">
        <v>0</v>
      </c>
      <c r="CM140" s="15">
        <v>0</v>
      </c>
      <c r="CN140" s="15">
        <v>0</v>
      </c>
      <c r="CO140" s="15">
        <v>0</v>
      </c>
      <c r="CP140" s="15">
        <v>0</v>
      </c>
      <c r="CQ140" s="15">
        <v>0</v>
      </c>
      <c r="CR140" s="15">
        <v>0</v>
      </c>
      <c r="CS140" s="15">
        <v>0</v>
      </c>
      <c r="CT140" s="15">
        <v>0</v>
      </c>
      <c r="CU140" s="15">
        <v>0</v>
      </c>
      <c r="CV140" s="15">
        <v>0</v>
      </c>
      <c r="CW140" s="15">
        <v>0</v>
      </c>
      <c r="CX140" s="15">
        <v>0</v>
      </c>
      <c r="CY140" s="15">
        <v>0</v>
      </c>
      <c r="CZ140" s="15">
        <v>0</v>
      </c>
      <c r="DA140" s="15">
        <v>0</v>
      </c>
      <c r="DB140" s="15">
        <v>0</v>
      </c>
      <c r="DC140" s="15">
        <v>0</v>
      </c>
      <c r="DD140" s="15">
        <v>0</v>
      </c>
      <c r="DE140" s="15">
        <v>0</v>
      </c>
      <c r="DF140" s="15">
        <v>0</v>
      </c>
      <c r="DG140" s="15">
        <v>0</v>
      </c>
      <c r="DH140" s="15">
        <v>0</v>
      </c>
      <c r="DI140" s="15">
        <v>0</v>
      </c>
      <c r="DJ140" s="15">
        <v>0</v>
      </c>
      <c r="DK140" s="15">
        <v>0</v>
      </c>
      <c r="DL140" s="15">
        <v>0</v>
      </c>
      <c r="DM140" s="15">
        <v>0</v>
      </c>
      <c r="DN140" s="15">
        <v>0</v>
      </c>
      <c r="DO140" s="15">
        <v>0</v>
      </c>
      <c r="DP140" s="15">
        <v>0</v>
      </c>
      <c r="DQ140" s="15">
        <v>0</v>
      </c>
      <c r="DR140" s="15">
        <v>0</v>
      </c>
      <c r="DS140" s="15">
        <v>0</v>
      </c>
      <c r="DT140" s="15">
        <v>0</v>
      </c>
      <c r="DU140" s="15">
        <v>0</v>
      </c>
      <c r="DV140" s="15">
        <v>0</v>
      </c>
      <c r="DW140" s="15">
        <v>0</v>
      </c>
      <c r="DX140" s="15">
        <v>0</v>
      </c>
      <c r="DY140" s="15">
        <v>0</v>
      </c>
      <c r="DZ140" s="15">
        <v>0</v>
      </c>
      <c r="EA140" s="15">
        <v>0</v>
      </c>
      <c r="EB140" s="15">
        <v>0</v>
      </c>
      <c r="EC140" s="15">
        <v>0</v>
      </c>
      <c r="ED140" s="15">
        <v>0</v>
      </c>
      <c r="EE140" s="15">
        <v>0</v>
      </c>
      <c r="EF140" s="15">
        <v>0</v>
      </c>
    </row>
    <row r="141" spans="1:136" ht="15" customHeight="1" x14ac:dyDescent="0.35">
      <c r="A141" s="8" t="s">
        <v>12</v>
      </c>
      <c r="B141" s="8" t="s">
        <v>20</v>
      </c>
      <c r="C141" s="8" t="s">
        <v>20</v>
      </c>
      <c r="D141" s="8" t="s">
        <v>318</v>
      </c>
      <c r="E141" s="8" t="s">
        <v>10</v>
      </c>
      <c r="F141" s="8" t="s">
        <v>82</v>
      </c>
      <c r="G141" s="15">
        <v>0</v>
      </c>
      <c r="H141" s="15">
        <v>0</v>
      </c>
      <c r="I141" s="15">
        <v>9</v>
      </c>
      <c r="J141" s="15">
        <v>-9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2</v>
      </c>
      <c r="AA141" s="15">
        <v>7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5">
        <v>0</v>
      </c>
      <c r="CH141" s="15">
        <v>0</v>
      </c>
      <c r="CI141" s="15">
        <v>0</v>
      </c>
      <c r="CJ141" s="15">
        <v>0</v>
      </c>
      <c r="CK141" s="15">
        <v>0</v>
      </c>
      <c r="CL141" s="15">
        <v>0</v>
      </c>
      <c r="CM141" s="15">
        <v>0</v>
      </c>
      <c r="CN141" s="15">
        <v>0</v>
      </c>
      <c r="CO141" s="15">
        <v>0</v>
      </c>
      <c r="CP141" s="15">
        <v>0</v>
      </c>
      <c r="CQ141" s="15">
        <v>0</v>
      </c>
      <c r="CR141" s="15">
        <v>0</v>
      </c>
      <c r="CS141" s="15">
        <v>0</v>
      </c>
      <c r="CT141" s="15">
        <v>0</v>
      </c>
      <c r="CU141" s="15">
        <v>0</v>
      </c>
      <c r="CV141" s="15">
        <v>0</v>
      </c>
      <c r="CW141" s="15">
        <v>0</v>
      </c>
      <c r="CX141" s="15">
        <v>0</v>
      </c>
      <c r="CY141" s="15">
        <v>0</v>
      </c>
      <c r="CZ141" s="15">
        <v>0</v>
      </c>
      <c r="DA141" s="15">
        <v>0</v>
      </c>
      <c r="DB141" s="15">
        <v>0</v>
      </c>
      <c r="DC141" s="15">
        <v>0</v>
      </c>
      <c r="DD141" s="15">
        <v>0</v>
      </c>
      <c r="DE141" s="15">
        <v>0</v>
      </c>
      <c r="DF141" s="15">
        <v>0</v>
      </c>
      <c r="DG141" s="15">
        <v>0</v>
      </c>
      <c r="DH141" s="15">
        <v>0</v>
      </c>
      <c r="DI141" s="15">
        <v>0</v>
      </c>
      <c r="DJ141" s="15">
        <v>0</v>
      </c>
      <c r="DK141" s="15">
        <v>0</v>
      </c>
      <c r="DL141" s="15">
        <v>0</v>
      </c>
      <c r="DM141" s="15">
        <v>0</v>
      </c>
      <c r="DN141" s="15">
        <v>0</v>
      </c>
      <c r="DO141" s="15">
        <v>0</v>
      </c>
      <c r="DP141" s="15">
        <v>0</v>
      </c>
      <c r="DQ141" s="15">
        <v>0</v>
      </c>
      <c r="DR141" s="15">
        <v>0</v>
      </c>
      <c r="DS141" s="15">
        <v>0</v>
      </c>
      <c r="DT141" s="15">
        <v>0</v>
      </c>
      <c r="DU141" s="15">
        <v>0</v>
      </c>
      <c r="DV141" s="15">
        <v>0</v>
      </c>
      <c r="DW141" s="15">
        <v>0</v>
      </c>
      <c r="DX141" s="15">
        <v>0</v>
      </c>
      <c r="DY141" s="15">
        <v>0</v>
      </c>
      <c r="DZ141" s="15">
        <v>0</v>
      </c>
      <c r="EA141" s="15">
        <v>0</v>
      </c>
      <c r="EB141" s="15">
        <v>0</v>
      </c>
      <c r="EC141" s="15">
        <v>0</v>
      </c>
      <c r="ED141" s="15">
        <v>0</v>
      </c>
      <c r="EE141" s="15">
        <v>0</v>
      </c>
      <c r="EF141" s="15">
        <v>0</v>
      </c>
    </row>
    <row r="142" spans="1:136" ht="15" customHeight="1" x14ac:dyDescent="0.35">
      <c r="A142" s="8" t="s">
        <v>12</v>
      </c>
      <c r="B142" s="8" t="s">
        <v>20</v>
      </c>
      <c r="C142" s="8" t="s">
        <v>20</v>
      </c>
      <c r="D142" s="8" t="s">
        <v>318</v>
      </c>
      <c r="E142" s="8" t="s">
        <v>10</v>
      </c>
      <c r="F142" s="8" t="s">
        <v>82</v>
      </c>
      <c r="G142" s="15">
        <v>10</v>
      </c>
      <c r="H142" s="15">
        <v>10</v>
      </c>
      <c r="I142" s="15">
        <v>10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10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15">
        <v>0</v>
      </c>
      <c r="BU142" s="15">
        <v>0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0</v>
      </c>
      <c r="CB142" s="15">
        <v>0</v>
      </c>
      <c r="CC142" s="15">
        <v>0</v>
      </c>
      <c r="CD142" s="15">
        <v>0</v>
      </c>
      <c r="CE142" s="15">
        <v>0</v>
      </c>
      <c r="CF142" s="15">
        <v>0</v>
      </c>
      <c r="CG142" s="15">
        <v>0</v>
      </c>
      <c r="CH142" s="15">
        <v>0</v>
      </c>
      <c r="CI142" s="15">
        <v>0</v>
      </c>
      <c r="CJ142" s="15">
        <v>0</v>
      </c>
      <c r="CK142" s="15">
        <v>0</v>
      </c>
      <c r="CL142" s="15">
        <v>0</v>
      </c>
      <c r="CM142" s="15">
        <v>0</v>
      </c>
      <c r="CN142" s="15">
        <v>0</v>
      </c>
      <c r="CO142" s="15">
        <v>0</v>
      </c>
      <c r="CP142" s="15">
        <v>0</v>
      </c>
      <c r="CQ142" s="15">
        <v>0</v>
      </c>
      <c r="CR142" s="15">
        <v>0</v>
      </c>
      <c r="CS142" s="15">
        <v>0</v>
      </c>
      <c r="CT142" s="15">
        <v>0</v>
      </c>
      <c r="CU142" s="15">
        <v>0</v>
      </c>
      <c r="CV142" s="15">
        <v>0</v>
      </c>
      <c r="CW142" s="15">
        <v>0</v>
      </c>
      <c r="CX142" s="15">
        <v>0</v>
      </c>
      <c r="CY142" s="15">
        <v>0</v>
      </c>
      <c r="CZ142" s="15">
        <v>0</v>
      </c>
      <c r="DA142" s="15">
        <v>0</v>
      </c>
      <c r="DB142" s="15">
        <v>0</v>
      </c>
      <c r="DC142" s="15">
        <v>0</v>
      </c>
      <c r="DD142" s="15">
        <v>0</v>
      </c>
      <c r="DE142" s="15">
        <v>0</v>
      </c>
      <c r="DF142" s="15">
        <v>0</v>
      </c>
      <c r="DG142" s="15">
        <v>0</v>
      </c>
      <c r="DH142" s="15">
        <v>0</v>
      </c>
      <c r="DI142" s="15">
        <v>0</v>
      </c>
      <c r="DJ142" s="15">
        <v>0</v>
      </c>
      <c r="DK142" s="15">
        <v>0</v>
      </c>
      <c r="DL142" s="15">
        <v>0</v>
      </c>
      <c r="DM142" s="15">
        <v>0</v>
      </c>
      <c r="DN142" s="15">
        <v>0</v>
      </c>
      <c r="DO142" s="15">
        <v>0</v>
      </c>
      <c r="DP142" s="15">
        <v>0</v>
      </c>
      <c r="DQ142" s="15">
        <v>0</v>
      </c>
      <c r="DR142" s="15">
        <v>0</v>
      </c>
      <c r="DS142" s="15">
        <v>0</v>
      </c>
      <c r="DT142" s="15">
        <v>0</v>
      </c>
      <c r="DU142" s="15">
        <v>0</v>
      </c>
      <c r="DV142" s="15">
        <v>0</v>
      </c>
      <c r="DW142" s="15">
        <v>0</v>
      </c>
      <c r="DX142" s="15">
        <v>0</v>
      </c>
      <c r="DY142" s="15">
        <v>0</v>
      </c>
      <c r="DZ142" s="15">
        <v>0</v>
      </c>
      <c r="EA142" s="15">
        <v>0</v>
      </c>
      <c r="EB142" s="15">
        <v>0</v>
      </c>
      <c r="EC142" s="15">
        <v>0</v>
      </c>
      <c r="ED142" s="15">
        <v>0</v>
      </c>
      <c r="EE142" s="15">
        <v>0</v>
      </c>
      <c r="EF142" s="15">
        <v>0</v>
      </c>
    </row>
    <row r="143" spans="1:136" ht="15" customHeight="1" x14ac:dyDescent="0.35">
      <c r="A143" s="8" t="s">
        <v>12</v>
      </c>
      <c r="B143" s="8" t="s">
        <v>20</v>
      </c>
      <c r="C143" s="8" t="s">
        <v>20</v>
      </c>
      <c r="D143" s="8" t="s">
        <v>317</v>
      </c>
      <c r="E143" s="8" t="s">
        <v>10</v>
      </c>
      <c r="F143" s="8" t="s">
        <v>82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5">
        <v>0</v>
      </c>
      <c r="CH143" s="15">
        <v>0</v>
      </c>
      <c r="CI143" s="15">
        <v>0</v>
      </c>
      <c r="CJ143" s="15">
        <v>0</v>
      </c>
      <c r="CK143" s="15">
        <v>0</v>
      </c>
      <c r="CL143" s="15">
        <v>0</v>
      </c>
      <c r="CM143" s="15">
        <v>0</v>
      </c>
      <c r="CN143" s="15">
        <v>0</v>
      </c>
      <c r="CO143" s="15">
        <v>0</v>
      </c>
      <c r="CP143" s="15">
        <v>0</v>
      </c>
      <c r="CQ143" s="15">
        <v>0</v>
      </c>
      <c r="CR143" s="15">
        <v>0</v>
      </c>
      <c r="CS143" s="15">
        <v>0</v>
      </c>
      <c r="CT143" s="15">
        <v>0</v>
      </c>
      <c r="CU143" s="15">
        <v>0</v>
      </c>
      <c r="CV143" s="15">
        <v>0</v>
      </c>
      <c r="CW143" s="15">
        <v>0</v>
      </c>
      <c r="CX143" s="15">
        <v>0</v>
      </c>
      <c r="CY143" s="15">
        <v>0</v>
      </c>
      <c r="CZ143" s="15">
        <v>0</v>
      </c>
      <c r="DA143" s="15">
        <v>0</v>
      </c>
      <c r="DB143" s="15">
        <v>0</v>
      </c>
      <c r="DC143" s="15">
        <v>0</v>
      </c>
      <c r="DD143" s="15">
        <v>0</v>
      </c>
      <c r="DE143" s="15">
        <v>0</v>
      </c>
      <c r="DF143" s="15">
        <v>0</v>
      </c>
      <c r="DG143" s="15">
        <v>0</v>
      </c>
      <c r="DH143" s="15">
        <v>0</v>
      </c>
      <c r="DI143" s="15">
        <v>0</v>
      </c>
      <c r="DJ143" s="15">
        <v>0</v>
      </c>
      <c r="DK143" s="15">
        <v>0</v>
      </c>
      <c r="DL143" s="15">
        <v>0</v>
      </c>
      <c r="DM143" s="15">
        <v>0</v>
      </c>
      <c r="DN143" s="15">
        <v>0</v>
      </c>
      <c r="DO143" s="15">
        <v>0</v>
      </c>
      <c r="DP143" s="15">
        <v>0</v>
      </c>
      <c r="DQ143" s="15">
        <v>0</v>
      </c>
      <c r="DR143" s="15">
        <v>0</v>
      </c>
      <c r="DS143" s="15">
        <v>0</v>
      </c>
      <c r="DT143" s="15">
        <v>0</v>
      </c>
      <c r="DU143" s="15">
        <v>0</v>
      </c>
      <c r="DV143" s="15">
        <v>0</v>
      </c>
      <c r="DW143" s="15">
        <v>0</v>
      </c>
      <c r="DX143" s="15">
        <v>0</v>
      </c>
      <c r="DY143" s="15">
        <v>0</v>
      </c>
      <c r="DZ143" s="15">
        <v>0</v>
      </c>
      <c r="EA143" s="15">
        <v>0</v>
      </c>
      <c r="EB143" s="15">
        <v>0</v>
      </c>
      <c r="EC143" s="15">
        <v>0</v>
      </c>
      <c r="ED143" s="15">
        <v>0</v>
      </c>
      <c r="EE143" s="15">
        <v>0</v>
      </c>
      <c r="EF143" s="15">
        <v>0</v>
      </c>
    </row>
    <row r="144" spans="1:136" ht="15" customHeight="1" x14ac:dyDescent="0.35">
      <c r="A144" s="8" t="s">
        <v>12</v>
      </c>
      <c r="B144" s="8" t="s">
        <v>20</v>
      </c>
      <c r="C144" s="8" t="s">
        <v>20</v>
      </c>
      <c r="D144" s="8" t="s">
        <v>318</v>
      </c>
      <c r="E144" s="8" t="s">
        <v>10</v>
      </c>
      <c r="F144" s="8" t="s">
        <v>83</v>
      </c>
      <c r="G144" s="15">
        <v>8</v>
      </c>
      <c r="H144" s="15">
        <v>8</v>
      </c>
      <c r="I144" s="15">
        <v>0</v>
      </c>
      <c r="J144" s="15">
        <v>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0</v>
      </c>
      <c r="CB144" s="15">
        <v>0</v>
      </c>
      <c r="CC144" s="15">
        <v>0</v>
      </c>
      <c r="CD144" s="15">
        <v>0</v>
      </c>
      <c r="CE144" s="15">
        <v>0</v>
      </c>
      <c r="CF144" s="15">
        <v>0</v>
      </c>
      <c r="CG144" s="15">
        <v>0</v>
      </c>
      <c r="CH144" s="15">
        <v>0</v>
      </c>
      <c r="CI144" s="15">
        <v>0</v>
      </c>
      <c r="CJ144" s="15">
        <v>0</v>
      </c>
      <c r="CK144" s="15">
        <v>0</v>
      </c>
      <c r="CL144" s="15">
        <v>0</v>
      </c>
      <c r="CM144" s="15">
        <v>0</v>
      </c>
      <c r="CN144" s="15">
        <v>0</v>
      </c>
      <c r="CO144" s="15">
        <v>0</v>
      </c>
      <c r="CP144" s="15">
        <v>0</v>
      </c>
      <c r="CQ144" s="15">
        <v>0</v>
      </c>
      <c r="CR144" s="15">
        <v>0</v>
      </c>
      <c r="CS144" s="15">
        <v>0</v>
      </c>
      <c r="CT144" s="15">
        <v>0</v>
      </c>
      <c r="CU144" s="15">
        <v>0</v>
      </c>
      <c r="CV144" s="15">
        <v>0</v>
      </c>
      <c r="CW144" s="15">
        <v>0</v>
      </c>
      <c r="CX144" s="15">
        <v>0</v>
      </c>
      <c r="CY144" s="15">
        <v>0</v>
      </c>
      <c r="CZ144" s="15">
        <v>0</v>
      </c>
      <c r="DA144" s="15">
        <v>0</v>
      </c>
      <c r="DB144" s="15">
        <v>0</v>
      </c>
      <c r="DC144" s="15">
        <v>0</v>
      </c>
      <c r="DD144" s="15">
        <v>0</v>
      </c>
      <c r="DE144" s="15">
        <v>0</v>
      </c>
      <c r="DF144" s="15">
        <v>0</v>
      </c>
      <c r="DG144" s="15">
        <v>0</v>
      </c>
      <c r="DH144" s="15">
        <v>0</v>
      </c>
      <c r="DI144" s="15">
        <v>0</v>
      </c>
      <c r="DJ144" s="15">
        <v>0</v>
      </c>
      <c r="DK144" s="15">
        <v>0</v>
      </c>
      <c r="DL144" s="15">
        <v>0</v>
      </c>
      <c r="DM144" s="15">
        <v>0</v>
      </c>
      <c r="DN144" s="15">
        <v>0</v>
      </c>
      <c r="DO144" s="15">
        <v>0</v>
      </c>
      <c r="DP144" s="15">
        <v>0</v>
      </c>
      <c r="DQ144" s="15">
        <v>0</v>
      </c>
      <c r="DR144" s="15">
        <v>0</v>
      </c>
      <c r="DS144" s="15">
        <v>0</v>
      </c>
      <c r="DT144" s="15">
        <v>0</v>
      </c>
      <c r="DU144" s="15">
        <v>0</v>
      </c>
      <c r="DV144" s="15">
        <v>0</v>
      </c>
      <c r="DW144" s="15">
        <v>0</v>
      </c>
      <c r="DX144" s="15">
        <v>0</v>
      </c>
      <c r="DY144" s="15">
        <v>0</v>
      </c>
      <c r="DZ144" s="15">
        <v>0</v>
      </c>
      <c r="EA144" s="15">
        <v>0</v>
      </c>
      <c r="EB144" s="15">
        <v>0</v>
      </c>
      <c r="EC144" s="15">
        <v>0</v>
      </c>
      <c r="ED144" s="15">
        <v>0</v>
      </c>
      <c r="EE144" s="15">
        <v>0</v>
      </c>
      <c r="EF144" s="15">
        <v>0</v>
      </c>
    </row>
    <row r="145" spans="1:136" ht="15" customHeight="1" x14ac:dyDescent="0.35">
      <c r="A145" s="8" t="s">
        <v>12</v>
      </c>
      <c r="B145" s="8" t="s">
        <v>20</v>
      </c>
      <c r="C145" s="8" t="s">
        <v>20</v>
      </c>
      <c r="D145" s="8" t="s">
        <v>317</v>
      </c>
      <c r="E145" s="8" t="s">
        <v>10</v>
      </c>
      <c r="F145" s="8" t="s">
        <v>83</v>
      </c>
      <c r="G145" s="15">
        <v>0</v>
      </c>
      <c r="H145" s="15">
        <v>0</v>
      </c>
      <c r="I145" s="15">
        <v>21</v>
      </c>
      <c r="J145" s="15">
        <v>-21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2</v>
      </c>
      <c r="AN145" s="15">
        <v>11</v>
      </c>
      <c r="AO145" s="15">
        <v>8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5">
        <v>0</v>
      </c>
      <c r="CH145" s="15">
        <v>0</v>
      </c>
      <c r="CI145" s="15">
        <v>0</v>
      </c>
      <c r="CJ145" s="15">
        <v>0</v>
      </c>
      <c r="CK145" s="15">
        <v>0</v>
      </c>
      <c r="CL145" s="15">
        <v>0</v>
      </c>
      <c r="CM145" s="15">
        <v>0</v>
      </c>
      <c r="CN145" s="15">
        <v>0</v>
      </c>
      <c r="CO145" s="15">
        <v>0</v>
      </c>
      <c r="CP145" s="15">
        <v>0</v>
      </c>
      <c r="CQ145" s="15">
        <v>0</v>
      </c>
      <c r="CR145" s="15">
        <v>0</v>
      </c>
      <c r="CS145" s="15">
        <v>0</v>
      </c>
      <c r="CT145" s="15">
        <v>0</v>
      </c>
      <c r="CU145" s="15">
        <v>0</v>
      </c>
      <c r="CV145" s="15">
        <v>0</v>
      </c>
      <c r="CW145" s="15">
        <v>0</v>
      </c>
      <c r="CX145" s="15">
        <v>0</v>
      </c>
      <c r="CY145" s="15">
        <v>0</v>
      </c>
      <c r="CZ145" s="15">
        <v>0</v>
      </c>
      <c r="DA145" s="15">
        <v>0</v>
      </c>
      <c r="DB145" s="15">
        <v>0</v>
      </c>
      <c r="DC145" s="15">
        <v>0</v>
      </c>
      <c r="DD145" s="15">
        <v>0</v>
      </c>
      <c r="DE145" s="15">
        <v>0</v>
      </c>
      <c r="DF145" s="15">
        <v>0</v>
      </c>
      <c r="DG145" s="15">
        <v>0</v>
      </c>
      <c r="DH145" s="15">
        <v>0</v>
      </c>
      <c r="DI145" s="15">
        <v>0</v>
      </c>
      <c r="DJ145" s="15">
        <v>0</v>
      </c>
      <c r="DK145" s="15">
        <v>0</v>
      </c>
      <c r="DL145" s="15">
        <v>0</v>
      </c>
      <c r="DM145" s="15">
        <v>0</v>
      </c>
      <c r="DN145" s="15">
        <v>0</v>
      </c>
      <c r="DO145" s="15">
        <v>0</v>
      </c>
      <c r="DP145" s="15">
        <v>0</v>
      </c>
      <c r="DQ145" s="15">
        <v>0</v>
      </c>
      <c r="DR145" s="15">
        <v>0</v>
      </c>
      <c r="DS145" s="15">
        <v>0</v>
      </c>
      <c r="DT145" s="15">
        <v>0</v>
      </c>
      <c r="DU145" s="15">
        <v>0</v>
      </c>
      <c r="DV145" s="15">
        <v>0</v>
      </c>
      <c r="DW145" s="15">
        <v>0</v>
      </c>
      <c r="DX145" s="15">
        <v>0</v>
      </c>
      <c r="DY145" s="15">
        <v>0</v>
      </c>
      <c r="DZ145" s="15">
        <v>0</v>
      </c>
      <c r="EA145" s="15">
        <v>0</v>
      </c>
      <c r="EB145" s="15">
        <v>0</v>
      </c>
      <c r="EC145" s="15">
        <v>0</v>
      </c>
      <c r="ED145" s="15">
        <v>0</v>
      </c>
      <c r="EE145" s="15">
        <v>0</v>
      </c>
      <c r="EF145" s="15">
        <v>0</v>
      </c>
    </row>
    <row r="146" spans="1:136" ht="15" customHeight="1" x14ac:dyDescent="0.35">
      <c r="A146" s="8" t="s">
        <v>12</v>
      </c>
      <c r="B146" s="8" t="s">
        <v>20</v>
      </c>
      <c r="C146" s="8" t="s">
        <v>20</v>
      </c>
      <c r="D146" s="8" t="s">
        <v>318</v>
      </c>
      <c r="E146" s="8" t="s">
        <v>10</v>
      </c>
      <c r="F146" s="8" t="s">
        <v>84</v>
      </c>
      <c r="G146" s="15">
        <v>0</v>
      </c>
      <c r="H146" s="15">
        <v>8</v>
      </c>
      <c r="I146" s="15">
        <v>0</v>
      </c>
      <c r="J146" s="15">
        <v>8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0</v>
      </c>
      <c r="CB146" s="15">
        <v>0</v>
      </c>
      <c r="CC146" s="15">
        <v>0</v>
      </c>
      <c r="CD146" s="15">
        <v>0</v>
      </c>
      <c r="CE146" s="15">
        <v>0</v>
      </c>
      <c r="CF146" s="15">
        <v>0</v>
      </c>
      <c r="CG146" s="15">
        <v>0</v>
      </c>
      <c r="CH146" s="15">
        <v>0</v>
      </c>
      <c r="CI146" s="15">
        <v>0</v>
      </c>
      <c r="CJ146" s="15">
        <v>0</v>
      </c>
      <c r="CK146" s="15">
        <v>0</v>
      </c>
      <c r="CL146" s="15">
        <v>0</v>
      </c>
      <c r="CM146" s="15">
        <v>0</v>
      </c>
      <c r="CN146" s="15">
        <v>0</v>
      </c>
      <c r="CO146" s="15">
        <v>0</v>
      </c>
      <c r="CP146" s="15">
        <v>0</v>
      </c>
      <c r="CQ146" s="15">
        <v>0</v>
      </c>
      <c r="CR146" s="15">
        <v>0</v>
      </c>
      <c r="CS146" s="15">
        <v>0</v>
      </c>
      <c r="CT146" s="15">
        <v>0</v>
      </c>
      <c r="CU146" s="15">
        <v>0</v>
      </c>
      <c r="CV146" s="15">
        <v>0</v>
      </c>
      <c r="CW146" s="15">
        <v>0</v>
      </c>
      <c r="CX146" s="15">
        <v>0</v>
      </c>
      <c r="CY146" s="15">
        <v>0</v>
      </c>
      <c r="CZ146" s="15">
        <v>0</v>
      </c>
      <c r="DA146" s="15">
        <v>0</v>
      </c>
      <c r="DB146" s="15">
        <v>0</v>
      </c>
      <c r="DC146" s="15">
        <v>0</v>
      </c>
      <c r="DD146" s="15">
        <v>0</v>
      </c>
      <c r="DE146" s="15">
        <v>0</v>
      </c>
      <c r="DF146" s="15">
        <v>0</v>
      </c>
      <c r="DG146" s="15">
        <v>0</v>
      </c>
      <c r="DH146" s="15">
        <v>0</v>
      </c>
      <c r="DI146" s="15">
        <v>0</v>
      </c>
      <c r="DJ146" s="15">
        <v>0</v>
      </c>
      <c r="DK146" s="15">
        <v>0</v>
      </c>
      <c r="DL146" s="15">
        <v>0</v>
      </c>
      <c r="DM146" s="15">
        <v>0</v>
      </c>
      <c r="DN146" s="15">
        <v>0</v>
      </c>
      <c r="DO146" s="15">
        <v>0</v>
      </c>
      <c r="DP146" s="15">
        <v>0</v>
      </c>
      <c r="DQ146" s="15">
        <v>0</v>
      </c>
      <c r="DR146" s="15">
        <v>0</v>
      </c>
      <c r="DS146" s="15">
        <v>0</v>
      </c>
      <c r="DT146" s="15">
        <v>0</v>
      </c>
      <c r="DU146" s="15">
        <v>0</v>
      </c>
      <c r="DV146" s="15">
        <v>0</v>
      </c>
      <c r="DW146" s="15">
        <v>0</v>
      </c>
      <c r="DX146" s="15">
        <v>0</v>
      </c>
      <c r="DY146" s="15">
        <v>0</v>
      </c>
      <c r="DZ146" s="15">
        <v>0</v>
      </c>
      <c r="EA146" s="15">
        <v>0</v>
      </c>
      <c r="EB146" s="15">
        <v>0</v>
      </c>
      <c r="EC146" s="15">
        <v>0</v>
      </c>
      <c r="ED146" s="15">
        <v>0</v>
      </c>
      <c r="EE146" s="15">
        <v>0</v>
      </c>
      <c r="EF146" s="15">
        <v>0</v>
      </c>
    </row>
    <row r="147" spans="1:136" ht="15" customHeight="1" x14ac:dyDescent="0.35">
      <c r="A147" s="8" t="s">
        <v>12</v>
      </c>
      <c r="B147" s="8" t="s">
        <v>20</v>
      </c>
      <c r="C147" s="8" t="s">
        <v>20</v>
      </c>
      <c r="D147" s="8" t="s">
        <v>317</v>
      </c>
      <c r="E147" s="8" t="s">
        <v>10</v>
      </c>
      <c r="F147" s="8" t="s">
        <v>84</v>
      </c>
      <c r="G147" s="15">
        <v>0</v>
      </c>
      <c r="H147" s="15">
        <v>0</v>
      </c>
      <c r="I147" s="15">
        <v>8</v>
      </c>
      <c r="J147" s="15">
        <v>-8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5">
        <v>0</v>
      </c>
      <c r="CH147" s="15">
        <v>0</v>
      </c>
      <c r="CI147" s="15">
        <v>0</v>
      </c>
      <c r="CJ147" s="15">
        <v>0</v>
      </c>
      <c r="CK147" s="15">
        <v>0</v>
      </c>
      <c r="CL147" s="15">
        <v>0</v>
      </c>
      <c r="CM147" s="15">
        <v>0</v>
      </c>
      <c r="CN147" s="15">
        <v>0</v>
      </c>
      <c r="CO147" s="15">
        <v>0</v>
      </c>
      <c r="CP147" s="15">
        <v>0</v>
      </c>
      <c r="CQ147" s="15">
        <v>0</v>
      </c>
      <c r="CR147" s="15">
        <v>0</v>
      </c>
      <c r="CS147" s="15">
        <v>0</v>
      </c>
      <c r="CT147" s="15">
        <v>0</v>
      </c>
      <c r="CU147" s="15">
        <v>0</v>
      </c>
      <c r="CV147" s="15">
        <v>0</v>
      </c>
      <c r="CW147" s="15">
        <v>0</v>
      </c>
      <c r="CX147" s="15">
        <v>0</v>
      </c>
      <c r="CY147" s="15">
        <v>0</v>
      </c>
      <c r="CZ147" s="15">
        <v>4</v>
      </c>
      <c r="DA147" s="15">
        <v>4</v>
      </c>
      <c r="DB147" s="15">
        <v>0</v>
      </c>
      <c r="DC147" s="15">
        <v>0</v>
      </c>
      <c r="DD147" s="15">
        <v>0</v>
      </c>
      <c r="DE147" s="15">
        <v>0</v>
      </c>
      <c r="DF147" s="15">
        <v>0</v>
      </c>
      <c r="DG147" s="15">
        <v>0</v>
      </c>
      <c r="DH147" s="15">
        <v>0</v>
      </c>
      <c r="DI147" s="15">
        <v>0</v>
      </c>
      <c r="DJ147" s="15">
        <v>0</v>
      </c>
      <c r="DK147" s="15">
        <v>0</v>
      </c>
      <c r="DL147" s="15">
        <v>0</v>
      </c>
      <c r="DM147" s="15">
        <v>0</v>
      </c>
      <c r="DN147" s="15">
        <v>0</v>
      </c>
      <c r="DO147" s="15">
        <v>0</v>
      </c>
      <c r="DP147" s="15">
        <v>0</v>
      </c>
      <c r="DQ147" s="15">
        <v>0</v>
      </c>
      <c r="DR147" s="15">
        <v>0</v>
      </c>
      <c r="DS147" s="15">
        <v>0</v>
      </c>
      <c r="DT147" s="15">
        <v>0</v>
      </c>
      <c r="DU147" s="15">
        <v>0</v>
      </c>
      <c r="DV147" s="15">
        <v>0</v>
      </c>
      <c r="DW147" s="15">
        <v>0</v>
      </c>
      <c r="DX147" s="15">
        <v>0</v>
      </c>
      <c r="DY147" s="15">
        <v>0</v>
      </c>
      <c r="DZ147" s="15">
        <v>0</v>
      </c>
      <c r="EA147" s="15">
        <v>0</v>
      </c>
      <c r="EB147" s="15">
        <v>0</v>
      </c>
      <c r="EC147" s="15">
        <v>0</v>
      </c>
      <c r="ED147" s="15">
        <v>0</v>
      </c>
      <c r="EE147" s="15">
        <v>0</v>
      </c>
      <c r="EF147" s="15">
        <v>0</v>
      </c>
    </row>
    <row r="148" spans="1:136" ht="15" customHeight="1" x14ac:dyDescent="0.35">
      <c r="A148" s="8" t="s">
        <v>12</v>
      </c>
      <c r="B148" s="8" t="s">
        <v>20</v>
      </c>
      <c r="C148" s="8" t="s">
        <v>20</v>
      </c>
      <c r="D148" s="8" t="s">
        <v>318</v>
      </c>
      <c r="E148" s="8" t="s">
        <v>10</v>
      </c>
      <c r="F148" s="8" t="s">
        <v>40</v>
      </c>
      <c r="G148" s="15">
        <v>0</v>
      </c>
      <c r="H148" s="15">
        <v>18</v>
      </c>
      <c r="I148" s="15">
        <v>0</v>
      </c>
      <c r="J148" s="15">
        <v>18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15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0</v>
      </c>
      <c r="CB148" s="15">
        <v>0</v>
      </c>
      <c r="CC148" s="15">
        <v>0</v>
      </c>
      <c r="CD148" s="15">
        <v>0</v>
      </c>
      <c r="CE148" s="15">
        <v>0</v>
      </c>
      <c r="CF148" s="15">
        <v>0</v>
      </c>
      <c r="CG148" s="15">
        <v>0</v>
      </c>
      <c r="CH148" s="15">
        <v>0</v>
      </c>
      <c r="CI148" s="15">
        <v>0</v>
      </c>
      <c r="CJ148" s="15">
        <v>0</v>
      </c>
      <c r="CK148" s="15">
        <v>0</v>
      </c>
      <c r="CL148" s="15">
        <v>0</v>
      </c>
      <c r="CM148" s="15">
        <v>0</v>
      </c>
      <c r="CN148" s="15">
        <v>0</v>
      </c>
      <c r="CO148" s="15">
        <v>0</v>
      </c>
      <c r="CP148" s="15">
        <v>0</v>
      </c>
      <c r="CQ148" s="15">
        <v>0</v>
      </c>
      <c r="CR148" s="15">
        <v>0</v>
      </c>
      <c r="CS148" s="15">
        <v>0</v>
      </c>
      <c r="CT148" s="15">
        <v>0</v>
      </c>
      <c r="CU148" s="15">
        <v>0</v>
      </c>
      <c r="CV148" s="15">
        <v>0</v>
      </c>
      <c r="CW148" s="15">
        <v>0</v>
      </c>
      <c r="CX148" s="15">
        <v>0</v>
      </c>
      <c r="CY148" s="15">
        <v>0</v>
      </c>
      <c r="CZ148" s="15">
        <v>0</v>
      </c>
      <c r="DA148" s="15">
        <v>0</v>
      </c>
      <c r="DB148" s="15">
        <v>0</v>
      </c>
      <c r="DC148" s="15">
        <v>0</v>
      </c>
      <c r="DD148" s="15">
        <v>0</v>
      </c>
      <c r="DE148" s="15">
        <v>0</v>
      </c>
      <c r="DF148" s="15">
        <v>0</v>
      </c>
      <c r="DG148" s="15">
        <v>0</v>
      </c>
      <c r="DH148" s="15">
        <v>0</v>
      </c>
      <c r="DI148" s="15">
        <v>0</v>
      </c>
      <c r="DJ148" s="15">
        <v>0</v>
      </c>
      <c r="DK148" s="15">
        <v>0</v>
      </c>
      <c r="DL148" s="15">
        <v>0</v>
      </c>
      <c r="DM148" s="15">
        <v>0</v>
      </c>
      <c r="DN148" s="15">
        <v>0</v>
      </c>
      <c r="DO148" s="15">
        <v>0</v>
      </c>
      <c r="DP148" s="15">
        <v>0</v>
      </c>
      <c r="DQ148" s="15">
        <v>0</v>
      </c>
      <c r="DR148" s="15">
        <v>0</v>
      </c>
      <c r="DS148" s="15">
        <v>0</v>
      </c>
      <c r="DT148" s="15">
        <v>0</v>
      </c>
      <c r="DU148" s="15">
        <v>0</v>
      </c>
      <c r="DV148" s="15">
        <v>0</v>
      </c>
      <c r="DW148" s="15">
        <v>0</v>
      </c>
      <c r="DX148" s="15">
        <v>0</v>
      </c>
      <c r="DY148" s="15">
        <v>0</v>
      </c>
      <c r="DZ148" s="15">
        <v>0</v>
      </c>
      <c r="EA148" s="15">
        <v>0</v>
      </c>
      <c r="EB148" s="15">
        <v>0</v>
      </c>
      <c r="EC148" s="15">
        <v>0</v>
      </c>
      <c r="ED148" s="15">
        <v>0</v>
      </c>
      <c r="EE148" s="15">
        <v>0</v>
      </c>
      <c r="EF148" s="15">
        <v>0</v>
      </c>
    </row>
    <row r="149" spans="1:136" ht="15" customHeight="1" x14ac:dyDescent="0.35">
      <c r="A149" s="8" t="s">
        <v>12</v>
      </c>
      <c r="B149" s="8" t="s">
        <v>20</v>
      </c>
      <c r="C149" s="8" t="s">
        <v>20</v>
      </c>
      <c r="D149" s="8" t="s">
        <v>317</v>
      </c>
      <c r="E149" s="8" t="s">
        <v>10</v>
      </c>
      <c r="F149" s="8" t="s">
        <v>40</v>
      </c>
      <c r="G149" s="15">
        <v>0</v>
      </c>
      <c r="H149" s="15">
        <v>0</v>
      </c>
      <c r="I149" s="15">
        <v>24</v>
      </c>
      <c r="J149" s="15">
        <v>-24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5">
        <v>0</v>
      </c>
      <c r="CH149" s="15">
        <v>0</v>
      </c>
      <c r="CI149" s="15">
        <v>0</v>
      </c>
      <c r="CJ149" s="15">
        <v>0</v>
      </c>
      <c r="CK149" s="15">
        <v>0</v>
      </c>
      <c r="CL149" s="15">
        <v>0</v>
      </c>
      <c r="CM149" s="15">
        <v>0</v>
      </c>
      <c r="CN149" s="15">
        <v>0</v>
      </c>
      <c r="CO149" s="15">
        <v>0</v>
      </c>
      <c r="CP149" s="15">
        <v>0</v>
      </c>
      <c r="CQ149" s="15">
        <v>0</v>
      </c>
      <c r="CR149" s="15">
        <v>0</v>
      </c>
      <c r="CS149" s="15">
        <v>0</v>
      </c>
      <c r="CT149" s="15">
        <v>0</v>
      </c>
      <c r="CU149" s="15">
        <v>0</v>
      </c>
      <c r="CV149" s="15">
        <v>0</v>
      </c>
      <c r="CW149" s="15">
        <v>0</v>
      </c>
      <c r="CX149" s="15">
        <v>0</v>
      </c>
      <c r="CY149" s="15">
        <v>0</v>
      </c>
      <c r="CZ149" s="15">
        <v>0</v>
      </c>
      <c r="DA149" s="15">
        <v>0</v>
      </c>
      <c r="DB149" s="15">
        <v>0</v>
      </c>
      <c r="DC149" s="15">
        <v>0</v>
      </c>
      <c r="DD149" s="15">
        <v>0</v>
      </c>
      <c r="DE149" s="15">
        <v>0</v>
      </c>
      <c r="DF149" s="15">
        <v>0</v>
      </c>
      <c r="DG149" s="15">
        <v>0</v>
      </c>
      <c r="DH149" s="15">
        <v>0</v>
      </c>
      <c r="DI149" s="15">
        <v>0</v>
      </c>
      <c r="DJ149" s="15">
        <v>0</v>
      </c>
      <c r="DK149" s="15">
        <v>0</v>
      </c>
      <c r="DL149" s="15">
        <v>0</v>
      </c>
      <c r="DM149" s="15">
        <v>0</v>
      </c>
      <c r="DN149" s="15">
        <v>0</v>
      </c>
      <c r="DO149" s="15">
        <v>8</v>
      </c>
      <c r="DP149" s="15">
        <v>0</v>
      </c>
      <c r="DQ149" s="15">
        <v>6</v>
      </c>
      <c r="DR149" s="15">
        <v>10</v>
      </c>
      <c r="DS149" s="15">
        <v>0</v>
      </c>
      <c r="DT149" s="15">
        <v>0</v>
      </c>
      <c r="DU149" s="15">
        <v>0</v>
      </c>
      <c r="DV149" s="15">
        <v>0</v>
      </c>
      <c r="DW149" s="15">
        <v>0</v>
      </c>
      <c r="DX149" s="15">
        <v>0</v>
      </c>
      <c r="DY149" s="15">
        <v>0</v>
      </c>
      <c r="DZ149" s="15">
        <v>0</v>
      </c>
      <c r="EA149" s="15">
        <v>0</v>
      </c>
      <c r="EB149" s="15">
        <v>0</v>
      </c>
      <c r="EC149" s="15">
        <v>0</v>
      </c>
      <c r="ED149" s="15">
        <v>0</v>
      </c>
      <c r="EE149" s="15">
        <v>0</v>
      </c>
      <c r="EF149" s="15">
        <v>0</v>
      </c>
    </row>
    <row r="150" spans="1:136" ht="15" customHeight="1" x14ac:dyDescent="0.35">
      <c r="A150" s="8" t="s">
        <v>12</v>
      </c>
      <c r="B150" s="8" t="s">
        <v>20</v>
      </c>
      <c r="C150" s="8" t="s">
        <v>20</v>
      </c>
      <c r="D150" s="8" t="s">
        <v>318</v>
      </c>
      <c r="E150" s="8" t="s">
        <v>10</v>
      </c>
      <c r="F150" s="8" t="s">
        <v>85</v>
      </c>
      <c r="G150" s="15">
        <v>105</v>
      </c>
      <c r="H150" s="15">
        <v>353</v>
      </c>
      <c r="I150" s="15">
        <v>56.5</v>
      </c>
      <c r="J150" s="15">
        <v>296.5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5</v>
      </c>
      <c r="AC150" s="15">
        <v>1</v>
      </c>
      <c r="AD150" s="15">
        <v>6</v>
      </c>
      <c r="AE150" s="15">
        <v>5</v>
      </c>
      <c r="AF150" s="15">
        <v>14</v>
      </c>
      <c r="AG150" s="15">
        <v>10</v>
      </c>
      <c r="AH150" s="15">
        <v>4.5</v>
      </c>
      <c r="AI150" s="15">
        <v>9</v>
      </c>
      <c r="AJ150" s="15">
        <v>2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  <c r="BS150" s="15">
        <v>0</v>
      </c>
      <c r="BT150" s="15">
        <v>0</v>
      </c>
      <c r="BU150" s="15">
        <v>0</v>
      </c>
      <c r="BV150" s="15">
        <v>0</v>
      </c>
      <c r="BW150" s="15">
        <v>0</v>
      </c>
      <c r="BX150" s="15">
        <v>0</v>
      </c>
      <c r="BY150" s="15">
        <v>0</v>
      </c>
      <c r="BZ150" s="15">
        <v>0</v>
      </c>
      <c r="CA150" s="15">
        <v>0</v>
      </c>
      <c r="CB150" s="15">
        <v>0</v>
      </c>
      <c r="CC150" s="15">
        <v>0</v>
      </c>
      <c r="CD150" s="15">
        <v>0</v>
      </c>
      <c r="CE150" s="15">
        <v>0</v>
      </c>
      <c r="CF150" s="15">
        <v>0</v>
      </c>
      <c r="CG150" s="15">
        <v>0</v>
      </c>
      <c r="CH150" s="15">
        <v>0</v>
      </c>
      <c r="CI150" s="15">
        <v>0</v>
      </c>
      <c r="CJ150" s="15">
        <v>0</v>
      </c>
      <c r="CK150" s="15">
        <v>0</v>
      </c>
      <c r="CL150" s="15">
        <v>0</v>
      </c>
      <c r="CM150" s="15">
        <v>0</v>
      </c>
      <c r="CN150" s="15">
        <v>0</v>
      </c>
      <c r="CO150" s="15">
        <v>0</v>
      </c>
      <c r="CP150" s="15">
        <v>0</v>
      </c>
      <c r="CQ150" s="15">
        <v>0</v>
      </c>
      <c r="CR150" s="15">
        <v>0</v>
      </c>
      <c r="CS150" s="15">
        <v>0</v>
      </c>
      <c r="CT150" s="15">
        <v>0</v>
      </c>
      <c r="CU150" s="15">
        <v>0</v>
      </c>
      <c r="CV150" s="15">
        <v>0</v>
      </c>
      <c r="CW150" s="15">
        <v>0</v>
      </c>
      <c r="CX150" s="15">
        <v>0</v>
      </c>
      <c r="CY150" s="15">
        <v>0</v>
      </c>
      <c r="CZ150" s="15">
        <v>0</v>
      </c>
      <c r="DA150" s="15">
        <v>0</v>
      </c>
      <c r="DB150" s="15">
        <v>0</v>
      </c>
      <c r="DC150" s="15">
        <v>0</v>
      </c>
      <c r="DD150" s="15">
        <v>0</v>
      </c>
      <c r="DE150" s="15">
        <v>0</v>
      </c>
      <c r="DF150" s="15">
        <v>0</v>
      </c>
      <c r="DG150" s="15">
        <v>0</v>
      </c>
      <c r="DH150" s="15">
        <v>0</v>
      </c>
      <c r="DI150" s="15">
        <v>0</v>
      </c>
      <c r="DJ150" s="15">
        <v>0</v>
      </c>
      <c r="DK150" s="15">
        <v>0</v>
      </c>
      <c r="DL150" s="15">
        <v>0</v>
      </c>
      <c r="DM150" s="15">
        <v>0</v>
      </c>
      <c r="DN150" s="15">
        <v>0</v>
      </c>
      <c r="DO150" s="15">
        <v>0</v>
      </c>
      <c r="DP150" s="15">
        <v>0</v>
      </c>
      <c r="DQ150" s="15">
        <v>0</v>
      </c>
      <c r="DR150" s="15">
        <v>0</v>
      </c>
      <c r="DS150" s="15">
        <v>0</v>
      </c>
      <c r="DT150" s="15">
        <v>0</v>
      </c>
      <c r="DU150" s="15">
        <v>0</v>
      </c>
      <c r="DV150" s="15">
        <v>0</v>
      </c>
      <c r="DW150" s="15">
        <v>0</v>
      </c>
      <c r="DX150" s="15">
        <v>0</v>
      </c>
      <c r="DY150" s="15">
        <v>0</v>
      </c>
      <c r="DZ150" s="15">
        <v>0</v>
      </c>
      <c r="EA150" s="15">
        <v>0</v>
      </c>
      <c r="EB150" s="15">
        <v>0</v>
      </c>
      <c r="EC150" s="15">
        <v>0</v>
      </c>
      <c r="ED150" s="15">
        <v>0</v>
      </c>
      <c r="EE150" s="15">
        <v>0</v>
      </c>
      <c r="EF150" s="15">
        <v>0</v>
      </c>
    </row>
    <row r="151" spans="1:136" ht="15" customHeight="1" x14ac:dyDescent="0.35">
      <c r="A151" s="8" t="s">
        <v>12</v>
      </c>
      <c r="B151" s="8" t="s">
        <v>20</v>
      </c>
      <c r="C151" s="8" t="s">
        <v>20</v>
      </c>
      <c r="D151" s="8" t="s">
        <v>317</v>
      </c>
      <c r="E151" s="8" t="s">
        <v>10</v>
      </c>
      <c r="F151" s="8" t="s">
        <v>85</v>
      </c>
      <c r="G151" s="15">
        <v>0</v>
      </c>
      <c r="H151" s="15">
        <v>0</v>
      </c>
      <c r="I151" s="15">
        <v>420.5</v>
      </c>
      <c r="J151" s="15">
        <v>-420.5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3</v>
      </c>
      <c r="AK151" s="15">
        <v>6.5</v>
      </c>
      <c r="AL151" s="15">
        <v>8</v>
      </c>
      <c r="AM151" s="15">
        <v>6</v>
      </c>
      <c r="AN151" s="15">
        <v>1</v>
      </c>
      <c r="AO151" s="15">
        <v>1</v>
      </c>
      <c r="AP151" s="15">
        <v>18</v>
      </c>
      <c r="AQ151" s="15">
        <v>8.5</v>
      </c>
      <c r="AR151" s="15">
        <v>18</v>
      </c>
      <c r="AS151" s="15">
        <v>9.5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5">
        <v>0</v>
      </c>
      <c r="CH151" s="15">
        <v>0</v>
      </c>
      <c r="CI151" s="15">
        <v>0</v>
      </c>
      <c r="CJ151" s="15">
        <v>0</v>
      </c>
      <c r="CK151" s="15">
        <v>0</v>
      </c>
      <c r="CL151" s="15">
        <v>0</v>
      </c>
      <c r="CM151" s="15">
        <v>0</v>
      </c>
      <c r="CN151" s="15">
        <v>0</v>
      </c>
      <c r="CO151" s="15">
        <v>0</v>
      </c>
      <c r="CP151" s="15">
        <v>0</v>
      </c>
      <c r="CQ151" s="15">
        <v>0</v>
      </c>
      <c r="CR151" s="15">
        <v>0</v>
      </c>
      <c r="CS151" s="15">
        <v>17.5</v>
      </c>
      <c r="CT151" s="15">
        <v>43.5</v>
      </c>
      <c r="CU151" s="15">
        <v>41.5</v>
      </c>
      <c r="CV151" s="15">
        <v>5.5</v>
      </c>
      <c r="CW151" s="15">
        <v>3.5</v>
      </c>
      <c r="CX151" s="15">
        <v>3.5</v>
      </c>
      <c r="CY151" s="15">
        <v>3.5</v>
      </c>
      <c r="CZ151" s="15">
        <v>3.5</v>
      </c>
      <c r="DA151" s="15">
        <v>3.5</v>
      </c>
      <c r="DB151" s="15">
        <v>5.5</v>
      </c>
      <c r="DC151" s="15">
        <v>3.5</v>
      </c>
      <c r="DD151" s="15">
        <v>11.5</v>
      </c>
      <c r="DE151" s="15">
        <v>42.5</v>
      </c>
      <c r="DF151" s="15">
        <v>40.5</v>
      </c>
      <c r="DG151" s="15">
        <v>11.5</v>
      </c>
      <c r="DH151" s="15">
        <v>0</v>
      </c>
      <c r="DI151" s="15">
        <v>0</v>
      </c>
      <c r="DJ151" s="15">
        <v>0</v>
      </c>
      <c r="DK151" s="15">
        <v>13.5</v>
      </c>
      <c r="DL151" s="15">
        <v>6.5</v>
      </c>
      <c r="DM151" s="15">
        <v>3.5</v>
      </c>
      <c r="DN151" s="15">
        <v>7.5</v>
      </c>
      <c r="DO151" s="15">
        <v>16.5</v>
      </c>
      <c r="DP151" s="15">
        <v>29.5</v>
      </c>
      <c r="DQ151" s="15">
        <v>21.5</v>
      </c>
      <c r="DR151" s="15">
        <v>11.5</v>
      </c>
      <c r="DS151" s="15">
        <v>0</v>
      </c>
      <c r="DT151" s="15">
        <v>0</v>
      </c>
      <c r="DU151" s="15">
        <v>0</v>
      </c>
      <c r="DV151" s="15">
        <v>0</v>
      </c>
      <c r="DW151" s="15">
        <v>0</v>
      </c>
      <c r="DX151" s="15">
        <v>0</v>
      </c>
      <c r="DY151" s="15">
        <v>0</v>
      </c>
      <c r="DZ151" s="15">
        <v>0</v>
      </c>
      <c r="EA151" s="15">
        <v>0</v>
      </c>
      <c r="EB151" s="15">
        <v>0</v>
      </c>
      <c r="EC151" s="15">
        <v>0</v>
      </c>
      <c r="ED151" s="15">
        <v>0</v>
      </c>
      <c r="EE151" s="15">
        <v>0</v>
      </c>
      <c r="EF151" s="15">
        <v>0</v>
      </c>
    </row>
    <row r="152" spans="1:136" ht="15" customHeight="1" x14ac:dyDescent="0.35">
      <c r="A152" s="8" t="s">
        <v>12</v>
      </c>
      <c r="B152" s="8" t="s">
        <v>20</v>
      </c>
      <c r="C152" s="8" t="s">
        <v>20</v>
      </c>
      <c r="D152" s="8" t="s">
        <v>318</v>
      </c>
      <c r="E152" s="8" t="s">
        <v>10</v>
      </c>
      <c r="F152" s="8" t="s">
        <v>86</v>
      </c>
      <c r="G152" s="15">
        <v>0</v>
      </c>
      <c r="H152" s="15">
        <v>0</v>
      </c>
      <c r="I152" s="15">
        <v>42</v>
      </c>
      <c r="J152" s="15">
        <v>-42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3</v>
      </c>
      <c r="Z152" s="15">
        <v>20</v>
      </c>
      <c r="AA152" s="15">
        <v>19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0</v>
      </c>
      <c r="BX152" s="15">
        <v>0</v>
      </c>
      <c r="BY152" s="15">
        <v>0</v>
      </c>
      <c r="BZ152" s="15">
        <v>0</v>
      </c>
      <c r="CA152" s="15">
        <v>0</v>
      </c>
      <c r="CB152" s="15">
        <v>0</v>
      </c>
      <c r="CC152" s="15">
        <v>0</v>
      </c>
      <c r="CD152" s="15">
        <v>0</v>
      </c>
      <c r="CE152" s="15">
        <v>0</v>
      </c>
      <c r="CF152" s="15">
        <v>0</v>
      </c>
      <c r="CG152" s="15">
        <v>0</v>
      </c>
      <c r="CH152" s="15">
        <v>0</v>
      </c>
      <c r="CI152" s="15">
        <v>0</v>
      </c>
      <c r="CJ152" s="15">
        <v>0</v>
      </c>
      <c r="CK152" s="15">
        <v>0</v>
      </c>
      <c r="CL152" s="15">
        <v>0</v>
      </c>
      <c r="CM152" s="15">
        <v>0</v>
      </c>
      <c r="CN152" s="15">
        <v>0</v>
      </c>
      <c r="CO152" s="15">
        <v>0</v>
      </c>
      <c r="CP152" s="15">
        <v>0</v>
      </c>
      <c r="CQ152" s="15">
        <v>0</v>
      </c>
      <c r="CR152" s="15">
        <v>0</v>
      </c>
      <c r="CS152" s="15">
        <v>0</v>
      </c>
      <c r="CT152" s="15">
        <v>0</v>
      </c>
      <c r="CU152" s="15">
        <v>0</v>
      </c>
      <c r="CV152" s="15">
        <v>0</v>
      </c>
      <c r="CW152" s="15">
        <v>0</v>
      </c>
      <c r="CX152" s="15">
        <v>0</v>
      </c>
      <c r="CY152" s="15">
        <v>0</v>
      </c>
      <c r="CZ152" s="15">
        <v>0</v>
      </c>
      <c r="DA152" s="15">
        <v>0</v>
      </c>
      <c r="DB152" s="15">
        <v>0</v>
      </c>
      <c r="DC152" s="15">
        <v>0</v>
      </c>
      <c r="DD152" s="15">
        <v>0</v>
      </c>
      <c r="DE152" s="15">
        <v>0</v>
      </c>
      <c r="DF152" s="15">
        <v>0</v>
      </c>
      <c r="DG152" s="15">
        <v>0</v>
      </c>
      <c r="DH152" s="15">
        <v>0</v>
      </c>
      <c r="DI152" s="15">
        <v>0</v>
      </c>
      <c r="DJ152" s="15">
        <v>0</v>
      </c>
      <c r="DK152" s="15">
        <v>0</v>
      </c>
      <c r="DL152" s="15">
        <v>0</v>
      </c>
      <c r="DM152" s="15">
        <v>0</v>
      </c>
      <c r="DN152" s="15">
        <v>0</v>
      </c>
      <c r="DO152" s="15">
        <v>0</v>
      </c>
      <c r="DP152" s="15">
        <v>0</v>
      </c>
      <c r="DQ152" s="15">
        <v>0</v>
      </c>
      <c r="DR152" s="15">
        <v>0</v>
      </c>
      <c r="DS152" s="15">
        <v>0</v>
      </c>
      <c r="DT152" s="15">
        <v>0</v>
      </c>
      <c r="DU152" s="15">
        <v>0</v>
      </c>
      <c r="DV152" s="15">
        <v>0</v>
      </c>
      <c r="DW152" s="15">
        <v>0</v>
      </c>
      <c r="DX152" s="15">
        <v>0</v>
      </c>
      <c r="DY152" s="15">
        <v>0</v>
      </c>
      <c r="DZ152" s="15">
        <v>0</v>
      </c>
      <c r="EA152" s="15">
        <v>0</v>
      </c>
      <c r="EB152" s="15">
        <v>0</v>
      </c>
      <c r="EC152" s="15">
        <v>0</v>
      </c>
      <c r="ED152" s="15">
        <v>0</v>
      </c>
      <c r="EE152" s="15">
        <v>0</v>
      </c>
      <c r="EF152" s="15">
        <v>0</v>
      </c>
    </row>
    <row r="153" spans="1:136" ht="15" customHeight="1" x14ac:dyDescent="0.35">
      <c r="A153" s="8" t="s">
        <v>12</v>
      </c>
      <c r="B153" s="8" t="s">
        <v>20</v>
      </c>
      <c r="C153" s="8" t="s">
        <v>20</v>
      </c>
      <c r="D153" s="8" t="s">
        <v>317</v>
      </c>
      <c r="E153" s="8" t="s">
        <v>10</v>
      </c>
      <c r="F153" s="8" t="s">
        <v>43</v>
      </c>
      <c r="G153" s="15">
        <v>0</v>
      </c>
      <c r="H153" s="15">
        <v>0</v>
      </c>
      <c r="I153" s="15">
        <v>140</v>
      </c>
      <c r="J153" s="15">
        <v>-140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1</v>
      </c>
      <c r="AQ153" s="15">
        <v>3.5</v>
      </c>
      <c r="AR153" s="15">
        <v>0.5</v>
      </c>
      <c r="AS153" s="15">
        <v>1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5">
        <v>0</v>
      </c>
      <c r="CH153" s="15">
        <v>0</v>
      </c>
      <c r="CI153" s="15">
        <v>0</v>
      </c>
      <c r="CJ153" s="15">
        <v>0</v>
      </c>
      <c r="CK153" s="15">
        <v>0</v>
      </c>
      <c r="CL153" s="15">
        <v>0</v>
      </c>
      <c r="CM153" s="15">
        <v>0</v>
      </c>
      <c r="CN153" s="15">
        <v>0</v>
      </c>
      <c r="CO153" s="15">
        <v>0</v>
      </c>
      <c r="CP153" s="15">
        <v>0</v>
      </c>
      <c r="CQ153" s="15">
        <v>0</v>
      </c>
      <c r="CR153" s="15">
        <v>0</v>
      </c>
      <c r="CS153" s="15">
        <v>10</v>
      </c>
      <c r="CT153" s="15">
        <v>10</v>
      </c>
      <c r="CU153" s="15">
        <v>10</v>
      </c>
      <c r="CV153" s="15">
        <v>5</v>
      </c>
      <c r="CW153" s="15">
        <v>5</v>
      </c>
      <c r="CX153" s="15">
        <v>5</v>
      </c>
      <c r="CY153" s="15">
        <v>5</v>
      </c>
      <c r="CZ153" s="15">
        <v>5</v>
      </c>
      <c r="DA153" s="15">
        <v>5</v>
      </c>
      <c r="DB153" s="15">
        <v>5</v>
      </c>
      <c r="DC153" s="15">
        <v>10</v>
      </c>
      <c r="DD153" s="15">
        <v>10</v>
      </c>
      <c r="DE153" s="15">
        <v>10</v>
      </c>
      <c r="DF153" s="15">
        <v>10</v>
      </c>
      <c r="DG153" s="15">
        <v>10</v>
      </c>
      <c r="DH153" s="15">
        <v>10</v>
      </c>
      <c r="DI153" s="15">
        <v>10</v>
      </c>
      <c r="DJ153" s="15">
        <v>0</v>
      </c>
      <c r="DK153" s="15">
        <v>0</v>
      </c>
      <c r="DL153" s="15">
        <v>0</v>
      </c>
      <c r="DM153" s="15">
        <v>0</v>
      </c>
      <c r="DN153" s="15">
        <v>0</v>
      </c>
      <c r="DO153" s="15">
        <v>0</v>
      </c>
      <c r="DP153" s="15">
        <v>0</v>
      </c>
      <c r="DQ153" s="15">
        <v>0</v>
      </c>
      <c r="DR153" s="15">
        <v>0</v>
      </c>
      <c r="DS153" s="15">
        <v>0</v>
      </c>
      <c r="DT153" s="15">
        <v>0</v>
      </c>
      <c r="DU153" s="15">
        <v>0</v>
      </c>
      <c r="DV153" s="15">
        <v>0</v>
      </c>
      <c r="DW153" s="15">
        <v>0</v>
      </c>
      <c r="DX153" s="15">
        <v>0</v>
      </c>
      <c r="DY153" s="15">
        <v>0</v>
      </c>
      <c r="DZ153" s="15">
        <v>0</v>
      </c>
      <c r="EA153" s="15">
        <v>0</v>
      </c>
      <c r="EB153" s="15">
        <v>0</v>
      </c>
      <c r="EC153" s="15">
        <v>0</v>
      </c>
      <c r="ED153" s="15">
        <v>0</v>
      </c>
      <c r="EE153" s="15">
        <v>0</v>
      </c>
      <c r="EF153" s="15">
        <v>0</v>
      </c>
    </row>
    <row r="154" spans="1:136" ht="15" customHeight="1" x14ac:dyDescent="0.35">
      <c r="A154" s="8" t="s">
        <v>12</v>
      </c>
      <c r="B154" s="8" t="s">
        <v>20</v>
      </c>
      <c r="C154" s="8" t="s">
        <v>20</v>
      </c>
      <c r="D154" s="8" t="s">
        <v>318</v>
      </c>
      <c r="E154" s="8" t="s">
        <v>10</v>
      </c>
      <c r="F154" s="8" t="s">
        <v>111</v>
      </c>
      <c r="G154" s="15">
        <v>19.5</v>
      </c>
      <c r="H154" s="15">
        <v>91.5</v>
      </c>
      <c r="I154" s="15">
        <v>1</v>
      </c>
      <c r="J154" s="15">
        <v>90.5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1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  <c r="BS154" s="15">
        <v>0</v>
      </c>
      <c r="BT154" s="15">
        <v>0</v>
      </c>
      <c r="BU154" s="15">
        <v>0</v>
      </c>
      <c r="BV154" s="15">
        <v>0</v>
      </c>
      <c r="BW154" s="15">
        <v>0</v>
      </c>
      <c r="BX154" s="15">
        <v>0</v>
      </c>
      <c r="BY154" s="15">
        <v>0</v>
      </c>
      <c r="BZ154" s="15">
        <v>0</v>
      </c>
      <c r="CA154" s="15">
        <v>0</v>
      </c>
      <c r="CB154" s="15">
        <v>0</v>
      </c>
      <c r="CC154" s="15">
        <v>0</v>
      </c>
      <c r="CD154" s="15">
        <v>0</v>
      </c>
      <c r="CE154" s="15">
        <v>0</v>
      </c>
      <c r="CF154" s="15">
        <v>0</v>
      </c>
      <c r="CG154" s="15">
        <v>0</v>
      </c>
      <c r="CH154" s="15">
        <v>0</v>
      </c>
      <c r="CI154" s="15">
        <v>0</v>
      </c>
      <c r="CJ154" s="15">
        <v>0</v>
      </c>
      <c r="CK154" s="15">
        <v>0</v>
      </c>
      <c r="CL154" s="15">
        <v>0</v>
      </c>
      <c r="CM154" s="15">
        <v>0</v>
      </c>
      <c r="CN154" s="15">
        <v>0</v>
      </c>
      <c r="CO154" s="15">
        <v>0</v>
      </c>
      <c r="CP154" s="15">
        <v>0</v>
      </c>
      <c r="CQ154" s="15">
        <v>0</v>
      </c>
      <c r="CR154" s="15">
        <v>0</v>
      </c>
      <c r="CS154" s="15">
        <v>0</v>
      </c>
      <c r="CT154" s="15">
        <v>0</v>
      </c>
      <c r="CU154" s="15">
        <v>0</v>
      </c>
      <c r="CV154" s="15">
        <v>0</v>
      </c>
      <c r="CW154" s="15">
        <v>0</v>
      </c>
      <c r="CX154" s="15">
        <v>0</v>
      </c>
      <c r="CY154" s="15">
        <v>0</v>
      </c>
      <c r="CZ154" s="15">
        <v>0</v>
      </c>
      <c r="DA154" s="15">
        <v>0</v>
      </c>
      <c r="DB154" s="15">
        <v>0</v>
      </c>
      <c r="DC154" s="15">
        <v>0</v>
      </c>
      <c r="DD154" s="15">
        <v>0</v>
      </c>
      <c r="DE154" s="15">
        <v>0</v>
      </c>
      <c r="DF154" s="15">
        <v>0</v>
      </c>
      <c r="DG154" s="15">
        <v>0</v>
      </c>
      <c r="DH154" s="15">
        <v>0</v>
      </c>
      <c r="DI154" s="15">
        <v>0</v>
      </c>
      <c r="DJ154" s="15">
        <v>0</v>
      </c>
      <c r="DK154" s="15">
        <v>0</v>
      </c>
      <c r="DL154" s="15">
        <v>0</v>
      </c>
      <c r="DM154" s="15">
        <v>0</v>
      </c>
      <c r="DN154" s="15">
        <v>0</v>
      </c>
      <c r="DO154" s="15">
        <v>0</v>
      </c>
      <c r="DP154" s="15">
        <v>0</v>
      </c>
      <c r="DQ154" s="15">
        <v>0</v>
      </c>
      <c r="DR154" s="15">
        <v>0</v>
      </c>
      <c r="DS154" s="15">
        <v>0</v>
      </c>
      <c r="DT154" s="15">
        <v>0</v>
      </c>
      <c r="DU154" s="15">
        <v>0</v>
      </c>
      <c r="DV154" s="15">
        <v>0</v>
      </c>
      <c r="DW154" s="15">
        <v>0</v>
      </c>
      <c r="DX154" s="15">
        <v>0</v>
      </c>
      <c r="DY154" s="15">
        <v>0</v>
      </c>
      <c r="DZ154" s="15">
        <v>0</v>
      </c>
      <c r="EA154" s="15">
        <v>0</v>
      </c>
      <c r="EB154" s="15">
        <v>0</v>
      </c>
      <c r="EC154" s="15">
        <v>0</v>
      </c>
      <c r="ED154" s="15">
        <v>0</v>
      </c>
      <c r="EE154" s="15">
        <v>0</v>
      </c>
      <c r="EF154" s="15">
        <v>0</v>
      </c>
    </row>
    <row r="155" spans="1:136" ht="15" customHeight="1" x14ac:dyDescent="0.35">
      <c r="A155" s="8" t="s">
        <v>12</v>
      </c>
      <c r="B155" s="8" t="s">
        <v>20</v>
      </c>
      <c r="C155" s="8" t="s">
        <v>20</v>
      </c>
      <c r="D155" s="8" t="s">
        <v>317</v>
      </c>
      <c r="E155" s="8" t="s">
        <v>10</v>
      </c>
      <c r="F155" s="8" t="s">
        <v>111</v>
      </c>
      <c r="G155" s="15">
        <v>0</v>
      </c>
      <c r="H155" s="15">
        <v>0</v>
      </c>
      <c r="I155" s="15">
        <v>84.5</v>
      </c>
      <c r="J155" s="15">
        <v>-84.5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1</v>
      </c>
      <c r="AK155" s="15">
        <v>2</v>
      </c>
      <c r="AL155" s="15">
        <v>0</v>
      </c>
      <c r="AM155" s="15">
        <v>0.5</v>
      </c>
      <c r="AN155" s="15">
        <v>1</v>
      </c>
      <c r="AO155" s="15">
        <v>0</v>
      </c>
      <c r="AP155" s="15">
        <v>0</v>
      </c>
      <c r="AQ155" s="15">
        <v>3</v>
      </c>
      <c r="AR155" s="15">
        <v>4.5</v>
      </c>
      <c r="AS155" s="15">
        <v>2.5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5">
        <v>0</v>
      </c>
      <c r="CH155" s="15">
        <v>0</v>
      </c>
      <c r="CI155" s="15">
        <v>0</v>
      </c>
      <c r="CJ155" s="15">
        <v>0</v>
      </c>
      <c r="CK155" s="15">
        <v>0</v>
      </c>
      <c r="CL155" s="15">
        <v>0</v>
      </c>
      <c r="CM155" s="15">
        <v>0</v>
      </c>
      <c r="CN155" s="15">
        <v>0</v>
      </c>
      <c r="CO155" s="15">
        <v>0</v>
      </c>
      <c r="CP155" s="15">
        <v>0</v>
      </c>
      <c r="CQ155" s="15">
        <v>0</v>
      </c>
      <c r="CR155" s="15">
        <v>0</v>
      </c>
      <c r="CS155" s="15">
        <v>2.5</v>
      </c>
      <c r="CT155" s="15">
        <v>2</v>
      </c>
      <c r="CU155" s="15">
        <v>4</v>
      </c>
      <c r="CV155" s="15">
        <v>4</v>
      </c>
      <c r="CW155" s="15">
        <v>4</v>
      </c>
      <c r="CX155" s="15">
        <v>0</v>
      </c>
      <c r="CY155" s="15">
        <v>0</v>
      </c>
      <c r="CZ155" s="15">
        <v>0</v>
      </c>
      <c r="DA155" s="15">
        <v>0</v>
      </c>
      <c r="DB155" s="15">
        <v>4</v>
      </c>
      <c r="DC155" s="15">
        <v>4</v>
      </c>
      <c r="DD155" s="15">
        <v>4</v>
      </c>
      <c r="DE155" s="15">
        <v>0</v>
      </c>
      <c r="DF155" s="15">
        <v>4</v>
      </c>
      <c r="DG155" s="15">
        <v>4</v>
      </c>
      <c r="DH155" s="15">
        <v>4</v>
      </c>
      <c r="DI155" s="15">
        <v>0</v>
      </c>
      <c r="DJ155" s="15">
        <v>0</v>
      </c>
      <c r="DK155" s="15">
        <v>0</v>
      </c>
      <c r="DL155" s="15">
        <v>4</v>
      </c>
      <c r="DM155" s="15">
        <v>10</v>
      </c>
      <c r="DN155" s="15">
        <v>10</v>
      </c>
      <c r="DO155" s="15">
        <v>8</v>
      </c>
      <c r="DP155" s="15">
        <v>0</v>
      </c>
      <c r="DQ155" s="15">
        <v>0</v>
      </c>
      <c r="DR155" s="15">
        <v>0</v>
      </c>
      <c r="DS155" s="15">
        <v>0</v>
      </c>
      <c r="DT155" s="15">
        <v>0</v>
      </c>
      <c r="DU155" s="15">
        <v>0</v>
      </c>
      <c r="DV155" s="15">
        <v>0</v>
      </c>
      <c r="DW155" s="15">
        <v>0</v>
      </c>
      <c r="DX155" s="15">
        <v>0</v>
      </c>
      <c r="DY155" s="15">
        <v>0</v>
      </c>
      <c r="DZ155" s="15">
        <v>0</v>
      </c>
      <c r="EA155" s="15">
        <v>0</v>
      </c>
      <c r="EB155" s="15">
        <v>0</v>
      </c>
      <c r="EC155" s="15">
        <v>0</v>
      </c>
      <c r="ED155" s="15">
        <v>0</v>
      </c>
      <c r="EE155" s="15">
        <v>0</v>
      </c>
      <c r="EF155" s="15">
        <v>0</v>
      </c>
    </row>
    <row r="156" spans="1:136" ht="15" customHeight="1" x14ac:dyDescent="0.35">
      <c r="A156" s="8" t="s">
        <v>12</v>
      </c>
      <c r="B156" s="8" t="s">
        <v>20</v>
      </c>
      <c r="C156" s="8" t="s">
        <v>20</v>
      </c>
      <c r="D156" s="8" t="s">
        <v>318</v>
      </c>
      <c r="E156" s="8" t="s">
        <v>10</v>
      </c>
      <c r="F156" s="8" t="s">
        <v>100</v>
      </c>
      <c r="G156" s="15">
        <v>39</v>
      </c>
      <c r="H156" s="15">
        <v>286</v>
      </c>
      <c r="I156" s="15">
        <v>4</v>
      </c>
      <c r="J156" s="15">
        <v>282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2</v>
      </c>
      <c r="AI156" s="15">
        <v>2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  <c r="BS156" s="15">
        <v>0</v>
      </c>
      <c r="BT156" s="15">
        <v>0</v>
      </c>
      <c r="BU156" s="15">
        <v>0</v>
      </c>
      <c r="BV156" s="15">
        <v>0</v>
      </c>
      <c r="BW156" s="15">
        <v>0</v>
      </c>
      <c r="BX156" s="15">
        <v>0</v>
      </c>
      <c r="BY156" s="15">
        <v>0</v>
      </c>
      <c r="BZ156" s="15">
        <v>0</v>
      </c>
      <c r="CA156" s="15">
        <v>0</v>
      </c>
      <c r="CB156" s="15">
        <v>0</v>
      </c>
      <c r="CC156" s="15">
        <v>0</v>
      </c>
      <c r="CD156" s="15">
        <v>0</v>
      </c>
      <c r="CE156" s="15">
        <v>0</v>
      </c>
      <c r="CF156" s="15">
        <v>0</v>
      </c>
      <c r="CG156" s="15">
        <v>0</v>
      </c>
      <c r="CH156" s="15">
        <v>0</v>
      </c>
      <c r="CI156" s="15">
        <v>0</v>
      </c>
      <c r="CJ156" s="15">
        <v>0</v>
      </c>
      <c r="CK156" s="15">
        <v>0</v>
      </c>
      <c r="CL156" s="15">
        <v>0</v>
      </c>
      <c r="CM156" s="15">
        <v>0</v>
      </c>
      <c r="CN156" s="15">
        <v>0</v>
      </c>
      <c r="CO156" s="15">
        <v>0</v>
      </c>
      <c r="CP156" s="15">
        <v>0</v>
      </c>
      <c r="CQ156" s="15">
        <v>0</v>
      </c>
      <c r="CR156" s="15">
        <v>0</v>
      </c>
      <c r="CS156" s="15">
        <v>0</v>
      </c>
      <c r="CT156" s="15">
        <v>0</v>
      </c>
      <c r="CU156" s="15">
        <v>0</v>
      </c>
      <c r="CV156" s="15">
        <v>0</v>
      </c>
      <c r="CW156" s="15">
        <v>0</v>
      </c>
      <c r="CX156" s="15">
        <v>0</v>
      </c>
      <c r="CY156" s="15">
        <v>0</v>
      </c>
      <c r="CZ156" s="15">
        <v>0</v>
      </c>
      <c r="DA156" s="15">
        <v>0</v>
      </c>
      <c r="DB156" s="15">
        <v>0</v>
      </c>
      <c r="DC156" s="15">
        <v>0</v>
      </c>
      <c r="DD156" s="15">
        <v>0</v>
      </c>
      <c r="DE156" s="15">
        <v>0</v>
      </c>
      <c r="DF156" s="15">
        <v>0</v>
      </c>
      <c r="DG156" s="15">
        <v>0</v>
      </c>
      <c r="DH156" s="15">
        <v>0</v>
      </c>
      <c r="DI156" s="15">
        <v>0</v>
      </c>
      <c r="DJ156" s="15">
        <v>0</v>
      </c>
      <c r="DK156" s="15">
        <v>0</v>
      </c>
      <c r="DL156" s="15">
        <v>0</v>
      </c>
      <c r="DM156" s="15">
        <v>0</v>
      </c>
      <c r="DN156" s="15">
        <v>0</v>
      </c>
      <c r="DO156" s="15">
        <v>0</v>
      </c>
      <c r="DP156" s="15">
        <v>0</v>
      </c>
      <c r="DQ156" s="15">
        <v>0</v>
      </c>
      <c r="DR156" s="15">
        <v>0</v>
      </c>
      <c r="DS156" s="15">
        <v>0</v>
      </c>
      <c r="DT156" s="15">
        <v>0</v>
      </c>
      <c r="DU156" s="15">
        <v>0</v>
      </c>
      <c r="DV156" s="15">
        <v>0</v>
      </c>
      <c r="DW156" s="15">
        <v>0</v>
      </c>
      <c r="DX156" s="15">
        <v>0</v>
      </c>
      <c r="DY156" s="15">
        <v>0</v>
      </c>
      <c r="DZ156" s="15">
        <v>0</v>
      </c>
      <c r="EA156" s="15">
        <v>0</v>
      </c>
      <c r="EB156" s="15">
        <v>0</v>
      </c>
      <c r="EC156" s="15">
        <v>0</v>
      </c>
      <c r="ED156" s="15">
        <v>0</v>
      </c>
      <c r="EE156" s="15">
        <v>0</v>
      </c>
      <c r="EF156" s="15">
        <v>0</v>
      </c>
    </row>
    <row r="157" spans="1:136" ht="15" customHeight="1" x14ac:dyDescent="0.35">
      <c r="A157" s="8" t="s">
        <v>12</v>
      </c>
      <c r="B157" s="8" t="s">
        <v>20</v>
      </c>
      <c r="C157" s="8" t="s">
        <v>20</v>
      </c>
      <c r="D157" s="8" t="s">
        <v>317</v>
      </c>
      <c r="E157" s="8" t="s">
        <v>10</v>
      </c>
      <c r="F157" s="8" t="s">
        <v>100</v>
      </c>
      <c r="G157" s="15">
        <v>0</v>
      </c>
      <c r="H157" s="15">
        <v>0</v>
      </c>
      <c r="I157" s="15">
        <v>312.5</v>
      </c>
      <c r="J157" s="15">
        <v>-312.5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3.5</v>
      </c>
      <c r="AL157" s="15">
        <v>5</v>
      </c>
      <c r="AM157" s="15">
        <v>12</v>
      </c>
      <c r="AN157" s="15">
        <v>8</v>
      </c>
      <c r="AO157" s="15">
        <v>21</v>
      </c>
      <c r="AP157" s="15">
        <v>11</v>
      </c>
      <c r="AQ157" s="15">
        <v>0</v>
      </c>
      <c r="AR157" s="15">
        <v>0</v>
      </c>
      <c r="AS157" s="15">
        <v>1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5">
        <v>0</v>
      </c>
      <c r="CH157" s="15">
        <v>0</v>
      </c>
      <c r="CI157" s="15">
        <v>0</v>
      </c>
      <c r="CJ157" s="15">
        <v>0</v>
      </c>
      <c r="CK157" s="15">
        <v>0</v>
      </c>
      <c r="CL157" s="15">
        <v>0</v>
      </c>
      <c r="CM157" s="15">
        <v>0</v>
      </c>
      <c r="CN157" s="15">
        <v>0</v>
      </c>
      <c r="CO157" s="15">
        <v>0</v>
      </c>
      <c r="CP157" s="15">
        <v>0</v>
      </c>
      <c r="CQ157" s="15">
        <v>0</v>
      </c>
      <c r="CR157" s="15">
        <v>0</v>
      </c>
      <c r="CS157" s="15">
        <v>1</v>
      </c>
      <c r="CT157" s="15">
        <v>1</v>
      </c>
      <c r="CU157" s="15">
        <v>2</v>
      </c>
      <c r="CV157" s="15">
        <v>2</v>
      </c>
      <c r="CW157" s="15">
        <v>4</v>
      </c>
      <c r="CX157" s="15">
        <v>4</v>
      </c>
      <c r="CY157" s="15">
        <v>12</v>
      </c>
      <c r="CZ157" s="15">
        <v>20</v>
      </c>
      <c r="DA157" s="15">
        <v>12</v>
      </c>
      <c r="DB157" s="15">
        <v>0</v>
      </c>
      <c r="DC157" s="15">
        <v>0</v>
      </c>
      <c r="DD157" s="15">
        <v>0</v>
      </c>
      <c r="DE157" s="15">
        <v>0</v>
      </c>
      <c r="DF157" s="15">
        <v>0</v>
      </c>
      <c r="DG157" s="15">
        <v>0</v>
      </c>
      <c r="DH157" s="15">
        <v>3</v>
      </c>
      <c r="DI157" s="15">
        <v>0</v>
      </c>
      <c r="DJ157" s="15">
        <v>0</v>
      </c>
      <c r="DK157" s="15">
        <v>0</v>
      </c>
      <c r="DL157" s="15">
        <v>6</v>
      </c>
      <c r="DM157" s="15">
        <v>15</v>
      </c>
      <c r="DN157" s="15">
        <v>20</v>
      </c>
      <c r="DO157" s="15">
        <v>30</v>
      </c>
      <c r="DP157" s="15">
        <v>30</v>
      </c>
      <c r="DQ157" s="15">
        <v>45</v>
      </c>
      <c r="DR157" s="15">
        <v>45</v>
      </c>
      <c r="DS157" s="15">
        <v>0</v>
      </c>
      <c r="DT157" s="15">
        <v>0</v>
      </c>
      <c r="DU157" s="15">
        <v>0</v>
      </c>
      <c r="DV157" s="15">
        <v>0</v>
      </c>
      <c r="DW157" s="15">
        <v>0</v>
      </c>
      <c r="DX157" s="15">
        <v>0</v>
      </c>
      <c r="DY157" s="15">
        <v>0</v>
      </c>
      <c r="DZ157" s="15">
        <v>0</v>
      </c>
      <c r="EA157" s="15">
        <v>0</v>
      </c>
      <c r="EB157" s="15">
        <v>0</v>
      </c>
      <c r="EC157" s="15">
        <v>0</v>
      </c>
      <c r="ED157" s="15">
        <v>0</v>
      </c>
      <c r="EE157" s="15">
        <v>0</v>
      </c>
      <c r="EF157" s="15">
        <v>0</v>
      </c>
    </row>
    <row r="158" spans="1:136" ht="15" customHeight="1" x14ac:dyDescent="0.35">
      <c r="A158" s="8" t="s">
        <v>12</v>
      </c>
      <c r="B158" s="8" t="s">
        <v>20</v>
      </c>
      <c r="C158" s="8" t="s">
        <v>20</v>
      </c>
      <c r="D158" s="8" t="s">
        <v>318</v>
      </c>
      <c r="E158" s="8" t="s">
        <v>10</v>
      </c>
      <c r="F158" s="8" t="s">
        <v>114</v>
      </c>
      <c r="G158" s="15">
        <v>0</v>
      </c>
      <c r="H158" s="15">
        <v>90</v>
      </c>
      <c r="I158" s="15">
        <v>0</v>
      </c>
      <c r="J158" s="15">
        <v>90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  <c r="BS158" s="15">
        <v>0</v>
      </c>
      <c r="BT158" s="15">
        <v>0</v>
      </c>
      <c r="BU158" s="15">
        <v>0</v>
      </c>
      <c r="BV158" s="15">
        <v>0</v>
      </c>
      <c r="BW158" s="15">
        <v>0</v>
      </c>
      <c r="BX158" s="15">
        <v>0</v>
      </c>
      <c r="BY158" s="15">
        <v>0</v>
      </c>
      <c r="BZ158" s="15">
        <v>0</v>
      </c>
      <c r="CA158" s="15">
        <v>0</v>
      </c>
      <c r="CB158" s="15">
        <v>0</v>
      </c>
      <c r="CC158" s="15">
        <v>0</v>
      </c>
      <c r="CD158" s="15">
        <v>0</v>
      </c>
      <c r="CE158" s="15">
        <v>0</v>
      </c>
      <c r="CF158" s="15">
        <v>0</v>
      </c>
      <c r="CG158" s="15">
        <v>0</v>
      </c>
      <c r="CH158" s="15">
        <v>0</v>
      </c>
      <c r="CI158" s="15">
        <v>0</v>
      </c>
      <c r="CJ158" s="15">
        <v>0</v>
      </c>
      <c r="CK158" s="15">
        <v>0</v>
      </c>
      <c r="CL158" s="15">
        <v>0</v>
      </c>
      <c r="CM158" s="15">
        <v>0</v>
      </c>
      <c r="CN158" s="15">
        <v>0</v>
      </c>
      <c r="CO158" s="15">
        <v>0</v>
      </c>
      <c r="CP158" s="15">
        <v>0</v>
      </c>
      <c r="CQ158" s="15">
        <v>0</v>
      </c>
      <c r="CR158" s="15">
        <v>0</v>
      </c>
      <c r="CS158" s="15">
        <v>0</v>
      </c>
      <c r="CT158" s="15">
        <v>0</v>
      </c>
      <c r="CU158" s="15">
        <v>0</v>
      </c>
      <c r="CV158" s="15">
        <v>0</v>
      </c>
      <c r="CW158" s="15">
        <v>0</v>
      </c>
      <c r="CX158" s="15">
        <v>0</v>
      </c>
      <c r="CY158" s="15">
        <v>0</v>
      </c>
      <c r="CZ158" s="15">
        <v>0</v>
      </c>
      <c r="DA158" s="15">
        <v>0</v>
      </c>
      <c r="DB158" s="15">
        <v>0</v>
      </c>
      <c r="DC158" s="15">
        <v>0</v>
      </c>
      <c r="DD158" s="15">
        <v>0</v>
      </c>
      <c r="DE158" s="15">
        <v>0</v>
      </c>
      <c r="DF158" s="15">
        <v>0</v>
      </c>
      <c r="DG158" s="15">
        <v>0</v>
      </c>
      <c r="DH158" s="15">
        <v>0</v>
      </c>
      <c r="DI158" s="15">
        <v>0</v>
      </c>
      <c r="DJ158" s="15">
        <v>0</v>
      </c>
      <c r="DK158" s="15">
        <v>0</v>
      </c>
      <c r="DL158" s="15">
        <v>0</v>
      </c>
      <c r="DM158" s="15">
        <v>0</v>
      </c>
      <c r="DN158" s="15">
        <v>0</v>
      </c>
      <c r="DO158" s="15">
        <v>0</v>
      </c>
      <c r="DP158" s="15">
        <v>0</v>
      </c>
      <c r="DQ158" s="15">
        <v>0</v>
      </c>
      <c r="DR158" s="15">
        <v>0</v>
      </c>
      <c r="DS158" s="15">
        <v>0</v>
      </c>
      <c r="DT158" s="15">
        <v>0</v>
      </c>
      <c r="DU158" s="15">
        <v>0</v>
      </c>
      <c r="DV158" s="15">
        <v>0</v>
      </c>
      <c r="DW158" s="15">
        <v>0</v>
      </c>
      <c r="DX158" s="15">
        <v>0</v>
      </c>
      <c r="DY158" s="15">
        <v>0</v>
      </c>
      <c r="DZ158" s="15">
        <v>0</v>
      </c>
      <c r="EA158" s="15">
        <v>0</v>
      </c>
      <c r="EB158" s="15">
        <v>0</v>
      </c>
      <c r="EC158" s="15">
        <v>0</v>
      </c>
      <c r="ED158" s="15">
        <v>0</v>
      </c>
      <c r="EE158" s="15">
        <v>0</v>
      </c>
      <c r="EF158" s="15">
        <v>0</v>
      </c>
    </row>
    <row r="159" spans="1:136" ht="15" customHeight="1" x14ac:dyDescent="0.35">
      <c r="A159" s="8" t="s">
        <v>12</v>
      </c>
      <c r="B159" s="8" t="s">
        <v>20</v>
      </c>
      <c r="C159" s="8" t="s">
        <v>20</v>
      </c>
      <c r="D159" s="8" t="s">
        <v>317</v>
      </c>
      <c r="E159" s="8" t="s">
        <v>10</v>
      </c>
      <c r="F159" s="8" t="s">
        <v>114</v>
      </c>
      <c r="G159" s="15">
        <v>0</v>
      </c>
      <c r="H159" s="15">
        <v>0</v>
      </c>
      <c r="I159" s="15">
        <v>90</v>
      </c>
      <c r="J159" s="15">
        <v>-90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5">
        <v>0</v>
      </c>
      <c r="CH159" s="15">
        <v>0</v>
      </c>
      <c r="CI159" s="15">
        <v>0</v>
      </c>
      <c r="CJ159" s="15">
        <v>0</v>
      </c>
      <c r="CK159" s="15">
        <v>0</v>
      </c>
      <c r="CL159" s="15">
        <v>0</v>
      </c>
      <c r="CM159" s="15">
        <v>0</v>
      </c>
      <c r="CN159" s="15">
        <v>0</v>
      </c>
      <c r="CO159" s="15">
        <v>0</v>
      </c>
      <c r="CP159" s="15">
        <v>0</v>
      </c>
      <c r="CQ159" s="15">
        <v>0</v>
      </c>
      <c r="CR159" s="15">
        <v>0</v>
      </c>
      <c r="CS159" s="15">
        <v>0</v>
      </c>
      <c r="CT159" s="15">
        <v>0</v>
      </c>
      <c r="CU159" s="15">
        <v>0</v>
      </c>
      <c r="CV159" s="15">
        <v>0</v>
      </c>
      <c r="CW159" s="15">
        <v>0</v>
      </c>
      <c r="CX159" s="15">
        <v>0</v>
      </c>
      <c r="CY159" s="15">
        <v>0</v>
      </c>
      <c r="CZ159" s="15">
        <v>0</v>
      </c>
      <c r="DA159" s="15">
        <v>0</v>
      </c>
      <c r="DB159" s="15">
        <v>0</v>
      </c>
      <c r="DC159" s="15">
        <v>0</v>
      </c>
      <c r="DD159" s="15">
        <v>0</v>
      </c>
      <c r="DE159" s="15">
        <v>0</v>
      </c>
      <c r="DF159" s="15">
        <v>0</v>
      </c>
      <c r="DG159" s="15">
        <v>0</v>
      </c>
      <c r="DH159" s="15">
        <v>0</v>
      </c>
      <c r="DI159" s="15">
        <v>0</v>
      </c>
      <c r="DJ159" s="15">
        <v>0</v>
      </c>
      <c r="DK159" s="15">
        <v>0</v>
      </c>
      <c r="DL159" s="15">
        <v>0</v>
      </c>
      <c r="DM159" s="15">
        <v>0</v>
      </c>
      <c r="DN159" s="15">
        <v>0</v>
      </c>
      <c r="DO159" s="15">
        <v>0</v>
      </c>
      <c r="DP159" s="15">
        <v>0</v>
      </c>
      <c r="DQ159" s="15">
        <v>0</v>
      </c>
      <c r="DR159" s="15">
        <v>0</v>
      </c>
      <c r="DS159" s="15">
        <v>30</v>
      </c>
      <c r="DT159" s="15">
        <v>30</v>
      </c>
      <c r="DU159" s="15">
        <v>30</v>
      </c>
      <c r="DV159" s="15">
        <v>0</v>
      </c>
      <c r="DW159" s="15">
        <v>0</v>
      </c>
      <c r="DX159" s="15">
        <v>0</v>
      </c>
      <c r="DY159" s="15">
        <v>0</v>
      </c>
      <c r="DZ159" s="15">
        <v>0</v>
      </c>
      <c r="EA159" s="15">
        <v>0</v>
      </c>
      <c r="EB159" s="15">
        <v>0</v>
      </c>
      <c r="EC159" s="15">
        <v>0</v>
      </c>
      <c r="ED159" s="15">
        <v>0</v>
      </c>
      <c r="EE159" s="15">
        <v>0</v>
      </c>
      <c r="EF159" s="15">
        <v>0</v>
      </c>
    </row>
    <row r="160" spans="1:136" ht="15" customHeight="1" x14ac:dyDescent="0.35">
      <c r="A160" s="8" t="s">
        <v>12</v>
      </c>
      <c r="B160" s="8" t="s">
        <v>20</v>
      </c>
      <c r="C160" s="8" t="s">
        <v>20</v>
      </c>
      <c r="D160" s="8" t="s">
        <v>318</v>
      </c>
      <c r="E160" s="8" t="s">
        <v>10</v>
      </c>
      <c r="F160" s="8" t="s">
        <v>87</v>
      </c>
      <c r="G160" s="15">
        <v>12</v>
      </c>
      <c r="H160" s="15">
        <v>12</v>
      </c>
      <c r="I160" s="15">
        <v>0</v>
      </c>
      <c r="J160" s="15">
        <v>12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  <c r="BS160" s="15">
        <v>0</v>
      </c>
      <c r="BT160" s="15">
        <v>0</v>
      </c>
      <c r="BU160" s="15">
        <v>0</v>
      </c>
      <c r="BV160" s="15">
        <v>0</v>
      </c>
      <c r="BW160" s="15">
        <v>0</v>
      </c>
      <c r="BX160" s="15">
        <v>0</v>
      </c>
      <c r="BY160" s="15">
        <v>0</v>
      </c>
      <c r="BZ160" s="15">
        <v>0</v>
      </c>
      <c r="CA160" s="15">
        <v>0</v>
      </c>
      <c r="CB160" s="15">
        <v>0</v>
      </c>
      <c r="CC160" s="15">
        <v>0</v>
      </c>
      <c r="CD160" s="15">
        <v>0</v>
      </c>
      <c r="CE160" s="15">
        <v>0</v>
      </c>
      <c r="CF160" s="15">
        <v>0</v>
      </c>
      <c r="CG160" s="15">
        <v>0</v>
      </c>
      <c r="CH160" s="15">
        <v>0</v>
      </c>
      <c r="CI160" s="15">
        <v>0</v>
      </c>
      <c r="CJ160" s="15">
        <v>0</v>
      </c>
      <c r="CK160" s="15">
        <v>0</v>
      </c>
      <c r="CL160" s="15">
        <v>0</v>
      </c>
      <c r="CM160" s="15">
        <v>0</v>
      </c>
      <c r="CN160" s="15">
        <v>0</v>
      </c>
      <c r="CO160" s="15">
        <v>0</v>
      </c>
      <c r="CP160" s="15">
        <v>0</v>
      </c>
      <c r="CQ160" s="15">
        <v>0</v>
      </c>
      <c r="CR160" s="15">
        <v>0</v>
      </c>
      <c r="CS160" s="15">
        <v>0</v>
      </c>
      <c r="CT160" s="15">
        <v>0</v>
      </c>
      <c r="CU160" s="15">
        <v>0</v>
      </c>
      <c r="CV160" s="15">
        <v>0</v>
      </c>
      <c r="CW160" s="15">
        <v>0</v>
      </c>
      <c r="CX160" s="15">
        <v>0</v>
      </c>
      <c r="CY160" s="15">
        <v>0</v>
      </c>
      <c r="CZ160" s="15">
        <v>0</v>
      </c>
      <c r="DA160" s="15">
        <v>0</v>
      </c>
      <c r="DB160" s="15">
        <v>0</v>
      </c>
      <c r="DC160" s="15">
        <v>0</v>
      </c>
      <c r="DD160" s="15">
        <v>0</v>
      </c>
      <c r="DE160" s="15">
        <v>0</v>
      </c>
      <c r="DF160" s="15">
        <v>0</v>
      </c>
      <c r="DG160" s="15">
        <v>0</v>
      </c>
      <c r="DH160" s="15">
        <v>0</v>
      </c>
      <c r="DI160" s="15">
        <v>0</v>
      </c>
      <c r="DJ160" s="15">
        <v>0</v>
      </c>
      <c r="DK160" s="15">
        <v>0</v>
      </c>
      <c r="DL160" s="15">
        <v>0</v>
      </c>
      <c r="DM160" s="15">
        <v>0</v>
      </c>
      <c r="DN160" s="15">
        <v>0</v>
      </c>
      <c r="DO160" s="15">
        <v>0</v>
      </c>
      <c r="DP160" s="15">
        <v>0</v>
      </c>
      <c r="DQ160" s="15">
        <v>0</v>
      </c>
      <c r="DR160" s="15">
        <v>0</v>
      </c>
      <c r="DS160" s="15">
        <v>0</v>
      </c>
      <c r="DT160" s="15">
        <v>0</v>
      </c>
      <c r="DU160" s="15">
        <v>0</v>
      </c>
      <c r="DV160" s="15">
        <v>0</v>
      </c>
      <c r="DW160" s="15">
        <v>0</v>
      </c>
      <c r="DX160" s="15">
        <v>0</v>
      </c>
      <c r="DY160" s="15">
        <v>0</v>
      </c>
      <c r="DZ160" s="15">
        <v>0</v>
      </c>
      <c r="EA160" s="15">
        <v>0</v>
      </c>
      <c r="EB160" s="15">
        <v>0</v>
      </c>
      <c r="EC160" s="15">
        <v>0</v>
      </c>
      <c r="ED160" s="15">
        <v>0</v>
      </c>
      <c r="EE160" s="15">
        <v>0</v>
      </c>
      <c r="EF160" s="15">
        <v>0</v>
      </c>
    </row>
    <row r="161" spans="1:136" ht="15" customHeight="1" x14ac:dyDescent="0.35">
      <c r="A161" s="8" t="s">
        <v>12</v>
      </c>
      <c r="B161" s="8" t="s">
        <v>20</v>
      </c>
      <c r="C161" s="8" t="s">
        <v>20</v>
      </c>
      <c r="D161" s="8" t="s">
        <v>317</v>
      </c>
      <c r="E161" s="8" t="s">
        <v>10</v>
      </c>
      <c r="F161" s="8" t="s">
        <v>87</v>
      </c>
      <c r="G161" s="15">
        <v>0</v>
      </c>
      <c r="H161" s="15">
        <v>0</v>
      </c>
      <c r="I161" s="15">
        <v>32</v>
      </c>
      <c r="J161" s="15">
        <v>-32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3</v>
      </c>
      <c r="AM161" s="15">
        <v>10</v>
      </c>
      <c r="AN161" s="15">
        <v>15</v>
      </c>
      <c r="AO161" s="15">
        <v>4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5">
        <v>0</v>
      </c>
      <c r="CH161" s="15">
        <v>0</v>
      </c>
      <c r="CI161" s="15">
        <v>0</v>
      </c>
      <c r="CJ161" s="15">
        <v>0</v>
      </c>
      <c r="CK161" s="15">
        <v>0</v>
      </c>
      <c r="CL161" s="15">
        <v>0</v>
      </c>
      <c r="CM161" s="15">
        <v>0</v>
      </c>
      <c r="CN161" s="15">
        <v>0</v>
      </c>
      <c r="CO161" s="15">
        <v>0</v>
      </c>
      <c r="CP161" s="15">
        <v>0</v>
      </c>
      <c r="CQ161" s="15">
        <v>0</v>
      </c>
      <c r="CR161" s="15">
        <v>0</v>
      </c>
      <c r="CS161" s="15">
        <v>0</v>
      </c>
      <c r="CT161" s="15">
        <v>0</v>
      </c>
      <c r="CU161" s="15">
        <v>0</v>
      </c>
      <c r="CV161" s="15">
        <v>0</v>
      </c>
      <c r="CW161" s="15">
        <v>0</v>
      </c>
      <c r="CX161" s="15">
        <v>0</v>
      </c>
      <c r="CY161" s="15">
        <v>0</v>
      </c>
      <c r="CZ161" s="15">
        <v>0</v>
      </c>
      <c r="DA161" s="15">
        <v>0</v>
      </c>
      <c r="DB161" s="15">
        <v>0</v>
      </c>
      <c r="DC161" s="15">
        <v>0</v>
      </c>
      <c r="DD161" s="15">
        <v>0</v>
      </c>
      <c r="DE161" s="15">
        <v>0</v>
      </c>
      <c r="DF161" s="15">
        <v>0</v>
      </c>
      <c r="DG161" s="15">
        <v>0</v>
      </c>
      <c r="DH161" s="15">
        <v>0</v>
      </c>
      <c r="DI161" s="15">
        <v>0</v>
      </c>
      <c r="DJ161" s="15">
        <v>0</v>
      </c>
      <c r="DK161" s="15">
        <v>0</v>
      </c>
      <c r="DL161" s="15">
        <v>0</v>
      </c>
      <c r="DM161" s="15">
        <v>0</v>
      </c>
      <c r="DN161" s="15">
        <v>0</v>
      </c>
      <c r="DO161" s="15">
        <v>0</v>
      </c>
      <c r="DP161" s="15">
        <v>0</v>
      </c>
      <c r="DQ161" s="15">
        <v>0</v>
      </c>
      <c r="DR161" s="15">
        <v>0</v>
      </c>
      <c r="DS161" s="15">
        <v>0</v>
      </c>
      <c r="DT161" s="15">
        <v>0</v>
      </c>
      <c r="DU161" s="15">
        <v>0</v>
      </c>
      <c r="DV161" s="15">
        <v>0</v>
      </c>
      <c r="DW161" s="15">
        <v>0</v>
      </c>
      <c r="DX161" s="15">
        <v>0</v>
      </c>
      <c r="DY161" s="15">
        <v>0</v>
      </c>
      <c r="DZ161" s="15">
        <v>0</v>
      </c>
      <c r="EA161" s="15">
        <v>0</v>
      </c>
      <c r="EB161" s="15">
        <v>0</v>
      </c>
      <c r="EC161" s="15">
        <v>0</v>
      </c>
      <c r="ED161" s="15">
        <v>0</v>
      </c>
      <c r="EE161" s="15">
        <v>0</v>
      </c>
      <c r="EF161" s="15">
        <v>0</v>
      </c>
    </row>
    <row r="162" spans="1:136" ht="15" customHeight="1" x14ac:dyDescent="0.35">
      <c r="A162" s="8" t="s">
        <v>12</v>
      </c>
      <c r="B162" s="8" t="s">
        <v>20</v>
      </c>
      <c r="C162" s="8" t="s">
        <v>20</v>
      </c>
      <c r="D162" s="8" t="s">
        <v>318</v>
      </c>
      <c r="E162" s="8" t="s">
        <v>10</v>
      </c>
      <c r="F162" s="8" t="s">
        <v>88</v>
      </c>
      <c r="G162" s="15">
        <v>0</v>
      </c>
      <c r="H162" s="15">
        <v>12</v>
      </c>
      <c r="I162" s="15">
        <v>0</v>
      </c>
      <c r="J162" s="15">
        <v>12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</v>
      </c>
      <c r="CB162" s="15">
        <v>0</v>
      </c>
      <c r="CC162" s="15">
        <v>0</v>
      </c>
      <c r="CD162" s="15">
        <v>0</v>
      </c>
      <c r="CE162" s="15">
        <v>0</v>
      </c>
      <c r="CF162" s="15">
        <v>0</v>
      </c>
      <c r="CG162" s="15">
        <v>0</v>
      </c>
      <c r="CH162" s="15">
        <v>0</v>
      </c>
      <c r="CI162" s="15">
        <v>0</v>
      </c>
      <c r="CJ162" s="15">
        <v>0</v>
      </c>
      <c r="CK162" s="15">
        <v>0</v>
      </c>
      <c r="CL162" s="15">
        <v>0</v>
      </c>
      <c r="CM162" s="15">
        <v>0</v>
      </c>
      <c r="CN162" s="15">
        <v>0</v>
      </c>
      <c r="CO162" s="15">
        <v>0</v>
      </c>
      <c r="CP162" s="15">
        <v>0</v>
      </c>
      <c r="CQ162" s="15">
        <v>0</v>
      </c>
      <c r="CR162" s="15">
        <v>0</v>
      </c>
      <c r="CS162" s="15">
        <v>0</v>
      </c>
      <c r="CT162" s="15">
        <v>0</v>
      </c>
      <c r="CU162" s="15">
        <v>0</v>
      </c>
      <c r="CV162" s="15">
        <v>0</v>
      </c>
      <c r="CW162" s="15">
        <v>0</v>
      </c>
      <c r="CX162" s="15">
        <v>0</v>
      </c>
      <c r="CY162" s="15">
        <v>0</v>
      </c>
      <c r="CZ162" s="15">
        <v>0</v>
      </c>
      <c r="DA162" s="15">
        <v>0</v>
      </c>
      <c r="DB162" s="15">
        <v>0</v>
      </c>
      <c r="DC162" s="15">
        <v>0</v>
      </c>
      <c r="DD162" s="15">
        <v>0</v>
      </c>
      <c r="DE162" s="15">
        <v>0</v>
      </c>
      <c r="DF162" s="15">
        <v>0</v>
      </c>
      <c r="DG162" s="15">
        <v>0</v>
      </c>
      <c r="DH162" s="15">
        <v>0</v>
      </c>
      <c r="DI162" s="15">
        <v>0</v>
      </c>
      <c r="DJ162" s="15">
        <v>0</v>
      </c>
      <c r="DK162" s="15">
        <v>0</v>
      </c>
      <c r="DL162" s="15">
        <v>0</v>
      </c>
      <c r="DM162" s="15">
        <v>0</v>
      </c>
      <c r="DN162" s="15">
        <v>0</v>
      </c>
      <c r="DO162" s="15">
        <v>0</v>
      </c>
      <c r="DP162" s="15">
        <v>0</v>
      </c>
      <c r="DQ162" s="15">
        <v>0</v>
      </c>
      <c r="DR162" s="15">
        <v>0</v>
      </c>
      <c r="DS162" s="15">
        <v>0</v>
      </c>
      <c r="DT162" s="15">
        <v>0</v>
      </c>
      <c r="DU162" s="15">
        <v>0</v>
      </c>
      <c r="DV162" s="15">
        <v>0</v>
      </c>
      <c r="DW162" s="15">
        <v>0</v>
      </c>
      <c r="DX162" s="15">
        <v>0</v>
      </c>
      <c r="DY162" s="15">
        <v>0</v>
      </c>
      <c r="DZ162" s="15">
        <v>0</v>
      </c>
      <c r="EA162" s="15">
        <v>0</v>
      </c>
      <c r="EB162" s="15">
        <v>0</v>
      </c>
      <c r="EC162" s="15">
        <v>0</v>
      </c>
      <c r="ED162" s="15">
        <v>0</v>
      </c>
      <c r="EE162" s="15">
        <v>0</v>
      </c>
      <c r="EF162" s="15">
        <v>0</v>
      </c>
    </row>
    <row r="163" spans="1:136" ht="15" customHeight="1" x14ac:dyDescent="0.35">
      <c r="A163" s="8" t="s">
        <v>12</v>
      </c>
      <c r="B163" s="8" t="s">
        <v>20</v>
      </c>
      <c r="C163" s="8" t="s">
        <v>20</v>
      </c>
      <c r="D163" s="8" t="s">
        <v>317</v>
      </c>
      <c r="E163" s="8" t="s">
        <v>10</v>
      </c>
      <c r="F163" s="8" t="s">
        <v>88</v>
      </c>
      <c r="G163" s="15">
        <v>0</v>
      </c>
      <c r="H163" s="15">
        <v>0</v>
      </c>
      <c r="I163" s="15">
        <v>12</v>
      </c>
      <c r="J163" s="15">
        <v>-12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5">
        <v>0</v>
      </c>
      <c r="CH163" s="15">
        <v>0</v>
      </c>
      <c r="CI163" s="15">
        <v>0</v>
      </c>
      <c r="CJ163" s="15">
        <v>0</v>
      </c>
      <c r="CK163" s="15">
        <v>0</v>
      </c>
      <c r="CL163" s="15">
        <v>0</v>
      </c>
      <c r="CM163" s="15">
        <v>0</v>
      </c>
      <c r="CN163" s="15">
        <v>0</v>
      </c>
      <c r="CO163" s="15">
        <v>0</v>
      </c>
      <c r="CP163" s="15">
        <v>0</v>
      </c>
      <c r="CQ163" s="15">
        <v>0</v>
      </c>
      <c r="CR163" s="15">
        <v>0</v>
      </c>
      <c r="CS163" s="15">
        <v>0</v>
      </c>
      <c r="CT163" s="15">
        <v>0</v>
      </c>
      <c r="CU163" s="15">
        <v>0</v>
      </c>
      <c r="CV163" s="15">
        <v>0</v>
      </c>
      <c r="CW163" s="15">
        <v>0</v>
      </c>
      <c r="CX163" s="15">
        <v>0</v>
      </c>
      <c r="CY163" s="15">
        <v>0</v>
      </c>
      <c r="CZ163" s="15">
        <v>6</v>
      </c>
      <c r="DA163" s="15">
        <v>6</v>
      </c>
      <c r="DB163" s="15">
        <v>0</v>
      </c>
      <c r="DC163" s="15">
        <v>0</v>
      </c>
      <c r="DD163" s="15">
        <v>0</v>
      </c>
      <c r="DE163" s="15">
        <v>0</v>
      </c>
      <c r="DF163" s="15">
        <v>0</v>
      </c>
      <c r="DG163" s="15">
        <v>0</v>
      </c>
      <c r="DH163" s="15">
        <v>0</v>
      </c>
      <c r="DI163" s="15">
        <v>0</v>
      </c>
      <c r="DJ163" s="15">
        <v>0</v>
      </c>
      <c r="DK163" s="15">
        <v>0</v>
      </c>
      <c r="DL163" s="15">
        <v>0</v>
      </c>
      <c r="DM163" s="15">
        <v>0</v>
      </c>
      <c r="DN163" s="15">
        <v>0</v>
      </c>
      <c r="DO163" s="15">
        <v>0</v>
      </c>
      <c r="DP163" s="15">
        <v>0</v>
      </c>
      <c r="DQ163" s="15">
        <v>0</v>
      </c>
      <c r="DR163" s="15">
        <v>0</v>
      </c>
      <c r="DS163" s="15">
        <v>0</v>
      </c>
      <c r="DT163" s="15">
        <v>0</v>
      </c>
      <c r="DU163" s="15">
        <v>0</v>
      </c>
      <c r="DV163" s="15">
        <v>0</v>
      </c>
      <c r="DW163" s="15">
        <v>0</v>
      </c>
      <c r="DX163" s="15">
        <v>0</v>
      </c>
      <c r="DY163" s="15">
        <v>0</v>
      </c>
      <c r="DZ163" s="15">
        <v>0</v>
      </c>
      <c r="EA163" s="15">
        <v>0</v>
      </c>
      <c r="EB163" s="15">
        <v>0</v>
      </c>
      <c r="EC163" s="15">
        <v>0</v>
      </c>
      <c r="ED163" s="15">
        <v>0</v>
      </c>
      <c r="EE163" s="15">
        <v>0</v>
      </c>
      <c r="EF163" s="15">
        <v>0</v>
      </c>
    </row>
    <row r="164" spans="1:136" ht="15" customHeight="1" x14ac:dyDescent="0.35">
      <c r="A164" s="8" t="s">
        <v>12</v>
      </c>
      <c r="B164" s="8" t="s">
        <v>23</v>
      </c>
      <c r="C164" s="8" t="s">
        <v>23</v>
      </c>
      <c r="D164" s="8" t="s">
        <v>318</v>
      </c>
      <c r="E164" s="8" t="s">
        <v>10</v>
      </c>
      <c r="F164" s="8" t="s">
        <v>80</v>
      </c>
      <c r="G164" s="15">
        <v>11</v>
      </c>
      <c r="H164" s="15">
        <v>86</v>
      </c>
      <c r="I164" s="15">
        <v>4</v>
      </c>
      <c r="J164" s="15">
        <v>82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4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0</v>
      </c>
      <c r="BP164" s="15">
        <v>0</v>
      </c>
      <c r="BQ164" s="15">
        <v>0</v>
      </c>
      <c r="BR164" s="15">
        <v>0</v>
      </c>
      <c r="BS164" s="15">
        <v>0</v>
      </c>
      <c r="BT164" s="15">
        <v>0</v>
      </c>
      <c r="BU164" s="15">
        <v>0</v>
      </c>
      <c r="BV164" s="15">
        <v>0</v>
      </c>
      <c r="BW164" s="15">
        <v>0</v>
      </c>
      <c r="BX164" s="15">
        <v>0</v>
      </c>
      <c r="BY164" s="15">
        <v>0</v>
      </c>
      <c r="BZ164" s="15">
        <v>0</v>
      </c>
      <c r="CA164" s="15">
        <v>0</v>
      </c>
      <c r="CB164" s="15">
        <v>0</v>
      </c>
      <c r="CC164" s="15">
        <v>0</v>
      </c>
      <c r="CD164" s="15">
        <v>0</v>
      </c>
      <c r="CE164" s="15">
        <v>0</v>
      </c>
      <c r="CF164" s="15">
        <v>0</v>
      </c>
      <c r="CG164" s="15">
        <v>0</v>
      </c>
      <c r="CH164" s="15">
        <v>0</v>
      </c>
      <c r="CI164" s="15">
        <v>0</v>
      </c>
      <c r="CJ164" s="15">
        <v>0</v>
      </c>
      <c r="CK164" s="15">
        <v>0</v>
      </c>
      <c r="CL164" s="15">
        <v>0</v>
      </c>
      <c r="CM164" s="15">
        <v>0</v>
      </c>
      <c r="CN164" s="15">
        <v>0</v>
      </c>
      <c r="CO164" s="15">
        <v>0</v>
      </c>
      <c r="CP164" s="15">
        <v>0</v>
      </c>
      <c r="CQ164" s="15">
        <v>0</v>
      </c>
      <c r="CR164" s="15">
        <v>0</v>
      </c>
      <c r="CS164" s="15">
        <v>0</v>
      </c>
      <c r="CT164" s="15">
        <v>0</v>
      </c>
      <c r="CU164" s="15">
        <v>0</v>
      </c>
      <c r="CV164" s="15">
        <v>0</v>
      </c>
      <c r="CW164" s="15">
        <v>0</v>
      </c>
      <c r="CX164" s="15">
        <v>0</v>
      </c>
      <c r="CY164" s="15">
        <v>0</v>
      </c>
      <c r="CZ164" s="15">
        <v>0</v>
      </c>
      <c r="DA164" s="15">
        <v>0</v>
      </c>
      <c r="DB164" s="15">
        <v>0</v>
      </c>
      <c r="DC164" s="15">
        <v>0</v>
      </c>
      <c r="DD164" s="15">
        <v>0</v>
      </c>
      <c r="DE164" s="15">
        <v>0</v>
      </c>
      <c r="DF164" s="15">
        <v>0</v>
      </c>
      <c r="DG164" s="15">
        <v>0</v>
      </c>
      <c r="DH164" s="15">
        <v>0</v>
      </c>
      <c r="DI164" s="15">
        <v>0</v>
      </c>
      <c r="DJ164" s="15">
        <v>0</v>
      </c>
      <c r="DK164" s="15">
        <v>0</v>
      </c>
      <c r="DL164" s="15">
        <v>0</v>
      </c>
      <c r="DM164" s="15">
        <v>0</v>
      </c>
      <c r="DN164" s="15">
        <v>0</v>
      </c>
      <c r="DO164" s="15">
        <v>0</v>
      </c>
      <c r="DP164" s="15">
        <v>0</v>
      </c>
      <c r="DQ164" s="15">
        <v>0</v>
      </c>
      <c r="DR164" s="15">
        <v>0</v>
      </c>
      <c r="DS164" s="15">
        <v>0</v>
      </c>
      <c r="DT164" s="15">
        <v>0</v>
      </c>
      <c r="DU164" s="15">
        <v>0</v>
      </c>
      <c r="DV164" s="15">
        <v>0</v>
      </c>
      <c r="DW164" s="15">
        <v>0</v>
      </c>
      <c r="DX164" s="15">
        <v>0</v>
      </c>
      <c r="DY164" s="15">
        <v>0</v>
      </c>
      <c r="DZ164" s="15">
        <v>0</v>
      </c>
      <c r="EA164" s="15">
        <v>0</v>
      </c>
      <c r="EB164" s="15">
        <v>0</v>
      </c>
      <c r="EC164" s="15">
        <v>0</v>
      </c>
      <c r="ED164" s="15">
        <v>0</v>
      </c>
      <c r="EE164" s="15">
        <v>0</v>
      </c>
      <c r="EF164" s="15">
        <v>0</v>
      </c>
    </row>
    <row r="165" spans="1:136" ht="15" customHeight="1" x14ac:dyDescent="0.35">
      <c r="A165" s="8" t="s">
        <v>12</v>
      </c>
      <c r="B165" s="8" t="s">
        <v>23</v>
      </c>
      <c r="C165" s="8" t="s">
        <v>23</v>
      </c>
      <c r="D165" s="8" t="s">
        <v>317</v>
      </c>
      <c r="E165" s="8" t="s">
        <v>10</v>
      </c>
      <c r="F165" s="8" t="s">
        <v>80</v>
      </c>
      <c r="G165" s="15">
        <v>0</v>
      </c>
      <c r="H165" s="15">
        <v>0</v>
      </c>
      <c r="I165" s="15">
        <v>75</v>
      </c>
      <c r="J165" s="15">
        <v>-75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5">
        <v>0</v>
      </c>
      <c r="CH165" s="15">
        <v>0</v>
      </c>
      <c r="CI165" s="15">
        <v>0</v>
      </c>
      <c r="CJ165" s="15">
        <v>0</v>
      </c>
      <c r="CK165" s="15">
        <v>0</v>
      </c>
      <c r="CL165" s="15">
        <v>0</v>
      </c>
      <c r="CM165" s="15">
        <v>0</v>
      </c>
      <c r="CN165" s="15">
        <v>0</v>
      </c>
      <c r="CO165" s="15">
        <v>0</v>
      </c>
      <c r="CP165" s="15">
        <v>0</v>
      </c>
      <c r="CQ165" s="15">
        <v>0</v>
      </c>
      <c r="CR165" s="15">
        <v>0</v>
      </c>
      <c r="CS165" s="15">
        <v>0</v>
      </c>
      <c r="CT165" s="15">
        <v>1</v>
      </c>
      <c r="CU165" s="15">
        <v>0</v>
      </c>
      <c r="CV165" s="15">
        <v>0</v>
      </c>
      <c r="CW165" s="15">
        <v>2</v>
      </c>
      <c r="CX165" s="15">
        <v>0</v>
      </c>
      <c r="CY165" s="15">
        <v>2</v>
      </c>
      <c r="CZ165" s="15">
        <v>6</v>
      </c>
      <c r="DA165" s="15">
        <v>4</v>
      </c>
      <c r="DB165" s="15">
        <v>0</v>
      </c>
      <c r="DC165" s="15">
        <v>0</v>
      </c>
      <c r="DD165" s="15">
        <v>0</v>
      </c>
      <c r="DE165" s="15">
        <v>0</v>
      </c>
      <c r="DF165" s="15">
        <v>0</v>
      </c>
      <c r="DG165" s="15">
        <v>2</v>
      </c>
      <c r="DH165" s="15">
        <v>2</v>
      </c>
      <c r="DI165" s="15">
        <v>0</v>
      </c>
      <c r="DJ165" s="15">
        <v>0</v>
      </c>
      <c r="DK165" s="15">
        <v>3</v>
      </c>
      <c r="DL165" s="15">
        <v>5</v>
      </c>
      <c r="DM165" s="15">
        <v>4</v>
      </c>
      <c r="DN165" s="15">
        <v>2</v>
      </c>
      <c r="DO165" s="15">
        <v>0</v>
      </c>
      <c r="DP165" s="15">
        <v>0</v>
      </c>
      <c r="DQ165" s="15">
        <v>0</v>
      </c>
      <c r="DR165" s="15">
        <v>0</v>
      </c>
      <c r="DS165" s="15">
        <v>10</v>
      </c>
      <c r="DT165" s="15">
        <v>17</v>
      </c>
      <c r="DU165" s="15">
        <v>15</v>
      </c>
      <c r="DV165" s="15">
        <v>0</v>
      </c>
      <c r="DW165" s="15">
        <v>0</v>
      </c>
      <c r="DX165" s="15">
        <v>0</v>
      </c>
      <c r="DY165" s="15">
        <v>0</v>
      </c>
      <c r="DZ165" s="15">
        <v>0</v>
      </c>
      <c r="EA165" s="15">
        <v>0</v>
      </c>
      <c r="EB165" s="15">
        <v>0</v>
      </c>
      <c r="EC165" s="15">
        <v>0</v>
      </c>
      <c r="ED165" s="15">
        <v>0</v>
      </c>
      <c r="EE165" s="15">
        <v>0</v>
      </c>
      <c r="EF165" s="15">
        <v>0</v>
      </c>
    </row>
    <row r="166" spans="1:136" ht="15" customHeight="1" x14ac:dyDescent="0.35">
      <c r="A166" s="8" t="s">
        <v>12</v>
      </c>
      <c r="B166" s="8" t="s">
        <v>23</v>
      </c>
      <c r="C166" s="8" t="s">
        <v>23</v>
      </c>
      <c r="D166" s="8" t="s">
        <v>318</v>
      </c>
      <c r="E166" s="8" t="s">
        <v>10</v>
      </c>
      <c r="F166" s="8" t="s">
        <v>81</v>
      </c>
      <c r="G166" s="15">
        <v>6.6</v>
      </c>
      <c r="H166" s="15">
        <v>29.5</v>
      </c>
      <c r="I166" s="15">
        <v>0</v>
      </c>
      <c r="J166" s="15">
        <v>29.5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  <c r="BS166" s="15">
        <v>0</v>
      </c>
      <c r="BT166" s="15">
        <v>0</v>
      </c>
      <c r="BU166" s="15">
        <v>0</v>
      </c>
      <c r="BV166" s="15">
        <v>0</v>
      </c>
      <c r="BW166" s="15">
        <v>0</v>
      </c>
      <c r="BX166" s="15">
        <v>0</v>
      </c>
      <c r="BY166" s="15">
        <v>0</v>
      </c>
      <c r="BZ166" s="15">
        <v>0</v>
      </c>
      <c r="CA166" s="15">
        <v>0</v>
      </c>
      <c r="CB166" s="15">
        <v>0</v>
      </c>
      <c r="CC166" s="15">
        <v>0</v>
      </c>
      <c r="CD166" s="15">
        <v>0</v>
      </c>
      <c r="CE166" s="15">
        <v>0</v>
      </c>
      <c r="CF166" s="15">
        <v>0</v>
      </c>
      <c r="CG166" s="15">
        <v>0</v>
      </c>
      <c r="CH166" s="15">
        <v>0</v>
      </c>
      <c r="CI166" s="15">
        <v>0</v>
      </c>
      <c r="CJ166" s="15">
        <v>0</v>
      </c>
      <c r="CK166" s="15">
        <v>0</v>
      </c>
      <c r="CL166" s="15">
        <v>0</v>
      </c>
      <c r="CM166" s="15">
        <v>0</v>
      </c>
      <c r="CN166" s="15">
        <v>0</v>
      </c>
      <c r="CO166" s="15">
        <v>0</v>
      </c>
      <c r="CP166" s="15">
        <v>0</v>
      </c>
      <c r="CQ166" s="15">
        <v>0</v>
      </c>
      <c r="CR166" s="15">
        <v>0</v>
      </c>
      <c r="CS166" s="15">
        <v>0</v>
      </c>
      <c r="CT166" s="15">
        <v>0</v>
      </c>
      <c r="CU166" s="15">
        <v>0</v>
      </c>
      <c r="CV166" s="15">
        <v>0</v>
      </c>
      <c r="CW166" s="15">
        <v>0</v>
      </c>
      <c r="CX166" s="15">
        <v>0</v>
      </c>
      <c r="CY166" s="15">
        <v>0</v>
      </c>
      <c r="CZ166" s="15">
        <v>0</v>
      </c>
      <c r="DA166" s="15">
        <v>0</v>
      </c>
      <c r="DB166" s="15">
        <v>0</v>
      </c>
      <c r="DC166" s="15">
        <v>0</v>
      </c>
      <c r="DD166" s="15">
        <v>0</v>
      </c>
      <c r="DE166" s="15">
        <v>0</v>
      </c>
      <c r="DF166" s="15">
        <v>0</v>
      </c>
      <c r="DG166" s="15">
        <v>0</v>
      </c>
      <c r="DH166" s="15">
        <v>0</v>
      </c>
      <c r="DI166" s="15">
        <v>0</v>
      </c>
      <c r="DJ166" s="15">
        <v>0</v>
      </c>
      <c r="DK166" s="15">
        <v>0</v>
      </c>
      <c r="DL166" s="15">
        <v>0</v>
      </c>
      <c r="DM166" s="15">
        <v>0</v>
      </c>
      <c r="DN166" s="15">
        <v>0</v>
      </c>
      <c r="DO166" s="15">
        <v>0</v>
      </c>
      <c r="DP166" s="15">
        <v>0</v>
      </c>
      <c r="DQ166" s="15">
        <v>0</v>
      </c>
      <c r="DR166" s="15">
        <v>0</v>
      </c>
      <c r="DS166" s="15">
        <v>0</v>
      </c>
      <c r="DT166" s="15">
        <v>0</v>
      </c>
      <c r="DU166" s="15">
        <v>0</v>
      </c>
      <c r="DV166" s="15">
        <v>0</v>
      </c>
      <c r="DW166" s="15">
        <v>0</v>
      </c>
      <c r="DX166" s="15">
        <v>0</v>
      </c>
      <c r="DY166" s="15">
        <v>0</v>
      </c>
      <c r="DZ166" s="15">
        <v>0</v>
      </c>
      <c r="EA166" s="15">
        <v>0</v>
      </c>
      <c r="EB166" s="15">
        <v>0</v>
      </c>
      <c r="EC166" s="15">
        <v>0</v>
      </c>
      <c r="ED166" s="15">
        <v>0</v>
      </c>
      <c r="EE166" s="15">
        <v>0</v>
      </c>
      <c r="EF166" s="15">
        <v>0</v>
      </c>
    </row>
    <row r="167" spans="1:136" ht="15" customHeight="1" x14ac:dyDescent="0.35">
      <c r="A167" s="8" t="s">
        <v>12</v>
      </c>
      <c r="B167" s="8" t="s">
        <v>23</v>
      </c>
      <c r="C167" s="8" t="s">
        <v>23</v>
      </c>
      <c r="D167" s="8" t="s">
        <v>317</v>
      </c>
      <c r="E167" s="8" t="s">
        <v>10</v>
      </c>
      <c r="F167" s="8" t="s">
        <v>81</v>
      </c>
      <c r="G167" s="15">
        <v>0</v>
      </c>
      <c r="H167" s="15">
        <v>0</v>
      </c>
      <c r="I167" s="15">
        <v>22.7</v>
      </c>
      <c r="J167" s="15">
        <v>-22.7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5">
        <v>0</v>
      </c>
      <c r="CH167" s="15">
        <v>0</v>
      </c>
      <c r="CI167" s="15">
        <v>0</v>
      </c>
      <c r="CJ167" s="15">
        <v>0</v>
      </c>
      <c r="CK167" s="15">
        <v>0</v>
      </c>
      <c r="CL167" s="15">
        <v>0</v>
      </c>
      <c r="CM167" s="15">
        <v>0</v>
      </c>
      <c r="CN167" s="15">
        <v>0</v>
      </c>
      <c r="CO167" s="15">
        <v>0</v>
      </c>
      <c r="CP167" s="15">
        <v>0</v>
      </c>
      <c r="CQ167" s="15">
        <v>0</v>
      </c>
      <c r="CR167" s="15">
        <v>0</v>
      </c>
      <c r="CS167" s="15">
        <v>0.614035</v>
      </c>
      <c r="CT167" s="15">
        <v>0.614035</v>
      </c>
      <c r="CU167" s="15">
        <v>0.614035</v>
      </c>
      <c r="CV167" s="15">
        <v>0.614035</v>
      </c>
      <c r="CW167" s="15">
        <v>0.614035</v>
      </c>
      <c r="CX167" s="15">
        <v>0.614035</v>
      </c>
      <c r="CY167" s="15">
        <v>0.614035</v>
      </c>
      <c r="CZ167" s="15">
        <v>0.614035</v>
      </c>
      <c r="DA167" s="15">
        <v>0.614035</v>
      </c>
      <c r="DB167" s="15">
        <v>0.614035</v>
      </c>
      <c r="DC167" s="15">
        <v>0.614035</v>
      </c>
      <c r="DD167" s="15">
        <v>0.614035</v>
      </c>
      <c r="DE167" s="15">
        <v>0.614035</v>
      </c>
      <c r="DF167" s="15">
        <v>0.614035</v>
      </c>
      <c r="DG167" s="15">
        <v>0.614035</v>
      </c>
      <c r="DH167" s="15">
        <v>0.614035</v>
      </c>
      <c r="DI167" s="15">
        <v>0.614035</v>
      </c>
      <c r="DJ167" s="15">
        <v>0.8</v>
      </c>
      <c r="DK167" s="15">
        <v>1.5</v>
      </c>
      <c r="DL167" s="15">
        <v>1.5</v>
      </c>
      <c r="DM167" s="15">
        <v>1.5</v>
      </c>
      <c r="DN167" s="15">
        <v>1.5</v>
      </c>
      <c r="DO167" s="15">
        <v>1</v>
      </c>
      <c r="DP167" s="15">
        <v>1.5</v>
      </c>
      <c r="DQ167" s="15">
        <v>1.5</v>
      </c>
      <c r="DR167" s="15">
        <v>1.5</v>
      </c>
      <c r="DS167" s="15">
        <v>0</v>
      </c>
      <c r="DT167" s="15">
        <v>0</v>
      </c>
      <c r="DU167" s="15">
        <v>0</v>
      </c>
      <c r="DV167" s="15">
        <v>0</v>
      </c>
      <c r="DW167" s="15">
        <v>0</v>
      </c>
      <c r="DX167" s="15">
        <v>0</v>
      </c>
      <c r="DY167" s="15">
        <v>0</v>
      </c>
      <c r="DZ167" s="15">
        <v>0</v>
      </c>
      <c r="EA167" s="15">
        <v>0</v>
      </c>
      <c r="EB167" s="15">
        <v>0</v>
      </c>
      <c r="EC167" s="15">
        <v>0</v>
      </c>
      <c r="ED167" s="15">
        <v>0</v>
      </c>
      <c r="EE167" s="15">
        <v>0</v>
      </c>
      <c r="EF167" s="15">
        <v>0</v>
      </c>
    </row>
    <row r="168" spans="1:136" ht="15" customHeight="1" x14ac:dyDescent="0.35">
      <c r="A168" s="8" t="s">
        <v>12</v>
      </c>
      <c r="B168" s="8" t="s">
        <v>23</v>
      </c>
      <c r="C168" s="8" t="s">
        <v>23</v>
      </c>
      <c r="D168" s="8" t="s">
        <v>318</v>
      </c>
      <c r="E168" s="8" t="s">
        <v>10</v>
      </c>
      <c r="F168" s="8" t="s">
        <v>102</v>
      </c>
      <c r="G168" s="15">
        <v>31</v>
      </c>
      <c r="H168" s="15">
        <v>278</v>
      </c>
      <c r="I168" s="15">
        <v>0</v>
      </c>
      <c r="J168" s="15">
        <v>278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  <c r="BS168" s="15">
        <v>0</v>
      </c>
      <c r="BT168" s="15">
        <v>0</v>
      </c>
      <c r="BU168" s="15">
        <v>0</v>
      </c>
      <c r="BV168" s="15">
        <v>0</v>
      </c>
      <c r="BW168" s="15">
        <v>0</v>
      </c>
      <c r="BX168" s="15">
        <v>0</v>
      </c>
      <c r="BY168" s="15">
        <v>0</v>
      </c>
      <c r="BZ168" s="15">
        <v>0</v>
      </c>
      <c r="CA168" s="15">
        <v>0</v>
      </c>
      <c r="CB168" s="15">
        <v>0</v>
      </c>
      <c r="CC168" s="15">
        <v>0</v>
      </c>
      <c r="CD168" s="15">
        <v>0</v>
      </c>
      <c r="CE168" s="15">
        <v>0</v>
      </c>
      <c r="CF168" s="15">
        <v>0</v>
      </c>
      <c r="CG168" s="15">
        <v>0</v>
      </c>
      <c r="CH168" s="15">
        <v>0</v>
      </c>
      <c r="CI168" s="15">
        <v>0</v>
      </c>
      <c r="CJ168" s="15">
        <v>0</v>
      </c>
      <c r="CK168" s="15">
        <v>0</v>
      </c>
      <c r="CL168" s="15">
        <v>0</v>
      </c>
      <c r="CM168" s="15">
        <v>0</v>
      </c>
      <c r="CN168" s="15">
        <v>0</v>
      </c>
      <c r="CO168" s="15">
        <v>0</v>
      </c>
      <c r="CP168" s="15">
        <v>0</v>
      </c>
      <c r="CQ168" s="15">
        <v>0</v>
      </c>
      <c r="CR168" s="15">
        <v>0</v>
      </c>
      <c r="CS168" s="15">
        <v>0</v>
      </c>
      <c r="CT168" s="15">
        <v>0</v>
      </c>
      <c r="CU168" s="15">
        <v>0</v>
      </c>
      <c r="CV168" s="15">
        <v>0</v>
      </c>
      <c r="CW168" s="15">
        <v>0</v>
      </c>
      <c r="CX168" s="15">
        <v>0</v>
      </c>
      <c r="CY168" s="15">
        <v>0</v>
      </c>
      <c r="CZ168" s="15">
        <v>0</v>
      </c>
      <c r="DA168" s="15">
        <v>0</v>
      </c>
      <c r="DB168" s="15">
        <v>0</v>
      </c>
      <c r="DC168" s="15">
        <v>0</v>
      </c>
      <c r="DD168" s="15">
        <v>0</v>
      </c>
      <c r="DE168" s="15">
        <v>0</v>
      </c>
      <c r="DF168" s="15">
        <v>0</v>
      </c>
      <c r="DG168" s="15">
        <v>0</v>
      </c>
      <c r="DH168" s="15">
        <v>0</v>
      </c>
      <c r="DI168" s="15">
        <v>0</v>
      </c>
      <c r="DJ168" s="15">
        <v>0</v>
      </c>
      <c r="DK168" s="15">
        <v>0</v>
      </c>
      <c r="DL168" s="15">
        <v>0</v>
      </c>
      <c r="DM168" s="15">
        <v>0</v>
      </c>
      <c r="DN168" s="15">
        <v>0</v>
      </c>
      <c r="DO168" s="15">
        <v>0</v>
      </c>
      <c r="DP168" s="15">
        <v>0</v>
      </c>
      <c r="DQ168" s="15">
        <v>0</v>
      </c>
      <c r="DR168" s="15">
        <v>0</v>
      </c>
      <c r="DS168" s="15">
        <v>0</v>
      </c>
      <c r="DT168" s="15">
        <v>0</v>
      </c>
      <c r="DU168" s="15">
        <v>0</v>
      </c>
      <c r="DV168" s="15">
        <v>0</v>
      </c>
      <c r="DW168" s="15">
        <v>0</v>
      </c>
      <c r="DX168" s="15">
        <v>0</v>
      </c>
      <c r="DY168" s="15">
        <v>0</v>
      </c>
      <c r="DZ168" s="15">
        <v>0</v>
      </c>
      <c r="EA168" s="15">
        <v>0</v>
      </c>
      <c r="EB168" s="15">
        <v>0</v>
      </c>
      <c r="EC168" s="15">
        <v>0</v>
      </c>
      <c r="ED168" s="15">
        <v>0</v>
      </c>
      <c r="EE168" s="15">
        <v>0</v>
      </c>
      <c r="EF168" s="15">
        <v>0</v>
      </c>
    </row>
    <row r="169" spans="1:136" ht="15" customHeight="1" x14ac:dyDescent="0.35">
      <c r="A169" s="8" t="s">
        <v>12</v>
      </c>
      <c r="B169" s="8" t="s">
        <v>23</v>
      </c>
      <c r="C169" s="8" t="s">
        <v>23</v>
      </c>
      <c r="D169" s="8" t="s">
        <v>318</v>
      </c>
      <c r="E169" s="8" t="s">
        <v>10</v>
      </c>
      <c r="F169" s="8" t="s">
        <v>102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5">
        <v>0</v>
      </c>
      <c r="CH169" s="15">
        <v>0</v>
      </c>
      <c r="CI169" s="15">
        <v>0</v>
      </c>
      <c r="CJ169" s="15">
        <v>0</v>
      </c>
      <c r="CK169" s="15">
        <v>0</v>
      </c>
      <c r="CL169" s="15">
        <v>0</v>
      </c>
      <c r="CM169" s="15">
        <v>0</v>
      </c>
      <c r="CN169" s="15">
        <v>0</v>
      </c>
      <c r="CO169" s="15">
        <v>0</v>
      </c>
      <c r="CP169" s="15">
        <v>0</v>
      </c>
      <c r="CQ169" s="15">
        <v>0</v>
      </c>
      <c r="CR169" s="15">
        <v>0</v>
      </c>
      <c r="CS169" s="15">
        <v>0</v>
      </c>
      <c r="CT169" s="15">
        <v>0</v>
      </c>
      <c r="CU169" s="15">
        <v>0</v>
      </c>
      <c r="CV169" s="15">
        <v>0</v>
      </c>
      <c r="CW169" s="15">
        <v>0</v>
      </c>
      <c r="CX169" s="15">
        <v>0</v>
      </c>
      <c r="CY169" s="15">
        <v>0</v>
      </c>
      <c r="CZ169" s="15">
        <v>0</v>
      </c>
      <c r="DA169" s="15">
        <v>0</v>
      </c>
      <c r="DB169" s="15">
        <v>0</v>
      </c>
      <c r="DC169" s="15">
        <v>0</v>
      </c>
      <c r="DD169" s="15">
        <v>0</v>
      </c>
      <c r="DE169" s="15">
        <v>0</v>
      </c>
      <c r="DF169" s="15">
        <v>0</v>
      </c>
      <c r="DG169" s="15">
        <v>0</v>
      </c>
      <c r="DH169" s="15">
        <v>0</v>
      </c>
      <c r="DI169" s="15">
        <v>0</v>
      </c>
      <c r="DJ169" s="15">
        <v>0</v>
      </c>
      <c r="DK169" s="15">
        <v>0</v>
      </c>
      <c r="DL169" s="15">
        <v>0</v>
      </c>
      <c r="DM169" s="15">
        <v>0</v>
      </c>
      <c r="DN169" s="15">
        <v>0</v>
      </c>
      <c r="DO169" s="15">
        <v>0</v>
      </c>
      <c r="DP169" s="15">
        <v>0</v>
      </c>
      <c r="DQ169" s="15">
        <v>0</v>
      </c>
      <c r="DR169" s="15">
        <v>0</v>
      </c>
      <c r="DS169" s="15">
        <v>0</v>
      </c>
      <c r="DT169" s="15">
        <v>0</v>
      </c>
      <c r="DU169" s="15">
        <v>0</v>
      </c>
      <c r="DV169" s="15">
        <v>0</v>
      </c>
      <c r="DW169" s="15">
        <v>0</v>
      </c>
      <c r="DX169" s="15">
        <v>0</v>
      </c>
      <c r="DY169" s="15">
        <v>0</v>
      </c>
      <c r="DZ169" s="15">
        <v>0</v>
      </c>
      <c r="EA169" s="15">
        <v>0</v>
      </c>
      <c r="EB169" s="15">
        <v>0</v>
      </c>
      <c r="EC169" s="15">
        <v>0</v>
      </c>
      <c r="ED169" s="15">
        <v>0</v>
      </c>
      <c r="EE169" s="15">
        <v>0</v>
      </c>
      <c r="EF169" s="15">
        <v>0</v>
      </c>
    </row>
    <row r="170" spans="1:136" ht="15" customHeight="1" x14ac:dyDescent="0.35">
      <c r="A170" s="8" t="s">
        <v>12</v>
      </c>
      <c r="B170" s="8" t="s">
        <v>23</v>
      </c>
      <c r="C170" s="8" t="s">
        <v>23</v>
      </c>
      <c r="D170" s="8" t="s">
        <v>317</v>
      </c>
      <c r="E170" s="8" t="s">
        <v>10</v>
      </c>
      <c r="F170" s="8" t="s">
        <v>102</v>
      </c>
      <c r="G170" s="15">
        <v>0</v>
      </c>
      <c r="H170" s="15">
        <v>0</v>
      </c>
      <c r="I170" s="15">
        <v>270</v>
      </c>
      <c r="J170" s="15">
        <v>-270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0</v>
      </c>
      <c r="BX170" s="15">
        <v>0</v>
      </c>
      <c r="BY170" s="15">
        <v>0</v>
      </c>
      <c r="BZ170" s="15">
        <v>0</v>
      </c>
      <c r="CA170" s="15">
        <v>0</v>
      </c>
      <c r="CB170" s="15">
        <v>0</v>
      </c>
      <c r="CC170" s="15">
        <v>0</v>
      </c>
      <c r="CD170" s="15">
        <v>0</v>
      </c>
      <c r="CE170" s="15">
        <v>0</v>
      </c>
      <c r="CF170" s="15">
        <v>0</v>
      </c>
      <c r="CG170" s="15">
        <v>0</v>
      </c>
      <c r="CH170" s="15">
        <v>0</v>
      </c>
      <c r="CI170" s="15">
        <v>0</v>
      </c>
      <c r="CJ170" s="15">
        <v>0</v>
      </c>
      <c r="CK170" s="15">
        <v>0</v>
      </c>
      <c r="CL170" s="15">
        <v>0</v>
      </c>
      <c r="CM170" s="15">
        <v>0</v>
      </c>
      <c r="CN170" s="15">
        <v>0</v>
      </c>
      <c r="CO170" s="15">
        <v>0</v>
      </c>
      <c r="CP170" s="15">
        <v>0</v>
      </c>
      <c r="CQ170" s="15">
        <v>0</v>
      </c>
      <c r="CR170" s="15">
        <v>0</v>
      </c>
      <c r="CS170" s="15">
        <v>0</v>
      </c>
      <c r="CT170" s="15">
        <v>13</v>
      </c>
      <c r="CU170" s="15">
        <v>18</v>
      </c>
      <c r="CV170" s="15">
        <v>18</v>
      </c>
      <c r="CW170" s="15">
        <v>17</v>
      </c>
      <c r="CX170" s="15">
        <v>7</v>
      </c>
      <c r="CY170" s="15">
        <v>7</v>
      </c>
      <c r="CZ170" s="15">
        <v>10</v>
      </c>
      <c r="DA170" s="15">
        <v>10</v>
      </c>
      <c r="DB170" s="15">
        <v>7</v>
      </c>
      <c r="DC170" s="15">
        <v>8</v>
      </c>
      <c r="DD170" s="15">
        <v>10</v>
      </c>
      <c r="DE170" s="15">
        <v>8</v>
      </c>
      <c r="DF170" s="15">
        <v>4</v>
      </c>
      <c r="DG170" s="15">
        <v>10</v>
      </c>
      <c r="DH170" s="15">
        <v>7</v>
      </c>
      <c r="DI170" s="15">
        <v>0</v>
      </c>
      <c r="DJ170" s="15">
        <v>0</v>
      </c>
      <c r="DK170" s="15">
        <v>7</v>
      </c>
      <c r="DL170" s="15">
        <v>10</v>
      </c>
      <c r="DM170" s="15">
        <v>18</v>
      </c>
      <c r="DN170" s="15">
        <v>20</v>
      </c>
      <c r="DO170" s="15">
        <v>20</v>
      </c>
      <c r="DP170" s="15">
        <v>20</v>
      </c>
      <c r="DQ170" s="15">
        <v>15</v>
      </c>
      <c r="DR170" s="15">
        <v>6</v>
      </c>
      <c r="DS170" s="15">
        <v>0</v>
      </c>
      <c r="DT170" s="15">
        <v>0</v>
      </c>
      <c r="DU170" s="15">
        <v>0</v>
      </c>
      <c r="DV170" s="15">
        <v>0</v>
      </c>
      <c r="DW170" s="15">
        <v>0</v>
      </c>
      <c r="DX170" s="15">
        <v>0</v>
      </c>
      <c r="DY170" s="15">
        <v>0</v>
      </c>
      <c r="DZ170" s="15">
        <v>0</v>
      </c>
      <c r="EA170" s="15">
        <v>0</v>
      </c>
      <c r="EB170" s="15">
        <v>0</v>
      </c>
      <c r="EC170" s="15">
        <v>0</v>
      </c>
      <c r="ED170" s="15">
        <v>0</v>
      </c>
      <c r="EE170" s="15">
        <v>0</v>
      </c>
      <c r="EF170" s="15">
        <v>0</v>
      </c>
    </row>
    <row r="171" spans="1:136" ht="15" customHeight="1" x14ac:dyDescent="0.35">
      <c r="A171" s="8" t="s">
        <v>12</v>
      </c>
      <c r="B171" s="8" t="s">
        <v>23</v>
      </c>
      <c r="C171" s="8" t="s">
        <v>23</v>
      </c>
      <c r="D171" s="8" t="s">
        <v>318</v>
      </c>
      <c r="E171" s="8" t="s">
        <v>10</v>
      </c>
      <c r="F171" s="8" t="s">
        <v>82</v>
      </c>
      <c r="G171" s="15">
        <v>0</v>
      </c>
      <c r="H171" s="15">
        <v>0</v>
      </c>
      <c r="I171" s="15">
        <v>7</v>
      </c>
      <c r="J171" s="15">
        <v>-7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7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5">
        <v>0</v>
      </c>
      <c r="CH171" s="15">
        <v>0</v>
      </c>
      <c r="CI171" s="15">
        <v>0</v>
      </c>
      <c r="CJ171" s="15">
        <v>0</v>
      </c>
      <c r="CK171" s="15">
        <v>0</v>
      </c>
      <c r="CL171" s="15">
        <v>0</v>
      </c>
      <c r="CM171" s="15">
        <v>0</v>
      </c>
      <c r="CN171" s="15">
        <v>0</v>
      </c>
      <c r="CO171" s="15">
        <v>0</v>
      </c>
      <c r="CP171" s="15">
        <v>0</v>
      </c>
      <c r="CQ171" s="15">
        <v>0</v>
      </c>
      <c r="CR171" s="15">
        <v>0</v>
      </c>
      <c r="CS171" s="15">
        <v>0</v>
      </c>
      <c r="CT171" s="15">
        <v>0</v>
      </c>
      <c r="CU171" s="15">
        <v>0</v>
      </c>
      <c r="CV171" s="15">
        <v>0</v>
      </c>
      <c r="CW171" s="15">
        <v>0</v>
      </c>
      <c r="CX171" s="15">
        <v>0</v>
      </c>
      <c r="CY171" s="15">
        <v>0</v>
      </c>
      <c r="CZ171" s="15">
        <v>0</v>
      </c>
      <c r="DA171" s="15">
        <v>0</v>
      </c>
      <c r="DB171" s="15">
        <v>0</v>
      </c>
      <c r="DC171" s="15">
        <v>0</v>
      </c>
      <c r="DD171" s="15">
        <v>0</v>
      </c>
      <c r="DE171" s="15">
        <v>0</v>
      </c>
      <c r="DF171" s="15">
        <v>0</v>
      </c>
      <c r="DG171" s="15">
        <v>0</v>
      </c>
      <c r="DH171" s="15">
        <v>0</v>
      </c>
      <c r="DI171" s="15">
        <v>0</v>
      </c>
      <c r="DJ171" s="15">
        <v>0</v>
      </c>
      <c r="DK171" s="15">
        <v>0</v>
      </c>
      <c r="DL171" s="15">
        <v>0</v>
      </c>
      <c r="DM171" s="15">
        <v>0</v>
      </c>
      <c r="DN171" s="15">
        <v>0</v>
      </c>
      <c r="DO171" s="15">
        <v>0</v>
      </c>
      <c r="DP171" s="15">
        <v>0</v>
      </c>
      <c r="DQ171" s="15">
        <v>0</v>
      </c>
      <c r="DR171" s="15">
        <v>0</v>
      </c>
      <c r="DS171" s="15">
        <v>0</v>
      </c>
      <c r="DT171" s="15">
        <v>0</v>
      </c>
      <c r="DU171" s="15">
        <v>0</v>
      </c>
      <c r="DV171" s="15">
        <v>0</v>
      </c>
      <c r="DW171" s="15">
        <v>0</v>
      </c>
      <c r="DX171" s="15">
        <v>0</v>
      </c>
      <c r="DY171" s="15">
        <v>0</v>
      </c>
      <c r="DZ171" s="15">
        <v>0</v>
      </c>
      <c r="EA171" s="15">
        <v>0</v>
      </c>
      <c r="EB171" s="15">
        <v>0</v>
      </c>
      <c r="EC171" s="15">
        <v>0</v>
      </c>
      <c r="ED171" s="15">
        <v>0</v>
      </c>
      <c r="EE171" s="15">
        <v>0</v>
      </c>
      <c r="EF171" s="15">
        <v>0</v>
      </c>
    </row>
    <row r="172" spans="1:136" ht="15" customHeight="1" x14ac:dyDescent="0.35">
      <c r="A172" s="8" t="s">
        <v>12</v>
      </c>
      <c r="B172" s="8" t="s">
        <v>23</v>
      </c>
      <c r="C172" s="8" t="s">
        <v>23</v>
      </c>
      <c r="D172" s="8" t="s">
        <v>318</v>
      </c>
      <c r="E172" s="8" t="s">
        <v>10</v>
      </c>
      <c r="F172" s="8" t="s">
        <v>82</v>
      </c>
      <c r="G172" s="15">
        <v>15</v>
      </c>
      <c r="H172" s="15">
        <v>15</v>
      </c>
      <c r="I172" s="15">
        <v>15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15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0</v>
      </c>
      <c r="BX172" s="15">
        <v>0</v>
      </c>
      <c r="BY172" s="15">
        <v>0</v>
      </c>
      <c r="BZ172" s="15">
        <v>0</v>
      </c>
      <c r="CA172" s="15">
        <v>0</v>
      </c>
      <c r="CB172" s="15">
        <v>0</v>
      </c>
      <c r="CC172" s="15">
        <v>0</v>
      </c>
      <c r="CD172" s="15">
        <v>0</v>
      </c>
      <c r="CE172" s="15">
        <v>0</v>
      </c>
      <c r="CF172" s="15">
        <v>0</v>
      </c>
      <c r="CG172" s="15">
        <v>0</v>
      </c>
      <c r="CH172" s="15">
        <v>0</v>
      </c>
      <c r="CI172" s="15">
        <v>0</v>
      </c>
      <c r="CJ172" s="15">
        <v>0</v>
      </c>
      <c r="CK172" s="15">
        <v>0</v>
      </c>
      <c r="CL172" s="15">
        <v>0</v>
      </c>
      <c r="CM172" s="15">
        <v>0</v>
      </c>
      <c r="CN172" s="15">
        <v>0</v>
      </c>
      <c r="CO172" s="15">
        <v>0</v>
      </c>
      <c r="CP172" s="15">
        <v>0</v>
      </c>
      <c r="CQ172" s="15">
        <v>0</v>
      </c>
      <c r="CR172" s="15">
        <v>0</v>
      </c>
      <c r="CS172" s="15">
        <v>0</v>
      </c>
      <c r="CT172" s="15">
        <v>0</v>
      </c>
      <c r="CU172" s="15">
        <v>0</v>
      </c>
      <c r="CV172" s="15">
        <v>0</v>
      </c>
      <c r="CW172" s="15">
        <v>0</v>
      </c>
      <c r="CX172" s="15">
        <v>0</v>
      </c>
      <c r="CY172" s="15">
        <v>0</v>
      </c>
      <c r="CZ172" s="15">
        <v>0</v>
      </c>
      <c r="DA172" s="15">
        <v>0</v>
      </c>
      <c r="DB172" s="15">
        <v>0</v>
      </c>
      <c r="DC172" s="15">
        <v>0</v>
      </c>
      <c r="DD172" s="15">
        <v>0</v>
      </c>
      <c r="DE172" s="15">
        <v>0</v>
      </c>
      <c r="DF172" s="15">
        <v>0</v>
      </c>
      <c r="DG172" s="15">
        <v>0</v>
      </c>
      <c r="DH172" s="15">
        <v>0</v>
      </c>
      <c r="DI172" s="15">
        <v>0</v>
      </c>
      <c r="DJ172" s="15">
        <v>0</v>
      </c>
      <c r="DK172" s="15">
        <v>0</v>
      </c>
      <c r="DL172" s="15">
        <v>0</v>
      </c>
      <c r="DM172" s="15">
        <v>0</v>
      </c>
      <c r="DN172" s="15">
        <v>0</v>
      </c>
      <c r="DO172" s="15">
        <v>0</v>
      </c>
      <c r="DP172" s="15">
        <v>0</v>
      </c>
      <c r="DQ172" s="15">
        <v>0</v>
      </c>
      <c r="DR172" s="15">
        <v>0</v>
      </c>
      <c r="DS172" s="15">
        <v>0</v>
      </c>
      <c r="DT172" s="15">
        <v>0</v>
      </c>
      <c r="DU172" s="15">
        <v>0</v>
      </c>
      <c r="DV172" s="15">
        <v>0</v>
      </c>
      <c r="DW172" s="15">
        <v>0</v>
      </c>
      <c r="DX172" s="15">
        <v>0</v>
      </c>
      <c r="DY172" s="15">
        <v>0</v>
      </c>
      <c r="DZ172" s="15">
        <v>0</v>
      </c>
      <c r="EA172" s="15">
        <v>0</v>
      </c>
      <c r="EB172" s="15">
        <v>0</v>
      </c>
      <c r="EC172" s="15">
        <v>0</v>
      </c>
      <c r="ED172" s="15">
        <v>0</v>
      </c>
      <c r="EE172" s="15">
        <v>0</v>
      </c>
      <c r="EF172" s="15">
        <v>0</v>
      </c>
    </row>
    <row r="173" spans="1:136" ht="15" customHeight="1" x14ac:dyDescent="0.35">
      <c r="A173" s="8" t="s">
        <v>12</v>
      </c>
      <c r="B173" s="8" t="s">
        <v>23</v>
      </c>
      <c r="C173" s="8" t="s">
        <v>23</v>
      </c>
      <c r="D173" s="8" t="s">
        <v>317</v>
      </c>
      <c r="E173" s="8" t="s">
        <v>10</v>
      </c>
      <c r="F173" s="8" t="s">
        <v>82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5">
        <v>0</v>
      </c>
      <c r="CH173" s="15">
        <v>0</v>
      </c>
      <c r="CI173" s="15">
        <v>0</v>
      </c>
      <c r="CJ173" s="15">
        <v>0</v>
      </c>
      <c r="CK173" s="15">
        <v>0</v>
      </c>
      <c r="CL173" s="15">
        <v>0</v>
      </c>
      <c r="CM173" s="15">
        <v>0</v>
      </c>
      <c r="CN173" s="15">
        <v>0</v>
      </c>
      <c r="CO173" s="15">
        <v>0</v>
      </c>
      <c r="CP173" s="15">
        <v>0</v>
      </c>
      <c r="CQ173" s="15">
        <v>0</v>
      </c>
      <c r="CR173" s="15">
        <v>0</v>
      </c>
      <c r="CS173" s="15">
        <v>0</v>
      </c>
      <c r="CT173" s="15">
        <v>0</v>
      </c>
      <c r="CU173" s="15">
        <v>0</v>
      </c>
      <c r="CV173" s="15">
        <v>0</v>
      </c>
      <c r="CW173" s="15">
        <v>0</v>
      </c>
      <c r="CX173" s="15">
        <v>0</v>
      </c>
      <c r="CY173" s="15">
        <v>0</v>
      </c>
      <c r="CZ173" s="15">
        <v>0</v>
      </c>
      <c r="DA173" s="15">
        <v>0</v>
      </c>
      <c r="DB173" s="15">
        <v>0</v>
      </c>
      <c r="DC173" s="15">
        <v>0</v>
      </c>
      <c r="DD173" s="15">
        <v>0</v>
      </c>
      <c r="DE173" s="15">
        <v>0</v>
      </c>
      <c r="DF173" s="15">
        <v>0</v>
      </c>
      <c r="DG173" s="15">
        <v>0</v>
      </c>
      <c r="DH173" s="15">
        <v>0</v>
      </c>
      <c r="DI173" s="15">
        <v>0</v>
      </c>
      <c r="DJ173" s="15">
        <v>0</v>
      </c>
      <c r="DK173" s="15">
        <v>0</v>
      </c>
      <c r="DL173" s="15">
        <v>0</v>
      </c>
      <c r="DM173" s="15">
        <v>0</v>
      </c>
      <c r="DN173" s="15">
        <v>0</v>
      </c>
      <c r="DO173" s="15">
        <v>0</v>
      </c>
      <c r="DP173" s="15">
        <v>0</v>
      </c>
      <c r="DQ173" s="15">
        <v>0</v>
      </c>
      <c r="DR173" s="15">
        <v>0</v>
      </c>
      <c r="DS173" s="15">
        <v>0</v>
      </c>
      <c r="DT173" s="15">
        <v>0</v>
      </c>
      <c r="DU173" s="15">
        <v>0</v>
      </c>
      <c r="DV173" s="15">
        <v>0</v>
      </c>
      <c r="DW173" s="15">
        <v>0</v>
      </c>
      <c r="DX173" s="15">
        <v>0</v>
      </c>
      <c r="DY173" s="15">
        <v>0</v>
      </c>
      <c r="DZ173" s="15">
        <v>0</v>
      </c>
      <c r="EA173" s="15">
        <v>0</v>
      </c>
      <c r="EB173" s="15">
        <v>0</v>
      </c>
      <c r="EC173" s="15">
        <v>0</v>
      </c>
      <c r="ED173" s="15">
        <v>0</v>
      </c>
      <c r="EE173" s="15">
        <v>0</v>
      </c>
      <c r="EF173" s="15">
        <v>0</v>
      </c>
    </row>
    <row r="174" spans="1:136" ht="15" customHeight="1" x14ac:dyDescent="0.35">
      <c r="A174" s="8" t="s">
        <v>12</v>
      </c>
      <c r="B174" s="8" t="s">
        <v>23</v>
      </c>
      <c r="C174" s="8" t="s">
        <v>23</v>
      </c>
      <c r="D174" s="8" t="s">
        <v>318</v>
      </c>
      <c r="E174" s="8" t="s">
        <v>10</v>
      </c>
      <c r="F174" s="8" t="s">
        <v>83</v>
      </c>
      <c r="G174" s="15">
        <v>10</v>
      </c>
      <c r="H174" s="15">
        <v>10</v>
      </c>
      <c r="I174" s="15">
        <v>0</v>
      </c>
      <c r="J174" s="15">
        <v>10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0</v>
      </c>
      <c r="BX174" s="15">
        <v>0</v>
      </c>
      <c r="BY174" s="15">
        <v>0</v>
      </c>
      <c r="BZ174" s="15">
        <v>0</v>
      </c>
      <c r="CA174" s="15">
        <v>0</v>
      </c>
      <c r="CB174" s="15">
        <v>0</v>
      </c>
      <c r="CC174" s="15">
        <v>0</v>
      </c>
      <c r="CD174" s="15">
        <v>0</v>
      </c>
      <c r="CE174" s="15">
        <v>0</v>
      </c>
      <c r="CF174" s="15">
        <v>0</v>
      </c>
      <c r="CG174" s="15">
        <v>0</v>
      </c>
      <c r="CH174" s="15">
        <v>0</v>
      </c>
      <c r="CI174" s="15">
        <v>0</v>
      </c>
      <c r="CJ174" s="15">
        <v>0</v>
      </c>
      <c r="CK174" s="15">
        <v>0</v>
      </c>
      <c r="CL174" s="15">
        <v>0</v>
      </c>
      <c r="CM174" s="15">
        <v>0</v>
      </c>
      <c r="CN174" s="15">
        <v>0</v>
      </c>
      <c r="CO174" s="15">
        <v>0</v>
      </c>
      <c r="CP174" s="15">
        <v>0</v>
      </c>
      <c r="CQ174" s="15">
        <v>0</v>
      </c>
      <c r="CR174" s="15">
        <v>0</v>
      </c>
      <c r="CS174" s="15">
        <v>0</v>
      </c>
      <c r="CT174" s="15">
        <v>0</v>
      </c>
      <c r="CU174" s="15">
        <v>0</v>
      </c>
      <c r="CV174" s="15">
        <v>0</v>
      </c>
      <c r="CW174" s="15">
        <v>0</v>
      </c>
      <c r="CX174" s="15">
        <v>0</v>
      </c>
      <c r="CY174" s="15">
        <v>0</v>
      </c>
      <c r="CZ174" s="15">
        <v>0</v>
      </c>
      <c r="DA174" s="15">
        <v>0</v>
      </c>
      <c r="DB174" s="15">
        <v>0</v>
      </c>
      <c r="DC174" s="15">
        <v>0</v>
      </c>
      <c r="DD174" s="15">
        <v>0</v>
      </c>
      <c r="DE174" s="15">
        <v>0</v>
      </c>
      <c r="DF174" s="15">
        <v>0</v>
      </c>
      <c r="DG174" s="15">
        <v>0</v>
      </c>
      <c r="DH174" s="15">
        <v>0</v>
      </c>
      <c r="DI174" s="15">
        <v>0</v>
      </c>
      <c r="DJ174" s="15">
        <v>0</v>
      </c>
      <c r="DK174" s="15">
        <v>0</v>
      </c>
      <c r="DL174" s="15">
        <v>0</v>
      </c>
      <c r="DM174" s="15">
        <v>0</v>
      </c>
      <c r="DN174" s="15">
        <v>0</v>
      </c>
      <c r="DO174" s="15">
        <v>0</v>
      </c>
      <c r="DP174" s="15">
        <v>0</v>
      </c>
      <c r="DQ174" s="15">
        <v>0</v>
      </c>
      <c r="DR174" s="15">
        <v>0</v>
      </c>
      <c r="DS174" s="15">
        <v>0</v>
      </c>
      <c r="DT174" s="15">
        <v>0</v>
      </c>
      <c r="DU174" s="15">
        <v>0</v>
      </c>
      <c r="DV174" s="15">
        <v>0</v>
      </c>
      <c r="DW174" s="15">
        <v>0</v>
      </c>
      <c r="DX174" s="15">
        <v>0</v>
      </c>
      <c r="DY174" s="15">
        <v>0</v>
      </c>
      <c r="DZ174" s="15">
        <v>0</v>
      </c>
      <c r="EA174" s="15">
        <v>0</v>
      </c>
      <c r="EB174" s="15">
        <v>0</v>
      </c>
      <c r="EC174" s="15">
        <v>0</v>
      </c>
      <c r="ED174" s="15">
        <v>0</v>
      </c>
      <c r="EE174" s="15">
        <v>0</v>
      </c>
      <c r="EF174" s="15">
        <v>0</v>
      </c>
    </row>
    <row r="175" spans="1:136" ht="15" customHeight="1" x14ac:dyDescent="0.35">
      <c r="A175" s="8" t="s">
        <v>12</v>
      </c>
      <c r="B175" s="8" t="s">
        <v>23</v>
      </c>
      <c r="C175" s="8" t="s">
        <v>23</v>
      </c>
      <c r="D175" s="8" t="s">
        <v>317</v>
      </c>
      <c r="E175" s="8" t="s">
        <v>10</v>
      </c>
      <c r="F175" s="8" t="s">
        <v>83</v>
      </c>
      <c r="G175" s="15">
        <v>0</v>
      </c>
      <c r="H175" s="15">
        <v>0</v>
      </c>
      <c r="I175" s="15">
        <v>5</v>
      </c>
      <c r="J175" s="15">
        <v>-5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5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5">
        <v>0</v>
      </c>
      <c r="CH175" s="15">
        <v>0</v>
      </c>
      <c r="CI175" s="15">
        <v>0</v>
      </c>
      <c r="CJ175" s="15">
        <v>0</v>
      </c>
      <c r="CK175" s="15">
        <v>0</v>
      </c>
      <c r="CL175" s="15">
        <v>0</v>
      </c>
      <c r="CM175" s="15">
        <v>0</v>
      </c>
      <c r="CN175" s="15">
        <v>0</v>
      </c>
      <c r="CO175" s="15">
        <v>0</v>
      </c>
      <c r="CP175" s="15">
        <v>0</v>
      </c>
      <c r="CQ175" s="15">
        <v>0</v>
      </c>
      <c r="CR175" s="15">
        <v>0</v>
      </c>
      <c r="CS175" s="15">
        <v>0</v>
      </c>
      <c r="CT175" s="15">
        <v>0</v>
      </c>
      <c r="CU175" s="15">
        <v>0</v>
      </c>
      <c r="CV175" s="15">
        <v>0</v>
      </c>
      <c r="CW175" s="15">
        <v>0</v>
      </c>
      <c r="CX175" s="15">
        <v>0</v>
      </c>
      <c r="CY175" s="15">
        <v>0</v>
      </c>
      <c r="CZ175" s="15">
        <v>0</v>
      </c>
      <c r="DA175" s="15">
        <v>0</v>
      </c>
      <c r="DB175" s="15">
        <v>0</v>
      </c>
      <c r="DC175" s="15">
        <v>0</v>
      </c>
      <c r="DD175" s="15">
        <v>0</v>
      </c>
      <c r="DE175" s="15">
        <v>0</v>
      </c>
      <c r="DF175" s="15">
        <v>0</v>
      </c>
      <c r="DG175" s="15">
        <v>0</v>
      </c>
      <c r="DH175" s="15">
        <v>0</v>
      </c>
      <c r="DI175" s="15">
        <v>0</v>
      </c>
      <c r="DJ175" s="15">
        <v>0</v>
      </c>
      <c r="DK175" s="15">
        <v>0</v>
      </c>
      <c r="DL175" s="15">
        <v>0</v>
      </c>
      <c r="DM175" s="15">
        <v>0</v>
      </c>
      <c r="DN175" s="15">
        <v>0</v>
      </c>
      <c r="DO175" s="15">
        <v>0</v>
      </c>
      <c r="DP175" s="15">
        <v>0</v>
      </c>
      <c r="DQ175" s="15">
        <v>0</v>
      </c>
      <c r="DR175" s="15">
        <v>0</v>
      </c>
      <c r="DS175" s="15">
        <v>0</v>
      </c>
      <c r="DT175" s="15">
        <v>0</v>
      </c>
      <c r="DU175" s="15">
        <v>0</v>
      </c>
      <c r="DV175" s="15">
        <v>0</v>
      </c>
      <c r="DW175" s="15">
        <v>0</v>
      </c>
      <c r="DX175" s="15">
        <v>0</v>
      </c>
      <c r="DY175" s="15">
        <v>0</v>
      </c>
      <c r="DZ175" s="15">
        <v>0</v>
      </c>
      <c r="EA175" s="15">
        <v>0</v>
      </c>
      <c r="EB175" s="15">
        <v>0</v>
      </c>
      <c r="EC175" s="15">
        <v>0</v>
      </c>
      <c r="ED175" s="15">
        <v>0</v>
      </c>
      <c r="EE175" s="15">
        <v>0</v>
      </c>
      <c r="EF175" s="15">
        <v>0</v>
      </c>
    </row>
    <row r="176" spans="1:136" ht="15" customHeight="1" x14ac:dyDescent="0.35">
      <c r="A176" s="8" t="s">
        <v>12</v>
      </c>
      <c r="B176" s="8" t="s">
        <v>23</v>
      </c>
      <c r="C176" s="8" t="s">
        <v>23</v>
      </c>
      <c r="D176" s="8" t="s">
        <v>318</v>
      </c>
      <c r="E176" s="8" t="s">
        <v>10</v>
      </c>
      <c r="F176" s="8" t="s">
        <v>84</v>
      </c>
      <c r="G176" s="15">
        <v>0</v>
      </c>
      <c r="H176" s="15">
        <v>10</v>
      </c>
      <c r="I176" s="15">
        <v>0</v>
      </c>
      <c r="J176" s="15">
        <v>10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  <c r="BS176" s="15">
        <v>0</v>
      </c>
      <c r="BT176" s="15">
        <v>0</v>
      </c>
      <c r="BU176" s="15">
        <v>0</v>
      </c>
      <c r="BV176" s="15">
        <v>0</v>
      </c>
      <c r="BW176" s="15">
        <v>0</v>
      </c>
      <c r="BX176" s="15">
        <v>0</v>
      </c>
      <c r="BY176" s="15">
        <v>0</v>
      </c>
      <c r="BZ176" s="15">
        <v>0</v>
      </c>
      <c r="CA176" s="15">
        <v>0</v>
      </c>
      <c r="CB176" s="15">
        <v>0</v>
      </c>
      <c r="CC176" s="15">
        <v>0</v>
      </c>
      <c r="CD176" s="15">
        <v>0</v>
      </c>
      <c r="CE176" s="15">
        <v>0</v>
      </c>
      <c r="CF176" s="15">
        <v>0</v>
      </c>
      <c r="CG176" s="15">
        <v>0</v>
      </c>
      <c r="CH176" s="15">
        <v>0</v>
      </c>
      <c r="CI176" s="15">
        <v>0</v>
      </c>
      <c r="CJ176" s="15">
        <v>0</v>
      </c>
      <c r="CK176" s="15">
        <v>0</v>
      </c>
      <c r="CL176" s="15">
        <v>0</v>
      </c>
      <c r="CM176" s="15">
        <v>0</v>
      </c>
      <c r="CN176" s="15">
        <v>0</v>
      </c>
      <c r="CO176" s="15">
        <v>0</v>
      </c>
      <c r="CP176" s="15">
        <v>0</v>
      </c>
      <c r="CQ176" s="15">
        <v>0</v>
      </c>
      <c r="CR176" s="15">
        <v>0</v>
      </c>
      <c r="CS176" s="15">
        <v>0</v>
      </c>
      <c r="CT176" s="15">
        <v>0</v>
      </c>
      <c r="CU176" s="15">
        <v>0</v>
      </c>
      <c r="CV176" s="15">
        <v>0</v>
      </c>
      <c r="CW176" s="15">
        <v>0</v>
      </c>
      <c r="CX176" s="15">
        <v>0</v>
      </c>
      <c r="CY176" s="15">
        <v>0</v>
      </c>
      <c r="CZ176" s="15">
        <v>0</v>
      </c>
      <c r="DA176" s="15">
        <v>0</v>
      </c>
      <c r="DB176" s="15">
        <v>0</v>
      </c>
      <c r="DC176" s="15">
        <v>0</v>
      </c>
      <c r="DD176" s="15">
        <v>0</v>
      </c>
      <c r="DE176" s="15">
        <v>0</v>
      </c>
      <c r="DF176" s="15">
        <v>0</v>
      </c>
      <c r="DG176" s="15">
        <v>0</v>
      </c>
      <c r="DH176" s="15">
        <v>0</v>
      </c>
      <c r="DI176" s="15">
        <v>0</v>
      </c>
      <c r="DJ176" s="15">
        <v>0</v>
      </c>
      <c r="DK176" s="15">
        <v>0</v>
      </c>
      <c r="DL176" s="15">
        <v>0</v>
      </c>
      <c r="DM176" s="15">
        <v>0</v>
      </c>
      <c r="DN176" s="15">
        <v>0</v>
      </c>
      <c r="DO176" s="15">
        <v>0</v>
      </c>
      <c r="DP176" s="15">
        <v>0</v>
      </c>
      <c r="DQ176" s="15">
        <v>0</v>
      </c>
      <c r="DR176" s="15">
        <v>0</v>
      </c>
      <c r="DS176" s="15">
        <v>0</v>
      </c>
      <c r="DT176" s="15">
        <v>0</v>
      </c>
      <c r="DU176" s="15">
        <v>0</v>
      </c>
      <c r="DV176" s="15">
        <v>0</v>
      </c>
      <c r="DW176" s="15">
        <v>0</v>
      </c>
      <c r="DX176" s="15">
        <v>0</v>
      </c>
      <c r="DY176" s="15">
        <v>0</v>
      </c>
      <c r="DZ176" s="15">
        <v>0</v>
      </c>
      <c r="EA176" s="15">
        <v>0</v>
      </c>
      <c r="EB176" s="15">
        <v>0</v>
      </c>
      <c r="EC176" s="15">
        <v>0</v>
      </c>
      <c r="ED176" s="15">
        <v>0</v>
      </c>
      <c r="EE176" s="15">
        <v>0</v>
      </c>
      <c r="EF176" s="15">
        <v>0</v>
      </c>
    </row>
    <row r="177" spans="1:136" ht="15" customHeight="1" x14ac:dyDescent="0.35">
      <c r="A177" s="8" t="s">
        <v>12</v>
      </c>
      <c r="B177" s="8" t="s">
        <v>23</v>
      </c>
      <c r="C177" s="8" t="s">
        <v>23</v>
      </c>
      <c r="D177" s="8" t="s">
        <v>317</v>
      </c>
      <c r="E177" s="8" t="s">
        <v>10</v>
      </c>
      <c r="F177" s="8" t="s">
        <v>84</v>
      </c>
      <c r="G177" s="15">
        <v>0</v>
      </c>
      <c r="H177" s="15">
        <v>0</v>
      </c>
      <c r="I177" s="15">
        <v>10</v>
      </c>
      <c r="J177" s="15">
        <v>-10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5">
        <v>0</v>
      </c>
      <c r="CH177" s="15">
        <v>0</v>
      </c>
      <c r="CI177" s="15">
        <v>0</v>
      </c>
      <c r="CJ177" s="15">
        <v>0</v>
      </c>
      <c r="CK177" s="15">
        <v>0</v>
      </c>
      <c r="CL177" s="15">
        <v>0</v>
      </c>
      <c r="CM177" s="15">
        <v>0</v>
      </c>
      <c r="CN177" s="15">
        <v>0</v>
      </c>
      <c r="CO177" s="15">
        <v>0</v>
      </c>
      <c r="CP177" s="15">
        <v>0</v>
      </c>
      <c r="CQ177" s="15">
        <v>0</v>
      </c>
      <c r="CR177" s="15">
        <v>0</v>
      </c>
      <c r="CS177" s="15">
        <v>0</v>
      </c>
      <c r="CT177" s="15">
        <v>0</v>
      </c>
      <c r="CU177" s="15">
        <v>0</v>
      </c>
      <c r="CV177" s="15">
        <v>0</v>
      </c>
      <c r="CW177" s="15">
        <v>0</v>
      </c>
      <c r="CX177" s="15">
        <v>0</v>
      </c>
      <c r="CY177" s="15">
        <v>0</v>
      </c>
      <c r="CZ177" s="15">
        <v>5</v>
      </c>
      <c r="DA177" s="15">
        <v>5</v>
      </c>
      <c r="DB177" s="15">
        <v>0</v>
      </c>
      <c r="DC177" s="15">
        <v>0</v>
      </c>
      <c r="DD177" s="15">
        <v>0</v>
      </c>
      <c r="DE177" s="15">
        <v>0</v>
      </c>
      <c r="DF177" s="15">
        <v>0</v>
      </c>
      <c r="DG177" s="15">
        <v>0</v>
      </c>
      <c r="DH177" s="15">
        <v>0</v>
      </c>
      <c r="DI177" s="15">
        <v>0</v>
      </c>
      <c r="DJ177" s="15">
        <v>0</v>
      </c>
      <c r="DK177" s="15">
        <v>0</v>
      </c>
      <c r="DL177" s="15">
        <v>0</v>
      </c>
      <c r="DM177" s="15">
        <v>0</v>
      </c>
      <c r="DN177" s="15">
        <v>0</v>
      </c>
      <c r="DO177" s="15">
        <v>0</v>
      </c>
      <c r="DP177" s="15">
        <v>0</v>
      </c>
      <c r="DQ177" s="15">
        <v>0</v>
      </c>
      <c r="DR177" s="15">
        <v>0</v>
      </c>
      <c r="DS177" s="15">
        <v>0</v>
      </c>
      <c r="DT177" s="15">
        <v>0</v>
      </c>
      <c r="DU177" s="15">
        <v>0</v>
      </c>
      <c r="DV177" s="15">
        <v>0</v>
      </c>
      <c r="DW177" s="15">
        <v>0</v>
      </c>
      <c r="DX177" s="15">
        <v>0</v>
      </c>
      <c r="DY177" s="15">
        <v>0</v>
      </c>
      <c r="DZ177" s="15">
        <v>0</v>
      </c>
      <c r="EA177" s="15">
        <v>0</v>
      </c>
      <c r="EB177" s="15">
        <v>0</v>
      </c>
      <c r="EC177" s="15">
        <v>0</v>
      </c>
      <c r="ED177" s="15">
        <v>0</v>
      </c>
      <c r="EE177" s="15">
        <v>0</v>
      </c>
      <c r="EF177" s="15">
        <v>0</v>
      </c>
    </row>
    <row r="178" spans="1:136" ht="15" customHeight="1" x14ac:dyDescent="0.35">
      <c r="A178" s="8" t="s">
        <v>12</v>
      </c>
      <c r="B178" s="8" t="s">
        <v>23</v>
      </c>
      <c r="C178" s="8" t="s">
        <v>23</v>
      </c>
      <c r="D178" s="8" t="s">
        <v>318</v>
      </c>
      <c r="E178" s="8" t="s">
        <v>10</v>
      </c>
      <c r="F178" s="8" t="s">
        <v>40</v>
      </c>
      <c r="G178" s="15">
        <v>0</v>
      </c>
      <c r="H178" s="15">
        <v>18</v>
      </c>
      <c r="I178" s="15">
        <v>0</v>
      </c>
      <c r="J178" s="15">
        <v>18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0</v>
      </c>
      <c r="BN178" s="15">
        <v>0</v>
      </c>
      <c r="BO178" s="15">
        <v>0</v>
      </c>
      <c r="BP178" s="15">
        <v>0</v>
      </c>
      <c r="BQ178" s="15">
        <v>0</v>
      </c>
      <c r="BR178" s="15">
        <v>0</v>
      </c>
      <c r="BS178" s="15">
        <v>0</v>
      </c>
      <c r="BT178" s="15">
        <v>0</v>
      </c>
      <c r="BU178" s="15">
        <v>0</v>
      </c>
      <c r="BV178" s="15">
        <v>0</v>
      </c>
      <c r="BW178" s="15">
        <v>0</v>
      </c>
      <c r="BX178" s="15">
        <v>0</v>
      </c>
      <c r="BY178" s="15">
        <v>0</v>
      </c>
      <c r="BZ178" s="15">
        <v>0</v>
      </c>
      <c r="CA178" s="15">
        <v>0</v>
      </c>
      <c r="CB178" s="15">
        <v>0</v>
      </c>
      <c r="CC178" s="15">
        <v>0</v>
      </c>
      <c r="CD178" s="15">
        <v>0</v>
      </c>
      <c r="CE178" s="15">
        <v>0</v>
      </c>
      <c r="CF178" s="15">
        <v>0</v>
      </c>
      <c r="CG178" s="15">
        <v>0</v>
      </c>
      <c r="CH178" s="15">
        <v>0</v>
      </c>
      <c r="CI178" s="15">
        <v>0</v>
      </c>
      <c r="CJ178" s="15">
        <v>0</v>
      </c>
      <c r="CK178" s="15">
        <v>0</v>
      </c>
      <c r="CL178" s="15">
        <v>0</v>
      </c>
      <c r="CM178" s="15">
        <v>0</v>
      </c>
      <c r="CN178" s="15">
        <v>0</v>
      </c>
      <c r="CO178" s="15">
        <v>0</v>
      </c>
      <c r="CP178" s="15">
        <v>0</v>
      </c>
      <c r="CQ178" s="15">
        <v>0</v>
      </c>
      <c r="CR178" s="15">
        <v>0</v>
      </c>
      <c r="CS178" s="15">
        <v>0</v>
      </c>
      <c r="CT178" s="15">
        <v>0</v>
      </c>
      <c r="CU178" s="15">
        <v>0</v>
      </c>
      <c r="CV178" s="15">
        <v>0</v>
      </c>
      <c r="CW178" s="15">
        <v>0</v>
      </c>
      <c r="CX178" s="15">
        <v>0</v>
      </c>
      <c r="CY178" s="15">
        <v>0</v>
      </c>
      <c r="CZ178" s="15">
        <v>0</v>
      </c>
      <c r="DA178" s="15">
        <v>0</v>
      </c>
      <c r="DB178" s="15">
        <v>0</v>
      </c>
      <c r="DC178" s="15">
        <v>0</v>
      </c>
      <c r="DD178" s="15">
        <v>0</v>
      </c>
      <c r="DE178" s="15">
        <v>0</v>
      </c>
      <c r="DF178" s="15">
        <v>0</v>
      </c>
      <c r="DG178" s="15">
        <v>0</v>
      </c>
      <c r="DH178" s="15">
        <v>0</v>
      </c>
      <c r="DI178" s="15">
        <v>0</v>
      </c>
      <c r="DJ178" s="15">
        <v>0</v>
      </c>
      <c r="DK178" s="15">
        <v>0</v>
      </c>
      <c r="DL178" s="15">
        <v>0</v>
      </c>
      <c r="DM178" s="15">
        <v>0</v>
      </c>
      <c r="DN178" s="15">
        <v>0</v>
      </c>
      <c r="DO178" s="15">
        <v>0</v>
      </c>
      <c r="DP178" s="15">
        <v>0</v>
      </c>
      <c r="DQ178" s="15">
        <v>0</v>
      </c>
      <c r="DR178" s="15">
        <v>0</v>
      </c>
      <c r="DS178" s="15">
        <v>0</v>
      </c>
      <c r="DT178" s="15">
        <v>0</v>
      </c>
      <c r="DU178" s="15">
        <v>0</v>
      </c>
      <c r="DV178" s="15">
        <v>0</v>
      </c>
      <c r="DW178" s="15">
        <v>0</v>
      </c>
      <c r="DX178" s="15">
        <v>0</v>
      </c>
      <c r="DY178" s="15">
        <v>0</v>
      </c>
      <c r="DZ178" s="15">
        <v>0</v>
      </c>
      <c r="EA178" s="15">
        <v>0</v>
      </c>
      <c r="EB178" s="15">
        <v>0</v>
      </c>
      <c r="EC178" s="15">
        <v>0</v>
      </c>
      <c r="ED178" s="15">
        <v>0</v>
      </c>
      <c r="EE178" s="15">
        <v>0</v>
      </c>
      <c r="EF178" s="15">
        <v>0</v>
      </c>
    </row>
    <row r="179" spans="1:136" ht="15" customHeight="1" x14ac:dyDescent="0.35">
      <c r="A179" s="8" t="s">
        <v>12</v>
      </c>
      <c r="B179" s="8" t="s">
        <v>23</v>
      </c>
      <c r="C179" s="8" t="s">
        <v>23</v>
      </c>
      <c r="D179" s="8" t="s">
        <v>317</v>
      </c>
      <c r="E179" s="8" t="s">
        <v>10</v>
      </c>
      <c r="F179" s="8" t="s">
        <v>40</v>
      </c>
      <c r="G179" s="15">
        <v>0</v>
      </c>
      <c r="H179" s="15">
        <v>0</v>
      </c>
      <c r="I179" s="15">
        <v>18</v>
      </c>
      <c r="J179" s="15">
        <v>-18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5">
        <v>0</v>
      </c>
      <c r="CH179" s="15">
        <v>0</v>
      </c>
      <c r="CI179" s="15">
        <v>0</v>
      </c>
      <c r="CJ179" s="15">
        <v>0</v>
      </c>
      <c r="CK179" s="15">
        <v>0</v>
      </c>
      <c r="CL179" s="15">
        <v>0</v>
      </c>
      <c r="CM179" s="15">
        <v>0</v>
      </c>
      <c r="CN179" s="15">
        <v>0</v>
      </c>
      <c r="CO179" s="15">
        <v>0</v>
      </c>
      <c r="CP179" s="15">
        <v>0</v>
      </c>
      <c r="CQ179" s="15">
        <v>0</v>
      </c>
      <c r="CR179" s="15">
        <v>0</v>
      </c>
      <c r="CS179" s="15">
        <v>0</v>
      </c>
      <c r="CT179" s="15">
        <v>0</v>
      </c>
      <c r="CU179" s="15">
        <v>0</v>
      </c>
      <c r="CV179" s="15">
        <v>0</v>
      </c>
      <c r="CW179" s="15">
        <v>0</v>
      </c>
      <c r="CX179" s="15">
        <v>0</v>
      </c>
      <c r="CY179" s="15">
        <v>0</v>
      </c>
      <c r="CZ179" s="15">
        <v>0</v>
      </c>
      <c r="DA179" s="15">
        <v>0</v>
      </c>
      <c r="DB179" s="15">
        <v>0</v>
      </c>
      <c r="DC179" s="15">
        <v>0</v>
      </c>
      <c r="DD179" s="15">
        <v>0</v>
      </c>
      <c r="DE179" s="15">
        <v>0</v>
      </c>
      <c r="DF179" s="15">
        <v>0</v>
      </c>
      <c r="DG179" s="15">
        <v>0</v>
      </c>
      <c r="DH179" s="15">
        <v>0</v>
      </c>
      <c r="DI179" s="15">
        <v>0</v>
      </c>
      <c r="DJ179" s="15">
        <v>0</v>
      </c>
      <c r="DK179" s="15">
        <v>0</v>
      </c>
      <c r="DL179" s="15">
        <v>0</v>
      </c>
      <c r="DM179" s="15">
        <v>0</v>
      </c>
      <c r="DN179" s="15">
        <v>0</v>
      </c>
      <c r="DO179" s="15">
        <v>0</v>
      </c>
      <c r="DP179" s="15">
        <v>3</v>
      </c>
      <c r="DQ179" s="15">
        <v>5</v>
      </c>
      <c r="DR179" s="15">
        <v>10</v>
      </c>
      <c r="DS179" s="15">
        <v>0</v>
      </c>
      <c r="DT179" s="15">
        <v>0</v>
      </c>
      <c r="DU179" s="15">
        <v>0</v>
      </c>
      <c r="DV179" s="15">
        <v>0</v>
      </c>
      <c r="DW179" s="15">
        <v>0</v>
      </c>
      <c r="DX179" s="15">
        <v>0</v>
      </c>
      <c r="DY179" s="15">
        <v>0</v>
      </c>
      <c r="DZ179" s="15">
        <v>0</v>
      </c>
      <c r="EA179" s="15">
        <v>0</v>
      </c>
      <c r="EB179" s="15">
        <v>0</v>
      </c>
      <c r="EC179" s="15">
        <v>0</v>
      </c>
      <c r="ED179" s="15">
        <v>0</v>
      </c>
      <c r="EE179" s="15">
        <v>0</v>
      </c>
      <c r="EF179" s="15">
        <v>0</v>
      </c>
    </row>
    <row r="180" spans="1:136" ht="15" customHeight="1" x14ac:dyDescent="0.35">
      <c r="A180" s="8" t="s">
        <v>12</v>
      </c>
      <c r="B180" s="8" t="s">
        <v>23</v>
      </c>
      <c r="C180" s="8" t="s">
        <v>23</v>
      </c>
      <c r="D180" s="8" t="s">
        <v>318</v>
      </c>
      <c r="E180" s="8" t="s">
        <v>10</v>
      </c>
      <c r="F180" s="8" t="s">
        <v>85</v>
      </c>
      <c r="G180" s="15">
        <v>1</v>
      </c>
      <c r="H180" s="15">
        <v>1</v>
      </c>
      <c r="I180" s="15">
        <v>1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1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0</v>
      </c>
      <c r="BQ180" s="15">
        <v>0</v>
      </c>
      <c r="BR180" s="15">
        <v>0</v>
      </c>
      <c r="BS180" s="15">
        <v>0</v>
      </c>
      <c r="BT180" s="15">
        <v>0</v>
      </c>
      <c r="BU180" s="15">
        <v>0</v>
      </c>
      <c r="BV180" s="15">
        <v>0</v>
      </c>
      <c r="BW180" s="15">
        <v>0</v>
      </c>
      <c r="BX180" s="15">
        <v>0</v>
      </c>
      <c r="BY180" s="15">
        <v>0</v>
      </c>
      <c r="BZ180" s="15">
        <v>0</v>
      </c>
      <c r="CA180" s="15">
        <v>0</v>
      </c>
      <c r="CB180" s="15">
        <v>0</v>
      </c>
      <c r="CC180" s="15">
        <v>0</v>
      </c>
      <c r="CD180" s="15">
        <v>0</v>
      </c>
      <c r="CE180" s="15">
        <v>0</v>
      </c>
      <c r="CF180" s="15">
        <v>0</v>
      </c>
      <c r="CG180" s="15">
        <v>0</v>
      </c>
      <c r="CH180" s="15">
        <v>0</v>
      </c>
      <c r="CI180" s="15">
        <v>0</v>
      </c>
      <c r="CJ180" s="15">
        <v>0</v>
      </c>
      <c r="CK180" s="15">
        <v>0</v>
      </c>
      <c r="CL180" s="15">
        <v>0</v>
      </c>
      <c r="CM180" s="15">
        <v>0</v>
      </c>
      <c r="CN180" s="15">
        <v>0</v>
      </c>
      <c r="CO180" s="15">
        <v>0</v>
      </c>
      <c r="CP180" s="15">
        <v>0</v>
      </c>
      <c r="CQ180" s="15">
        <v>0</v>
      </c>
      <c r="CR180" s="15">
        <v>0</v>
      </c>
      <c r="CS180" s="15">
        <v>0</v>
      </c>
      <c r="CT180" s="15">
        <v>0</v>
      </c>
      <c r="CU180" s="15">
        <v>0</v>
      </c>
      <c r="CV180" s="15">
        <v>0</v>
      </c>
      <c r="CW180" s="15">
        <v>0</v>
      </c>
      <c r="CX180" s="15">
        <v>0</v>
      </c>
      <c r="CY180" s="15">
        <v>0</v>
      </c>
      <c r="CZ180" s="15">
        <v>0</v>
      </c>
      <c r="DA180" s="15">
        <v>0</v>
      </c>
      <c r="DB180" s="15">
        <v>0</v>
      </c>
      <c r="DC180" s="15">
        <v>0</v>
      </c>
      <c r="DD180" s="15">
        <v>0</v>
      </c>
      <c r="DE180" s="15">
        <v>0</v>
      </c>
      <c r="DF180" s="15">
        <v>0</v>
      </c>
      <c r="DG180" s="15">
        <v>0</v>
      </c>
      <c r="DH180" s="15">
        <v>0</v>
      </c>
      <c r="DI180" s="15">
        <v>0</v>
      </c>
      <c r="DJ180" s="15">
        <v>0</v>
      </c>
      <c r="DK180" s="15">
        <v>0</v>
      </c>
      <c r="DL180" s="15">
        <v>0</v>
      </c>
      <c r="DM180" s="15">
        <v>0</v>
      </c>
      <c r="DN180" s="15">
        <v>0</v>
      </c>
      <c r="DO180" s="15">
        <v>0</v>
      </c>
      <c r="DP180" s="15">
        <v>0</v>
      </c>
      <c r="DQ180" s="15">
        <v>0</v>
      </c>
      <c r="DR180" s="15">
        <v>0</v>
      </c>
      <c r="DS180" s="15">
        <v>0</v>
      </c>
      <c r="DT180" s="15">
        <v>0</v>
      </c>
      <c r="DU180" s="15">
        <v>0</v>
      </c>
      <c r="DV180" s="15">
        <v>0</v>
      </c>
      <c r="DW180" s="15">
        <v>0</v>
      </c>
      <c r="DX180" s="15">
        <v>0</v>
      </c>
      <c r="DY180" s="15">
        <v>0</v>
      </c>
      <c r="DZ180" s="15">
        <v>0</v>
      </c>
      <c r="EA180" s="15">
        <v>0</v>
      </c>
      <c r="EB180" s="15">
        <v>0</v>
      </c>
      <c r="EC180" s="15">
        <v>0</v>
      </c>
      <c r="ED180" s="15">
        <v>0</v>
      </c>
      <c r="EE180" s="15">
        <v>0</v>
      </c>
      <c r="EF180" s="15">
        <v>0</v>
      </c>
    </row>
    <row r="181" spans="1:136" ht="15" customHeight="1" x14ac:dyDescent="0.35">
      <c r="A181" s="8" t="s">
        <v>12</v>
      </c>
      <c r="B181" s="8" t="s">
        <v>23</v>
      </c>
      <c r="C181" s="8" t="s">
        <v>23</v>
      </c>
      <c r="D181" s="8" t="s">
        <v>317</v>
      </c>
      <c r="E181" s="8" t="s">
        <v>10</v>
      </c>
      <c r="F181" s="8" t="s">
        <v>85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5">
        <v>0</v>
      </c>
      <c r="CH181" s="15">
        <v>0</v>
      </c>
      <c r="CI181" s="15">
        <v>0</v>
      </c>
      <c r="CJ181" s="15">
        <v>0</v>
      </c>
      <c r="CK181" s="15">
        <v>0</v>
      </c>
      <c r="CL181" s="15">
        <v>0</v>
      </c>
      <c r="CM181" s="15">
        <v>0</v>
      </c>
      <c r="CN181" s="15">
        <v>0</v>
      </c>
      <c r="CO181" s="15">
        <v>0</v>
      </c>
      <c r="CP181" s="15">
        <v>0</v>
      </c>
      <c r="CQ181" s="15">
        <v>0</v>
      </c>
      <c r="CR181" s="15">
        <v>0</v>
      </c>
      <c r="CS181" s="15">
        <v>0</v>
      </c>
      <c r="CT181" s="15">
        <v>0</v>
      </c>
      <c r="CU181" s="15">
        <v>0</v>
      </c>
      <c r="CV181" s="15">
        <v>0</v>
      </c>
      <c r="CW181" s="15">
        <v>0</v>
      </c>
      <c r="CX181" s="15">
        <v>0</v>
      </c>
      <c r="CY181" s="15">
        <v>0</v>
      </c>
      <c r="CZ181" s="15">
        <v>0</v>
      </c>
      <c r="DA181" s="15">
        <v>0</v>
      </c>
      <c r="DB181" s="15">
        <v>0</v>
      </c>
      <c r="DC181" s="15">
        <v>0</v>
      </c>
      <c r="DD181" s="15">
        <v>0</v>
      </c>
      <c r="DE181" s="15">
        <v>0</v>
      </c>
      <c r="DF181" s="15">
        <v>0</v>
      </c>
      <c r="DG181" s="15">
        <v>0</v>
      </c>
      <c r="DH181" s="15">
        <v>0</v>
      </c>
      <c r="DI181" s="15">
        <v>0</v>
      </c>
      <c r="DJ181" s="15">
        <v>0</v>
      </c>
      <c r="DK181" s="15">
        <v>0</v>
      </c>
      <c r="DL181" s="15">
        <v>0</v>
      </c>
      <c r="DM181" s="15">
        <v>0</v>
      </c>
      <c r="DN181" s="15">
        <v>0</v>
      </c>
      <c r="DO181" s="15">
        <v>0</v>
      </c>
      <c r="DP181" s="15">
        <v>0</v>
      </c>
      <c r="DQ181" s="15">
        <v>0</v>
      </c>
      <c r="DR181" s="15">
        <v>0</v>
      </c>
      <c r="DS181" s="15">
        <v>0</v>
      </c>
      <c r="DT181" s="15">
        <v>0</v>
      </c>
      <c r="DU181" s="15">
        <v>0</v>
      </c>
      <c r="DV181" s="15">
        <v>0</v>
      </c>
      <c r="DW181" s="15">
        <v>0</v>
      </c>
      <c r="DX181" s="15">
        <v>0</v>
      </c>
      <c r="DY181" s="15">
        <v>0</v>
      </c>
      <c r="DZ181" s="15">
        <v>0</v>
      </c>
      <c r="EA181" s="15">
        <v>0</v>
      </c>
      <c r="EB181" s="15">
        <v>0</v>
      </c>
      <c r="EC181" s="15">
        <v>0</v>
      </c>
      <c r="ED181" s="15">
        <v>0</v>
      </c>
      <c r="EE181" s="15">
        <v>0</v>
      </c>
      <c r="EF181" s="15">
        <v>0</v>
      </c>
    </row>
    <row r="182" spans="1:136" ht="15" customHeight="1" x14ac:dyDescent="0.35">
      <c r="A182" s="8" t="s">
        <v>12</v>
      </c>
      <c r="B182" s="8" t="s">
        <v>23</v>
      </c>
      <c r="C182" s="8" t="s">
        <v>23</v>
      </c>
      <c r="D182" s="8" t="s">
        <v>318</v>
      </c>
      <c r="E182" s="8" t="s">
        <v>10</v>
      </c>
      <c r="F182" s="8" t="s">
        <v>103</v>
      </c>
      <c r="G182" s="15">
        <v>0</v>
      </c>
      <c r="H182" s="15">
        <v>0</v>
      </c>
      <c r="I182" s="15">
        <v>2.5</v>
      </c>
      <c r="J182" s="15">
        <v>-2.5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2.5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0</v>
      </c>
      <c r="BP182" s="15">
        <v>0</v>
      </c>
      <c r="BQ182" s="15">
        <v>0</v>
      </c>
      <c r="BR182" s="15">
        <v>0</v>
      </c>
      <c r="BS182" s="15">
        <v>0</v>
      </c>
      <c r="BT182" s="15">
        <v>0</v>
      </c>
      <c r="BU182" s="15">
        <v>0</v>
      </c>
      <c r="BV182" s="15">
        <v>0</v>
      </c>
      <c r="BW182" s="15">
        <v>0</v>
      </c>
      <c r="BX182" s="15">
        <v>0</v>
      </c>
      <c r="BY182" s="15">
        <v>0</v>
      </c>
      <c r="BZ182" s="15">
        <v>0</v>
      </c>
      <c r="CA182" s="15">
        <v>0</v>
      </c>
      <c r="CB182" s="15">
        <v>0</v>
      </c>
      <c r="CC182" s="15">
        <v>0</v>
      </c>
      <c r="CD182" s="15">
        <v>0</v>
      </c>
      <c r="CE182" s="15">
        <v>0</v>
      </c>
      <c r="CF182" s="15">
        <v>0</v>
      </c>
      <c r="CG182" s="15">
        <v>0</v>
      </c>
      <c r="CH182" s="15">
        <v>0</v>
      </c>
      <c r="CI182" s="15">
        <v>0</v>
      </c>
      <c r="CJ182" s="15">
        <v>0</v>
      </c>
      <c r="CK182" s="15">
        <v>0</v>
      </c>
      <c r="CL182" s="15">
        <v>0</v>
      </c>
      <c r="CM182" s="15">
        <v>0</v>
      </c>
      <c r="CN182" s="15">
        <v>0</v>
      </c>
      <c r="CO182" s="15">
        <v>0</v>
      </c>
      <c r="CP182" s="15">
        <v>0</v>
      </c>
      <c r="CQ182" s="15">
        <v>0</v>
      </c>
      <c r="CR182" s="15">
        <v>0</v>
      </c>
      <c r="CS182" s="15">
        <v>0</v>
      </c>
      <c r="CT182" s="15">
        <v>0</v>
      </c>
      <c r="CU182" s="15">
        <v>0</v>
      </c>
      <c r="CV182" s="15">
        <v>0</v>
      </c>
      <c r="CW182" s="15">
        <v>0</v>
      </c>
      <c r="CX182" s="15">
        <v>0</v>
      </c>
      <c r="CY182" s="15">
        <v>0</v>
      </c>
      <c r="CZ182" s="15">
        <v>0</v>
      </c>
      <c r="DA182" s="15">
        <v>0</v>
      </c>
      <c r="DB182" s="15">
        <v>0</v>
      </c>
      <c r="DC182" s="15">
        <v>0</v>
      </c>
      <c r="DD182" s="15">
        <v>0</v>
      </c>
      <c r="DE182" s="15">
        <v>0</v>
      </c>
      <c r="DF182" s="15">
        <v>0</v>
      </c>
      <c r="DG182" s="15">
        <v>0</v>
      </c>
      <c r="DH182" s="15">
        <v>0</v>
      </c>
      <c r="DI182" s="15">
        <v>0</v>
      </c>
      <c r="DJ182" s="15">
        <v>0</v>
      </c>
      <c r="DK182" s="15">
        <v>0</v>
      </c>
      <c r="DL182" s="15">
        <v>0</v>
      </c>
      <c r="DM182" s="15">
        <v>0</v>
      </c>
      <c r="DN182" s="15">
        <v>0</v>
      </c>
      <c r="DO182" s="15">
        <v>0</v>
      </c>
      <c r="DP182" s="15">
        <v>0</v>
      </c>
      <c r="DQ182" s="15">
        <v>0</v>
      </c>
      <c r="DR182" s="15">
        <v>0</v>
      </c>
      <c r="DS182" s="15">
        <v>0</v>
      </c>
      <c r="DT182" s="15">
        <v>0</v>
      </c>
      <c r="DU182" s="15">
        <v>0</v>
      </c>
      <c r="DV182" s="15">
        <v>0</v>
      </c>
      <c r="DW182" s="15">
        <v>0</v>
      </c>
      <c r="DX182" s="15">
        <v>0</v>
      </c>
      <c r="DY182" s="15">
        <v>0</v>
      </c>
      <c r="DZ182" s="15">
        <v>0</v>
      </c>
      <c r="EA182" s="15">
        <v>0</v>
      </c>
      <c r="EB182" s="15">
        <v>0</v>
      </c>
      <c r="EC182" s="15">
        <v>0</v>
      </c>
      <c r="ED182" s="15">
        <v>0</v>
      </c>
      <c r="EE182" s="15">
        <v>0</v>
      </c>
      <c r="EF182" s="15">
        <v>0</v>
      </c>
    </row>
    <row r="183" spans="1:136" ht="15" customHeight="1" x14ac:dyDescent="0.35">
      <c r="A183" s="8" t="s">
        <v>12</v>
      </c>
      <c r="B183" s="8" t="s">
        <v>23</v>
      </c>
      <c r="C183" s="8" t="s">
        <v>23</v>
      </c>
      <c r="D183" s="8" t="s">
        <v>318</v>
      </c>
      <c r="E183" s="8" t="s">
        <v>10</v>
      </c>
      <c r="F183" s="8" t="s">
        <v>103</v>
      </c>
      <c r="G183" s="15">
        <v>101</v>
      </c>
      <c r="H183" s="15">
        <v>401</v>
      </c>
      <c r="I183" s="15">
        <v>69</v>
      </c>
      <c r="J183" s="15">
        <v>332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5</v>
      </c>
      <c r="AD183" s="15">
        <v>12</v>
      </c>
      <c r="AE183" s="15">
        <v>5</v>
      </c>
      <c r="AF183" s="15">
        <v>10</v>
      </c>
      <c r="AG183" s="15">
        <v>14</v>
      </c>
      <c r="AH183" s="15">
        <v>19</v>
      </c>
      <c r="AI183" s="15">
        <v>2</v>
      </c>
      <c r="AJ183" s="15">
        <v>2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5">
        <v>0</v>
      </c>
      <c r="CH183" s="15">
        <v>0</v>
      </c>
      <c r="CI183" s="15">
        <v>0</v>
      </c>
      <c r="CJ183" s="15">
        <v>0</v>
      </c>
      <c r="CK183" s="15">
        <v>0</v>
      </c>
      <c r="CL183" s="15">
        <v>0</v>
      </c>
      <c r="CM183" s="15">
        <v>0</v>
      </c>
      <c r="CN183" s="15">
        <v>0</v>
      </c>
      <c r="CO183" s="15">
        <v>0</v>
      </c>
      <c r="CP183" s="15">
        <v>0</v>
      </c>
      <c r="CQ183" s="15">
        <v>0</v>
      </c>
      <c r="CR183" s="15">
        <v>0</v>
      </c>
      <c r="CS183" s="15">
        <v>0</v>
      </c>
      <c r="CT183" s="15">
        <v>0</v>
      </c>
      <c r="CU183" s="15">
        <v>0</v>
      </c>
      <c r="CV183" s="15">
        <v>0</v>
      </c>
      <c r="CW183" s="15">
        <v>0</v>
      </c>
      <c r="CX183" s="15">
        <v>0</v>
      </c>
      <c r="CY183" s="15">
        <v>0</v>
      </c>
      <c r="CZ183" s="15">
        <v>0</v>
      </c>
      <c r="DA183" s="15">
        <v>0</v>
      </c>
      <c r="DB183" s="15">
        <v>0</v>
      </c>
      <c r="DC183" s="15">
        <v>0</v>
      </c>
      <c r="DD183" s="15">
        <v>0</v>
      </c>
      <c r="DE183" s="15">
        <v>0</v>
      </c>
      <c r="DF183" s="15">
        <v>0</v>
      </c>
      <c r="DG183" s="15">
        <v>0</v>
      </c>
      <c r="DH183" s="15">
        <v>0</v>
      </c>
      <c r="DI183" s="15">
        <v>0</v>
      </c>
      <c r="DJ183" s="15">
        <v>0</v>
      </c>
      <c r="DK183" s="15">
        <v>0</v>
      </c>
      <c r="DL183" s="15">
        <v>0</v>
      </c>
      <c r="DM183" s="15">
        <v>0</v>
      </c>
      <c r="DN183" s="15">
        <v>0</v>
      </c>
      <c r="DO183" s="15">
        <v>0</v>
      </c>
      <c r="DP183" s="15">
        <v>0</v>
      </c>
      <c r="DQ183" s="15">
        <v>0</v>
      </c>
      <c r="DR183" s="15">
        <v>0</v>
      </c>
      <c r="DS183" s="15">
        <v>0</v>
      </c>
      <c r="DT183" s="15">
        <v>0</v>
      </c>
      <c r="DU183" s="15">
        <v>0</v>
      </c>
      <c r="DV183" s="15">
        <v>0</v>
      </c>
      <c r="DW183" s="15">
        <v>0</v>
      </c>
      <c r="DX183" s="15">
        <v>0</v>
      </c>
      <c r="DY183" s="15">
        <v>0</v>
      </c>
      <c r="DZ183" s="15">
        <v>0</v>
      </c>
      <c r="EA183" s="15">
        <v>0</v>
      </c>
      <c r="EB183" s="15">
        <v>0</v>
      </c>
      <c r="EC183" s="15">
        <v>0</v>
      </c>
      <c r="ED183" s="15">
        <v>0</v>
      </c>
      <c r="EE183" s="15">
        <v>0</v>
      </c>
      <c r="EF183" s="15">
        <v>0</v>
      </c>
    </row>
    <row r="184" spans="1:136" ht="15" customHeight="1" x14ac:dyDescent="0.35">
      <c r="A184" s="8" t="s">
        <v>12</v>
      </c>
      <c r="B184" s="8" t="s">
        <v>23</v>
      </c>
      <c r="C184" s="8" t="s">
        <v>23</v>
      </c>
      <c r="D184" s="8" t="s">
        <v>317</v>
      </c>
      <c r="E184" s="8" t="s">
        <v>10</v>
      </c>
      <c r="F184" s="8" t="s">
        <v>103</v>
      </c>
      <c r="G184" s="15">
        <v>0</v>
      </c>
      <c r="H184" s="15">
        <v>0</v>
      </c>
      <c r="I184" s="15">
        <v>304</v>
      </c>
      <c r="J184" s="15">
        <v>-304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3</v>
      </c>
      <c r="AN184" s="15">
        <v>1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0</v>
      </c>
      <c r="BN184" s="15">
        <v>0</v>
      </c>
      <c r="BO184" s="15">
        <v>0</v>
      </c>
      <c r="BP184" s="15">
        <v>0</v>
      </c>
      <c r="BQ184" s="15">
        <v>0</v>
      </c>
      <c r="BR184" s="15">
        <v>0</v>
      </c>
      <c r="BS184" s="15">
        <v>0</v>
      </c>
      <c r="BT184" s="15">
        <v>0</v>
      </c>
      <c r="BU184" s="15">
        <v>0</v>
      </c>
      <c r="BV184" s="15">
        <v>0</v>
      </c>
      <c r="BW184" s="15">
        <v>0</v>
      </c>
      <c r="BX184" s="15">
        <v>0</v>
      </c>
      <c r="BY184" s="15">
        <v>0</v>
      </c>
      <c r="BZ184" s="15">
        <v>0</v>
      </c>
      <c r="CA184" s="15">
        <v>0</v>
      </c>
      <c r="CB184" s="15">
        <v>0</v>
      </c>
      <c r="CC184" s="15">
        <v>0</v>
      </c>
      <c r="CD184" s="15">
        <v>0</v>
      </c>
      <c r="CE184" s="15">
        <v>0</v>
      </c>
      <c r="CF184" s="15">
        <v>0</v>
      </c>
      <c r="CG184" s="15">
        <v>0</v>
      </c>
      <c r="CH184" s="15">
        <v>0</v>
      </c>
      <c r="CI184" s="15">
        <v>0</v>
      </c>
      <c r="CJ184" s="15">
        <v>0</v>
      </c>
      <c r="CK184" s="15">
        <v>0</v>
      </c>
      <c r="CL184" s="15">
        <v>0</v>
      </c>
      <c r="CM184" s="15">
        <v>0</v>
      </c>
      <c r="CN184" s="15">
        <v>0</v>
      </c>
      <c r="CO184" s="15">
        <v>0</v>
      </c>
      <c r="CP184" s="15">
        <v>0</v>
      </c>
      <c r="CQ184" s="15">
        <v>0</v>
      </c>
      <c r="CR184" s="15">
        <v>0</v>
      </c>
      <c r="CS184" s="15">
        <v>0</v>
      </c>
      <c r="CT184" s="15">
        <v>0</v>
      </c>
      <c r="CU184" s="15">
        <v>0</v>
      </c>
      <c r="CV184" s="15">
        <v>0</v>
      </c>
      <c r="CW184" s="15">
        <v>0</v>
      </c>
      <c r="CX184" s="15">
        <v>0</v>
      </c>
      <c r="CY184" s="15">
        <v>15</v>
      </c>
      <c r="CZ184" s="15">
        <v>15</v>
      </c>
      <c r="DA184" s="15">
        <v>20</v>
      </c>
      <c r="DB184" s="15">
        <v>0</v>
      </c>
      <c r="DC184" s="15">
        <v>5</v>
      </c>
      <c r="DD184" s="15">
        <v>15</v>
      </c>
      <c r="DE184" s="15">
        <v>0</v>
      </c>
      <c r="DF184" s="15">
        <v>0</v>
      </c>
      <c r="DG184" s="15">
        <v>0</v>
      </c>
      <c r="DH184" s="15">
        <v>0</v>
      </c>
      <c r="DI184" s="15">
        <v>0</v>
      </c>
      <c r="DJ184" s="15">
        <v>0</v>
      </c>
      <c r="DK184" s="15">
        <v>25</v>
      </c>
      <c r="DL184" s="15">
        <v>25</v>
      </c>
      <c r="DM184" s="15">
        <v>35</v>
      </c>
      <c r="DN184" s="15">
        <v>40</v>
      </c>
      <c r="DO184" s="15">
        <v>35</v>
      </c>
      <c r="DP184" s="15">
        <v>45</v>
      </c>
      <c r="DQ184" s="15">
        <v>25</v>
      </c>
      <c r="DR184" s="15">
        <v>0</v>
      </c>
      <c r="DS184" s="15">
        <v>0</v>
      </c>
      <c r="DT184" s="15">
        <v>0</v>
      </c>
      <c r="DU184" s="15">
        <v>0</v>
      </c>
      <c r="DV184" s="15">
        <v>0</v>
      </c>
      <c r="DW184" s="15">
        <v>0</v>
      </c>
      <c r="DX184" s="15">
        <v>0</v>
      </c>
      <c r="DY184" s="15">
        <v>0</v>
      </c>
      <c r="DZ184" s="15">
        <v>0</v>
      </c>
      <c r="EA184" s="15">
        <v>0</v>
      </c>
      <c r="EB184" s="15">
        <v>0</v>
      </c>
      <c r="EC184" s="15">
        <v>0</v>
      </c>
      <c r="ED184" s="15">
        <v>0</v>
      </c>
      <c r="EE184" s="15">
        <v>0</v>
      </c>
      <c r="EF184" s="15">
        <v>0</v>
      </c>
    </row>
    <row r="185" spans="1:136" ht="15" customHeight="1" x14ac:dyDescent="0.35">
      <c r="A185" s="8" t="s">
        <v>12</v>
      </c>
      <c r="B185" s="8" t="s">
        <v>23</v>
      </c>
      <c r="C185" s="8" t="s">
        <v>23</v>
      </c>
      <c r="D185" s="8" t="s">
        <v>318</v>
      </c>
      <c r="E185" s="8" t="s">
        <v>10</v>
      </c>
      <c r="F185" s="8" t="s">
        <v>86</v>
      </c>
      <c r="G185" s="15">
        <v>0</v>
      </c>
      <c r="H185" s="15">
        <v>0</v>
      </c>
      <c r="I185" s="15">
        <v>32</v>
      </c>
      <c r="J185" s="15">
        <v>-32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3</v>
      </c>
      <c r="Z185" s="15">
        <v>13</v>
      </c>
      <c r="AA185" s="15">
        <v>16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5">
        <v>0</v>
      </c>
      <c r="CH185" s="15">
        <v>0</v>
      </c>
      <c r="CI185" s="15">
        <v>0</v>
      </c>
      <c r="CJ185" s="15">
        <v>0</v>
      </c>
      <c r="CK185" s="15">
        <v>0</v>
      </c>
      <c r="CL185" s="15">
        <v>0</v>
      </c>
      <c r="CM185" s="15">
        <v>0</v>
      </c>
      <c r="CN185" s="15">
        <v>0</v>
      </c>
      <c r="CO185" s="15">
        <v>0</v>
      </c>
      <c r="CP185" s="15">
        <v>0</v>
      </c>
      <c r="CQ185" s="15">
        <v>0</v>
      </c>
      <c r="CR185" s="15">
        <v>0</v>
      </c>
      <c r="CS185" s="15">
        <v>0</v>
      </c>
      <c r="CT185" s="15">
        <v>0</v>
      </c>
      <c r="CU185" s="15">
        <v>0</v>
      </c>
      <c r="CV185" s="15">
        <v>0</v>
      </c>
      <c r="CW185" s="15">
        <v>0</v>
      </c>
      <c r="CX185" s="15">
        <v>0</v>
      </c>
      <c r="CY185" s="15">
        <v>0</v>
      </c>
      <c r="CZ185" s="15">
        <v>0</v>
      </c>
      <c r="DA185" s="15">
        <v>0</v>
      </c>
      <c r="DB185" s="15">
        <v>0</v>
      </c>
      <c r="DC185" s="15">
        <v>0</v>
      </c>
      <c r="DD185" s="15">
        <v>0</v>
      </c>
      <c r="DE185" s="15">
        <v>0</v>
      </c>
      <c r="DF185" s="15">
        <v>0</v>
      </c>
      <c r="DG185" s="15">
        <v>0</v>
      </c>
      <c r="DH185" s="15">
        <v>0</v>
      </c>
      <c r="DI185" s="15">
        <v>0</v>
      </c>
      <c r="DJ185" s="15">
        <v>0</v>
      </c>
      <c r="DK185" s="15">
        <v>0</v>
      </c>
      <c r="DL185" s="15">
        <v>0</v>
      </c>
      <c r="DM185" s="15">
        <v>0</v>
      </c>
      <c r="DN185" s="15">
        <v>0</v>
      </c>
      <c r="DO185" s="15">
        <v>0</v>
      </c>
      <c r="DP185" s="15">
        <v>0</v>
      </c>
      <c r="DQ185" s="15">
        <v>0</v>
      </c>
      <c r="DR185" s="15">
        <v>0</v>
      </c>
      <c r="DS185" s="15">
        <v>0</v>
      </c>
      <c r="DT185" s="15">
        <v>0</v>
      </c>
      <c r="DU185" s="15">
        <v>0</v>
      </c>
      <c r="DV185" s="15">
        <v>0</v>
      </c>
      <c r="DW185" s="15">
        <v>0</v>
      </c>
      <c r="DX185" s="15">
        <v>0</v>
      </c>
      <c r="DY185" s="15">
        <v>0</v>
      </c>
      <c r="DZ185" s="15">
        <v>0</v>
      </c>
      <c r="EA185" s="15">
        <v>0</v>
      </c>
      <c r="EB185" s="15">
        <v>0</v>
      </c>
      <c r="EC185" s="15">
        <v>0</v>
      </c>
      <c r="ED185" s="15">
        <v>0</v>
      </c>
      <c r="EE185" s="15">
        <v>0</v>
      </c>
      <c r="EF185" s="15">
        <v>0</v>
      </c>
    </row>
    <row r="186" spans="1:136" ht="15" customHeight="1" x14ac:dyDescent="0.35">
      <c r="A186" s="8" t="s">
        <v>12</v>
      </c>
      <c r="B186" s="8" t="s">
        <v>23</v>
      </c>
      <c r="C186" s="8" t="s">
        <v>23</v>
      </c>
      <c r="D186" s="8" t="s">
        <v>318</v>
      </c>
      <c r="E186" s="8" t="s">
        <v>10</v>
      </c>
      <c r="F186" s="8" t="s">
        <v>106</v>
      </c>
      <c r="G186" s="15">
        <v>0</v>
      </c>
      <c r="H186" s="15">
        <v>0</v>
      </c>
      <c r="I186" s="15">
        <v>7</v>
      </c>
      <c r="J186" s="15">
        <v>-7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1</v>
      </c>
      <c r="AA186" s="15">
        <v>6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5">
        <v>0</v>
      </c>
      <c r="BM186" s="15">
        <v>0</v>
      </c>
      <c r="BN186" s="15">
        <v>0</v>
      </c>
      <c r="BO186" s="15">
        <v>0</v>
      </c>
      <c r="BP186" s="15">
        <v>0</v>
      </c>
      <c r="BQ186" s="15">
        <v>0</v>
      </c>
      <c r="BR186" s="15">
        <v>0</v>
      </c>
      <c r="BS186" s="15">
        <v>0</v>
      </c>
      <c r="BT186" s="15">
        <v>0</v>
      </c>
      <c r="BU186" s="15">
        <v>0</v>
      </c>
      <c r="BV186" s="15">
        <v>0</v>
      </c>
      <c r="BW186" s="15">
        <v>0</v>
      </c>
      <c r="BX186" s="15">
        <v>0</v>
      </c>
      <c r="BY186" s="15">
        <v>0</v>
      </c>
      <c r="BZ186" s="15">
        <v>0</v>
      </c>
      <c r="CA186" s="15">
        <v>0</v>
      </c>
      <c r="CB186" s="15">
        <v>0</v>
      </c>
      <c r="CC186" s="15">
        <v>0</v>
      </c>
      <c r="CD186" s="15">
        <v>0</v>
      </c>
      <c r="CE186" s="15">
        <v>0</v>
      </c>
      <c r="CF186" s="15">
        <v>0</v>
      </c>
      <c r="CG186" s="15">
        <v>0</v>
      </c>
      <c r="CH186" s="15">
        <v>0</v>
      </c>
      <c r="CI186" s="15">
        <v>0</v>
      </c>
      <c r="CJ186" s="15">
        <v>0</v>
      </c>
      <c r="CK186" s="15">
        <v>0</v>
      </c>
      <c r="CL186" s="15">
        <v>0</v>
      </c>
      <c r="CM186" s="15">
        <v>0</v>
      </c>
      <c r="CN186" s="15">
        <v>0</v>
      </c>
      <c r="CO186" s="15">
        <v>0</v>
      </c>
      <c r="CP186" s="15">
        <v>0</v>
      </c>
      <c r="CQ186" s="15">
        <v>0</v>
      </c>
      <c r="CR186" s="15">
        <v>0</v>
      </c>
      <c r="CS186" s="15">
        <v>0</v>
      </c>
      <c r="CT186" s="15">
        <v>0</v>
      </c>
      <c r="CU186" s="15">
        <v>0</v>
      </c>
      <c r="CV186" s="15">
        <v>0</v>
      </c>
      <c r="CW186" s="15">
        <v>0</v>
      </c>
      <c r="CX186" s="15">
        <v>0</v>
      </c>
      <c r="CY186" s="15">
        <v>0</v>
      </c>
      <c r="CZ186" s="15">
        <v>0</v>
      </c>
      <c r="DA186" s="15">
        <v>0</v>
      </c>
      <c r="DB186" s="15">
        <v>0</v>
      </c>
      <c r="DC186" s="15">
        <v>0</v>
      </c>
      <c r="DD186" s="15">
        <v>0</v>
      </c>
      <c r="DE186" s="15">
        <v>0</v>
      </c>
      <c r="DF186" s="15">
        <v>0</v>
      </c>
      <c r="DG186" s="15">
        <v>0</v>
      </c>
      <c r="DH186" s="15">
        <v>0</v>
      </c>
      <c r="DI186" s="15">
        <v>0</v>
      </c>
      <c r="DJ186" s="15">
        <v>0</v>
      </c>
      <c r="DK186" s="15">
        <v>0</v>
      </c>
      <c r="DL186" s="15">
        <v>0</v>
      </c>
      <c r="DM186" s="15">
        <v>0</v>
      </c>
      <c r="DN186" s="15">
        <v>0</v>
      </c>
      <c r="DO186" s="15">
        <v>0</v>
      </c>
      <c r="DP186" s="15">
        <v>0</v>
      </c>
      <c r="DQ186" s="15">
        <v>0</v>
      </c>
      <c r="DR186" s="15">
        <v>0</v>
      </c>
      <c r="DS186" s="15">
        <v>0</v>
      </c>
      <c r="DT186" s="15">
        <v>0</v>
      </c>
      <c r="DU186" s="15">
        <v>0</v>
      </c>
      <c r="DV186" s="15">
        <v>0</v>
      </c>
      <c r="DW186" s="15">
        <v>0</v>
      </c>
      <c r="DX186" s="15">
        <v>0</v>
      </c>
      <c r="DY186" s="15">
        <v>0</v>
      </c>
      <c r="DZ186" s="15">
        <v>0</v>
      </c>
      <c r="EA186" s="15">
        <v>0</v>
      </c>
      <c r="EB186" s="15">
        <v>0</v>
      </c>
      <c r="EC186" s="15">
        <v>0</v>
      </c>
      <c r="ED186" s="15">
        <v>0</v>
      </c>
      <c r="EE186" s="15">
        <v>0</v>
      </c>
      <c r="EF186" s="15">
        <v>0</v>
      </c>
    </row>
    <row r="187" spans="1:136" ht="15" customHeight="1" x14ac:dyDescent="0.35">
      <c r="A187" s="8" t="s">
        <v>12</v>
      </c>
      <c r="B187" s="8" t="s">
        <v>23</v>
      </c>
      <c r="C187" s="8" t="s">
        <v>23</v>
      </c>
      <c r="D187" s="8" t="s">
        <v>318</v>
      </c>
      <c r="E187" s="8" t="s">
        <v>10</v>
      </c>
      <c r="F187" s="8" t="s">
        <v>106</v>
      </c>
      <c r="G187" s="15">
        <v>126</v>
      </c>
      <c r="H187" s="15">
        <v>230</v>
      </c>
      <c r="I187" s="15">
        <v>31.5</v>
      </c>
      <c r="J187" s="15">
        <v>198.5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4</v>
      </c>
      <c r="AE187" s="15">
        <v>3</v>
      </c>
      <c r="AF187" s="15">
        <v>4</v>
      </c>
      <c r="AG187" s="15">
        <v>9</v>
      </c>
      <c r="AH187" s="15">
        <v>2.5</v>
      </c>
      <c r="AI187" s="15">
        <v>5</v>
      </c>
      <c r="AJ187" s="15">
        <v>4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5">
        <v>0</v>
      </c>
      <c r="CH187" s="15">
        <v>0</v>
      </c>
      <c r="CI187" s="15">
        <v>0</v>
      </c>
      <c r="CJ187" s="15">
        <v>0</v>
      </c>
      <c r="CK187" s="15">
        <v>0</v>
      </c>
      <c r="CL187" s="15">
        <v>0</v>
      </c>
      <c r="CM187" s="15">
        <v>0</v>
      </c>
      <c r="CN187" s="15">
        <v>0</v>
      </c>
      <c r="CO187" s="15">
        <v>0</v>
      </c>
      <c r="CP187" s="15">
        <v>0</v>
      </c>
      <c r="CQ187" s="15">
        <v>0</v>
      </c>
      <c r="CR187" s="15">
        <v>0</v>
      </c>
      <c r="CS187" s="15">
        <v>0</v>
      </c>
      <c r="CT187" s="15">
        <v>0</v>
      </c>
      <c r="CU187" s="15">
        <v>0</v>
      </c>
      <c r="CV187" s="15">
        <v>0</v>
      </c>
      <c r="CW187" s="15">
        <v>0</v>
      </c>
      <c r="CX187" s="15">
        <v>0</v>
      </c>
      <c r="CY187" s="15">
        <v>0</v>
      </c>
      <c r="CZ187" s="15">
        <v>0</v>
      </c>
      <c r="DA187" s="15">
        <v>0</v>
      </c>
      <c r="DB187" s="15">
        <v>0</v>
      </c>
      <c r="DC187" s="15">
        <v>0</v>
      </c>
      <c r="DD187" s="15">
        <v>0</v>
      </c>
      <c r="DE187" s="15">
        <v>0</v>
      </c>
      <c r="DF187" s="15">
        <v>0</v>
      </c>
      <c r="DG187" s="15">
        <v>0</v>
      </c>
      <c r="DH187" s="15">
        <v>0</v>
      </c>
      <c r="DI187" s="15">
        <v>0</v>
      </c>
      <c r="DJ187" s="15">
        <v>0</v>
      </c>
      <c r="DK187" s="15">
        <v>0</v>
      </c>
      <c r="DL187" s="15">
        <v>0</v>
      </c>
      <c r="DM187" s="15">
        <v>0</v>
      </c>
      <c r="DN187" s="15">
        <v>0</v>
      </c>
      <c r="DO187" s="15">
        <v>0</v>
      </c>
      <c r="DP187" s="15">
        <v>0</v>
      </c>
      <c r="DQ187" s="15">
        <v>0</v>
      </c>
      <c r="DR187" s="15">
        <v>0</v>
      </c>
      <c r="DS187" s="15">
        <v>0</v>
      </c>
      <c r="DT187" s="15">
        <v>0</v>
      </c>
      <c r="DU187" s="15">
        <v>0</v>
      </c>
      <c r="DV187" s="15">
        <v>0</v>
      </c>
      <c r="DW187" s="15">
        <v>0</v>
      </c>
      <c r="DX187" s="15">
        <v>0</v>
      </c>
      <c r="DY187" s="15">
        <v>0</v>
      </c>
      <c r="DZ187" s="15">
        <v>0</v>
      </c>
      <c r="EA187" s="15">
        <v>0</v>
      </c>
      <c r="EB187" s="15">
        <v>0</v>
      </c>
      <c r="EC187" s="15">
        <v>0</v>
      </c>
      <c r="ED187" s="15">
        <v>0</v>
      </c>
      <c r="EE187" s="15">
        <v>0</v>
      </c>
      <c r="EF187" s="15">
        <v>0</v>
      </c>
    </row>
    <row r="188" spans="1:136" ht="15" customHeight="1" x14ac:dyDescent="0.35">
      <c r="A188" s="8" t="s">
        <v>12</v>
      </c>
      <c r="B188" s="8" t="s">
        <v>23</v>
      </c>
      <c r="C188" s="8" t="s">
        <v>23</v>
      </c>
      <c r="D188" s="8" t="s">
        <v>317</v>
      </c>
      <c r="E188" s="8" t="s">
        <v>10</v>
      </c>
      <c r="F188" s="8" t="s">
        <v>106</v>
      </c>
      <c r="G188" s="15">
        <v>0</v>
      </c>
      <c r="H188" s="15">
        <v>0</v>
      </c>
      <c r="I188" s="15">
        <v>141.5</v>
      </c>
      <c r="J188" s="15">
        <v>-141.5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6</v>
      </c>
      <c r="AK188" s="15">
        <v>0</v>
      </c>
      <c r="AL188" s="15">
        <v>10.5</v>
      </c>
      <c r="AM188" s="15">
        <v>5</v>
      </c>
      <c r="AN188" s="15">
        <v>6</v>
      </c>
      <c r="AO188" s="15">
        <v>3</v>
      </c>
      <c r="AP188" s="15">
        <v>5</v>
      </c>
      <c r="AQ188" s="15">
        <v>2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0</v>
      </c>
      <c r="BN188" s="15">
        <v>0</v>
      </c>
      <c r="BO188" s="15">
        <v>0</v>
      </c>
      <c r="BP188" s="15">
        <v>0</v>
      </c>
      <c r="BQ188" s="15">
        <v>0</v>
      </c>
      <c r="BR188" s="15">
        <v>0</v>
      </c>
      <c r="BS188" s="15">
        <v>0</v>
      </c>
      <c r="BT188" s="15">
        <v>0</v>
      </c>
      <c r="BU188" s="15">
        <v>0</v>
      </c>
      <c r="BV188" s="15">
        <v>0</v>
      </c>
      <c r="BW188" s="15">
        <v>0</v>
      </c>
      <c r="BX188" s="15">
        <v>0</v>
      </c>
      <c r="BY188" s="15">
        <v>0</v>
      </c>
      <c r="BZ188" s="15">
        <v>0</v>
      </c>
      <c r="CA188" s="15">
        <v>0</v>
      </c>
      <c r="CB188" s="15">
        <v>0</v>
      </c>
      <c r="CC188" s="15">
        <v>0</v>
      </c>
      <c r="CD188" s="15">
        <v>0</v>
      </c>
      <c r="CE188" s="15">
        <v>0</v>
      </c>
      <c r="CF188" s="15">
        <v>0</v>
      </c>
      <c r="CG188" s="15">
        <v>0</v>
      </c>
      <c r="CH188" s="15">
        <v>0</v>
      </c>
      <c r="CI188" s="15">
        <v>0</v>
      </c>
      <c r="CJ188" s="15">
        <v>0</v>
      </c>
      <c r="CK188" s="15">
        <v>0</v>
      </c>
      <c r="CL188" s="15">
        <v>0</v>
      </c>
      <c r="CM188" s="15">
        <v>0</v>
      </c>
      <c r="CN188" s="15">
        <v>0</v>
      </c>
      <c r="CO188" s="15">
        <v>0</v>
      </c>
      <c r="CP188" s="15">
        <v>0</v>
      </c>
      <c r="CQ188" s="15">
        <v>0</v>
      </c>
      <c r="CR188" s="15">
        <v>0</v>
      </c>
      <c r="CS188" s="15">
        <v>0</v>
      </c>
      <c r="CT188" s="15">
        <v>0</v>
      </c>
      <c r="CU188" s="15">
        <v>0</v>
      </c>
      <c r="CV188" s="15">
        <v>0</v>
      </c>
      <c r="CW188" s="15">
        <v>0</v>
      </c>
      <c r="CX188" s="15">
        <v>8</v>
      </c>
      <c r="CY188" s="15">
        <v>8</v>
      </c>
      <c r="CZ188" s="15">
        <v>10</v>
      </c>
      <c r="DA188" s="15">
        <v>12</v>
      </c>
      <c r="DB188" s="15">
        <v>10</v>
      </c>
      <c r="DC188" s="15">
        <v>8</v>
      </c>
      <c r="DD188" s="15">
        <v>8</v>
      </c>
      <c r="DE188" s="15">
        <v>0</v>
      </c>
      <c r="DF188" s="15">
        <v>8</v>
      </c>
      <c r="DG188" s="15">
        <v>10</v>
      </c>
      <c r="DH188" s="15">
        <v>10</v>
      </c>
      <c r="DI188" s="15">
        <v>0</v>
      </c>
      <c r="DJ188" s="15">
        <v>0</v>
      </c>
      <c r="DK188" s="15">
        <v>6</v>
      </c>
      <c r="DL188" s="15">
        <v>6</v>
      </c>
      <c r="DM188" s="15">
        <v>0</v>
      </c>
      <c r="DN188" s="15">
        <v>0</v>
      </c>
      <c r="DO188" s="15">
        <v>0</v>
      </c>
      <c r="DP188" s="15">
        <v>0</v>
      </c>
      <c r="DQ188" s="15">
        <v>0</v>
      </c>
      <c r="DR188" s="15">
        <v>0</v>
      </c>
      <c r="DS188" s="15">
        <v>0</v>
      </c>
      <c r="DT188" s="15">
        <v>0</v>
      </c>
      <c r="DU188" s="15">
        <v>0</v>
      </c>
      <c r="DV188" s="15">
        <v>0</v>
      </c>
      <c r="DW188" s="15">
        <v>0</v>
      </c>
      <c r="DX188" s="15">
        <v>0</v>
      </c>
      <c r="DY188" s="15">
        <v>0</v>
      </c>
      <c r="DZ188" s="15">
        <v>0</v>
      </c>
      <c r="EA188" s="15">
        <v>0</v>
      </c>
      <c r="EB188" s="15">
        <v>0</v>
      </c>
      <c r="EC188" s="15">
        <v>0</v>
      </c>
      <c r="ED188" s="15">
        <v>0</v>
      </c>
      <c r="EE188" s="15">
        <v>0</v>
      </c>
      <c r="EF188" s="15">
        <v>0</v>
      </c>
    </row>
    <row r="189" spans="1:136" ht="15" customHeight="1" x14ac:dyDescent="0.35">
      <c r="A189" s="8" t="s">
        <v>12</v>
      </c>
      <c r="B189" s="8" t="s">
        <v>23</v>
      </c>
      <c r="C189" s="8" t="s">
        <v>23</v>
      </c>
      <c r="D189" s="8" t="s">
        <v>318</v>
      </c>
      <c r="E189" s="8" t="s">
        <v>10</v>
      </c>
      <c r="F189" s="8" t="s">
        <v>111</v>
      </c>
      <c r="G189" s="15">
        <v>0</v>
      </c>
      <c r="H189" s="15">
        <v>0</v>
      </c>
      <c r="I189" s="15">
        <v>1</v>
      </c>
      <c r="J189" s="15">
        <v>-1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5">
        <v>0</v>
      </c>
      <c r="CH189" s="15">
        <v>0</v>
      </c>
      <c r="CI189" s="15">
        <v>0</v>
      </c>
      <c r="CJ189" s="15">
        <v>0</v>
      </c>
      <c r="CK189" s="15">
        <v>0</v>
      </c>
      <c r="CL189" s="15">
        <v>0</v>
      </c>
      <c r="CM189" s="15">
        <v>0</v>
      </c>
      <c r="CN189" s="15">
        <v>0</v>
      </c>
      <c r="CO189" s="15">
        <v>0</v>
      </c>
      <c r="CP189" s="15">
        <v>0</v>
      </c>
      <c r="CQ189" s="15">
        <v>0</v>
      </c>
      <c r="CR189" s="15">
        <v>0</v>
      </c>
      <c r="CS189" s="15">
        <v>0</v>
      </c>
      <c r="CT189" s="15">
        <v>0</v>
      </c>
      <c r="CU189" s="15">
        <v>0</v>
      </c>
      <c r="CV189" s="15">
        <v>0</v>
      </c>
      <c r="CW189" s="15">
        <v>0</v>
      </c>
      <c r="CX189" s="15">
        <v>0</v>
      </c>
      <c r="CY189" s="15">
        <v>0</v>
      </c>
      <c r="CZ189" s="15">
        <v>0</v>
      </c>
      <c r="DA189" s="15">
        <v>0</v>
      </c>
      <c r="DB189" s="15">
        <v>0</v>
      </c>
      <c r="DC189" s="15">
        <v>0</v>
      </c>
      <c r="DD189" s="15">
        <v>0</v>
      </c>
      <c r="DE189" s="15">
        <v>0</v>
      </c>
      <c r="DF189" s="15">
        <v>0</v>
      </c>
      <c r="DG189" s="15">
        <v>0</v>
      </c>
      <c r="DH189" s="15">
        <v>0</v>
      </c>
      <c r="DI189" s="15">
        <v>0</v>
      </c>
      <c r="DJ189" s="15">
        <v>0</v>
      </c>
      <c r="DK189" s="15">
        <v>0</v>
      </c>
      <c r="DL189" s="15">
        <v>0</v>
      </c>
      <c r="DM189" s="15">
        <v>0</v>
      </c>
      <c r="DN189" s="15">
        <v>0</v>
      </c>
      <c r="DO189" s="15">
        <v>0</v>
      </c>
      <c r="DP189" s="15">
        <v>0</v>
      </c>
      <c r="DQ189" s="15">
        <v>0</v>
      </c>
      <c r="DR189" s="15">
        <v>0</v>
      </c>
      <c r="DS189" s="15">
        <v>0</v>
      </c>
      <c r="DT189" s="15">
        <v>0</v>
      </c>
      <c r="DU189" s="15">
        <v>0</v>
      </c>
      <c r="DV189" s="15">
        <v>0</v>
      </c>
      <c r="DW189" s="15">
        <v>0</v>
      </c>
      <c r="DX189" s="15">
        <v>0</v>
      </c>
      <c r="DY189" s="15">
        <v>0</v>
      </c>
      <c r="DZ189" s="15">
        <v>0</v>
      </c>
      <c r="EA189" s="15">
        <v>0</v>
      </c>
      <c r="EB189" s="15">
        <v>0</v>
      </c>
      <c r="EC189" s="15">
        <v>0</v>
      </c>
      <c r="ED189" s="15">
        <v>0</v>
      </c>
      <c r="EE189" s="15">
        <v>0</v>
      </c>
      <c r="EF189" s="15">
        <v>0</v>
      </c>
    </row>
    <row r="190" spans="1:136" ht="15" customHeight="1" x14ac:dyDescent="0.35">
      <c r="A190" s="8" t="s">
        <v>12</v>
      </c>
      <c r="B190" s="8" t="s">
        <v>23</v>
      </c>
      <c r="C190" s="8" t="s">
        <v>23</v>
      </c>
      <c r="D190" s="8" t="s">
        <v>318</v>
      </c>
      <c r="E190" s="8" t="s">
        <v>10</v>
      </c>
      <c r="F190" s="8" t="s">
        <v>87</v>
      </c>
      <c r="G190" s="15">
        <v>14</v>
      </c>
      <c r="H190" s="15">
        <v>14</v>
      </c>
      <c r="I190" s="15">
        <v>0</v>
      </c>
      <c r="J190" s="15">
        <v>14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0</v>
      </c>
      <c r="BL190" s="15">
        <v>0</v>
      </c>
      <c r="BM190" s="15">
        <v>0</v>
      </c>
      <c r="BN190" s="15">
        <v>0</v>
      </c>
      <c r="BO190" s="15">
        <v>0</v>
      </c>
      <c r="BP190" s="15">
        <v>0</v>
      </c>
      <c r="BQ190" s="15">
        <v>0</v>
      </c>
      <c r="BR190" s="15">
        <v>0</v>
      </c>
      <c r="BS190" s="15">
        <v>0</v>
      </c>
      <c r="BT190" s="15">
        <v>0</v>
      </c>
      <c r="BU190" s="15">
        <v>0</v>
      </c>
      <c r="BV190" s="15">
        <v>0</v>
      </c>
      <c r="BW190" s="15">
        <v>0</v>
      </c>
      <c r="BX190" s="15">
        <v>0</v>
      </c>
      <c r="BY190" s="15">
        <v>0</v>
      </c>
      <c r="BZ190" s="15">
        <v>0</v>
      </c>
      <c r="CA190" s="15">
        <v>0</v>
      </c>
      <c r="CB190" s="15">
        <v>0</v>
      </c>
      <c r="CC190" s="15">
        <v>0</v>
      </c>
      <c r="CD190" s="15">
        <v>0</v>
      </c>
      <c r="CE190" s="15">
        <v>0</v>
      </c>
      <c r="CF190" s="15">
        <v>0</v>
      </c>
      <c r="CG190" s="15">
        <v>0</v>
      </c>
      <c r="CH190" s="15">
        <v>0</v>
      </c>
      <c r="CI190" s="15">
        <v>0</v>
      </c>
      <c r="CJ190" s="15">
        <v>0</v>
      </c>
      <c r="CK190" s="15">
        <v>0</v>
      </c>
      <c r="CL190" s="15">
        <v>0</v>
      </c>
      <c r="CM190" s="15">
        <v>0</v>
      </c>
      <c r="CN190" s="15">
        <v>0</v>
      </c>
      <c r="CO190" s="15">
        <v>0</v>
      </c>
      <c r="CP190" s="15">
        <v>0</v>
      </c>
      <c r="CQ190" s="15">
        <v>0</v>
      </c>
      <c r="CR190" s="15">
        <v>0</v>
      </c>
      <c r="CS190" s="15">
        <v>0</v>
      </c>
      <c r="CT190" s="15">
        <v>0</v>
      </c>
      <c r="CU190" s="15">
        <v>0</v>
      </c>
      <c r="CV190" s="15">
        <v>0</v>
      </c>
      <c r="CW190" s="15">
        <v>0</v>
      </c>
      <c r="CX190" s="15">
        <v>0</v>
      </c>
      <c r="CY190" s="15">
        <v>0</v>
      </c>
      <c r="CZ190" s="15">
        <v>0</v>
      </c>
      <c r="DA190" s="15">
        <v>0</v>
      </c>
      <c r="DB190" s="15">
        <v>0</v>
      </c>
      <c r="DC190" s="15">
        <v>0</v>
      </c>
      <c r="DD190" s="15">
        <v>0</v>
      </c>
      <c r="DE190" s="15">
        <v>0</v>
      </c>
      <c r="DF190" s="15">
        <v>0</v>
      </c>
      <c r="DG190" s="15">
        <v>0</v>
      </c>
      <c r="DH190" s="15">
        <v>0</v>
      </c>
      <c r="DI190" s="15">
        <v>0</v>
      </c>
      <c r="DJ190" s="15">
        <v>0</v>
      </c>
      <c r="DK190" s="15">
        <v>0</v>
      </c>
      <c r="DL190" s="15">
        <v>0</v>
      </c>
      <c r="DM190" s="15">
        <v>0</v>
      </c>
      <c r="DN190" s="15">
        <v>0</v>
      </c>
      <c r="DO190" s="15">
        <v>0</v>
      </c>
      <c r="DP190" s="15">
        <v>0</v>
      </c>
      <c r="DQ190" s="15">
        <v>0</v>
      </c>
      <c r="DR190" s="15">
        <v>0</v>
      </c>
      <c r="DS190" s="15">
        <v>0</v>
      </c>
      <c r="DT190" s="15">
        <v>0</v>
      </c>
      <c r="DU190" s="15">
        <v>0</v>
      </c>
      <c r="DV190" s="15">
        <v>0</v>
      </c>
      <c r="DW190" s="15">
        <v>0</v>
      </c>
      <c r="DX190" s="15">
        <v>0</v>
      </c>
      <c r="DY190" s="15">
        <v>0</v>
      </c>
      <c r="DZ190" s="15">
        <v>0</v>
      </c>
      <c r="EA190" s="15">
        <v>0</v>
      </c>
      <c r="EB190" s="15">
        <v>0</v>
      </c>
      <c r="EC190" s="15">
        <v>0</v>
      </c>
      <c r="ED190" s="15">
        <v>0</v>
      </c>
      <c r="EE190" s="15">
        <v>0</v>
      </c>
      <c r="EF190" s="15">
        <v>0</v>
      </c>
    </row>
    <row r="191" spans="1:136" ht="15" customHeight="1" x14ac:dyDescent="0.35">
      <c r="A191" s="8" t="s">
        <v>12</v>
      </c>
      <c r="B191" s="8" t="s">
        <v>23</v>
      </c>
      <c r="C191" s="8" t="s">
        <v>23</v>
      </c>
      <c r="D191" s="8" t="s">
        <v>317</v>
      </c>
      <c r="E191" s="8" t="s">
        <v>10</v>
      </c>
      <c r="F191" s="8" t="s">
        <v>87</v>
      </c>
      <c r="G191" s="15">
        <v>0</v>
      </c>
      <c r="H191" s="15">
        <v>0</v>
      </c>
      <c r="I191" s="15">
        <v>12</v>
      </c>
      <c r="J191" s="15">
        <v>-12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9</v>
      </c>
      <c r="AN191" s="15">
        <v>3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5">
        <v>0</v>
      </c>
      <c r="CH191" s="15">
        <v>0</v>
      </c>
      <c r="CI191" s="15">
        <v>0</v>
      </c>
      <c r="CJ191" s="15">
        <v>0</v>
      </c>
      <c r="CK191" s="15">
        <v>0</v>
      </c>
      <c r="CL191" s="15">
        <v>0</v>
      </c>
      <c r="CM191" s="15">
        <v>0</v>
      </c>
      <c r="CN191" s="15">
        <v>0</v>
      </c>
      <c r="CO191" s="15">
        <v>0</v>
      </c>
      <c r="CP191" s="15">
        <v>0</v>
      </c>
      <c r="CQ191" s="15">
        <v>0</v>
      </c>
      <c r="CR191" s="15">
        <v>0</v>
      </c>
      <c r="CS191" s="15">
        <v>0</v>
      </c>
      <c r="CT191" s="15">
        <v>0</v>
      </c>
      <c r="CU191" s="15">
        <v>0</v>
      </c>
      <c r="CV191" s="15">
        <v>0</v>
      </c>
      <c r="CW191" s="15">
        <v>0</v>
      </c>
      <c r="CX191" s="15">
        <v>0</v>
      </c>
      <c r="CY191" s="15">
        <v>0</v>
      </c>
      <c r="CZ191" s="15">
        <v>0</v>
      </c>
      <c r="DA191" s="15">
        <v>0</v>
      </c>
      <c r="DB191" s="15">
        <v>0</v>
      </c>
      <c r="DC191" s="15">
        <v>0</v>
      </c>
      <c r="DD191" s="15">
        <v>0</v>
      </c>
      <c r="DE191" s="15">
        <v>0</v>
      </c>
      <c r="DF191" s="15">
        <v>0</v>
      </c>
      <c r="DG191" s="15">
        <v>0</v>
      </c>
      <c r="DH191" s="15">
        <v>0</v>
      </c>
      <c r="DI191" s="15">
        <v>0</v>
      </c>
      <c r="DJ191" s="15">
        <v>0</v>
      </c>
      <c r="DK191" s="15">
        <v>0</v>
      </c>
      <c r="DL191" s="15">
        <v>0</v>
      </c>
      <c r="DM191" s="15">
        <v>0</v>
      </c>
      <c r="DN191" s="15">
        <v>0</v>
      </c>
      <c r="DO191" s="15">
        <v>0</v>
      </c>
      <c r="DP191" s="15">
        <v>0</v>
      </c>
      <c r="DQ191" s="15">
        <v>0</v>
      </c>
      <c r="DR191" s="15">
        <v>0</v>
      </c>
      <c r="DS191" s="15">
        <v>0</v>
      </c>
      <c r="DT191" s="15">
        <v>0</v>
      </c>
      <c r="DU191" s="15">
        <v>0</v>
      </c>
      <c r="DV191" s="15">
        <v>0</v>
      </c>
      <c r="DW191" s="15">
        <v>0</v>
      </c>
      <c r="DX191" s="15">
        <v>0</v>
      </c>
      <c r="DY191" s="15">
        <v>0</v>
      </c>
      <c r="DZ191" s="15">
        <v>0</v>
      </c>
      <c r="EA191" s="15">
        <v>0</v>
      </c>
      <c r="EB191" s="15">
        <v>0</v>
      </c>
      <c r="EC191" s="15">
        <v>0</v>
      </c>
      <c r="ED191" s="15">
        <v>0</v>
      </c>
      <c r="EE191" s="15">
        <v>0</v>
      </c>
      <c r="EF191" s="15">
        <v>0</v>
      </c>
    </row>
    <row r="192" spans="1:136" ht="15" customHeight="1" x14ac:dyDescent="0.35">
      <c r="A192" s="8" t="s">
        <v>12</v>
      </c>
      <c r="B192" s="8" t="s">
        <v>23</v>
      </c>
      <c r="C192" s="8" t="s">
        <v>23</v>
      </c>
      <c r="D192" s="8" t="s">
        <v>318</v>
      </c>
      <c r="E192" s="8" t="s">
        <v>10</v>
      </c>
      <c r="F192" s="8" t="s">
        <v>88</v>
      </c>
      <c r="G192" s="15">
        <v>0</v>
      </c>
      <c r="H192" s="15">
        <v>14</v>
      </c>
      <c r="I192" s="15">
        <v>0</v>
      </c>
      <c r="J192" s="15">
        <v>14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0</v>
      </c>
      <c r="BL192" s="15">
        <v>0</v>
      </c>
      <c r="BM192" s="15">
        <v>0</v>
      </c>
      <c r="BN192" s="15">
        <v>0</v>
      </c>
      <c r="BO192" s="15">
        <v>0</v>
      </c>
      <c r="BP192" s="15">
        <v>0</v>
      </c>
      <c r="BQ192" s="15">
        <v>0</v>
      </c>
      <c r="BR192" s="15">
        <v>0</v>
      </c>
      <c r="BS192" s="15">
        <v>0</v>
      </c>
      <c r="BT192" s="15">
        <v>0</v>
      </c>
      <c r="BU192" s="15">
        <v>0</v>
      </c>
      <c r="BV192" s="15">
        <v>0</v>
      </c>
      <c r="BW192" s="15">
        <v>0</v>
      </c>
      <c r="BX192" s="15">
        <v>0</v>
      </c>
      <c r="BY192" s="15">
        <v>0</v>
      </c>
      <c r="BZ192" s="15">
        <v>0</v>
      </c>
      <c r="CA192" s="15">
        <v>0</v>
      </c>
      <c r="CB192" s="15">
        <v>0</v>
      </c>
      <c r="CC192" s="15">
        <v>0</v>
      </c>
      <c r="CD192" s="15">
        <v>0</v>
      </c>
      <c r="CE192" s="15">
        <v>0</v>
      </c>
      <c r="CF192" s="15">
        <v>0</v>
      </c>
      <c r="CG192" s="15">
        <v>0</v>
      </c>
      <c r="CH192" s="15">
        <v>0</v>
      </c>
      <c r="CI192" s="15">
        <v>0</v>
      </c>
      <c r="CJ192" s="15">
        <v>0</v>
      </c>
      <c r="CK192" s="15">
        <v>0</v>
      </c>
      <c r="CL192" s="15">
        <v>0</v>
      </c>
      <c r="CM192" s="15">
        <v>0</v>
      </c>
      <c r="CN192" s="15">
        <v>0</v>
      </c>
      <c r="CO192" s="15">
        <v>0</v>
      </c>
      <c r="CP192" s="15">
        <v>0</v>
      </c>
      <c r="CQ192" s="15">
        <v>0</v>
      </c>
      <c r="CR192" s="15">
        <v>0</v>
      </c>
      <c r="CS192" s="15">
        <v>0</v>
      </c>
      <c r="CT192" s="15">
        <v>0</v>
      </c>
      <c r="CU192" s="15">
        <v>0</v>
      </c>
      <c r="CV192" s="15">
        <v>0</v>
      </c>
      <c r="CW192" s="15">
        <v>0</v>
      </c>
      <c r="CX192" s="15">
        <v>0</v>
      </c>
      <c r="CY192" s="15">
        <v>0</v>
      </c>
      <c r="CZ192" s="15">
        <v>0</v>
      </c>
      <c r="DA192" s="15">
        <v>0</v>
      </c>
      <c r="DB192" s="15">
        <v>0</v>
      </c>
      <c r="DC192" s="15">
        <v>0</v>
      </c>
      <c r="DD192" s="15">
        <v>0</v>
      </c>
      <c r="DE192" s="15">
        <v>0</v>
      </c>
      <c r="DF192" s="15">
        <v>0</v>
      </c>
      <c r="DG192" s="15">
        <v>0</v>
      </c>
      <c r="DH192" s="15">
        <v>0</v>
      </c>
      <c r="DI192" s="15">
        <v>0</v>
      </c>
      <c r="DJ192" s="15">
        <v>0</v>
      </c>
      <c r="DK192" s="15">
        <v>0</v>
      </c>
      <c r="DL192" s="15">
        <v>0</v>
      </c>
      <c r="DM192" s="15">
        <v>0</v>
      </c>
      <c r="DN192" s="15">
        <v>0</v>
      </c>
      <c r="DO192" s="15">
        <v>0</v>
      </c>
      <c r="DP192" s="15">
        <v>0</v>
      </c>
      <c r="DQ192" s="15">
        <v>0</v>
      </c>
      <c r="DR192" s="15">
        <v>0</v>
      </c>
      <c r="DS192" s="15">
        <v>0</v>
      </c>
      <c r="DT192" s="15">
        <v>0</v>
      </c>
      <c r="DU192" s="15">
        <v>0</v>
      </c>
      <c r="DV192" s="15">
        <v>0</v>
      </c>
      <c r="DW192" s="15">
        <v>0</v>
      </c>
      <c r="DX192" s="15">
        <v>0</v>
      </c>
      <c r="DY192" s="15">
        <v>0</v>
      </c>
      <c r="DZ192" s="15">
        <v>0</v>
      </c>
      <c r="EA192" s="15">
        <v>0</v>
      </c>
      <c r="EB192" s="15">
        <v>0</v>
      </c>
      <c r="EC192" s="15">
        <v>0</v>
      </c>
      <c r="ED192" s="15">
        <v>0</v>
      </c>
      <c r="EE192" s="15">
        <v>0</v>
      </c>
      <c r="EF192" s="15">
        <v>0</v>
      </c>
    </row>
    <row r="193" spans="1:136" ht="15" customHeight="1" x14ac:dyDescent="0.35">
      <c r="A193" s="8" t="s">
        <v>12</v>
      </c>
      <c r="B193" s="8" t="s">
        <v>23</v>
      </c>
      <c r="C193" s="8" t="s">
        <v>23</v>
      </c>
      <c r="D193" s="8" t="s">
        <v>317</v>
      </c>
      <c r="E193" s="8" t="s">
        <v>10</v>
      </c>
      <c r="F193" s="8" t="s">
        <v>88</v>
      </c>
      <c r="G193" s="15">
        <v>0</v>
      </c>
      <c r="H193" s="15">
        <v>0</v>
      </c>
      <c r="I193" s="15">
        <v>14</v>
      </c>
      <c r="J193" s="15">
        <v>-14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5">
        <v>0</v>
      </c>
      <c r="CH193" s="15">
        <v>0</v>
      </c>
      <c r="CI193" s="15">
        <v>0</v>
      </c>
      <c r="CJ193" s="15">
        <v>0</v>
      </c>
      <c r="CK193" s="15">
        <v>0</v>
      </c>
      <c r="CL193" s="15">
        <v>0</v>
      </c>
      <c r="CM193" s="15">
        <v>0</v>
      </c>
      <c r="CN193" s="15">
        <v>0</v>
      </c>
      <c r="CO193" s="15">
        <v>0</v>
      </c>
      <c r="CP193" s="15">
        <v>0</v>
      </c>
      <c r="CQ193" s="15">
        <v>0</v>
      </c>
      <c r="CR193" s="15">
        <v>0</v>
      </c>
      <c r="CS193" s="15">
        <v>0</v>
      </c>
      <c r="CT193" s="15">
        <v>0</v>
      </c>
      <c r="CU193" s="15">
        <v>0</v>
      </c>
      <c r="CV193" s="15">
        <v>0</v>
      </c>
      <c r="CW193" s="15">
        <v>0</v>
      </c>
      <c r="CX193" s="15">
        <v>0</v>
      </c>
      <c r="CY193" s="15">
        <v>0</v>
      </c>
      <c r="CZ193" s="15">
        <v>8</v>
      </c>
      <c r="DA193" s="15">
        <v>6</v>
      </c>
      <c r="DB193" s="15">
        <v>0</v>
      </c>
      <c r="DC193" s="15">
        <v>0</v>
      </c>
      <c r="DD193" s="15">
        <v>0</v>
      </c>
      <c r="DE193" s="15">
        <v>0</v>
      </c>
      <c r="DF193" s="15">
        <v>0</v>
      </c>
      <c r="DG193" s="15">
        <v>0</v>
      </c>
      <c r="DH193" s="15">
        <v>0</v>
      </c>
      <c r="DI193" s="15">
        <v>0</v>
      </c>
      <c r="DJ193" s="15">
        <v>0</v>
      </c>
      <c r="DK193" s="15">
        <v>0</v>
      </c>
      <c r="DL193" s="15">
        <v>0</v>
      </c>
      <c r="DM193" s="15">
        <v>0</v>
      </c>
      <c r="DN193" s="15">
        <v>0</v>
      </c>
      <c r="DO193" s="15">
        <v>0</v>
      </c>
      <c r="DP193" s="15">
        <v>0</v>
      </c>
      <c r="DQ193" s="15">
        <v>0</v>
      </c>
      <c r="DR193" s="15">
        <v>0</v>
      </c>
      <c r="DS193" s="15">
        <v>0</v>
      </c>
      <c r="DT193" s="15">
        <v>0</v>
      </c>
      <c r="DU193" s="15">
        <v>0</v>
      </c>
      <c r="DV193" s="15">
        <v>0</v>
      </c>
      <c r="DW193" s="15">
        <v>0</v>
      </c>
      <c r="DX193" s="15">
        <v>0</v>
      </c>
      <c r="DY193" s="15">
        <v>0</v>
      </c>
      <c r="DZ193" s="15">
        <v>0</v>
      </c>
      <c r="EA193" s="15">
        <v>0</v>
      </c>
      <c r="EB193" s="15">
        <v>0</v>
      </c>
      <c r="EC193" s="15">
        <v>0</v>
      </c>
      <c r="ED193" s="15">
        <v>0</v>
      </c>
      <c r="EE193" s="15">
        <v>0</v>
      </c>
      <c r="EF193" s="15">
        <v>0</v>
      </c>
    </row>
    <row r="194" spans="1:136" ht="15" customHeight="1" x14ac:dyDescent="0.35">
      <c r="A194" s="8" t="s">
        <v>12</v>
      </c>
      <c r="B194" s="8" t="s">
        <v>17</v>
      </c>
      <c r="C194" s="8" t="s">
        <v>17</v>
      </c>
      <c r="D194" s="8" t="s">
        <v>315</v>
      </c>
      <c r="E194" s="8" t="s">
        <v>14</v>
      </c>
      <c r="F194" s="8" t="s">
        <v>121</v>
      </c>
      <c r="G194" s="15">
        <v>0</v>
      </c>
      <c r="H194" s="15">
        <v>0</v>
      </c>
      <c r="I194" s="15">
        <v>114</v>
      </c>
      <c r="J194" s="15">
        <v>-114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14</v>
      </c>
      <c r="AK194" s="15">
        <v>16</v>
      </c>
      <c r="AL194" s="15">
        <v>17</v>
      </c>
      <c r="AM194" s="15">
        <v>0</v>
      </c>
      <c r="AN194" s="15">
        <v>0</v>
      </c>
      <c r="AO194" s="15">
        <v>5</v>
      </c>
      <c r="AP194" s="15">
        <v>4</v>
      </c>
      <c r="AQ194" s="15">
        <v>9</v>
      </c>
      <c r="AR194" s="15">
        <v>10</v>
      </c>
      <c r="AS194" s="15">
        <v>4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0</v>
      </c>
      <c r="BL194" s="15">
        <v>0</v>
      </c>
      <c r="BM194" s="15">
        <v>0</v>
      </c>
      <c r="BN194" s="15">
        <v>0</v>
      </c>
      <c r="BO194" s="15">
        <v>0</v>
      </c>
      <c r="BP194" s="15">
        <v>0</v>
      </c>
      <c r="BQ194" s="15">
        <v>0</v>
      </c>
      <c r="BR194" s="15">
        <v>0</v>
      </c>
      <c r="BS194" s="15">
        <v>0</v>
      </c>
      <c r="BT194" s="15">
        <v>0</v>
      </c>
      <c r="BU194" s="15">
        <v>0</v>
      </c>
      <c r="BV194" s="15">
        <v>0</v>
      </c>
      <c r="BW194" s="15">
        <v>0</v>
      </c>
      <c r="BX194" s="15">
        <v>0</v>
      </c>
      <c r="BY194" s="15">
        <v>0</v>
      </c>
      <c r="BZ194" s="15">
        <v>0</v>
      </c>
      <c r="CA194" s="15">
        <v>0</v>
      </c>
      <c r="CB194" s="15">
        <v>0</v>
      </c>
      <c r="CC194" s="15">
        <v>0</v>
      </c>
      <c r="CD194" s="15">
        <v>0</v>
      </c>
      <c r="CE194" s="15">
        <v>0</v>
      </c>
      <c r="CF194" s="15">
        <v>0</v>
      </c>
      <c r="CG194" s="15">
        <v>0</v>
      </c>
      <c r="CH194" s="15">
        <v>0</v>
      </c>
      <c r="CI194" s="15">
        <v>0</v>
      </c>
      <c r="CJ194" s="15">
        <v>0</v>
      </c>
      <c r="CK194" s="15">
        <v>0</v>
      </c>
      <c r="CL194" s="15">
        <v>0</v>
      </c>
      <c r="CM194" s="15">
        <v>0</v>
      </c>
      <c r="CN194" s="15">
        <v>0</v>
      </c>
      <c r="CO194" s="15">
        <v>0</v>
      </c>
      <c r="CP194" s="15">
        <v>0</v>
      </c>
      <c r="CQ194" s="15">
        <v>0</v>
      </c>
      <c r="CR194" s="15">
        <v>0</v>
      </c>
      <c r="CS194" s="15">
        <v>4</v>
      </c>
      <c r="CT194" s="15">
        <v>0</v>
      </c>
      <c r="CU194" s="15">
        <v>0</v>
      </c>
      <c r="CV194" s="15">
        <v>0</v>
      </c>
      <c r="CW194" s="15">
        <v>0</v>
      </c>
      <c r="CX194" s="15">
        <v>0</v>
      </c>
      <c r="CY194" s="15">
        <v>0</v>
      </c>
      <c r="CZ194" s="15">
        <v>2</v>
      </c>
      <c r="DA194" s="15">
        <v>3</v>
      </c>
      <c r="DB194" s="15">
        <v>3</v>
      </c>
      <c r="DC194" s="15">
        <v>3</v>
      </c>
      <c r="DD194" s="15">
        <v>3</v>
      </c>
      <c r="DE194" s="15">
        <v>0</v>
      </c>
      <c r="DF194" s="15">
        <v>3</v>
      </c>
      <c r="DG194" s="15">
        <v>3</v>
      </c>
      <c r="DH194" s="15">
        <v>3</v>
      </c>
      <c r="DI194" s="15">
        <v>0</v>
      </c>
      <c r="DJ194" s="15">
        <v>0</v>
      </c>
      <c r="DK194" s="15">
        <v>3</v>
      </c>
      <c r="DL194" s="15">
        <v>3</v>
      </c>
      <c r="DM194" s="15">
        <v>3</v>
      </c>
      <c r="DN194" s="15">
        <v>3</v>
      </c>
      <c r="DO194" s="15">
        <v>0</v>
      </c>
      <c r="DP194" s="15">
        <v>0</v>
      </c>
      <c r="DQ194" s="15">
        <v>0</v>
      </c>
      <c r="DR194" s="15">
        <v>0</v>
      </c>
      <c r="DS194" s="15">
        <v>0</v>
      </c>
      <c r="DT194" s="15">
        <v>0</v>
      </c>
      <c r="DU194" s="15">
        <v>0</v>
      </c>
      <c r="DV194" s="15">
        <v>0</v>
      </c>
      <c r="DW194" s="15">
        <v>0</v>
      </c>
      <c r="DX194" s="15">
        <v>0</v>
      </c>
      <c r="DY194" s="15">
        <v>0</v>
      </c>
      <c r="DZ194" s="15">
        <v>0</v>
      </c>
      <c r="EA194" s="15">
        <v>0</v>
      </c>
      <c r="EB194" s="15">
        <v>0</v>
      </c>
      <c r="EC194" s="15">
        <v>0</v>
      </c>
      <c r="ED194" s="15">
        <v>0</v>
      </c>
      <c r="EE194" s="15">
        <v>0</v>
      </c>
      <c r="EF194" s="15">
        <v>0</v>
      </c>
    </row>
    <row r="195" spans="1:136" ht="15" customHeight="1" x14ac:dyDescent="0.35">
      <c r="A195" s="8" t="s">
        <v>12</v>
      </c>
      <c r="B195" s="8" t="s">
        <v>17</v>
      </c>
      <c r="C195" s="8" t="s">
        <v>17</v>
      </c>
      <c r="D195" s="8" t="s">
        <v>316</v>
      </c>
      <c r="E195" s="8" t="s">
        <v>14</v>
      </c>
      <c r="F195" s="8" t="s">
        <v>121</v>
      </c>
      <c r="G195" s="15">
        <v>11</v>
      </c>
      <c r="H195" s="15">
        <v>46</v>
      </c>
      <c r="I195" s="15">
        <v>6</v>
      </c>
      <c r="J195" s="15">
        <v>40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5</v>
      </c>
      <c r="AD195" s="15">
        <v>0</v>
      </c>
      <c r="AE195" s="15">
        <v>0</v>
      </c>
      <c r="AF195" s="15">
        <v>1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5">
        <v>0</v>
      </c>
      <c r="CH195" s="15">
        <v>0</v>
      </c>
      <c r="CI195" s="15">
        <v>0</v>
      </c>
      <c r="CJ195" s="15">
        <v>0</v>
      </c>
      <c r="CK195" s="15">
        <v>0</v>
      </c>
      <c r="CL195" s="15">
        <v>0</v>
      </c>
      <c r="CM195" s="15">
        <v>0</v>
      </c>
      <c r="CN195" s="15">
        <v>0</v>
      </c>
      <c r="CO195" s="15">
        <v>0</v>
      </c>
      <c r="CP195" s="15">
        <v>0</v>
      </c>
      <c r="CQ195" s="15">
        <v>0</v>
      </c>
      <c r="CR195" s="15">
        <v>0</v>
      </c>
      <c r="CS195" s="15">
        <v>0</v>
      </c>
      <c r="CT195" s="15">
        <v>0</v>
      </c>
      <c r="CU195" s="15">
        <v>0</v>
      </c>
      <c r="CV195" s="15">
        <v>0</v>
      </c>
      <c r="CW195" s="15">
        <v>0</v>
      </c>
      <c r="CX195" s="15">
        <v>0</v>
      </c>
      <c r="CY195" s="15">
        <v>0</v>
      </c>
      <c r="CZ195" s="15">
        <v>0</v>
      </c>
      <c r="DA195" s="15">
        <v>0</v>
      </c>
      <c r="DB195" s="15">
        <v>0</v>
      </c>
      <c r="DC195" s="15">
        <v>0</v>
      </c>
      <c r="DD195" s="15">
        <v>0</v>
      </c>
      <c r="DE195" s="15">
        <v>0</v>
      </c>
      <c r="DF195" s="15">
        <v>0</v>
      </c>
      <c r="DG195" s="15">
        <v>0</v>
      </c>
      <c r="DH195" s="15">
        <v>0</v>
      </c>
      <c r="DI195" s="15">
        <v>0</v>
      </c>
      <c r="DJ195" s="15">
        <v>0</v>
      </c>
      <c r="DK195" s="15">
        <v>0</v>
      </c>
      <c r="DL195" s="15">
        <v>0</v>
      </c>
      <c r="DM195" s="15">
        <v>0</v>
      </c>
      <c r="DN195" s="15">
        <v>0</v>
      </c>
      <c r="DO195" s="15">
        <v>0</v>
      </c>
      <c r="DP195" s="15">
        <v>0</v>
      </c>
      <c r="DQ195" s="15">
        <v>0</v>
      </c>
      <c r="DR195" s="15">
        <v>0</v>
      </c>
      <c r="DS195" s="15">
        <v>0</v>
      </c>
      <c r="DT195" s="15">
        <v>0</v>
      </c>
      <c r="DU195" s="15">
        <v>0</v>
      </c>
      <c r="DV195" s="15">
        <v>0</v>
      </c>
      <c r="DW195" s="15">
        <v>0</v>
      </c>
      <c r="DX195" s="15">
        <v>0</v>
      </c>
      <c r="DY195" s="15">
        <v>0</v>
      </c>
      <c r="DZ195" s="15">
        <v>0</v>
      </c>
      <c r="EA195" s="15">
        <v>0</v>
      </c>
      <c r="EB195" s="15">
        <v>0</v>
      </c>
      <c r="EC195" s="15">
        <v>0</v>
      </c>
      <c r="ED195" s="15">
        <v>0</v>
      </c>
      <c r="EE195" s="15">
        <v>0</v>
      </c>
      <c r="EF195" s="15">
        <v>0</v>
      </c>
    </row>
    <row r="196" spans="1:136" ht="15" customHeight="1" x14ac:dyDescent="0.35">
      <c r="A196" s="8" t="s">
        <v>12</v>
      </c>
      <c r="B196" s="8" t="s">
        <v>17</v>
      </c>
      <c r="C196" s="8" t="s">
        <v>17</v>
      </c>
      <c r="D196" s="8" t="s">
        <v>315</v>
      </c>
      <c r="E196" s="8" t="s">
        <v>14</v>
      </c>
      <c r="F196" s="8" t="s">
        <v>82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0</v>
      </c>
      <c r="BL196" s="15">
        <v>0</v>
      </c>
      <c r="BM196" s="15">
        <v>0</v>
      </c>
      <c r="BN196" s="15">
        <v>0</v>
      </c>
      <c r="BO196" s="15">
        <v>0</v>
      </c>
      <c r="BP196" s="15">
        <v>0</v>
      </c>
      <c r="BQ196" s="15">
        <v>0</v>
      </c>
      <c r="BR196" s="15">
        <v>0</v>
      </c>
      <c r="BS196" s="15">
        <v>0</v>
      </c>
      <c r="BT196" s="15">
        <v>0</v>
      </c>
      <c r="BU196" s="15">
        <v>0</v>
      </c>
      <c r="BV196" s="15">
        <v>0</v>
      </c>
      <c r="BW196" s="15">
        <v>0</v>
      </c>
      <c r="BX196" s="15">
        <v>0</v>
      </c>
      <c r="BY196" s="15">
        <v>0</v>
      </c>
      <c r="BZ196" s="15">
        <v>0</v>
      </c>
      <c r="CA196" s="15">
        <v>0</v>
      </c>
      <c r="CB196" s="15">
        <v>0</v>
      </c>
      <c r="CC196" s="15">
        <v>0</v>
      </c>
      <c r="CD196" s="15">
        <v>0</v>
      </c>
      <c r="CE196" s="15">
        <v>0</v>
      </c>
      <c r="CF196" s="15">
        <v>0</v>
      </c>
      <c r="CG196" s="15">
        <v>0</v>
      </c>
      <c r="CH196" s="15">
        <v>0</v>
      </c>
      <c r="CI196" s="15">
        <v>0</v>
      </c>
      <c r="CJ196" s="15">
        <v>0</v>
      </c>
      <c r="CK196" s="15">
        <v>0</v>
      </c>
      <c r="CL196" s="15">
        <v>0</v>
      </c>
      <c r="CM196" s="15">
        <v>0</v>
      </c>
      <c r="CN196" s="15">
        <v>0</v>
      </c>
      <c r="CO196" s="15">
        <v>0</v>
      </c>
      <c r="CP196" s="15">
        <v>0</v>
      </c>
      <c r="CQ196" s="15">
        <v>0</v>
      </c>
      <c r="CR196" s="15">
        <v>0</v>
      </c>
      <c r="CS196" s="15">
        <v>0</v>
      </c>
      <c r="CT196" s="15">
        <v>0</v>
      </c>
      <c r="CU196" s="15">
        <v>0</v>
      </c>
      <c r="CV196" s="15">
        <v>0</v>
      </c>
      <c r="CW196" s="15">
        <v>0</v>
      </c>
      <c r="CX196" s="15">
        <v>0</v>
      </c>
      <c r="CY196" s="15">
        <v>0</v>
      </c>
      <c r="CZ196" s="15">
        <v>0</v>
      </c>
      <c r="DA196" s="15">
        <v>0</v>
      </c>
      <c r="DB196" s="15">
        <v>0</v>
      </c>
      <c r="DC196" s="15">
        <v>0</v>
      </c>
      <c r="DD196" s="15">
        <v>0</v>
      </c>
      <c r="DE196" s="15">
        <v>0</v>
      </c>
      <c r="DF196" s="15">
        <v>0</v>
      </c>
      <c r="DG196" s="15">
        <v>0</v>
      </c>
      <c r="DH196" s="15">
        <v>0</v>
      </c>
      <c r="DI196" s="15">
        <v>0</v>
      </c>
      <c r="DJ196" s="15">
        <v>0</v>
      </c>
      <c r="DK196" s="15">
        <v>0</v>
      </c>
      <c r="DL196" s="15">
        <v>0</v>
      </c>
      <c r="DM196" s="15">
        <v>0</v>
      </c>
      <c r="DN196" s="15">
        <v>0</v>
      </c>
      <c r="DO196" s="15">
        <v>0</v>
      </c>
      <c r="DP196" s="15">
        <v>0</v>
      </c>
      <c r="DQ196" s="15">
        <v>0</v>
      </c>
      <c r="DR196" s="15">
        <v>0</v>
      </c>
      <c r="DS196" s="15">
        <v>0</v>
      </c>
      <c r="DT196" s="15">
        <v>0</v>
      </c>
      <c r="DU196" s="15">
        <v>0</v>
      </c>
      <c r="DV196" s="15">
        <v>0</v>
      </c>
      <c r="DW196" s="15">
        <v>0</v>
      </c>
      <c r="DX196" s="15">
        <v>0</v>
      </c>
      <c r="DY196" s="15">
        <v>0</v>
      </c>
      <c r="DZ196" s="15">
        <v>0</v>
      </c>
      <c r="EA196" s="15">
        <v>0</v>
      </c>
      <c r="EB196" s="15">
        <v>0</v>
      </c>
      <c r="EC196" s="15">
        <v>0</v>
      </c>
      <c r="ED196" s="15">
        <v>0</v>
      </c>
      <c r="EE196" s="15">
        <v>0</v>
      </c>
      <c r="EF196" s="15">
        <v>0</v>
      </c>
    </row>
    <row r="197" spans="1:136" ht="15" customHeight="1" x14ac:dyDescent="0.35">
      <c r="A197" s="8" t="s">
        <v>12</v>
      </c>
      <c r="B197" s="8" t="s">
        <v>17</v>
      </c>
      <c r="C197" s="8" t="s">
        <v>17</v>
      </c>
      <c r="D197" s="8" t="s">
        <v>316</v>
      </c>
      <c r="E197" s="8" t="s">
        <v>14</v>
      </c>
      <c r="F197" s="8" t="s">
        <v>82</v>
      </c>
      <c r="G197" s="15">
        <v>40</v>
      </c>
      <c r="H197" s="15">
        <v>40</v>
      </c>
      <c r="I197" s="15">
        <v>40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40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5">
        <v>0</v>
      </c>
      <c r="CH197" s="15">
        <v>0</v>
      </c>
      <c r="CI197" s="15">
        <v>0</v>
      </c>
      <c r="CJ197" s="15">
        <v>0</v>
      </c>
      <c r="CK197" s="15">
        <v>0</v>
      </c>
      <c r="CL197" s="15">
        <v>0</v>
      </c>
      <c r="CM197" s="15">
        <v>0</v>
      </c>
      <c r="CN197" s="15">
        <v>0</v>
      </c>
      <c r="CO197" s="15">
        <v>0</v>
      </c>
      <c r="CP197" s="15">
        <v>0</v>
      </c>
      <c r="CQ197" s="15">
        <v>0</v>
      </c>
      <c r="CR197" s="15">
        <v>0</v>
      </c>
      <c r="CS197" s="15">
        <v>0</v>
      </c>
      <c r="CT197" s="15">
        <v>0</v>
      </c>
      <c r="CU197" s="15">
        <v>0</v>
      </c>
      <c r="CV197" s="15">
        <v>0</v>
      </c>
      <c r="CW197" s="15">
        <v>0</v>
      </c>
      <c r="CX197" s="15">
        <v>0</v>
      </c>
      <c r="CY197" s="15">
        <v>0</v>
      </c>
      <c r="CZ197" s="15">
        <v>0</v>
      </c>
      <c r="DA197" s="15">
        <v>0</v>
      </c>
      <c r="DB197" s="15">
        <v>0</v>
      </c>
      <c r="DC197" s="15">
        <v>0</v>
      </c>
      <c r="DD197" s="15">
        <v>0</v>
      </c>
      <c r="DE197" s="15">
        <v>0</v>
      </c>
      <c r="DF197" s="15">
        <v>0</v>
      </c>
      <c r="DG197" s="15">
        <v>0</v>
      </c>
      <c r="DH197" s="15">
        <v>0</v>
      </c>
      <c r="DI197" s="15">
        <v>0</v>
      </c>
      <c r="DJ197" s="15">
        <v>0</v>
      </c>
      <c r="DK197" s="15">
        <v>0</v>
      </c>
      <c r="DL197" s="15">
        <v>0</v>
      </c>
      <c r="DM197" s="15">
        <v>0</v>
      </c>
      <c r="DN197" s="15">
        <v>0</v>
      </c>
      <c r="DO197" s="15">
        <v>0</v>
      </c>
      <c r="DP197" s="15">
        <v>0</v>
      </c>
      <c r="DQ197" s="15">
        <v>0</v>
      </c>
      <c r="DR197" s="15">
        <v>0</v>
      </c>
      <c r="DS197" s="15">
        <v>0</v>
      </c>
      <c r="DT197" s="15">
        <v>0</v>
      </c>
      <c r="DU197" s="15">
        <v>0</v>
      </c>
      <c r="DV197" s="15">
        <v>0</v>
      </c>
      <c r="DW197" s="15">
        <v>0</v>
      </c>
      <c r="DX197" s="15">
        <v>0</v>
      </c>
      <c r="DY197" s="15">
        <v>0</v>
      </c>
      <c r="DZ197" s="15">
        <v>0</v>
      </c>
      <c r="EA197" s="15">
        <v>0</v>
      </c>
      <c r="EB197" s="15">
        <v>0</v>
      </c>
      <c r="EC197" s="15">
        <v>0</v>
      </c>
      <c r="ED197" s="15">
        <v>0</v>
      </c>
      <c r="EE197" s="15">
        <v>0</v>
      </c>
      <c r="EF197" s="15">
        <v>0</v>
      </c>
    </row>
    <row r="198" spans="1:136" ht="15" customHeight="1" x14ac:dyDescent="0.35">
      <c r="A198" s="8" t="s">
        <v>12</v>
      </c>
      <c r="B198" s="8" t="s">
        <v>17</v>
      </c>
      <c r="C198" s="8" t="s">
        <v>17</v>
      </c>
      <c r="D198" s="8" t="s">
        <v>316</v>
      </c>
      <c r="E198" s="8" t="s">
        <v>14</v>
      </c>
      <c r="F198" s="8" t="s">
        <v>82</v>
      </c>
      <c r="G198" s="15">
        <v>0</v>
      </c>
      <c r="H198" s="15">
        <v>0</v>
      </c>
      <c r="I198" s="15">
        <v>20</v>
      </c>
      <c r="J198" s="15">
        <v>-20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12</v>
      </c>
      <c r="AA198" s="15">
        <v>8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0</v>
      </c>
      <c r="BL198" s="15">
        <v>0</v>
      </c>
      <c r="BM198" s="15">
        <v>0</v>
      </c>
      <c r="BN198" s="15">
        <v>0</v>
      </c>
      <c r="BO198" s="15">
        <v>0</v>
      </c>
      <c r="BP198" s="15">
        <v>0</v>
      </c>
      <c r="BQ198" s="15">
        <v>0</v>
      </c>
      <c r="BR198" s="15">
        <v>0</v>
      </c>
      <c r="BS198" s="15">
        <v>0</v>
      </c>
      <c r="BT198" s="15">
        <v>0</v>
      </c>
      <c r="BU198" s="15">
        <v>0</v>
      </c>
      <c r="BV198" s="15">
        <v>0</v>
      </c>
      <c r="BW198" s="15">
        <v>0</v>
      </c>
      <c r="BX198" s="15">
        <v>0</v>
      </c>
      <c r="BY198" s="15">
        <v>0</v>
      </c>
      <c r="BZ198" s="15">
        <v>0</v>
      </c>
      <c r="CA198" s="15">
        <v>0</v>
      </c>
      <c r="CB198" s="15">
        <v>0</v>
      </c>
      <c r="CC198" s="15">
        <v>0</v>
      </c>
      <c r="CD198" s="15">
        <v>0</v>
      </c>
      <c r="CE198" s="15">
        <v>0</v>
      </c>
      <c r="CF198" s="15">
        <v>0</v>
      </c>
      <c r="CG198" s="15">
        <v>0</v>
      </c>
      <c r="CH198" s="15">
        <v>0</v>
      </c>
      <c r="CI198" s="15">
        <v>0</v>
      </c>
      <c r="CJ198" s="15">
        <v>0</v>
      </c>
      <c r="CK198" s="15">
        <v>0</v>
      </c>
      <c r="CL198" s="15">
        <v>0</v>
      </c>
      <c r="CM198" s="15">
        <v>0</v>
      </c>
      <c r="CN198" s="15">
        <v>0</v>
      </c>
      <c r="CO198" s="15">
        <v>0</v>
      </c>
      <c r="CP198" s="15">
        <v>0</v>
      </c>
      <c r="CQ198" s="15">
        <v>0</v>
      </c>
      <c r="CR198" s="15">
        <v>0</v>
      </c>
      <c r="CS198" s="15">
        <v>0</v>
      </c>
      <c r="CT198" s="15">
        <v>0</v>
      </c>
      <c r="CU198" s="15">
        <v>0</v>
      </c>
      <c r="CV198" s="15">
        <v>0</v>
      </c>
      <c r="CW198" s="15">
        <v>0</v>
      </c>
      <c r="CX198" s="15">
        <v>0</v>
      </c>
      <c r="CY198" s="15">
        <v>0</v>
      </c>
      <c r="CZ198" s="15">
        <v>0</v>
      </c>
      <c r="DA198" s="15">
        <v>0</v>
      </c>
      <c r="DB198" s="15">
        <v>0</v>
      </c>
      <c r="DC198" s="15">
        <v>0</v>
      </c>
      <c r="DD198" s="15">
        <v>0</v>
      </c>
      <c r="DE198" s="15">
        <v>0</v>
      </c>
      <c r="DF198" s="15">
        <v>0</v>
      </c>
      <c r="DG198" s="15">
        <v>0</v>
      </c>
      <c r="DH198" s="15">
        <v>0</v>
      </c>
      <c r="DI198" s="15">
        <v>0</v>
      </c>
      <c r="DJ198" s="15">
        <v>0</v>
      </c>
      <c r="DK198" s="15">
        <v>0</v>
      </c>
      <c r="DL198" s="15">
        <v>0</v>
      </c>
      <c r="DM198" s="15">
        <v>0</v>
      </c>
      <c r="DN198" s="15">
        <v>0</v>
      </c>
      <c r="DO198" s="15">
        <v>0</v>
      </c>
      <c r="DP198" s="15">
        <v>0</v>
      </c>
      <c r="DQ198" s="15">
        <v>0</v>
      </c>
      <c r="DR198" s="15">
        <v>0</v>
      </c>
      <c r="DS198" s="15">
        <v>0</v>
      </c>
      <c r="DT198" s="15">
        <v>0</v>
      </c>
      <c r="DU198" s="15">
        <v>0</v>
      </c>
      <c r="DV198" s="15">
        <v>0</v>
      </c>
      <c r="DW198" s="15">
        <v>0</v>
      </c>
      <c r="DX198" s="15">
        <v>0</v>
      </c>
      <c r="DY198" s="15">
        <v>0</v>
      </c>
      <c r="DZ198" s="15">
        <v>0</v>
      </c>
      <c r="EA198" s="15">
        <v>0</v>
      </c>
      <c r="EB198" s="15">
        <v>0</v>
      </c>
      <c r="EC198" s="15">
        <v>0</v>
      </c>
      <c r="ED198" s="15">
        <v>0</v>
      </c>
      <c r="EE198" s="15">
        <v>0</v>
      </c>
      <c r="EF198" s="15">
        <v>0</v>
      </c>
    </row>
    <row r="199" spans="1:136" ht="15" customHeight="1" x14ac:dyDescent="0.35">
      <c r="A199" s="8" t="s">
        <v>12</v>
      </c>
      <c r="B199" s="8" t="s">
        <v>17</v>
      </c>
      <c r="C199" s="8" t="s">
        <v>17</v>
      </c>
      <c r="D199" s="8" t="s">
        <v>315</v>
      </c>
      <c r="E199" s="8" t="s">
        <v>14</v>
      </c>
      <c r="F199" s="8" t="s">
        <v>83</v>
      </c>
      <c r="G199" s="15">
        <v>0</v>
      </c>
      <c r="H199" s="15">
        <v>0</v>
      </c>
      <c r="I199" s="15">
        <v>32</v>
      </c>
      <c r="J199" s="15">
        <v>-32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4</v>
      </c>
      <c r="AO199" s="15">
        <v>28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5">
        <v>0</v>
      </c>
      <c r="CH199" s="15">
        <v>0</v>
      </c>
      <c r="CI199" s="15">
        <v>0</v>
      </c>
      <c r="CJ199" s="15">
        <v>0</v>
      </c>
      <c r="CK199" s="15">
        <v>0</v>
      </c>
      <c r="CL199" s="15">
        <v>0</v>
      </c>
      <c r="CM199" s="15">
        <v>0</v>
      </c>
      <c r="CN199" s="15">
        <v>0</v>
      </c>
      <c r="CO199" s="15">
        <v>0</v>
      </c>
      <c r="CP199" s="15">
        <v>0</v>
      </c>
      <c r="CQ199" s="15">
        <v>0</v>
      </c>
      <c r="CR199" s="15">
        <v>0</v>
      </c>
      <c r="CS199" s="15">
        <v>0</v>
      </c>
      <c r="CT199" s="15">
        <v>0</v>
      </c>
      <c r="CU199" s="15">
        <v>0</v>
      </c>
      <c r="CV199" s="15">
        <v>0</v>
      </c>
      <c r="CW199" s="15">
        <v>0</v>
      </c>
      <c r="CX199" s="15">
        <v>0</v>
      </c>
      <c r="CY199" s="15">
        <v>0</v>
      </c>
      <c r="CZ199" s="15">
        <v>0</v>
      </c>
      <c r="DA199" s="15">
        <v>0</v>
      </c>
      <c r="DB199" s="15">
        <v>0</v>
      </c>
      <c r="DC199" s="15">
        <v>0</v>
      </c>
      <c r="DD199" s="15">
        <v>0</v>
      </c>
      <c r="DE199" s="15">
        <v>0</v>
      </c>
      <c r="DF199" s="15">
        <v>0</v>
      </c>
      <c r="DG199" s="15">
        <v>0</v>
      </c>
      <c r="DH199" s="15">
        <v>0</v>
      </c>
      <c r="DI199" s="15">
        <v>0</v>
      </c>
      <c r="DJ199" s="15">
        <v>0</v>
      </c>
      <c r="DK199" s="15">
        <v>0</v>
      </c>
      <c r="DL199" s="15">
        <v>0</v>
      </c>
      <c r="DM199" s="15">
        <v>0</v>
      </c>
      <c r="DN199" s="15">
        <v>0</v>
      </c>
      <c r="DO199" s="15">
        <v>0</v>
      </c>
      <c r="DP199" s="15">
        <v>0</v>
      </c>
      <c r="DQ199" s="15">
        <v>0</v>
      </c>
      <c r="DR199" s="15">
        <v>0</v>
      </c>
      <c r="DS199" s="15">
        <v>0</v>
      </c>
      <c r="DT199" s="15">
        <v>0</v>
      </c>
      <c r="DU199" s="15">
        <v>0</v>
      </c>
      <c r="DV199" s="15">
        <v>0</v>
      </c>
      <c r="DW199" s="15">
        <v>0</v>
      </c>
      <c r="DX199" s="15">
        <v>0</v>
      </c>
      <c r="DY199" s="15">
        <v>0</v>
      </c>
      <c r="DZ199" s="15">
        <v>0</v>
      </c>
      <c r="EA199" s="15">
        <v>0</v>
      </c>
      <c r="EB199" s="15">
        <v>0</v>
      </c>
      <c r="EC199" s="15">
        <v>0</v>
      </c>
      <c r="ED199" s="15">
        <v>0</v>
      </c>
      <c r="EE199" s="15">
        <v>0</v>
      </c>
      <c r="EF199" s="15">
        <v>0</v>
      </c>
    </row>
    <row r="200" spans="1:136" ht="15" customHeight="1" x14ac:dyDescent="0.35">
      <c r="A200" s="8" t="s">
        <v>12</v>
      </c>
      <c r="B200" s="8" t="s">
        <v>17</v>
      </c>
      <c r="C200" s="8" t="s">
        <v>17</v>
      </c>
      <c r="D200" s="8" t="s">
        <v>316</v>
      </c>
      <c r="E200" s="8" t="s">
        <v>14</v>
      </c>
      <c r="F200" s="8" t="s">
        <v>83</v>
      </c>
      <c r="G200" s="15">
        <v>20</v>
      </c>
      <c r="H200" s="15">
        <v>20</v>
      </c>
      <c r="I200" s="15">
        <v>0</v>
      </c>
      <c r="J200" s="15">
        <v>20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0</v>
      </c>
      <c r="BL200" s="15">
        <v>0</v>
      </c>
      <c r="BM200" s="15">
        <v>0</v>
      </c>
      <c r="BN200" s="15">
        <v>0</v>
      </c>
      <c r="BO200" s="15">
        <v>0</v>
      </c>
      <c r="BP200" s="15">
        <v>0</v>
      </c>
      <c r="BQ200" s="15">
        <v>0</v>
      </c>
      <c r="BR200" s="15">
        <v>0</v>
      </c>
      <c r="BS200" s="15">
        <v>0</v>
      </c>
      <c r="BT200" s="15">
        <v>0</v>
      </c>
      <c r="BU200" s="15">
        <v>0</v>
      </c>
      <c r="BV200" s="15">
        <v>0</v>
      </c>
      <c r="BW200" s="15">
        <v>0</v>
      </c>
      <c r="BX200" s="15">
        <v>0</v>
      </c>
      <c r="BY200" s="15">
        <v>0</v>
      </c>
      <c r="BZ200" s="15">
        <v>0</v>
      </c>
      <c r="CA200" s="15">
        <v>0</v>
      </c>
      <c r="CB200" s="15">
        <v>0</v>
      </c>
      <c r="CC200" s="15">
        <v>0</v>
      </c>
      <c r="CD200" s="15">
        <v>0</v>
      </c>
      <c r="CE200" s="15">
        <v>0</v>
      </c>
      <c r="CF200" s="15">
        <v>0</v>
      </c>
      <c r="CG200" s="15">
        <v>0</v>
      </c>
      <c r="CH200" s="15">
        <v>0</v>
      </c>
      <c r="CI200" s="15">
        <v>0</v>
      </c>
      <c r="CJ200" s="15">
        <v>0</v>
      </c>
      <c r="CK200" s="15">
        <v>0</v>
      </c>
      <c r="CL200" s="15">
        <v>0</v>
      </c>
      <c r="CM200" s="15">
        <v>0</v>
      </c>
      <c r="CN200" s="15">
        <v>0</v>
      </c>
      <c r="CO200" s="15">
        <v>0</v>
      </c>
      <c r="CP200" s="15">
        <v>0</v>
      </c>
      <c r="CQ200" s="15">
        <v>0</v>
      </c>
      <c r="CR200" s="15">
        <v>0</v>
      </c>
      <c r="CS200" s="15">
        <v>0</v>
      </c>
      <c r="CT200" s="15">
        <v>0</v>
      </c>
      <c r="CU200" s="15">
        <v>0</v>
      </c>
      <c r="CV200" s="15">
        <v>0</v>
      </c>
      <c r="CW200" s="15">
        <v>0</v>
      </c>
      <c r="CX200" s="15">
        <v>0</v>
      </c>
      <c r="CY200" s="15">
        <v>0</v>
      </c>
      <c r="CZ200" s="15">
        <v>0</v>
      </c>
      <c r="DA200" s="15">
        <v>0</v>
      </c>
      <c r="DB200" s="15">
        <v>0</v>
      </c>
      <c r="DC200" s="15">
        <v>0</v>
      </c>
      <c r="DD200" s="15">
        <v>0</v>
      </c>
      <c r="DE200" s="15">
        <v>0</v>
      </c>
      <c r="DF200" s="15">
        <v>0</v>
      </c>
      <c r="DG200" s="15">
        <v>0</v>
      </c>
      <c r="DH200" s="15">
        <v>0</v>
      </c>
      <c r="DI200" s="15">
        <v>0</v>
      </c>
      <c r="DJ200" s="15">
        <v>0</v>
      </c>
      <c r="DK200" s="15">
        <v>0</v>
      </c>
      <c r="DL200" s="15">
        <v>0</v>
      </c>
      <c r="DM200" s="15">
        <v>0</v>
      </c>
      <c r="DN200" s="15">
        <v>0</v>
      </c>
      <c r="DO200" s="15">
        <v>0</v>
      </c>
      <c r="DP200" s="15">
        <v>0</v>
      </c>
      <c r="DQ200" s="15">
        <v>0</v>
      </c>
      <c r="DR200" s="15">
        <v>0</v>
      </c>
      <c r="DS200" s="15">
        <v>0</v>
      </c>
      <c r="DT200" s="15">
        <v>0</v>
      </c>
      <c r="DU200" s="15">
        <v>0</v>
      </c>
      <c r="DV200" s="15">
        <v>0</v>
      </c>
      <c r="DW200" s="15">
        <v>0</v>
      </c>
      <c r="DX200" s="15">
        <v>0</v>
      </c>
      <c r="DY200" s="15">
        <v>0</v>
      </c>
      <c r="DZ200" s="15">
        <v>0</v>
      </c>
      <c r="EA200" s="15">
        <v>0</v>
      </c>
      <c r="EB200" s="15">
        <v>0</v>
      </c>
      <c r="EC200" s="15">
        <v>0</v>
      </c>
      <c r="ED200" s="15">
        <v>0</v>
      </c>
      <c r="EE200" s="15">
        <v>0</v>
      </c>
      <c r="EF200" s="15">
        <v>0</v>
      </c>
    </row>
    <row r="201" spans="1:136" ht="15" customHeight="1" x14ac:dyDescent="0.35">
      <c r="A201" s="8" t="s">
        <v>12</v>
      </c>
      <c r="B201" s="8" t="s">
        <v>17</v>
      </c>
      <c r="C201" s="8" t="s">
        <v>17</v>
      </c>
      <c r="D201" s="8" t="s">
        <v>315</v>
      </c>
      <c r="E201" s="8" t="s">
        <v>14</v>
      </c>
      <c r="F201" s="8" t="s">
        <v>84</v>
      </c>
      <c r="G201" s="15">
        <v>0</v>
      </c>
      <c r="H201" s="15">
        <v>0</v>
      </c>
      <c r="I201" s="15">
        <v>20</v>
      </c>
      <c r="J201" s="15">
        <v>-20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5">
        <v>0</v>
      </c>
      <c r="CH201" s="15">
        <v>0</v>
      </c>
      <c r="CI201" s="15">
        <v>0</v>
      </c>
      <c r="CJ201" s="15">
        <v>0</v>
      </c>
      <c r="CK201" s="15">
        <v>0</v>
      </c>
      <c r="CL201" s="15">
        <v>0</v>
      </c>
      <c r="CM201" s="15">
        <v>0</v>
      </c>
      <c r="CN201" s="15">
        <v>0</v>
      </c>
      <c r="CO201" s="15">
        <v>0</v>
      </c>
      <c r="CP201" s="15">
        <v>0</v>
      </c>
      <c r="CQ201" s="15">
        <v>0</v>
      </c>
      <c r="CR201" s="15">
        <v>0</v>
      </c>
      <c r="CS201" s="15">
        <v>0</v>
      </c>
      <c r="CT201" s="15">
        <v>0</v>
      </c>
      <c r="CU201" s="15">
        <v>0</v>
      </c>
      <c r="CV201" s="15">
        <v>0</v>
      </c>
      <c r="CW201" s="15">
        <v>0</v>
      </c>
      <c r="CX201" s="15">
        <v>0</v>
      </c>
      <c r="CY201" s="15">
        <v>0</v>
      </c>
      <c r="CZ201" s="15">
        <v>10</v>
      </c>
      <c r="DA201" s="15">
        <v>10</v>
      </c>
      <c r="DB201" s="15">
        <v>0</v>
      </c>
      <c r="DC201" s="15">
        <v>0</v>
      </c>
      <c r="DD201" s="15">
        <v>0</v>
      </c>
      <c r="DE201" s="15">
        <v>0</v>
      </c>
      <c r="DF201" s="15">
        <v>0</v>
      </c>
      <c r="DG201" s="15">
        <v>0</v>
      </c>
      <c r="DH201" s="15">
        <v>0</v>
      </c>
      <c r="DI201" s="15">
        <v>0</v>
      </c>
      <c r="DJ201" s="15">
        <v>0</v>
      </c>
      <c r="DK201" s="15">
        <v>0</v>
      </c>
      <c r="DL201" s="15">
        <v>0</v>
      </c>
      <c r="DM201" s="15">
        <v>0</v>
      </c>
      <c r="DN201" s="15">
        <v>0</v>
      </c>
      <c r="DO201" s="15">
        <v>0</v>
      </c>
      <c r="DP201" s="15">
        <v>0</v>
      </c>
      <c r="DQ201" s="15">
        <v>0</v>
      </c>
      <c r="DR201" s="15">
        <v>0</v>
      </c>
      <c r="DS201" s="15">
        <v>0</v>
      </c>
      <c r="DT201" s="15">
        <v>0</v>
      </c>
      <c r="DU201" s="15">
        <v>0</v>
      </c>
      <c r="DV201" s="15">
        <v>0</v>
      </c>
      <c r="DW201" s="15">
        <v>0</v>
      </c>
      <c r="DX201" s="15">
        <v>0</v>
      </c>
      <c r="DY201" s="15">
        <v>0</v>
      </c>
      <c r="DZ201" s="15">
        <v>0</v>
      </c>
      <c r="EA201" s="15">
        <v>0</v>
      </c>
      <c r="EB201" s="15">
        <v>0</v>
      </c>
      <c r="EC201" s="15">
        <v>0</v>
      </c>
      <c r="ED201" s="15">
        <v>0</v>
      </c>
      <c r="EE201" s="15">
        <v>0</v>
      </c>
      <c r="EF201" s="15">
        <v>0</v>
      </c>
    </row>
    <row r="202" spans="1:136" ht="15" customHeight="1" x14ac:dyDescent="0.35">
      <c r="A202" s="8" t="s">
        <v>12</v>
      </c>
      <c r="B202" s="8" t="s">
        <v>17</v>
      </c>
      <c r="C202" s="8" t="s">
        <v>17</v>
      </c>
      <c r="D202" s="8" t="s">
        <v>316</v>
      </c>
      <c r="E202" s="8" t="s">
        <v>14</v>
      </c>
      <c r="F202" s="8" t="s">
        <v>84</v>
      </c>
      <c r="G202" s="15">
        <v>0</v>
      </c>
      <c r="H202" s="15">
        <v>20</v>
      </c>
      <c r="I202" s="15">
        <v>0</v>
      </c>
      <c r="J202" s="15">
        <v>20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0</v>
      </c>
      <c r="BL202" s="15">
        <v>0</v>
      </c>
      <c r="BM202" s="15">
        <v>0</v>
      </c>
      <c r="BN202" s="15">
        <v>0</v>
      </c>
      <c r="BO202" s="15">
        <v>0</v>
      </c>
      <c r="BP202" s="15">
        <v>0</v>
      </c>
      <c r="BQ202" s="15">
        <v>0</v>
      </c>
      <c r="BR202" s="15">
        <v>0</v>
      </c>
      <c r="BS202" s="15">
        <v>0</v>
      </c>
      <c r="BT202" s="15">
        <v>0</v>
      </c>
      <c r="BU202" s="15">
        <v>0</v>
      </c>
      <c r="BV202" s="15">
        <v>0</v>
      </c>
      <c r="BW202" s="15">
        <v>0</v>
      </c>
      <c r="BX202" s="15">
        <v>0</v>
      </c>
      <c r="BY202" s="15">
        <v>0</v>
      </c>
      <c r="BZ202" s="15">
        <v>0</v>
      </c>
      <c r="CA202" s="15">
        <v>0</v>
      </c>
      <c r="CB202" s="15">
        <v>0</v>
      </c>
      <c r="CC202" s="15">
        <v>0</v>
      </c>
      <c r="CD202" s="15">
        <v>0</v>
      </c>
      <c r="CE202" s="15">
        <v>0</v>
      </c>
      <c r="CF202" s="15">
        <v>0</v>
      </c>
      <c r="CG202" s="15">
        <v>0</v>
      </c>
      <c r="CH202" s="15">
        <v>0</v>
      </c>
      <c r="CI202" s="15">
        <v>0</v>
      </c>
      <c r="CJ202" s="15">
        <v>0</v>
      </c>
      <c r="CK202" s="15">
        <v>0</v>
      </c>
      <c r="CL202" s="15">
        <v>0</v>
      </c>
      <c r="CM202" s="15">
        <v>0</v>
      </c>
      <c r="CN202" s="15">
        <v>0</v>
      </c>
      <c r="CO202" s="15">
        <v>0</v>
      </c>
      <c r="CP202" s="15">
        <v>0</v>
      </c>
      <c r="CQ202" s="15">
        <v>0</v>
      </c>
      <c r="CR202" s="15">
        <v>0</v>
      </c>
      <c r="CS202" s="15">
        <v>0</v>
      </c>
      <c r="CT202" s="15">
        <v>0</v>
      </c>
      <c r="CU202" s="15">
        <v>0</v>
      </c>
      <c r="CV202" s="15">
        <v>0</v>
      </c>
      <c r="CW202" s="15">
        <v>0</v>
      </c>
      <c r="CX202" s="15">
        <v>0</v>
      </c>
      <c r="CY202" s="15">
        <v>0</v>
      </c>
      <c r="CZ202" s="15">
        <v>0</v>
      </c>
      <c r="DA202" s="15">
        <v>0</v>
      </c>
      <c r="DB202" s="15">
        <v>0</v>
      </c>
      <c r="DC202" s="15">
        <v>0</v>
      </c>
      <c r="DD202" s="15">
        <v>0</v>
      </c>
      <c r="DE202" s="15">
        <v>0</v>
      </c>
      <c r="DF202" s="15">
        <v>0</v>
      </c>
      <c r="DG202" s="15">
        <v>0</v>
      </c>
      <c r="DH202" s="15">
        <v>0</v>
      </c>
      <c r="DI202" s="15">
        <v>0</v>
      </c>
      <c r="DJ202" s="15">
        <v>0</v>
      </c>
      <c r="DK202" s="15">
        <v>0</v>
      </c>
      <c r="DL202" s="15">
        <v>0</v>
      </c>
      <c r="DM202" s="15">
        <v>0</v>
      </c>
      <c r="DN202" s="15">
        <v>0</v>
      </c>
      <c r="DO202" s="15">
        <v>0</v>
      </c>
      <c r="DP202" s="15">
        <v>0</v>
      </c>
      <c r="DQ202" s="15">
        <v>0</v>
      </c>
      <c r="DR202" s="15">
        <v>0</v>
      </c>
      <c r="DS202" s="15">
        <v>0</v>
      </c>
      <c r="DT202" s="15">
        <v>0</v>
      </c>
      <c r="DU202" s="15">
        <v>0</v>
      </c>
      <c r="DV202" s="15">
        <v>0</v>
      </c>
      <c r="DW202" s="15">
        <v>0</v>
      </c>
      <c r="DX202" s="15">
        <v>0</v>
      </c>
      <c r="DY202" s="15">
        <v>0</v>
      </c>
      <c r="DZ202" s="15">
        <v>0</v>
      </c>
      <c r="EA202" s="15">
        <v>0</v>
      </c>
      <c r="EB202" s="15">
        <v>0</v>
      </c>
      <c r="EC202" s="15">
        <v>0</v>
      </c>
      <c r="ED202" s="15">
        <v>0</v>
      </c>
      <c r="EE202" s="15">
        <v>0</v>
      </c>
      <c r="EF202" s="15">
        <v>0</v>
      </c>
    </row>
    <row r="203" spans="1:136" ht="15" customHeight="1" x14ac:dyDescent="0.35">
      <c r="A203" s="8" t="s">
        <v>12</v>
      </c>
      <c r="B203" s="8" t="s">
        <v>17</v>
      </c>
      <c r="C203" s="8" t="s">
        <v>17</v>
      </c>
      <c r="D203" s="8" t="s">
        <v>315</v>
      </c>
      <c r="E203" s="8" t="s">
        <v>14</v>
      </c>
      <c r="F203" s="8" t="s">
        <v>40</v>
      </c>
      <c r="G203" s="15">
        <v>0</v>
      </c>
      <c r="H203" s="15">
        <v>0</v>
      </c>
      <c r="I203" s="15">
        <v>28</v>
      </c>
      <c r="J203" s="15">
        <v>-28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5">
        <v>0</v>
      </c>
      <c r="CH203" s="15">
        <v>0</v>
      </c>
      <c r="CI203" s="15">
        <v>0</v>
      </c>
      <c r="CJ203" s="15">
        <v>0</v>
      </c>
      <c r="CK203" s="15">
        <v>0</v>
      </c>
      <c r="CL203" s="15">
        <v>0</v>
      </c>
      <c r="CM203" s="15">
        <v>0</v>
      </c>
      <c r="CN203" s="15">
        <v>0</v>
      </c>
      <c r="CO203" s="15">
        <v>0</v>
      </c>
      <c r="CP203" s="15">
        <v>0</v>
      </c>
      <c r="CQ203" s="15">
        <v>0</v>
      </c>
      <c r="CR203" s="15">
        <v>0</v>
      </c>
      <c r="CS203" s="15">
        <v>0</v>
      </c>
      <c r="CT203" s="15">
        <v>0</v>
      </c>
      <c r="CU203" s="15">
        <v>0</v>
      </c>
      <c r="CV203" s="15">
        <v>0</v>
      </c>
      <c r="CW203" s="15">
        <v>0</v>
      </c>
      <c r="CX203" s="15">
        <v>0</v>
      </c>
      <c r="CY203" s="15">
        <v>0</v>
      </c>
      <c r="CZ203" s="15">
        <v>0</v>
      </c>
      <c r="DA203" s="15">
        <v>0</v>
      </c>
      <c r="DB203" s="15">
        <v>0</v>
      </c>
      <c r="DC203" s="15">
        <v>0</v>
      </c>
      <c r="DD203" s="15">
        <v>0</v>
      </c>
      <c r="DE203" s="15">
        <v>0</v>
      </c>
      <c r="DF203" s="15">
        <v>0</v>
      </c>
      <c r="DG203" s="15">
        <v>0</v>
      </c>
      <c r="DH203" s="15">
        <v>0</v>
      </c>
      <c r="DI203" s="15">
        <v>0</v>
      </c>
      <c r="DJ203" s="15">
        <v>0</v>
      </c>
      <c r="DK203" s="15">
        <v>0</v>
      </c>
      <c r="DL203" s="15">
        <v>0</v>
      </c>
      <c r="DM203" s="15">
        <v>0</v>
      </c>
      <c r="DN203" s="15">
        <v>0</v>
      </c>
      <c r="DO203" s="15">
        <v>0</v>
      </c>
      <c r="DP203" s="15">
        <v>8</v>
      </c>
      <c r="DQ203" s="15">
        <v>10</v>
      </c>
      <c r="DR203" s="15">
        <v>10</v>
      </c>
      <c r="DS203" s="15">
        <v>0</v>
      </c>
      <c r="DT203" s="15">
        <v>0</v>
      </c>
      <c r="DU203" s="15">
        <v>0</v>
      </c>
      <c r="DV203" s="15">
        <v>0</v>
      </c>
      <c r="DW203" s="15">
        <v>0</v>
      </c>
      <c r="DX203" s="15">
        <v>0</v>
      </c>
      <c r="DY203" s="15">
        <v>0</v>
      </c>
      <c r="DZ203" s="15">
        <v>0</v>
      </c>
      <c r="EA203" s="15">
        <v>0</v>
      </c>
      <c r="EB203" s="15">
        <v>0</v>
      </c>
      <c r="EC203" s="15">
        <v>0</v>
      </c>
      <c r="ED203" s="15">
        <v>0</v>
      </c>
      <c r="EE203" s="15">
        <v>0</v>
      </c>
      <c r="EF203" s="15">
        <v>0</v>
      </c>
    </row>
    <row r="204" spans="1:136" ht="15" customHeight="1" x14ac:dyDescent="0.35">
      <c r="A204" s="8" t="s">
        <v>12</v>
      </c>
      <c r="B204" s="8" t="s">
        <v>17</v>
      </c>
      <c r="C204" s="8" t="s">
        <v>17</v>
      </c>
      <c r="D204" s="8" t="s">
        <v>316</v>
      </c>
      <c r="E204" s="8" t="s">
        <v>14</v>
      </c>
      <c r="F204" s="8" t="s">
        <v>40</v>
      </c>
      <c r="G204" s="15">
        <v>0</v>
      </c>
      <c r="H204" s="15">
        <v>28</v>
      </c>
      <c r="I204" s="15">
        <v>0</v>
      </c>
      <c r="J204" s="15">
        <v>28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0</v>
      </c>
      <c r="BE204" s="15">
        <v>0</v>
      </c>
      <c r="BF204" s="15">
        <v>0</v>
      </c>
      <c r="BG204" s="15">
        <v>0</v>
      </c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0</v>
      </c>
      <c r="BN204" s="15">
        <v>0</v>
      </c>
      <c r="BO204" s="15">
        <v>0</v>
      </c>
      <c r="BP204" s="15">
        <v>0</v>
      </c>
      <c r="BQ204" s="15">
        <v>0</v>
      </c>
      <c r="BR204" s="15">
        <v>0</v>
      </c>
      <c r="BS204" s="15">
        <v>0</v>
      </c>
      <c r="BT204" s="15">
        <v>0</v>
      </c>
      <c r="BU204" s="15">
        <v>0</v>
      </c>
      <c r="BV204" s="15">
        <v>0</v>
      </c>
      <c r="BW204" s="15">
        <v>0</v>
      </c>
      <c r="BX204" s="15">
        <v>0</v>
      </c>
      <c r="BY204" s="15">
        <v>0</v>
      </c>
      <c r="BZ204" s="15">
        <v>0</v>
      </c>
      <c r="CA204" s="15">
        <v>0</v>
      </c>
      <c r="CB204" s="15">
        <v>0</v>
      </c>
      <c r="CC204" s="15">
        <v>0</v>
      </c>
      <c r="CD204" s="15">
        <v>0</v>
      </c>
      <c r="CE204" s="15">
        <v>0</v>
      </c>
      <c r="CF204" s="15">
        <v>0</v>
      </c>
      <c r="CG204" s="15">
        <v>0</v>
      </c>
      <c r="CH204" s="15">
        <v>0</v>
      </c>
      <c r="CI204" s="15">
        <v>0</v>
      </c>
      <c r="CJ204" s="15">
        <v>0</v>
      </c>
      <c r="CK204" s="15">
        <v>0</v>
      </c>
      <c r="CL204" s="15">
        <v>0</v>
      </c>
      <c r="CM204" s="15">
        <v>0</v>
      </c>
      <c r="CN204" s="15">
        <v>0</v>
      </c>
      <c r="CO204" s="15">
        <v>0</v>
      </c>
      <c r="CP204" s="15">
        <v>0</v>
      </c>
      <c r="CQ204" s="15">
        <v>0</v>
      </c>
      <c r="CR204" s="15">
        <v>0</v>
      </c>
      <c r="CS204" s="15">
        <v>0</v>
      </c>
      <c r="CT204" s="15">
        <v>0</v>
      </c>
      <c r="CU204" s="15">
        <v>0</v>
      </c>
      <c r="CV204" s="15">
        <v>0</v>
      </c>
      <c r="CW204" s="15">
        <v>0</v>
      </c>
      <c r="CX204" s="15">
        <v>0</v>
      </c>
      <c r="CY204" s="15">
        <v>0</v>
      </c>
      <c r="CZ204" s="15">
        <v>0</v>
      </c>
      <c r="DA204" s="15">
        <v>0</v>
      </c>
      <c r="DB204" s="15">
        <v>0</v>
      </c>
      <c r="DC204" s="15">
        <v>0</v>
      </c>
      <c r="DD204" s="15">
        <v>0</v>
      </c>
      <c r="DE204" s="15">
        <v>0</v>
      </c>
      <c r="DF204" s="15">
        <v>0</v>
      </c>
      <c r="DG204" s="15">
        <v>0</v>
      </c>
      <c r="DH204" s="15">
        <v>0</v>
      </c>
      <c r="DI204" s="15">
        <v>0</v>
      </c>
      <c r="DJ204" s="15">
        <v>0</v>
      </c>
      <c r="DK204" s="15">
        <v>0</v>
      </c>
      <c r="DL204" s="15">
        <v>0</v>
      </c>
      <c r="DM204" s="15">
        <v>0</v>
      </c>
      <c r="DN204" s="15">
        <v>0</v>
      </c>
      <c r="DO204" s="15">
        <v>0</v>
      </c>
      <c r="DP204" s="15">
        <v>0</v>
      </c>
      <c r="DQ204" s="15">
        <v>0</v>
      </c>
      <c r="DR204" s="15">
        <v>0</v>
      </c>
      <c r="DS204" s="15">
        <v>0</v>
      </c>
      <c r="DT204" s="15">
        <v>0</v>
      </c>
      <c r="DU204" s="15">
        <v>0</v>
      </c>
      <c r="DV204" s="15">
        <v>0</v>
      </c>
      <c r="DW204" s="15">
        <v>0</v>
      </c>
      <c r="DX204" s="15">
        <v>0</v>
      </c>
      <c r="DY204" s="15">
        <v>0</v>
      </c>
      <c r="DZ204" s="15">
        <v>0</v>
      </c>
      <c r="EA204" s="15">
        <v>0</v>
      </c>
      <c r="EB204" s="15">
        <v>0</v>
      </c>
      <c r="EC204" s="15">
        <v>0</v>
      </c>
      <c r="ED204" s="15">
        <v>0</v>
      </c>
      <c r="EE204" s="15">
        <v>0</v>
      </c>
      <c r="EF204" s="15">
        <v>0</v>
      </c>
    </row>
    <row r="205" spans="1:136" ht="15" customHeight="1" x14ac:dyDescent="0.35">
      <c r="A205" s="8" t="s">
        <v>12</v>
      </c>
      <c r="B205" s="8" t="s">
        <v>17</v>
      </c>
      <c r="C205" s="8" t="s">
        <v>17</v>
      </c>
      <c r="D205" s="8" t="s">
        <v>315</v>
      </c>
      <c r="E205" s="8" t="s">
        <v>14</v>
      </c>
      <c r="F205" s="8" t="s">
        <v>46</v>
      </c>
      <c r="G205" s="15">
        <v>0</v>
      </c>
      <c r="H205" s="15">
        <v>0</v>
      </c>
      <c r="I205" s="15">
        <v>466</v>
      </c>
      <c r="J205" s="15">
        <v>-466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2</v>
      </c>
      <c r="AK205" s="15">
        <v>11</v>
      </c>
      <c r="AL205" s="15">
        <v>20</v>
      </c>
      <c r="AM205" s="15">
        <v>23.5</v>
      </c>
      <c r="AN205" s="15">
        <v>3</v>
      </c>
      <c r="AO205" s="15">
        <v>5</v>
      </c>
      <c r="AP205" s="15">
        <v>12</v>
      </c>
      <c r="AQ205" s="15">
        <v>7</v>
      </c>
      <c r="AR205" s="15">
        <v>13</v>
      </c>
      <c r="AS205" s="15">
        <v>8.5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5">
        <v>0</v>
      </c>
      <c r="CH205" s="15">
        <v>0</v>
      </c>
      <c r="CI205" s="15">
        <v>0</v>
      </c>
      <c r="CJ205" s="15">
        <v>0</v>
      </c>
      <c r="CK205" s="15">
        <v>0</v>
      </c>
      <c r="CL205" s="15">
        <v>0</v>
      </c>
      <c r="CM205" s="15">
        <v>0</v>
      </c>
      <c r="CN205" s="15">
        <v>0</v>
      </c>
      <c r="CO205" s="15">
        <v>0</v>
      </c>
      <c r="CP205" s="15">
        <v>0</v>
      </c>
      <c r="CQ205" s="15">
        <v>0</v>
      </c>
      <c r="CR205" s="15">
        <v>0</v>
      </c>
      <c r="CS205" s="15">
        <v>8.5</v>
      </c>
      <c r="CT205" s="15">
        <v>3</v>
      </c>
      <c r="CU205" s="15">
        <v>5</v>
      </c>
      <c r="CV205" s="15">
        <v>3</v>
      </c>
      <c r="CW205" s="15">
        <v>3</v>
      </c>
      <c r="CX205" s="15">
        <v>3</v>
      </c>
      <c r="CY205" s="15">
        <v>3</v>
      </c>
      <c r="CZ205" s="15">
        <v>3</v>
      </c>
      <c r="DA205" s="15">
        <v>3</v>
      </c>
      <c r="DB205" s="15">
        <v>12</v>
      </c>
      <c r="DC205" s="15">
        <v>12</v>
      </c>
      <c r="DD205" s="15">
        <v>7</v>
      </c>
      <c r="DE205" s="15">
        <v>8</v>
      </c>
      <c r="DF205" s="15">
        <v>3</v>
      </c>
      <c r="DG205" s="15">
        <v>15</v>
      </c>
      <c r="DH205" s="15">
        <v>15</v>
      </c>
      <c r="DI205" s="15">
        <v>0</v>
      </c>
      <c r="DJ205" s="15">
        <v>0</v>
      </c>
      <c r="DK205" s="15">
        <v>3</v>
      </c>
      <c r="DL205" s="15">
        <v>31.5</v>
      </c>
      <c r="DM205" s="15">
        <v>22</v>
      </c>
      <c r="DN205" s="15">
        <v>45</v>
      </c>
      <c r="DO205" s="15">
        <v>40</v>
      </c>
      <c r="DP205" s="15">
        <v>37.5</v>
      </c>
      <c r="DQ205" s="15">
        <v>57</v>
      </c>
      <c r="DR205" s="15">
        <v>18</v>
      </c>
      <c r="DS205" s="15">
        <v>3</v>
      </c>
      <c r="DT205" s="15">
        <v>3</v>
      </c>
      <c r="DU205" s="15">
        <v>3</v>
      </c>
      <c r="DV205" s="15">
        <v>0</v>
      </c>
      <c r="DW205" s="15">
        <v>0</v>
      </c>
      <c r="DX205" s="15">
        <v>0</v>
      </c>
      <c r="DY205" s="15">
        <v>0</v>
      </c>
      <c r="DZ205" s="15">
        <v>0</v>
      </c>
      <c r="EA205" s="15">
        <v>0</v>
      </c>
      <c r="EB205" s="15">
        <v>0</v>
      </c>
      <c r="EC205" s="15">
        <v>0</v>
      </c>
      <c r="ED205" s="15">
        <v>0</v>
      </c>
      <c r="EE205" s="15">
        <v>0</v>
      </c>
      <c r="EF205" s="15">
        <v>0</v>
      </c>
    </row>
    <row r="206" spans="1:136" ht="15" customHeight="1" x14ac:dyDescent="0.35">
      <c r="A206" s="8" t="s">
        <v>12</v>
      </c>
      <c r="B206" s="8" t="s">
        <v>17</v>
      </c>
      <c r="C206" s="8" t="s">
        <v>17</v>
      </c>
      <c r="D206" s="8" t="s">
        <v>316</v>
      </c>
      <c r="E206" s="8" t="s">
        <v>14</v>
      </c>
      <c r="F206" s="8" t="s">
        <v>46</v>
      </c>
      <c r="G206" s="15">
        <v>223</v>
      </c>
      <c r="H206" s="15">
        <v>590</v>
      </c>
      <c r="I206" s="15">
        <v>171</v>
      </c>
      <c r="J206" s="15">
        <v>419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1</v>
      </c>
      <c r="AC206" s="15">
        <v>16.5</v>
      </c>
      <c r="AD206" s="15">
        <v>24.5</v>
      </c>
      <c r="AE206" s="15">
        <v>16</v>
      </c>
      <c r="AF206" s="15">
        <v>19</v>
      </c>
      <c r="AG206" s="15">
        <v>18</v>
      </c>
      <c r="AH206" s="15">
        <v>32</v>
      </c>
      <c r="AI206" s="15">
        <v>32</v>
      </c>
      <c r="AJ206" s="15">
        <v>12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0</v>
      </c>
      <c r="BE206" s="15">
        <v>0</v>
      </c>
      <c r="BF206" s="15">
        <v>0</v>
      </c>
      <c r="BG206" s="15">
        <v>0</v>
      </c>
      <c r="BH206" s="15">
        <v>0</v>
      </c>
      <c r="BI206" s="15">
        <v>0</v>
      </c>
      <c r="BJ206" s="15">
        <v>0</v>
      </c>
      <c r="BK206" s="15">
        <v>0</v>
      </c>
      <c r="BL206" s="15">
        <v>0</v>
      </c>
      <c r="BM206" s="15">
        <v>0</v>
      </c>
      <c r="BN206" s="15">
        <v>0</v>
      </c>
      <c r="BO206" s="15">
        <v>0</v>
      </c>
      <c r="BP206" s="15">
        <v>0</v>
      </c>
      <c r="BQ206" s="15">
        <v>0</v>
      </c>
      <c r="BR206" s="15">
        <v>0</v>
      </c>
      <c r="BS206" s="15">
        <v>0</v>
      </c>
      <c r="BT206" s="15">
        <v>0</v>
      </c>
      <c r="BU206" s="15">
        <v>0</v>
      </c>
      <c r="BV206" s="15">
        <v>0</v>
      </c>
      <c r="BW206" s="15">
        <v>0</v>
      </c>
      <c r="BX206" s="15">
        <v>0</v>
      </c>
      <c r="BY206" s="15">
        <v>0</v>
      </c>
      <c r="BZ206" s="15">
        <v>0</v>
      </c>
      <c r="CA206" s="15">
        <v>0</v>
      </c>
      <c r="CB206" s="15">
        <v>0</v>
      </c>
      <c r="CC206" s="15">
        <v>0</v>
      </c>
      <c r="CD206" s="15">
        <v>0</v>
      </c>
      <c r="CE206" s="15">
        <v>0</v>
      </c>
      <c r="CF206" s="15">
        <v>0</v>
      </c>
      <c r="CG206" s="15">
        <v>0</v>
      </c>
      <c r="CH206" s="15">
        <v>0</v>
      </c>
      <c r="CI206" s="15">
        <v>0</v>
      </c>
      <c r="CJ206" s="15">
        <v>0</v>
      </c>
      <c r="CK206" s="15">
        <v>0</v>
      </c>
      <c r="CL206" s="15">
        <v>0</v>
      </c>
      <c r="CM206" s="15">
        <v>0</v>
      </c>
      <c r="CN206" s="15">
        <v>0</v>
      </c>
      <c r="CO206" s="15">
        <v>0</v>
      </c>
      <c r="CP206" s="15">
        <v>0</v>
      </c>
      <c r="CQ206" s="15">
        <v>0</v>
      </c>
      <c r="CR206" s="15">
        <v>0</v>
      </c>
      <c r="CS206" s="15">
        <v>0</v>
      </c>
      <c r="CT206" s="15">
        <v>0</v>
      </c>
      <c r="CU206" s="15">
        <v>0</v>
      </c>
      <c r="CV206" s="15">
        <v>0</v>
      </c>
      <c r="CW206" s="15">
        <v>0</v>
      </c>
      <c r="CX206" s="15">
        <v>0</v>
      </c>
      <c r="CY206" s="15">
        <v>0</v>
      </c>
      <c r="CZ206" s="15">
        <v>0</v>
      </c>
      <c r="DA206" s="15">
        <v>0</v>
      </c>
      <c r="DB206" s="15">
        <v>0</v>
      </c>
      <c r="DC206" s="15">
        <v>0</v>
      </c>
      <c r="DD206" s="15">
        <v>0</v>
      </c>
      <c r="DE206" s="15">
        <v>0</v>
      </c>
      <c r="DF206" s="15">
        <v>0</v>
      </c>
      <c r="DG206" s="15">
        <v>0</v>
      </c>
      <c r="DH206" s="15">
        <v>0</v>
      </c>
      <c r="DI206" s="15">
        <v>0</v>
      </c>
      <c r="DJ206" s="15">
        <v>0</v>
      </c>
      <c r="DK206" s="15">
        <v>0</v>
      </c>
      <c r="DL206" s="15">
        <v>0</v>
      </c>
      <c r="DM206" s="15">
        <v>0</v>
      </c>
      <c r="DN206" s="15">
        <v>0</v>
      </c>
      <c r="DO206" s="15">
        <v>0</v>
      </c>
      <c r="DP206" s="15">
        <v>0</v>
      </c>
      <c r="DQ206" s="15">
        <v>0</v>
      </c>
      <c r="DR206" s="15">
        <v>0</v>
      </c>
      <c r="DS206" s="15">
        <v>0</v>
      </c>
      <c r="DT206" s="15">
        <v>0</v>
      </c>
      <c r="DU206" s="15">
        <v>0</v>
      </c>
      <c r="DV206" s="15">
        <v>0</v>
      </c>
      <c r="DW206" s="15">
        <v>0</v>
      </c>
      <c r="DX206" s="15">
        <v>0</v>
      </c>
      <c r="DY206" s="15">
        <v>0</v>
      </c>
      <c r="DZ206" s="15">
        <v>0</v>
      </c>
      <c r="EA206" s="15">
        <v>0</v>
      </c>
      <c r="EB206" s="15">
        <v>0</v>
      </c>
      <c r="EC206" s="15">
        <v>0</v>
      </c>
      <c r="ED206" s="15">
        <v>0</v>
      </c>
      <c r="EE206" s="15">
        <v>0</v>
      </c>
      <c r="EF206" s="15">
        <v>0</v>
      </c>
    </row>
    <row r="207" spans="1:136" ht="15" customHeight="1" x14ac:dyDescent="0.35">
      <c r="A207" s="8" t="s">
        <v>12</v>
      </c>
      <c r="B207" s="8" t="s">
        <v>17</v>
      </c>
      <c r="C207" s="8" t="s">
        <v>17</v>
      </c>
      <c r="D207" s="8" t="s">
        <v>316</v>
      </c>
      <c r="E207" s="8" t="s">
        <v>14</v>
      </c>
      <c r="F207" s="8" t="s">
        <v>86</v>
      </c>
      <c r="G207" s="15">
        <v>0</v>
      </c>
      <c r="H207" s="15">
        <v>0</v>
      </c>
      <c r="I207" s="15">
        <v>98</v>
      </c>
      <c r="J207" s="15">
        <v>-98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8</v>
      </c>
      <c r="X207" s="15">
        <v>0</v>
      </c>
      <c r="Y207" s="15">
        <v>5</v>
      </c>
      <c r="Z207" s="15">
        <v>46</v>
      </c>
      <c r="AA207" s="15">
        <v>39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5">
        <v>0</v>
      </c>
      <c r="CH207" s="15">
        <v>0</v>
      </c>
      <c r="CI207" s="15">
        <v>0</v>
      </c>
      <c r="CJ207" s="15">
        <v>0</v>
      </c>
      <c r="CK207" s="15">
        <v>0</v>
      </c>
      <c r="CL207" s="15">
        <v>0</v>
      </c>
      <c r="CM207" s="15">
        <v>0</v>
      </c>
      <c r="CN207" s="15">
        <v>0</v>
      </c>
      <c r="CO207" s="15">
        <v>0</v>
      </c>
      <c r="CP207" s="15">
        <v>0</v>
      </c>
      <c r="CQ207" s="15">
        <v>0</v>
      </c>
      <c r="CR207" s="15">
        <v>0</v>
      </c>
      <c r="CS207" s="15">
        <v>0</v>
      </c>
      <c r="CT207" s="15">
        <v>0</v>
      </c>
      <c r="CU207" s="15">
        <v>0</v>
      </c>
      <c r="CV207" s="15">
        <v>0</v>
      </c>
      <c r="CW207" s="15">
        <v>0</v>
      </c>
      <c r="CX207" s="15">
        <v>0</v>
      </c>
      <c r="CY207" s="15">
        <v>0</v>
      </c>
      <c r="CZ207" s="15">
        <v>0</v>
      </c>
      <c r="DA207" s="15">
        <v>0</v>
      </c>
      <c r="DB207" s="15">
        <v>0</v>
      </c>
      <c r="DC207" s="15">
        <v>0</v>
      </c>
      <c r="DD207" s="15">
        <v>0</v>
      </c>
      <c r="DE207" s="15">
        <v>0</v>
      </c>
      <c r="DF207" s="15">
        <v>0</v>
      </c>
      <c r="DG207" s="15">
        <v>0</v>
      </c>
      <c r="DH207" s="15">
        <v>0</v>
      </c>
      <c r="DI207" s="15">
        <v>0</v>
      </c>
      <c r="DJ207" s="15">
        <v>0</v>
      </c>
      <c r="DK207" s="15">
        <v>0</v>
      </c>
      <c r="DL207" s="15">
        <v>0</v>
      </c>
      <c r="DM207" s="15">
        <v>0</v>
      </c>
      <c r="DN207" s="15">
        <v>0</v>
      </c>
      <c r="DO207" s="15">
        <v>0</v>
      </c>
      <c r="DP207" s="15">
        <v>0</v>
      </c>
      <c r="DQ207" s="15">
        <v>0</v>
      </c>
      <c r="DR207" s="15">
        <v>0</v>
      </c>
      <c r="DS207" s="15">
        <v>0</v>
      </c>
      <c r="DT207" s="15">
        <v>0</v>
      </c>
      <c r="DU207" s="15">
        <v>0</v>
      </c>
      <c r="DV207" s="15">
        <v>0</v>
      </c>
      <c r="DW207" s="15">
        <v>0</v>
      </c>
      <c r="DX207" s="15">
        <v>0</v>
      </c>
      <c r="DY207" s="15">
        <v>0</v>
      </c>
      <c r="DZ207" s="15">
        <v>0</v>
      </c>
      <c r="EA207" s="15">
        <v>0</v>
      </c>
      <c r="EB207" s="15">
        <v>0</v>
      </c>
      <c r="EC207" s="15">
        <v>0</v>
      </c>
      <c r="ED207" s="15">
        <v>0</v>
      </c>
      <c r="EE207" s="15">
        <v>0</v>
      </c>
      <c r="EF207" s="15">
        <v>0</v>
      </c>
    </row>
    <row r="208" spans="1:136" ht="15" customHeight="1" x14ac:dyDescent="0.35">
      <c r="A208" s="8" t="s">
        <v>12</v>
      </c>
      <c r="B208" s="8" t="s">
        <v>17</v>
      </c>
      <c r="C208" s="8" t="s">
        <v>17</v>
      </c>
      <c r="D208" s="8" t="s">
        <v>315</v>
      </c>
      <c r="E208" s="8" t="s">
        <v>14</v>
      </c>
      <c r="F208" s="8" t="s">
        <v>87</v>
      </c>
      <c r="G208" s="15">
        <v>0</v>
      </c>
      <c r="H208" s="15">
        <v>0</v>
      </c>
      <c r="I208" s="15">
        <v>86</v>
      </c>
      <c r="J208" s="15">
        <v>-86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3</v>
      </c>
      <c r="AM208" s="15">
        <v>46</v>
      </c>
      <c r="AN208" s="15">
        <v>29</v>
      </c>
      <c r="AO208" s="15">
        <v>8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0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0</v>
      </c>
      <c r="BL208" s="15">
        <v>0</v>
      </c>
      <c r="BM208" s="15">
        <v>0</v>
      </c>
      <c r="BN208" s="15">
        <v>0</v>
      </c>
      <c r="BO208" s="15">
        <v>0</v>
      </c>
      <c r="BP208" s="15">
        <v>0</v>
      </c>
      <c r="BQ208" s="15">
        <v>0</v>
      </c>
      <c r="BR208" s="15">
        <v>0</v>
      </c>
      <c r="BS208" s="15">
        <v>0</v>
      </c>
      <c r="BT208" s="15">
        <v>0</v>
      </c>
      <c r="BU208" s="15">
        <v>0</v>
      </c>
      <c r="BV208" s="15">
        <v>0</v>
      </c>
      <c r="BW208" s="15">
        <v>0</v>
      </c>
      <c r="BX208" s="15">
        <v>0</v>
      </c>
      <c r="BY208" s="15">
        <v>0</v>
      </c>
      <c r="BZ208" s="15">
        <v>0</v>
      </c>
      <c r="CA208" s="15">
        <v>0</v>
      </c>
      <c r="CB208" s="15">
        <v>0</v>
      </c>
      <c r="CC208" s="15">
        <v>0</v>
      </c>
      <c r="CD208" s="15">
        <v>0</v>
      </c>
      <c r="CE208" s="15">
        <v>0</v>
      </c>
      <c r="CF208" s="15">
        <v>0</v>
      </c>
      <c r="CG208" s="15">
        <v>0</v>
      </c>
      <c r="CH208" s="15">
        <v>0</v>
      </c>
      <c r="CI208" s="15">
        <v>0</v>
      </c>
      <c r="CJ208" s="15">
        <v>0</v>
      </c>
      <c r="CK208" s="15">
        <v>0</v>
      </c>
      <c r="CL208" s="15">
        <v>0</v>
      </c>
      <c r="CM208" s="15">
        <v>0</v>
      </c>
      <c r="CN208" s="15">
        <v>0</v>
      </c>
      <c r="CO208" s="15">
        <v>0</v>
      </c>
      <c r="CP208" s="15">
        <v>0</v>
      </c>
      <c r="CQ208" s="15">
        <v>0</v>
      </c>
      <c r="CR208" s="15">
        <v>0</v>
      </c>
      <c r="CS208" s="15">
        <v>0</v>
      </c>
      <c r="CT208" s="15">
        <v>0</v>
      </c>
      <c r="CU208" s="15">
        <v>0</v>
      </c>
      <c r="CV208" s="15">
        <v>0</v>
      </c>
      <c r="CW208" s="15">
        <v>0</v>
      </c>
      <c r="CX208" s="15">
        <v>0</v>
      </c>
      <c r="CY208" s="15">
        <v>0</v>
      </c>
      <c r="CZ208" s="15">
        <v>0</v>
      </c>
      <c r="DA208" s="15">
        <v>0</v>
      </c>
      <c r="DB208" s="15">
        <v>0</v>
      </c>
      <c r="DC208" s="15">
        <v>0</v>
      </c>
      <c r="DD208" s="15">
        <v>0</v>
      </c>
      <c r="DE208" s="15">
        <v>0</v>
      </c>
      <c r="DF208" s="15">
        <v>0</v>
      </c>
      <c r="DG208" s="15">
        <v>0</v>
      </c>
      <c r="DH208" s="15">
        <v>0</v>
      </c>
      <c r="DI208" s="15">
        <v>0</v>
      </c>
      <c r="DJ208" s="15">
        <v>0</v>
      </c>
      <c r="DK208" s="15">
        <v>0</v>
      </c>
      <c r="DL208" s="15">
        <v>0</v>
      </c>
      <c r="DM208" s="15">
        <v>0</v>
      </c>
      <c r="DN208" s="15">
        <v>0</v>
      </c>
      <c r="DO208" s="15">
        <v>0</v>
      </c>
      <c r="DP208" s="15">
        <v>0</v>
      </c>
      <c r="DQ208" s="15">
        <v>0</v>
      </c>
      <c r="DR208" s="15">
        <v>0</v>
      </c>
      <c r="DS208" s="15">
        <v>0</v>
      </c>
      <c r="DT208" s="15">
        <v>0</v>
      </c>
      <c r="DU208" s="15">
        <v>0</v>
      </c>
      <c r="DV208" s="15">
        <v>0</v>
      </c>
      <c r="DW208" s="15">
        <v>0</v>
      </c>
      <c r="DX208" s="15">
        <v>0</v>
      </c>
      <c r="DY208" s="15">
        <v>0</v>
      </c>
      <c r="DZ208" s="15">
        <v>0</v>
      </c>
      <c r="EA208" s="15">
        <v>0</v>
      </c>
      <c r="EB208" s="15">
        <v>0</v>
      </c>
      <c r="EC208" s="15">
        <v>0</v>
      </c>
      <c r="ED208" s="15">
        <v>0</v>
      </c>
      <c r="EE208" s="15">
        <v>0</v>
      </c>
      <c r="EF208" s="15">
        <v>0</v>
      </c>
    </row>
    <row r="209" spans="1:136" ht="15" customHeight="1" x14ac:dyDescent="0.35">
      <c r="A209" s="8" t="s">
        <v>12</v>
      </c>
      <c r="B209" s="8" t="s">
        <v>17</v>
      </c>
      <c r="C209" s="8" t="s">
        <v>17</v>
      </c>
      <c r="D209" s="8" t="s">
        <v>316</v>
      </c>
      <c r="E209" s="8" t="s">
        <v>14</v>
      </c>
      <c r="F209" s="8" t="s">
        <v>87</v>
      </c>
      <c r="G209" s="15">
        <v>60</v>
      </c>
      <c r="H209" s="15">
        <v>60</v>
      </c>
      <c r="I209" s="15">
        <v>0</v>
      </c>
      <c r="J209" s="15">
        <v>60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5">
        <v>0</v>
      </c>
      <c r="CH209" s="15">
        <v>0</v>
      </c>
      <c r="CI209" s="15">
        <v>0</v>
      </c>
      <c r="CJ209" s="15">
        <v>0</v>
      </c>
      <c r="CK209" s="15">
        <v>0</v>
      </c>
      <c r="CL209" s="15">
        <v>0</v>
      </c>
      <c r="CM209" s="15">
        <v>0</v>
      </c>
      <c r="CN209" s="15">
        <v>0</v>
      </c>
      <c r="CO209" s="15">
        <v>0</v>
      </c>
      <c r="CP209" s="15">
        <v>0</v>
      </c>
      <c r="CQ209" s="15">
        <v>0</v>
      </c>
      <c r="CR209" s="15">
        <v>0</v>
      </c>
      <c r="CS209" s="15">
        <v>0</v>
      </c>
      <c r="CT209" s="15">
        <v>0</v>
      </c>
      <c r="CU209" s="15">
        <v>0</v>
      </c>
      <c r="CV209" s="15">
        <v>0</v>
      </c>
      <c r="CW209" s="15">
        <v>0</v>
      </c>
      <c r="CX209" s="15">
        <v>0</v>
      </c>
      <c r="CY209" s="15">
        <v>0</v>
      </c>
      <c r="CZ209" s="15">
        <v>0</v>
      </c>
      <c r="DA209" s="15">
        <v>0</v>
      </c>
      <c r="DB209" s="15">
        <v>0</v>
      </c>
      <c r="DC209" s="15">
        <v>0</v>
      </c>
      <c r="DD209" s="15">
        <v>0</v>
      </c>
      <c r="DE209" s="15">
        <v>0</v>
      </c>
      <c r="DF209" s="15">
        <v>0</v>
      </c>
      <c r="DG209" s="15">
        <v>0</v>
      </c>
      <c r="DH209" s="15">
        <v>0</v>
      </c>
      <c r="DI209" s="15">
        <v>0</v>
      </c>
      <c r="DJ209" s="15">
        <v>0</v>
      </c>
      <c r="DK209" s="15">
        <v>0</v>
      </c>
      <c r="DL209" s="15">
        <v>0</v>
      </c>
      <c r="DM209" s="15">
        <v>0</v>
      </c>
      <c r="DN209" s="15">
        <v>0</v>
      </c>
      <c r="DO209" s="15">
        <v>0</v>
      </c>
      <c r="DP209" s="15">
        <v>0</v>
      </c>
      <c r="DQ209" s="15">
        <v>0</v>
      </c>
      <c r="DR209" s="15">
        <v>0</v>
      </c>
      <c r="DS209" s="15">
        <v>0</v>
      </c>
      <c r="DT209" s="15">
        <v>0</v>
      </c>
      <c r="DU209" s="15">
        <v>0</v>
      </c>
      <c r="DV209" s="15">
        <v>0</v>
      </c>
      <c r="DW209" s="15">
        <v>0</v>
      </c>
      <c r="DX209" s="15">
        <v>0</v>
      </c>
      <c r="DY209" s="15">
        <v>0</v>
      </c>
      <c r="DZ209" s="15">
        <v>0</v>
      </c>
      <c r="EA209" s="15">
        <v>0</v>
      </c>
      <c r="EB209" s="15">
        <v>0</v>
      </c>
      <c r="EC209" s="15">
        <v>0</v>
      </c>
      <c r="ED209" s="15">
        <v>0</v>
      </c>
      <c r="EE209" s="15">
        <v>0</v>
      </c>
      <c r="EF209" s="15">
        <v>0</v>
      </c>
    </row>
    <row r="210" spans="1:136" ht="15" customHeight="1" x14ac:dyDescent="0.35">
      <c r="A210" s="8" t="s">
        <v>12</v>
      </c>
      <c r="B210" s="8" t="s">
        <v>17</v>
      </c>
      <c r="C210" s="8" t="s">
        <v>17</v>
      </c>
      <c r="D210" s="8" t="s">
        <v>315</v>
      </c>
      <c r="E210" s="8" t="s">
        <v>14</v>
      </c>
      <c r="F210" s="8" t="s">
        <v>88</v>
      </c>
      <c r="G210" s="15">
        <v>0</v>
      </c>
      <c r="H210" s="15">
        <v>0</v>
      </c>
      <c r="I210" s="15">
        <v>80</v>
      </c>
      <c r="J210" s="15">
        <v>-80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0</v>
      </c>
      <c r="BE210" s="15">
        <v>0</v>
      </c>
      <c r="BF210" s="15">
        <v>0</v>
      </c>
      <c r="BG210" s="15">
        <v>0</v>
      </c>
      <c r="BH210" s="15">
        <v>0</v>
      </c>
      <c r="BI210" s="15">
        <v>0</v>
      </c>
      <c r="BJ210" s="15">
        <v>0</v>
      </c>
      <c r="BK210" s="15">
        <v>0</v>
      </c>
      <c r="BL210" s="15">
        <v>0</v>
      </c>
      <c r="BM210" s="15">
        <v>0</v>
      </c>
      <c r="BN210" s="15">
        <v>0</v>
      </c>
      <c r="BO210" s="15">
        <v>0</v>
      </c>
      <c r="BP210" s="15">
        <v>0</v>
      </c>
      <c r="BQ210" s="15">
        <v>0</v>
      </c>
      <c r="BR210" s="15">
        <v>0</v>
      </c>
      <c r="BS210" s="15">
        <v>0</v>
      </c>
      <c r="BT210" s="15">
        <v>0</v>
      </c>
      <c r="BU210" s="15">
        <v>0</v>
      </c>
      <c r="BV210" s="15">
        <v>0</v>
      </c>
      <c r="BW210" s="15">
        <v>0</v>
      </c>
      <c r="BX210" s="15">
        <v>0</v>
      </c>
      <c r="BY210" s="15">
        <v>0</v>
      </c>
      <c r="BZ210" s="15">
        <v>0</v>
      </c>
      <c r="CA210" s="15">
        <v>0</v>
      </c>
      <c r="CB210" s="15">
        <v>0</v>
      </c>
      <c r="CC210" s="15">
        <v>0</v>
      </c>
      <c r="CD210" s="15">
        <v>0</v>
      </c>
      <c r="CE210" s="15">
        <v>0</v>
      </c>
      <c r="CF210" s="15">
        <v>0</v>
      </c>
      <c r="CG210" s="15">
        <v>0</v>
      </c>
      <c r="CH210" s="15">
        <v>0</v>
      </c>
      <c r="CI210" s="15">
        <v>0</v>
      </c>
      <c r="CJ210" s="15">
        <v>0</v>
      </c>
      <c r="CK210" s="15">
        <v>0</v>
      </c>
      <c r="CL210" s="15">
        <v>0</v>
      </c>
      <c r="CM210" s="15">
        <v>0</v>
      </c>
      <c r="CN210" s="15">
        <v>0</v>
      </c>
      <c r="CO210" s="15">
        <v>0</v>
      </c>
      <c r="CP210" s="15">
        <v>0</v>
      </c>
      <c r="CQ210" s="15">
        <v>0</v>
      </c>
      <c r="CR210" s="15">
        <v>0</v>
      </c>
      <c r="CS210" s="15">
        <v>0</v>
      </c>
      <c r="CT210" s="15">
        <v>0</v>
      </c>
      <c r="CU210" s="15">
        <v>0</v>
      </c>
      <c r="CV210" s="15">
        <v>0</v>
      </c>
      <c r="CW210" s="15">
        <v>0</v>
      </c>
      <c r="CX210" s="15">
        <v>10</v>
      </c>
      <c r="CY210" s="15">
        <v>10</v>
      </c>
      <c r="CZ210" s="15">
        <v>30</v>
      </c>
      <c r="DA210" s="15">
        <v>30</v>
      </c>
      <c r="DB210" s="15">
        <v>0</v>
      </c>
      <c r="DC210" s="15">
        <v>0</v>
      </c>
      <c r="DD210" s="15">
        <v>0</v>
      </c>
      <c r="DE210" s="15">
        <v>0</v>
      </c>
      <c r="DF210" s="15">
        <v>0</v>
      </c>
      <c r="DG210" s="15">
        <v>0</v>
      </c>
      <c r="DH210" s="15">
        <v>0</v>
      </c>
      <c r="DI210" s="15">
        <v>0</v>
      </c>
      <c r="DJ210" s="15">
        <v>0</v>
      </c>
      <c r="DK210" s="15">
        <v>0</v>
      </c>
      <c r="DL210" s="15">
        <v>0</v>
      </c>
      <c r="DM210" s="15">
        <v>0</v>
      </c>
      <c r="DN210" s="15">
        <v>0</v>
      </c>
      <c r="DO210" s="15">
        <v>0</v>
      </c>
      <c r="DP210" s="15">
        <v>0</v>
      </c>
      <c r="DQ210" s="15">
        <v>0</v>
      </c>
      <c r="DR210" s="15">
        <v>0</v>
      </c>
      <c r="DS210" s="15">
        <v>0</v>
      </c>
      <c r="DT210" s="15">
        <v>0</v>
      </c>
      <c r="DU210" s="15">
        <v>0</v>
      </c>
      <c r="DV210" s="15">
        <v>0</v>
      </c>
      <c r="DW210" s="15">
        <v>0</v>
      </c>
      <c r="DX210" s="15">
        <v>0</v>
      </c>
      <c r="DY210" s="15">
        <v>0</v>
      </c>
      <c r="DZ210" s="15">
        <v>0</v>
      </c>
      <c r="EA210" s="15">
        <v>0</v>
      </c>
      <c r="EB210" s="15">
        <v>0</v>
      </c>
      <c r="EC210" s="15">
        <v>0</v>
      </c>
      <c r="ED210" s="15">
        <v>0</v>
      </c>
      <c r="EE210" s="15">
        <v>0</v>
      </c>
      <c r="EF210" s="15">
        <v>0</v>
      </c>
    </row>
    <row r="211" spans="1:136" ht="15" customHeight="1" x14ac:dyDescent="0.35">
      <c r="A211" s="8" t="s">
        <v>12</v>
      </c>
      <c r="B211" s="8" t="s">
        <v>17</v>
      </c>
      <c r="C211" s="8" t="s">
        <v>17</v>
      </c>
      <c r="D211" s="8" t="s">
        <v>316</v>
      </c>
      <c r="E211" s="8" t="s">
        <v>14</v>
      </c>
      <c r="F211" s="8" t="s">
        <v>88</v>
      </c>
      <c r="G211" s="15">
        <v>0</v>
      </c>
      <c r="H211" s="15">
        <v>80</v>
      </c>
      <c r="I211" s="15">
        <v>0</v>
      </c>
      <c r="J211" s="15">
        <v>80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5">
        <v>0</v>
      </c>
      <c r="CH211" s="15">
        <v>0</v>
      </c>
      <c r="CI211" s="15">
        <v>0</v>
      </c>
      <c r="CJ211" s="15">
        <v>0</v>
      </c>
      <c r="CK211" s="15">
        <v>0</v>
      </c>
      <c r="CL211" s="15">
        <v>0</v>
      </c>
      <c r="CM211" s="15">
        <v>0</v>
      </c>
      <c r="CN211" s="15">
        <v>0</v>
      </c>
      <c r="CO211" s="15">
        <v>0</v>
      </c>
      <c r="CP211" s="15">
        <v>0</v>
      </c>
      <c r="CQ211" s="15">
        <v>0</v>
      </c>
      <c r="CR211" s="15">
        <v>0</v>
      </c>
      <c r="CS211" s="15">
        <v>0</v>
      </c>
      <c r="CT211" s="15">
        <v>0</v>
      </c>
      <c r="CU211" s="15">
        <v>0</v>
      </c>
      <c r="CV211" s="15">
        <v>0</v>
      </c>
      <c r="CW211" s="15">
        <v>0</v>
      </c>
      <c r="CX211" s="15">
        <v>0</v>
      </c>
      <c r="CY211" s="15">
        <v>0</v>
      </c>
      <c r="CZ211" s="15">
        <v>0</v>
      </c>
      <c r="DA211" s="15">
        <v>0</v>
      </c>
      <c r="DB211" s="15">
        <v>0</v>
      </c>
      <c r="DC211" s="15">
        <v>0</v>
      </c>
      <c r="DD211" s="15">
        <v>0</v>
      </c>
      <c r="DE211" s="15">
        <v>0</v>
      </c>
      <c r="DF211" s="15">
        <v>0</v>
      </c>
      <c r="DG211" s="15">
        <v>0</v>
      </c>
      <c r="DH211" s="15">
        <v>0</v>
      </c>
      <c r="DI211" s="15">
        <v>0</v>
      </c>
      <c r="DJ211" s="15">
        <v>0</v>
      </c>
      <c r="DK211" s="15">
        <v>0</v>
      </c>
      <c r="DL211" s="15">
        <v>0</v>
      </c>
      <c r="DM211" s="15">
        <v>0</v>
      </c>
      <c r="DN211" s="15">
        <v>0</v>
      </c>
      <c r="DO211" s="15">
        <v>0</v>
      </c>
      <c r="DP211" s="15">
        <v>0</v>
      </c>
      <c r="DQ211" s="15">
        <v>0</v>
      </c>
      <c r="DR211" s="15">
        <v>0</v>
      </c>
      <c r="DS211" s="15">
        <v>0</v>
      </c>
      <c r="DT211" s="15">
        <v>0</v>
      </c>
      <c r="DU211" s="15">
        <v>0</v>
      </c>
      <c r="DV211" s="15">
        <v>0</v>
      </c>
      <c r="DW211" s="15">
        <v>0</v>
      </c>
      <c r="DX211" s="15">
        <v>0</v>
      </c>
      <c r="DY211" s="15">
        <v>0</v>
      </c>
      <c r="DZ211" s="15">
        <v>0</v>
      </c>
      <c r="EA211" s="15">
        <v>0</v>
      </c>
      <c r="EB211" s="15">
        <v>0</v>
      </c>
      <c r="EC211" s="15">
        <v>0</v>
      </c>
      <c r="ED211" s="15">
        <v>0</v>
      </c>
      <c r="EE211" s="15">
        <v>0</v>
      </c>
      <c r="EF211" s="15">
        <v>0</v>
      </c>
    </row>
    <row r="212" spans="1:136" ht="15" customHeight="1" x14ac:dyDescent="0.35">
      <c r="A212" s="8" t="s">
        <v>12</v>
      </c>
      <c r="B212" s="8" t="s">
        <v>17</v>
      </c>
      <c r="C212" s="8" t="s">
        <v>17</v>
      </c>
      <c r="D212" s="8" t="s">
        <v>315</v>
      </c>
      <c r="E212" s="8" t="s">
        <v>14</v>
      </c>
      <c r="F212" s="8" t="s">
        <v>122</v>
      </c>
      <c r="G212" s="15">
        <v>0</v>
      </c>
      <c r="H212" s="15">
        <v>0</v>
      </c>
      <c r="I212" s="15">
        <v>114</v>
      </c>
      <c r="J212" s="15">
        <v>-114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  <c r="BS212" s="15">
        <v>0</v>
      </c>
      <c r="BT212" s="15">
        <v>0</v>
      </c>
      <c r="BU212" s="15">
        <v>0</v>
      </c>
      <c r="BV212" s="15">
        <v>0</v>
      </c>
      <c r="BW212" s="15">
        <v>0</v>
      </c>
      <c r="BX212" s="15">
        <v>0</v>
      </c>
      <c r="BY212" s="15">
        <v>0</v>
      </c>
      <c r="BZ212" s="15">
        <v>0</v>
      </c>
      <c r="CA212" s="15">
        <v>0</v>
      </c>
      <c r="CB212" s="15">
        <v>0</v>
      </c>
      <c r="CC212" s="15">
        <v>0</v>
      </c>
      <c r="CD212" s="15">
        <v>0</v>
      </c>
      <c r="CE212" s="15">
        <v>0</v>
      </c>
      <c r="CF212" s="15">
        <v>0</v>
      </c>
      <c r="CG212" s="15">
        <v>0</v>
      </c>
      <c r="CH212" s="15">
        <v>0</v>
      </c>
      <c r="CI212" s="15">
        <v>0</v>
      </c>
      <c r="CJ212" s="15">
        <v>0</v>
      </c>
      <c r="CK212" s="15">
        <v>0</v>
      </c>
      <c r="CL212" s="15">
        <v>0</v>
      </c>
      <c r="CM212" s="15">
        <v>0</v>
      </c>
      <c r="CN212" s="15">
        <v>0</v>
      </c>
      <c r="CO212" s="15">
        <v>0</v>
      </c>
      <c r="CP212" s="15">
        <v>0</v>
      </c>
      <c r="CQ212" s="15">
        <v>0</v>
      </c>
      <c r="CR212" s="15">
        <v>0</v>
      </c>
      <c r="CS212" s="15">
        <v>0</v>
      </c>
      <c r="CT212" s="15">
        <v>0</v>
      </c>
      <c r="CU212" s="15">
        <v>0</v>
      </c>
      <c r="CV212" s="15">
        <v>0</v>
      </c>
      <c r="CW212" s="15">
        <v>0</v>
      </c>
      <c r="CX212" s="15">
        <v>0</v>
      </c>
      <c r="CY212" s="15">
        <v>0</v>
      </c>
      <c r="CZ212" s="15">
        <v>0</v>
      </c>
      <c r="DA212" s="15">
        <v>0</v>
      </c>
      <c r="DB212" s="15">
        <v>0</v>
      </c>
      <c r="DC212" s="15">
        <v>0</v>
      </c>
      <c r="DD212" s="15">
        <v>0</v>
      </c>
      <c r="DE212" s="15">
        <v>0</v>
      </c>
      <c r="DF212" s="15">
        <v>0</v>
      </c>
      <c r="DG212" s="15">
        <v>4</v>
      </c>
      <c r="DH212" s="15">
        <v>0</v>
      </c>
      <c r="DI212" s="15">
        <v>0</v>
      </c>
      <c r="DJ212" s="15">
        <v>0</v>
      </c>
      <c r="DK212" s="15">
        <v>0</v>
      </c>
      <c r="DL212" s="15">
        <v>0</v>
      </c>
      <c r="DM212" s="15">
        <v>10</v>
      </c>
      <c r="DN212" s="15">
        <v>20</v>
      </c>
      <c r="DO212" s="15">
        <v>50</v>
      </c>
      <c r="DP212" s="15">
        <v>30</v>
      </c>
      <c r="DQ212" s="15">
        <v>0</v>
      </c>
      <c r="DR212" s="15">
        <v>0</v>
      </c>
      <c r="DS212" s="15">
        <v>0</v>
      </c>
      <c r="DT212" s="15">
        <v>0</v>
      </c>
      <c r="DU212" s="15">
        <v>0</v>
      </c>
      <c r="DV212" s="15">
        <v>0</v>
      </c>
      <c r="DW212" s="15">
        <v>0</v>
      </c>
      <c r="DX212" s="15">
        <v>0</v>
      </c>
      <c r="DY212" s="15">
        <v>0</v>
      </c>
      <c r="DZ212" s="15">
        <v>0</v>
      </c>
      <c r="EA212" s="15">
        <v>0</v>
      </c>
      <c r="EB212" s="15">
        <v>0</v>
      </c>
      <c r="EC212" s="15">
        <v>0</v>
      </c>
      <c r="ED212" s="15">
        <v>0</v>
      </c>
      <c r="EE212" s="15">
        <v>0</v>
      </c>
      <c r="EF212" s="15">
        <v>0</v>
      </c>
    </row>
    <row r="213" spans="1:136" ht="15" customHeight="1" x14ac:dyDescent="0.35">
      <c r="A213" s="8" t="s">
        <v>12</v>
      </c>
      <c r="B213" s="8" t="s">
        <v>17</v>
      </c>
      <c r="C213" s="8" t="s">
        <v>17</v>
      </c>
      <c r="D213" s="8" t="s">
        <v>316</v>
      </c>
      <c r="E213" s="8" t="s">
        <v>14</v>
      </c>
      <c r="F213" s="8" t="s">
        <v>122</v>
      </c>
      <c r="G213" s="15">
        <v>0</v>
      </c>
      <c r="H213" s="15">
        <v>114</v>
      </c>
      <c r="I213" s="15">
        <v>0</v>
      </c>
      <c r="J213" s="15">
        <v>114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5">
        <v>0</v>
      </c>
      <c r="CH213" s="15">
        <v>0</v>
      </c>
      <c r="CI213" s="15">
        <v>0</v>
      </c>
      <c r="CJ213" s="15">
        <v>0</v>
      </c>
      <c r="CK213" s="15">
        <v>0</v>
      </c>
      <c r="CL213" s="15">
        <v>0</v>
      </c>
      <c r="CM213" s="15">
        <v>0</v>
      </c>
      <c r="CN213" s="15">
        <v>0</v>
      </c>
      <c r="CO213" s="15">
        <v>0</v>
      </c>
      <c r="CP213" s="15">
        <v>0</v>
      </c>
      <c r="CQ213" s="15">
        <v>0</v>
      </c>
      <c r="CR213" s="15">
        <v>0</v>
      </c>
      <c r="CS213" s="15">
        <v>0</v>
      </c>
      <c r="CT213" s="15">
        <v>0</v>
      </c>
      <c r="CU213" s="15">
        <v>0</v>
      </c>
      <c r="CV213" s="15">
        <v>0</v>
      </c>
      <c r="CW213" s="15">
        <v>0</v>
      </c>
      <c r="CX213" s="15">
        <v>0</v>
      </c>
      <c r="CY213" s="15">
        <v>0</v>
      </c>
      <c r="CZ213" s="15">
        <v>0</v>
      </c>
      <c r="DA213" s="15">
        <v>0</v>
      </c>
      <c r="DB213" s="15">
        <v>0</v>
      </c>
      <c r="DC213" s="15">
        <v>0</v>
      </c>
      <c r="DD213" s="15">
        <v>0</v>
      </c>
      <c r="DE213" s="15">
        <v>0</v>
      </c>
      <c r="DF213" s="15">
        <v>0</v>
      </c>
      <c r="DG213" s="15">
        <v>0</v>
      </c>
      <c r="DH213" s="15">
        <v>0</v>
      </c>
      <c r="DI213" s="15">
        <v>0</v>
      </c>
      <c r="DJ213" s="15">
        <v>0</v>
      </c>
      <c r="DK213" s="15">
        <v>0</v>
      </c>
      <c r="DL213" s="15">
        <v>0</v>
      </c>
      <c r="DM213" s="15">
        <v>0</v>
      </c>
      <c r="DN213" s="15">
        <v>0</v>
      </c>
      <c r="DO213" s="15">
        <v>0</v>
      </c>
      <c r="DP213" s="15">
        <v>0</v>
      </c>
      <c r="DQ213" s="15">
        <v>0</v>
      </c>
      <c r="DR213" s="15">
        <v>0</v>
      </c>
      <c r="DS213" s="15">
        <v>0</v>
      </c>
      <c r="DT213" s="15">
        <v>0</v>
      </c>
      <c r="DU213" s="15">
        <v>0</v>
      </c>
      <c r="DV213" s="15">
        <v>0</v>
      </c>
      <c r="DW213" s="15">
        <v>0</v>
      </c>
      <c r="DX213" s="15">
        <v>0</v>
      </c>
      <c r="DY213" s="15">
        <v>0</v>
      </c>
      <c r="DZ213" s="15">
        <v>0</v>
      </c>
      <c r="EA213" s="15">
        <v>0</v>
      </c>
      <c r="EB213" s="15">
        <v>0</v>
      </c>
      <c r="EC213" s="15">
        <v>0</v>
      </c>
      <c r="ED213" s="15">
        <v>0</v>
      </c>
      <c r="EE213" s="15">
        <v>0</v>
      </c>
      <c r="EF213" s="15">
        <v>0</v>
      </c>
    </row>
    <row r="214" spans="1:136" ht="15" customHeight="1" x14ac:dyDescent="0.35">
      <c r="A214" s="8" t="s">
        <v>12</v>
      </c>
      <c r="B214" s="8" t="s">
        <v>123</v>
      </c>
      <c r="C214" s="8" t="s">
        <v>123</v>
      </c>
      <c r="D214" s="8" t="s">
        <v>316</v>
      </c>
      <c r="E214" s="8" t="s">
        <v>14</v>
      </c>
      <c r="F214" s="8" t="s">
        <v>81</v>
      </c>
      <c r="G214" s="15">
        <v>9.9</v>
      </c>
      <c r="H214" s="15">
        <v>42.6</v>
      </c>
      <c r="I214" s="15">
        <v>0</v>
      </c>
      <c r="J214" s="15">
        <v>42.6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0</v>
      </c>
      <c r="BE214" s="15">
        <v>0</v>
      </c>
      <c r="BF214" s="15">
        <v>0</v>
      </c>
      <c r="BG214" s="15">
        <v>0</v>
      </c>
      <c r="BH214" s="15">
        <v>0</v>
      </c>
      <c r="BI214" s="15">
        <v>0</v>
      </c>
      <c r="BJ214" s="15">
        <v>0</v>
      </c>
      <c r="BK214" s="15">
        <v>0</v>
      </c>
      <c r="BL214" s="15">
        <v>0</v>
      </c>
      <c r="BM214" s="15">
        <v>0</v>
      </c>
      <c r="BN214" s="15">
        <v>0</v>
      </c>
      <c r="BO214" s="15">
        <v>0</v>
      </c>
      <c r="BP214" s="15">
        <v>0</v>
      </c>
      <c r="BQ214" s="15">
        <v>0</v>
      </c>
      <c r="BR214" s="15">
        <v>0</v>
      </c>
      <c r="BS214" s="15">
        <v>0</v>
      </c>
      <c r="BT214" s="15">
        <v>0</v>
      </c>
      <c r="BU214" s="15">
        <v>0</v>
      </c>
      <c r="BV214" s="15">
        <v>0</v>
      </c>
      <c r="BW214" s="15">
        <v>0</v>
      </c>
      <c r="BX214" s="15">
        <v>0</v>
      </c>
      <c r="BY214" s="15">
        <v>0</v>
      </c>
      <c r="BZ214" s="15">
        <v>0</v>
      </c>
      <c r="CA214" s="15">
        <v>0</v>
      </c>
      <c r="CB214" s="15">
        <v>0</v>
      </c>
      <c r="CC214" s="15">
        <v>0</v>
      </c>
      <c r="CD214" s="15">
        <v>0</v>
      </c>
      <c r="CE214" s="15">
        <v>0</v>
      </c>
      <c r="CF214" s="15">
        <v>0</v>
      </c>
      <c r="CG214" s="15">
        <v>0</v>
      </c>
      <c r="CH214" s="15">
        <v>0</v>
      </c>
      <c r="CI214" s="15">
        <v>0</v>
      </c>
      <c r="CJ214" s="15">
        <v>0</v>
      </c>
      <c r="CK214" s="15">
        <v>0</v>
      </c>
      <c r="CL214" s="15">
        <v>0</v>
      </c>
      <c r="CM214" s="15">
        <v>0</v>
      </c>
      <c r="CN214" s="15">
        <v>0</v>
      </c>
      <c r="CO214" s="15">
        <v>0</v>
      </c>
      <c r="CP214" s="15">
        <v>0</v>
      </c>
      <c r="CQ214" s="15">
        <v>0</v>
      </c>
      <c r="CR214" s="15">
        <v>0</v>
      </c>
      <c r="CS214" s="15">
        <v>0</v>
      </c>
      <c r="CT214" s="15">
        <v>0</v>
      </c>
      <c r="CU214" s="15">
        <v>0</v>
      </c>
      <c r="CV214" s="15">
        <v>0</v>
      </c>
      <c r="CW214" s="15">
        <v>0</v>
      </c>
      <c r="CX214" s="15">
        <v>0</v>
      </c>
      <c r="CY214" s="15">
        <v>0</v>
      </c>
      <c r="CZ214" s="15">
        <v>0</v>
      </c>
      <c r="DA214" s="15">
        <v>0</v>
      </c>
      <c r="DB214" s="15">
        <v>0</v>
      </c>
      <c r="DC214" s="15">
        <v>0</v>
      </c>
      <c r="DD214" s="15">
        <v>0</v>
      </c>
      <c r="DE214" s="15">
        <v>0</v>
      </c>
      <c r="DF214" s="15">
        <v>0</v>
      </c>
      <c r="DG214" s="15">
        <v>0</v>
      </c>
      <c r="DH214" s="15">
        <v>0</v>
      </c>
      <c r="DI214" s="15">
        <v>0</v>
      </c>
      <c r="DJ214" s="15">
        <v>0</v>
      </c>
      <c r="DK214" s="15">
        <v>0</v>
      </c>
      <c r="DL214" s="15">
        <v>0</v>
      </c>
      <c r="DM214" s="15">
        <v>0</v>
      </c>
      <c r="DN214" s="15">
        <v>0</v>
      </c>
      <c r="DO214" s="15">
        <v>0</v>
      </c>
      <c r="DP214" s="15">
        <v>0</v>
      </c>
      <c r="DQ214" s="15">
        <v>0</v>
      </c>
      <c r="DR214" s="15">
        <v>0</v>
      </c>
      <c r="DS214" s="15">
        <v>0</v>
      </c>
      <c r="DT214" s="15">
        <v>0</v>
      </c>
      <c r="DU214" s="15">
        <v>0</v>
      </c>
      <c r="DV214" s="15">
        <v>0</v>
      </c>
      <c r="DW214" s="15">
        <v>0</v>
      </c>
      <c r="DX214" s="15">
        <v>0</v>
      </c>
      <c r="DY214" s="15">
        <v>0</v>
      </c>
      <c r="DZ214" s="15">
        <v>0</v>
      </c>
      <c r="EA214" s="15">
        <v>0</v>
      </c>
      <c r="EB214" s="15">
        <v>0</v>
      </c>
      <c r="EC214" s="15">
        <v>0</v>
      </c>
      <c r="ED214" s="15">
        <v>0</v>
      </c>
      <c r="EE214" s="15">
        <v>0</v>
      </c>
      <c r="EF214" s="15">
        <v>0</v>
      </c>
    </row>
    <row r="215" spans="1:136" ht="15" customHeight="1" x14ac:dyDescent="0.35">
      <c r="A215" s="8" t="s">
        <v>12</v>
      </c>
      <c r="B215" s="8" t="s">
        <v>123</v>
      </c>
      <c r="C215" s="8" t="s">
        <v>123</v>
      </c>
      <c r="D215" s="8" t="s">
        <v>322</v>
      </c>
      <c r="E215" s="8" t="s">
        <v>14</v>
      </c>
      <c r="F215" s="8" t="s">
        <v>81</v>
      </c>
      <c r="G215" s="15">
        <v>0</v>
      </c>
      <c r="H215" s="15">
        <v>0</v>
      </c>
      <c r="I215" s="15">
        <v>32.799999999999997</v>
      </c>
      <c r="J215" s="15">
        <v>-32.799999999999997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5">
        <v>0</v>
      </c>
      <c r="CH215" s="15">
        <v>0</v>
      </c>
      <c r="CI215" s="15">
        <v>0</v>
      </c>
      <c r="CJ215" s="15">
        <v>0</v>
      </c>
      <c r="CK215" s="15">
        <v>0</v>
      </c>
      <c r="CL215" s="15">
        <v>0</v>
      </c>
      <c r="CM215" s="15">
        <v>0</v>
      </c>
      <c r="CN215" s="15">
        <v>0</v>
      </c>
      <c r="CO215" s="15">
        <v>0</v>
      </c>
      <c r="CP215" s="15">
        <v>0</v>
      </c>
      <c r="CQ215" s="15">
        <v>0</v>
      </c>
      <c r="CR215" s="15">
        <v>0</v>
      </c>
      <c r="CS215" s="15">
        <v>0.88461500000000004</v>
      </c>
      <c r="CT215" s="15">
        <v>0.88461500000000004</v>
      </c>
      <c r="CU215" s="15">
        <v>0.88461500000000004</v>
      </c>
      <c r="CV215" s="15">
        <v>0.88461500000000004</v>
      </c>
      <c r="CW215" s="15">
        <v>0.88461500000000004</v>
      </c>
      <c r="CX215" s="15">
        <v>0.88461500000000004</v>
      </c>
      <c r="CY215" s="15">
        <v>0.88461500000000004</v>
      </c>
      <c r="CZ215" s="15">
        <v>0.88461500000000004</v>
      </c>
      <c r="DA215" s="15">
        <v>0.88461500000000004</v>
      </c>
      <c r="DB215" s="15">
        <v>0.88461500000000004</v>
      </c>
      <c r="DC215" s="15">
        <v>0.88461500000000004</v>
      </c>
      <c r="DD215" s="15">
        <v>0.88461500000000004</v>
      </c>
      <c r="DE215" s="15">
        <v>0.88461500000000004</v>
      </c>
      <c r="DF215" s="15">
        <v>0.88461500000000004</v>
      </c>
      <c r="DG215" s="15">
        <v>0.88461500000000004</v>
      </c>
      <c r="DH215" s="15">
        <v>0.88461500000000004</v>
      </c>
      <c r="DI215" s="15">
        <v>0.88461500000000004</v>
      </c>
      <c r="DJ215" s="15">
        <v>0.88461500000000004</v>
      </c>
      <c r="DK215" s="15">
        <v>2</v>
      </c>
      <c r="DL215" s="15">
        <v>2</v>
      </c>
      <c r="DM215" s="15">
        <v>2</v>
      </c>
      <c r="DN215" s="15">
        <v>2.5</v>
      </c>
      <c r="DO215" s="15">
        <v>2.4</v>
      </c>
      <c r="DP215" s="15">
        <v>2</v>
      </c>
      <c r="DQ215" s="15">
        <v>2</v>
      </c>
      <c r="DR215" s="15">
        <v>2</v>
      </c>
      <c r="DS215" s="15">
        <v>0</v>
      </c>
      <c r="DT215" s="15">
        <v>0</v>
      </c>
      <c r="DU215" s="15">
        <v>0</v>
      </c>
      <c r="DV215" s="15">
        <v>0</v>
      </c>
      <c r="DW215" s="15">
        <v>0</v>
      </c>
      <c r="DX215" s="15">
        <v>0</v>
      </c>
      <c r="DY215" s="15">
        <v>0</v>
      </c>
      <c r="DZ215" s="15">
        <v>0</v>
      </c>
      <c r="EA215" s="15">
        <v>0</v>
      </c>
      <c r="EB215" s="15">
        <v>0</v>
      </c>
      <c r="EC215" s="15">
        <v>0</v>
      </c>
      <c r="ED215" s="15">
        <v>0</v>
      </c>
      <c r="EE215" s="15">
        <v>0</v>
      </c>
      <c r="EF215" s="15">
        <v>0</v>
      </c>
    </row>
    <row r="216" spans="1:136" ht="15" customHeight="1" x14ac:dyDescent="0.35">
      <c r="A216" s="8" t="s">
        <v>12</v>
      </c>
      <c r="B216" s="8" t="s">
        <v>123</v>
      </c>
      <c r="C216" s="8" t="s">
        <v>123</v>
      </c>
      <c r="D216" s="8" t="s">
        <v>316</v>
      </c>
      <c r="E216" s="8" t="s">
        <v>14</v>
      </c>
      <c r="F216" s="8" t="s">
        <v>82</v>
      </c>
      <c r="G216" s="15">
        <v>3</v>
      </c>
      <c r="H216" s="15">
        <v>3</v>
      </c>
      <c r="I216" s="15">
        <v>3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3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0</v>
      </c>
      <c r="BL216" s="15">
        <v>0</v>
      </c>
      <c r="BM216" s="15">
        <v>0</v>
      </c>
      <c r="BN216" s="15">
        <v>0</v>
      </c>
      <c r="BO216" s="15">
        <v>0</v>
      </c>
      <c r="BP216" s="15">
        <v>0</v>
      </c>
      <c r="BQ216" s="15">
        <v>0</v>
      </c>
      <c r="BR216" s="15">
        <v>0</v>
      </c>
      <c r="BS216" s="15">
        <v>0</v>
      </c>
      <c r="BT216" s="15">
        <v>0</v>
      </c>
      <c r="BU216" s="15">
        <v>0</v>
      </c>
      <c r="BV216" s="15">
        <v>0</v>
      </c>
      <c r="BW216" s="15">
        <v>0</v>
      </c>
      <c r="BX216" s="15">
        <v>0</v>
      </c>
      <c r="BY216" s="15">
        <v>0</v>
      </c>
      <c r="BZ216" s="15">
        <v>0</v>
      </c>
      <c r="CA216" s="15">
        <v>0</v>
      </c>
      <c r="CB216" s="15">
        <v>0</v>
      </c>
      <c r="CC216" s="15">
        <v>0</v>
      </c>
      <c r="CD216" s="15">
        <v>0</v>
      </c>
      <c r="CE216" s="15">
        <v>0</v>
      </c>
      <c r="CF216" s="15">
        <v>0</v>
      </c>
      <c r="CG216" s="15">
        <v>0</v>
      </c>
      <c r="CH216" s="15">
        <v>0</v>
      </c>
      <c r="CI216" s="15">
        <v>0</v>
      </c>
      <c r="CJ216" s="15">
        <v>0</v>
      </c>
      <c r="CK216" s="15">
        <v>0</v>
      </c>
      <c r="CL216" s="15">
        <v>0</v>
      </c>
      <c r="CM216" s="15">
        <v>0</v>
      </c>
      <c r="CN216" s="15">
        <v>0</v>
      </c>
      <c r="CO216" s="15">
        <v>0</v>
      </c>
      <c r="CP216" s="15">
        <v>0</v>
      </c>
      <c r="CQ216" s="15">
        <v>0</v>
      </c>
      <c r="CR216" s="15">
        <v>0</v>
      </c>
      <c r="CS216" s="15">
        <v>0</v>
      </c>
      <c r="CT216" s="15">
        <v>0</v>
      </c>
      <c r="CU216" s="15">
        <v>0</v>
      </c>
      <c r="CV216" s="15">
        <v>0</v>
      </c>
      <c r="CW216" s="15">
        <v>0</v>
      </c>
      <c r="CX216" s="15">
        <v>0</v>
      </c>
      <c r="CY216" s="15">
        <v>0</v>
      </c>
      <c r="CZ216" s="15">
        <v>0</v>
      </c>
      <c r="DA216" s="15">
        <v>0</v>
      </c>
      <c r="DB216" s="15">
        <v>0</v>
      </c>
      <c r="DC216" s="15">
        <v>0</v>
      </c>
      <c r="DD216" s="15">
        <v>0</v>
      </c>
      <c r="DE216" s="15">
        <v>0</v>
      </c>
      <c r="DF216" s="15">
        <v>0</v>
      </c>
      <c r="DG216" s="15">
        <v>0</v>
      </c>
      <c r="DH216" s="15">
        <v>0</v>
      </c>
      <c r="DI216" s="15">
        <v>0</v>
      </c>
      <c r="DJ216" s="15">
        <v>0</v>
      </c>
      <c r="DK216" s="15">
        <v>0</v>
      </c>
      <c r="DL216" s="15">
        <v>0</v>
      </c>
      <c r="DM216" s="15">
        <v>0</v>
      </c>
      <c r="DN216" s="15">
        <v>0</v>
      </c>
      <c r="DO216" s="15">
        <v>0</v>
      </c>
      <c r="DP216" s="15">
        <v>0</v>
      </c>
      <c r="DQ216" s="15">
        <v>0</v>
      </c>
      <c r="DR216" s="15">
        <v>0</v>
      </c>
      <c r="DS216" s="15">
        <v>0</v>
      </c>
      <c r="DT216" s="15">
        <v>0</v>
      </c>
      <c r="DU216" s="15">
        <v>0</v>
      </c>
      <c r="DV216" s="15">
        <v>0</v>
      </c>
      <c r="DW216" s="15">
        <v>0</v>
      </c>
      <c r="DX216" s="15">
        <v>0</v>
      </c>
      <c r="DY216" s="15">
        <v>0</v>
      </c>
      <c r="DZ216" s="15">
        <v>0</v>
      </c>
      <c r="EA216" s="15">
        <v>0</v>
      </c>
      <c r="EB216" s="15">
        <v>0</v>
      </c>
      <c r="EC216" s="15">
        <v>0</v>
      </c>
      <c r="ED216" s="15">
        <v>0</v>
      </c>
      <c r="EE216" s="15">
        <v>0</v>
      </c>
      <c r="EF216" s="15">
        <v>0</v>
      </c>
    </row>
    <row r="217" spans="1:136" ht="15" customHeight="1" x14ac:dyDescent="0.35">
      <c r="A217" s="8" t="s">
        <v>12</v>
      </c>
      <c r="B217" s="8" t="s">
        <v>123</v>
      </c>
      <c r="C217" s="8" t="s">
        <v>123</v>
      </c>
      <c r="D217" s="8" t="s">
        <v>316</v>
      </c>
      <c r="E217" s="8" t="s">
        <v>14</v>
      </c>
      <c r="F217" s="8" t="s">
        <v>82</v>
      </c>
      <c r="G217" s="15">
        <v>0</v>
      </c>
      <c r="H217" s="15">
        <v>0</v>
      </c>
      <c r="I217" s="15">
        <v>5</v>
      </c>
      <c r="J217" s="15">
        <v>-5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4</v>
      </c>
      <c r="AA217" s="15">
        <v>1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5">
        <v>0</v>
      </c>
      <c r="CH217" s="15">
        <v>0</v>
      </c>
      <c r="CI217" s="15">
        <v>0</v>
      </c>
      <c r="CJ217" s="15">
        <v>0</v>
      </c>
      <c r="CK217" s="15">
        <v>0</v>
      </c>
      <c r="CL217" s="15">
        <v>0</v>
      </c>
      <c r="CM217" s="15">
        <v>0</v>
      </c>
      <c r="CN217" s="15">
        <v>0</v>
      </c>
      <c r="CO217" s="15">
        <v>0</v>
      </c>
      <c r="CP217" s="15">
        <v>0</v>
      </c>
      <c r="CQ217" s="15">
        <v>0</v>
      </c>
      <c r="CR217" s="15">
        <v>0</v>
      </c>
      <c r="CS217" s="15">
        <v>0</v>
      </c>
      <c r="CT217" s="15">
        <v>0</v>
      </c>
      <c r="CU217" s="15">
        <v>0</v>
      </c>
      <c r="CV217" s="15">
        <v>0</v>
      </c>
      <c r="CW217" s="15">
        <v>0</v>
      </c>
      <c r="CX217" s="15">
        <v>0</v>
      </c>
      <c r="CY217" s="15">
        <v>0</v>
      </c>
      <c r="CZ217" s="15">
        <v>0</v>
      </c>
      <c r="DA217" s="15">
        <v>0</v>
      </c>
      <c r="DB217" s="15">
        <v>0</v>
      </c>
      <c r="DC217" s="15">
        <v>0</v>
      </c>
      <c r="DD217" s="15">
        <v>0</v>
      </c>
      <c r="DE217" s="15">
        <v>0</v>
      </c>
      <c r="DF217" s="15">
        <v>0</v>
      </c>
      <c r="DG217" s="15">
        <v>0</v>
      </c>
      <c r="DH217" s="15">
        <v>0</v>
      </c>
      <c r="DI217" s="15">
        <v>0</v>
      </c>
      <c r="DJ217" s="15">
        <v>0</v>
      </c>
      <c r="DK217" s="15">
        <v>0</v>
      </c>
      <c r="DL217" s="15">
        <v>0</v>
      </c>
      <c r="DM217" s="15">
        <v>0</v>
      </c>
      <c r="DN217" s="15">
        <v>0</v>
      </c>
      <c r="DO217" s="15">
        <v>0</v>
      </c>
      <c r="DP217" s="15">
        <v>0</v>
      </c>
      <c r="DQ217" s="15">
        <v>0</v>
      </c>
      <c r="DR217" s="15">
        <v>0</v>
      </c>
      <c r="DS217" s="15">
        <v>0</v>
      </c>
      <c r="DT217" s="15">
        <v>0</v>
      </c>
      <c r="DU217" s="15">
        <v>0</v>
      </c>
      <c r="DV217" s="15">
        <v>0</v>
      </c>
      <c r="DW217" s="15">
        <v>0</v>
      </c>
      <c r="DX217" s="15">
        <v>0</v>
      </c>
      <c r="DY217" s="15">
        <v>0</v>
      </c>
      <c r="DZ217" s="15">
        <v>0</v>
      </c>
      <c r="EA217" s="15">
        <v>0</v>
      </c>
      <c r="EB217" s="15">
        <v>0</v>
      </c>
      <c r="EC217" s="15">
        <v>0</v>
      </c>
      <c r="ED217" s="15">
        <v>0</v>
      </c>
      <c r="EE217" s="15">
        <v>0</v>
      </c>
      <c r="EF217" s="15">
        <v>0</v>
      </c>
    </row>
    <row r="218" spans="1:136" ht="15" customHeight="1" x14ac:dyDescent="0.35">
      <c r="A218" s="8" t="s">
        <v>12</v>
      </c>
      <c r="B218" s="8" t="s">
        <v>123</v>
      </c>
      <c r="C218" s="8" t="s">
        <v>123</v>
      </c>
      <c r="D218" s="8" t="s">
        <v>322</v>
      </c>
      <c r="E218" s="8" t="s">
        <v>14</v>
      </c>
      <c r="F218" s="8" t="s">
        <v>82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0</v>
      </c>
      <c r="BN218" s="15">
        <v>0</v>
      </c>
      <c r="BO218" s="15">
        <v>0</v>
      </c>
      <c r="BP218" s="15">
        <v>0</v>
      </c>
      <c r="BQ218" s="15">
        <v>0</v>
      </c>
      <c r="BR218" s="15">
        <v>0</v>
      </c>
      <c r="BS218" s="15">
        <v>0</v>
      </c>
      <c r="BT218" s="15">
        <v>0</v>
      </c>
      <c r="BU218" s="15">
        <v>0</v>
      </c>
      <c r="BV218" s="15">
        <v>0</v>
      </c>
      <c r="BW218" s="15">
        <v>0</v>
      </c>
      <c r="BX218" s="15">
        <v>0</v>
      </c>
      <c r="BY218" s="15">
        <v>0</v>
      </c>
      <c r="BZ218" s="15">
        <v>0</v>
      </c>
      <c r="CA218" s="15">
        <v>0</v>
      </c>
      <c r="CB218" s="15">
        <v>0</v>
      </c>
      <c r="CC218" s="15">
        <v>0</v>
      </c>
      <c r="CD218" s="15">
        <v>0</v>
      </c>
      <c r="CE218" s="15">
        <v>0</v>
      </c>
      <c r="CF218" s="15">
        <v>0</v>
      </c>
      <c r="CG218" s="15">
        <v>0</v>
      </c>
      <c r="CH218" s="15">
        <v>0</v>
      </c>
      <c r="CI218" s="15">
        <v>0</v>
      </c>
      <c r="CJ218" s="15">
        <v>0</v>
      </c>
      <c r="CK218" s="15">
        <v>0</v>
      </c>
      <c r="CL218" s="15">
        <v>0</v>
      </c>
      <c r="CM218" s="15">
        <v>0</v>
      </c>
      <c r="CN218" s="15">
        <v>0</v>
      </c>
      <c r="CO218" s="15">
        <v>0</v>
      </c>
      <c r="CP218" s="15">
        <v>0</v>
      </c>
      <c r="CQ218" s="15">
        <v>0</v>
      </c>
      <c r="CR218" s="15">
        <v>0</v>
      </c>
      <c r="CS218" s="15">
        <v>0</v>
      </c>
      <c r="CT218" s="15">
        <v>0</v>
      </c>
      <c r="CU218" s="15">
        <v>0</v>
      </c>
      <c r="CV218" s="15">
        <v>0</v>
      </c>
      <c r="CW218" s="15">
        <v>0</v>
      </c>
      <c r="CX218" s="15">
        <v>0</v>
      </c>
      <c r="CY218" s="15">
        <v>0</v>
      </c>
      <c r="CZ218" s="15">
        <v>0</v>
      </c>
      <c r="DA218" s="15">
        <v>0</v>
      </c>
      <c r="DB218" s="15">
        <v>0</v>
      </c>
      <c r="DC218" s="15">
        <v>0</v>
      </c>
      <c r="DD218" s="15">
        <v>0</v>
      </c>
      <c r="DE218" s="15">
        <v>0</v>
      </c>
      <c r="DF218" s="15">
        <v>0</v>
      </c>
      <c r="DG218" s="15">
        <v>0</v>
      </c>
      <c r="DH218" s="15">
        <v>0</v>
      </c>
      <c r="DI218" s="15">
        <v>0</v>
      </c>
      <c r="DJ218" s="15">
        <v>0</v>
      </c>
      <c r="DK218" s="15">
        <v>0</v>
      </c>
      <c r="DL218" s="15">
        <v>0</v>
      </c>
      <c r="DM218" s="15">
        <v>0</v>
      </c>
      <c r="DN218" s="15">
        <v>0</v>
      </c>
      <c r="DO218" s="15">
        <v>0</v>
      </c>
      <c r="DP218" s="15">
        <v>0</v>
      </c>
      <c r="DQ218" s="15">
        <v>0</v>
      </c>
      <c r="DR218" s="15">
        <v>0</v>
      </c>
      <c r="DS218" s="15">
        <v>0</v>
      </c>
      <c r="DT218" s="15">
        <v>0</v>
      </c>
      <c r="DU218" s="15">
        <v>0</v>
      </c>
      <c r="DV218" s="15">
        <v>0</v>
      </c>
      <c r="DW218" s="15">
        <v>0</v>
      </c>
      <c r="DX218" s="15">
        <v>0</v>
      </c>
      <c r="DY218" s="15">
        <v>0</v>
      </c>
      <c r="DZ218" s="15">
        <v>0</v>
      </c>
      <c r="EA218" s="15">
        <v>0</v>
      </c>
      <c r="EB218" s="15">
        <v>0</v>
      </c>
      <c r="EC218" s="15">
        <v>0</v>
      </c>
      <c r="ED218" s="15">
        <v>0</v>
      </c>
      <c r="EE218" s="15">
        <v>0</v>
      </c>
      <c r="EF218" s="15">
        <v>0</v>
      </c>
    </row>
    <row r="219" spans="1:136" ht="15" customHeight="1" x14ac:dyDescent="0.35">
      <c r="A219" s="8" t="s">
        <v>12</v>
      </c>
      <c r="B219" s="8" t="s">
        <v>123</v>
      </c>
      <c r="C219" s="8" t="s">
        <v>123</v>
      </c>
      <c r="D219" s="8" t="s">
        <v>316</v>
      </c>
      <c r="E219" s="8" t="s">
        <v>14</v>
      </c>
      <c r="F219" s="8" t="s">
        <v>83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5">
        <v>0</v>
      </c>
      <c r="CH219" s="15">
        <v>0</v>
      </c>
      <c r="CI219" s="15">
        <v>0</v>
      </c>
      <c r="CJ219" s="15">
        <v>0</v>
      </c>
      <c r="CK219" s="15">
        <v>0</v>
      </c>
      <c r="CL219" s="15">
        <v>0</v>
      </c>
      <c r="CM219" s="15">
        <v>0</v>
      </c>
      <c r="CN219" s="15">
        <v>0</v>
      </c>
      <c r="CO219" s="15">
        <v>0</v>
      </c>
      <c r="CP219" s="15">
        <v>0</v>
      </c>
      <c r="CQ219" s="15">
        <v>0</v>
      </c>
      <c r="CR219" s="15">
        <v>0</v>
      </c>
      <c r="CS219" s="15">
        <v>0</v>
      </c>
      <c r="CT219" s="15">
        <v>0</v>
      </c>
      <c r="CU219" s="15">
        <v>0</v>
      </c>
      <c r="CV219" s="15">
        <v>0</v>
      </c>
      <c r="CW219" s="15">
        <v>0</v>
      </c>
      <c r="CX219" s="15">
        <v>0</v>
      </c>
      <c r="CY219" s="15">
        <v>0</v>
      </c>
      <c r="CZ219" s="15">
        <v>0</v>
      </c>
      <c r="DA219" s="15">
        <v>0</v>
      </c>
      <c r="DB219" s="15">
        <v>0</v>
      </c>
      <c r="DC219" s="15">
        <v>0</v>
      </c>
      <c r="DD219" s="15">
        <v>0</v>
      </c>
      <c r="DE219" s="15">
        <v>0</v>
      </c>
      <c r="DF219" s="15">
        <v>0</v>
      </c>
      <c r="DG219" s="15">
        <v>0</v>
      </c>
      <c r="DH219" s="15">
        <v>0</v>
      </c>
      <c r="DI219" s="15">
        <v>0</v>
      </c>
      <c r="DJ219" s="15">
        <v>0</v>
      </c>
      <c r="DK219" s="15">
        <v>0</v>
      </c>
      <c r="DL219" s="15">
        <v>0</v>
      </c>
      <c r="DM219" s="15">
        <v>0</v>
      </c>
      <c r="DN219" s="15">
        <v>0</v>
      </c>
      <c r="DO219" s="15">
        <v>0</v>
      </c>
      <c r="DP219" s="15">
        <v>0</v>
      </c>
      <c r="DQ219" s="15">
        <v>0</v>
      </c>
      <c r="DR219" s="15">
        <v>0</v>
      </c>
      <c r="DS219" s="15">
        <v>0</v>
      </c>
      <c r="DT219" s="15">
        <v>0</v>
      </c>
      <c r="DU219" s="15">
        <v>0</v>
      </c>
      <c r="DV219" s="15">
        <v>0</v>
      </c>
      <c r="DW219" s="15">
        <v>0</v>
      </c>
      <c r="DX219" s="15">
        <v>0</v>
      </c>
      <c r="DY219" s="15">
        <v>0</v>
      </c>
      <c r="DZ219" s="15">
        <v>0</v>
      </c>
      <c r="EA219" s="15">
        <v>0</v>
      </c>
      <c r="EB219" s="15">
        <v>0</v>
      </c>
      <c r="EC219" s="15">
        <v>0</v>
      </c>
      <c r="ED219" s="15">
        <v>0</v>
      </c>
      <c r="EE219" s="15">
        <v>0</v>
      </c>
      <c r="EF219" s="15">
        <v>0</v>
      </c>
    </row>
    <row r="220" spans="1:136" ht="15" customHeight="1" x14ac:dyDescent="0.35">
      <c r="A220" s="8" t="s">
        <v>12</v>
      </c>
      <c r="B220" s="8" t="s">
        <v>123</v>
      </c>
      <c r="C220" s="8" t="s">
        <v>123</v>
      </c>
      <c r="D220" s="8" t="s">
        <v>322</v>
      </c>
      <c r="E220" s="8" t="s">
        <v>14</v>
      </c>
      <c r="F220" s="8" t="s">
        <v>83</v>
      </c>
      <c r="G220" s="15">
        <v>0</v>
      </c>
      <c r="H220" s="15">
        <v>0</v>
      </c>
      <c r="I220" s="15">
        <v>12</v>
      </c>
      <c r="J220" s="15">
        <v>-12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8</v>
      </c>
      <c r="AN220" s="15">
        <v>4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0</v>
      </c>
      <c r="BI220" s="15">
        <v>0</v>
      </c>
      <c r="BJ220" s="15">
        <v>0</v>
      </c>
      <c r="BK220" s="15">
        <v>0</v>
      </c>
      <c r="BL220" s="15">
        <v>0</v>
      </c>
      <c r="BM220" s="15">
        <v>0</v>
      </c>
      <c r="BN220" s="15">
        <v>0</v>
      </c>
      <c r="BO220" s="15">
        <v>0</v>
      </c>
      <c r="BP220" s="15">
        <v>0</v>
      </c>
      <c r="BQ220" s="15">
        <v>0</v>
      </c>
      <c r="BR220" s="15">
        <v>0</v>
      </c>
      <c r="BS220" s="15">
        <v>0</v>
      </c>
      <c r="BT220" s="15">
        <v>0</v>
      </c>
      <c r="BU220" s="15">
        <v>0</v>
      </c>
      <c r="BV220" s="15">
        <v>0</v>
      </c>
      <c r="BW220" s="15">
        <v>0</v>
      </c>
      <c r="BX220" s="15">
        <v>0</v>
      </c>
      <c r="BY220" s="15">
        <v>0</v>
      </c>
      <c r="BZ220" s="15">
        <v>0</v>
      </c>
      <c r="CA220" s="15">
        <v>0</v>
      </c>
      <c r="CB220" s="15">
        <v>0</v>
      </c>
      <c r="CC220" s="15">
        <v>0</v>
      </c>
      <c r="CD220" s="15">
        <v>0</v>
      </c>
      <c r="CE220" s="15">
        <v>0</v>
      </c>
      <c r="CF220" s="15">
        <v>0</v>
      </c>
      <c r="CG220" s="15">
        <v>0</v>
      </c>
      <c r="CH220" s="15">
        <v>0</v>
      </c>
      <c r="CI220" s="15">
        <v>0</v>
      </c>
      <c r="CJ220" s="15">
        <v>0</v>
      </c>
      <c r="CK220" s="15">
        <v>0</v>
      </c>
      <c r="CL220" s="15">
        <v>0</v>
      </c>
      <c r="CM220" s="15">
        <v>0</v>
      </c>
      <c r="CN220" s="15">
        <v>0</v>
      </c>
      <c r="CO220" s="15">
        <v>0</v>
      </c>
      <c r="CP220" s="15">
        <v>0</v>
      </c>
      <c r="CQ220" s="15">
        <v>0</v>
      </c>
      <c r="CR220" s="15">
        <v>0</v>
      </c>
      <c r="CS220" s="15">
        <v>0</v>
      </c>
      <c r="CT220" s="15">
        <v>0</v>
      </c>
      <c r="CU220" s="15">
        <v>0</v>
      </c>
      <c r="CV220" s="15">
        <v>0</v>
      </c>
      <c r="CW220" s="15">
        <v>0</v>
      </c>
      <c r="CX220" s="15">
        <v>0</v>
      </c>
      <c r="CY220" s="15">
        <v>0</v>
      </c>
      <c r="CZ220" s="15">
        <v>0</v>
      </c>
      <c r="DA220" s="15">
        <v>0</v>
      </c>
      <c r="DB220" s="15">
        <v>0</v>
      </c>
      <c r="DC220" s="15">
        <v>0</v>
      </c>
      <c r="DD220" s="15">
        <v>0</v>
      </c>
      <c r="DE220" s="15">
        <v>0</v>
      </c>
      <c r="DF220" s="15">
        <v>0</v>
      </c>
      <c r="DG220" s="15">
        <v>0</v>
      </c>
      <c r="DH220" s="15">
        <v>0</v>
      </c>
      <c r="DI220" s="15">
        <v>0</v>
      </c>
      <c r="DJ220" s="15">
        <v>0</v>
      </c>
      <c r="DK220" s="15">
        <v>0</v>
      </c>
      <c r="DL220" s="15">
        <v>0</v>
      </c>
      <c r="DM220" s="15">
        <v>0</v>
      </c>
      <c r="DN220" s="15">
        <v>0</v>
      </c>
      <c r="DO220" s="15">
        <v>0</v>
      </c>
      <c r="DP220" s="15">
        <v>0</v>
      </c>
      <c r="DQ220" s="15">
        <v>0</v>
      </c>
      <c r="DR220" s="15">
        <v>0</v>
      </c>
      <c r="DS220" s="15">
        <v>0</v>
      </c>
      <c r="DT220" s="15">
        <v>0</v>
      </c>
      <c r="DU220" s="15">
        <v>0</v>
      </c>
      <c r="DV220" s="15">
        <v>0</v>
      </c>
      <c r="DW220" s="15">
        <v>0</v>
      </c>
      <c r="DX220" s="15">
        <v>0</v>
      </c>
      <c r="DY220" s="15">
        <v>0</v>
      </c>
      <c r="DZ220" s="15">
        <v>0</v>
      </c>
      <c r="EA220" s="15">
        <v>0</v>
      </c>
      <c r="EB220" s="15">
        <v>0</v>
      </c>
      <c r="EC220" s="15">
        <v>0</v>
      </c>
      <c r="ED220" s="15">
        <v>0</v>
      </c>
      <c r="EE220" s="15">
        <v>0</v>
      </c>
      <c r="EF220" s="15">
        <v>0</v>
      </c>
    </row>
    <row r="221" spans="1:136" ht="15" customHeight="1" x14ac:dyDescent="0.35">
      <c r="A221" s="8" t="s">
        <v>12</v>
      </c>
      <c r="B221" s="8" t="s">
        <v>123</v>
      </c>
      <c r="C221" s="8" t="s">
        <v>123</v>
      </c>
      <c r="D221" s="8" t="s">
        <v>316</v>
      </c>
      <c r="E221" s="8" t="s">
        <v>14</v>
      </c>
      <c r="F221" s="8" t="s">
        <v>46</v>
      </c>
      <c r="G221" s="15">
        <v>60</v>
      </c>
      <c r="H221" s="15">
        <v>170</v>
      </c>
      <c r="I221" s="15">
        <v>26.5</v>
      </c>
      <c r="J221" s="15">
        <v>143.5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16</v>
      </c>
      <c r="AD221" s="15">
        <v>3</v>
      </c>
      <c r="AE221" s="15">
        <v>5</v>
      </c>
      <c r="AF221" s="15">
        <v>1</v>
      </c>
      <c r="AG221" s="15">
        <v>1.5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5">
        <v>0</v>
      </c>
      <c r="CH221" s="15">
        <v>0</v>
      </c>
      <c r="CI221" s="15">
        <v>0</v>
      </c>
      <c r="CJ221" s="15">
        <v>0</v>
      </c>
      <c r="CK221" s="15">
        <v>0</v>
      </c>
      <c r="CL221" s="15">
        <v>0</v>
      </c>
      <c r="CM221" s="15">
        <v>0</v>
      </c>
      <c r="CN221" s="15">
        <v>0</v>
      </c>
      <c r="CO221" s="15">
        <v>0</v>
      </c>
      <c r="CP221" s="15">
        <v>0</v>
      </c>
      <c r="CQ221" s="15">
        <v>0</v>
      </c>
      <c r="CR221" s="15">
        <v>0</v>
      </c>
      <c r="CS221" s="15">
        <v>0</v>
      </c>
      <c r="CT221" s="15">
        <v>0</v>
      </c>
      <c r="CU221" s="15">
        <v>0</v>
      </c>
      <c r="CV221" s="15">
        <v>0</v>
      </c>
      <c r="CW221" s="15">
        <v>0</v>
      </c>
      <c r="CX221" s="15">
        <v>0</v>
      </c>
      <c r="CY221" s="15">
        <v>0</v>
      </c>
      <c r="CZ221" s="15">
        <v>0</v>
      </c>
      <c r="DA221" s="15">
        <v>0</v>
      </c>
      <c r="DB221" s="15">
        <v>0</v>
      </c>
      <c r="DC221" s="15">
        <v>0</v>
      </c>
      <c r="DD221" s="15">
        <v>0</v>
      </c>
      <c r="DE221" s="15">
        <v>0</v>
      </c>
      <c r="DF221" s="15">
        <v>0</v>
      </c>
      <c r="DG221" s="15">
        <v>0</v>
      </c>
      <c r="DH221" s="15">
        <v>0</v>
      </c>
      <c r="DI221" s="15">
        <v>0</v>
      </c>
      <c r="DJ221" s="15">
        <v>0</v>
      </c>
      <c r="DK221" s="15">
        <v>0</v>
      </c>
      <c r="DL221" s="15">
        <v>0</v>
      </c>
      <c r="DM221" s="15">
        <v>0</v>
      </c>
      <c r="DN221" s="15">
        <v>0</v>
      </c>
      <c r="DO221" s="15">
        <v>0</v>
      </c>
      <c r="DP221" s="15">
        <v>0</v>
      </c>
      <c r="DQ221" s="15">
        <v>0</v>
      </c>
      <c r="DR221" s="15">
        <v>0</v>
      </c>
      <c r="DS221" s="15">
        <v>0</v>
      </c>
      <c r="DT221" s="15">
        <v>0</v>
      </c>
      <c r="DU221" s="15">
        <v>0</v>
      </c>
      <c r="DV221" s="15">
        <v>0</v>
      </c>
      <c r="DW221" s="15">
        <v>0</v>
      </c>
      <c r="DX221" s="15">
        <v>0</v>
      </c>
      <c r="DY221" s="15">
        <v>0</v>
      </c>
      <c r="DZ221" s="15">
        <v>0</v>
      </c>
      <c r="EA221" s="15">
        <v>0</v>
      </c>
      <c r="EB221" s="15">
        <v>0</v>
      </c>
      <c r="EC221" s="15">
        <v>0</v>
      </c>
      <c r="ED221" s="15">
        <v>0</v>
      </c>
      <c r="EE221" s="15">
        <v>0</v>
      </c>
      <c r="EF221" s="15">
        <v>0</v>
      </c>
    </row>
    <row r="222" spans="1:136" ht="15" customHeight="1" x14ac:dyDescent="0.35">
      <c r="A222" s="8" t="s">
        <v>12</v>
      </c>
      <c r="B222" s="8" t="s">
        <v>123</v>
      </c>
      <c r="C222" s="8" t="s">
        <v>123</v>
      </c>
      <c r="D222" s="8" t="s">
        <v>322</v>
      </c>
      <c r="E222" s="8" t="s">
        <v>14</v>
      </c>
      <c r="F222" s="8" t="s">
        <v>46</v>
      </c>
      <c r="G222" s="15">
        <v>0</v>
      </c>
      <c r="H222" s="15">
        <v>0</v>
      </c>
      <c r="I222" s="15">
        <v>144</v>
      </c>
      <c r="J222" s="15">
        <v>-144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2</v>
      </c>
      <c r="AK222" s="15">
        <v>4</v>
      </c>
      <c r="AL222" s="15">
        <v>6</v>
      </c>
      <c r="AM222" s="15">
        <v>3</v>
      </c>
      <c r="AN222" s="15">
        <v>0</v>
      </c>
      <c r="AO222" s="15">
        <v>0</v>
      </c>
      <c r="AP222" s="15">
        <v>6</v>
      </c>
      <c r="AQ222" s="15">
        <v>4</v>
      </c>
      <c r="AR222" s="15">
        <v>9</v>
      </c>
      <c r="AS222" s="15">
        <v>0</v>
      </c>
      <c r="AT222" s="15">
        <v>0</v>
      </c>
      <c r="AU222" s="15"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0</v>
      </c>
      <c r="BI222" s="15">
        <v>0</v>
      </c>
      <c r="BJ222" s="15">
        <v>0</v>
      </c>
      <c r="BK222" s="15">
        <v>0</v>
      </c>
      <c r="BL222" s="15">
        <v>0</v>
      </c>
      <c r="BM222" s="15">
        <v>0</v>
      </c>
      <c r="BN222" s="15">
        <v>0</v>
      </c>
      <c r="BO222" s="15">
        <v>0</v>
      </c>
      <c r="BP222" s="15">
        <v>0</v>
      </c>
      <c r="BQ222" s="15">
        <v>0</v>
      </c>
      <c r="BR222" s="15">
        <v>0</v>
      </c>
      <c r="BS222" s="15">
        <v>0</v>
      </c>
      <c r="BT222" s="15">
        <v>0</v>
      </c>
      <c r="BU222" s="15">
        <v>0</v>
      </c>
      <c r="BV222" s="15">
        <v>0</v>
      </c>
      <c r="BW222" s="15">
        <v>0</v>
      </c>
      <c r="BX222" s="15">
        <v>0</v>
      </c>
      <c r="BY222" s="15">
        <v>0</v>
      </c>
      <c r="BZ222" s="15">
        <v>0</v>
      </c>
      <c r="CA222" s="15">
        <v>0</v>
      </c>
      <c r="CB222" s="15">
        <v>0</v>
      </c>
      <c r="CC222" s="15">
        <v>0</v>
      </c>
      <c r="CD222" s="15">
        <v>0</v>
      </c>
      <c r="CE222" s="15">
        <v>0</v>
      </c>
      <c r="CF222" s="15">
        <v>0</v>
      </c>
      <c r="CG222" s="15">
        <v>0</v>
      </c>
      <c r="CH222" s="15">
        <v>0</v>
      </c>
      <c r="CI222" s="15">
        <v>0</v>
      </c>
      <c r="CJ222" s="15">
        <v>0</v>
      </c>
      <c r="CK222" s="15">
        <v>0</v>
      </c>
      <c r="CL222" s="15">
        <v>0</v>
      </c>
      <c r="CM222" s="15">
        <v>0</v>
      </c>
      <c r="CN222" s="15">
        <v>0</v>
      </c>
      <c r="CO222" s="15">
        <v>0</v>
      </c>
      <c r="CP222" s="15">
        <v>0</v>
      </c>
      <c r="CQ222" s="15">
        <v>0</v>
      </c>
      <c r="CR222" s="15">
        <v>0</v>
      </c>
      <c r="CS222" s="15">
        <v>0.5</v>
      </c>
      <c r="CT222" s="15">
        <v>0.5</v>
      </c>
      <c r="CU222" s="15">
        <v>0.5</v>
      </c>
      <c r="CV222" s="15">
        <v>0.5</v>
      </c>
      <c r="CW222" s="15">
        <v>0.5</v>
      </c>
      <c r="CX222" s="15">
        <v>0.5</v>
      </c>
      <c r="CY222" s="15">
        <v>0.5</v>
      </c>
      <c r="CZ222" s="15">
        <v>0.5</v>
      </c>
      <c r="DA222" s="15">
        <v>0.5</v>
      </c>
      <c r="DB222" s="15">
        <v>0.5</v>
      </c>
      <c r="DC222" s="15">
        <v>0.5</v>
      </c>
      <c r="DD222" s="15">
        <v>0.5</v>
      </c>
      <c r="DE222" s="15">
        <v>0.5</v>
      </c>
      <c r="DF222" s="15">
        <v>0.5</v>
      </c>
      <c r="DG222" s="15">
        <v>0.5</v>
      </c>
      <c r="DH222" s="15">
        <v>0.5</v>
      </c>
      <c r="DI222" s="15">
        <v>0</v>
      </c>
      <c r="DJ222" s="15">
        <v>0</v>
      </c>
      <c r="DK222" s="15">
        <v>1.5</v>
      </c>
      <c r="DL222" s="15">
        <v>10.5</v>
      </c>
      <c r="DM222" s="15">
        <v>27</v>
      </c>
      <c r="DN222" s="15">
        <v>20</v>
      </c>
      <c r="DO222" s="15">
        <v>27</v>
      </c>
      <c r="DP222" s="15">
        <v>16</v>
      </c>
      <c r="DQ222" s="15">
        <v>0</v>
      </c>
      <c r="DR222" s="15">
        <v>0</v>
      </c>
      <c r="DS222" s="15">
        <v>0</v>
      </c>
      <c r="DT222" s="15">
        <v>0</v>
      </c>
      <c r="DU222" s="15">
        <v>0</v>
      </c>
      <c r="DV222" s="15">
        <v>0</v>
      </c>
      <c r="DW222" s="15">
        <v>0</v>
      </c>
      <c r="DX222" s="15">
        <v>0</v>
      </c>
      <c r="DY222" s="15">
        <v>0</v>
      </c>
      <c r="DZ222" s="15">
        <v>0</v>
      </c>
      <c r="EA222" s="15">
        <v>0</v>
      </c>
      <c r="EB222" s="15">
        <v>0</v>
      </c>
      <c r="EC222" s="15">
        <v>0</v>
      </c>
      <c r="ED222" s="15">
        <v>0</v>
      </c>
      <c r="EE222" s="15">
        <v>0</v>
      </c>
      <c r="EF222" s="15">
        <v>0</v>
      </c>
    </row>
    <row r="223" spans="1:136" ht="15" customHeight="1" x14ac:dyDescent="0.35">
      <c r="A223" s="8" t="s">
        <v>12</v>
      </c>
      <c r="B223" s="8" t="s">
        <v>123</v>
      </c>
      <c r="C223" s="8" t="s">
        <v>123</v>
      </c>
      <c r="D223" s="8" t="s">
        <v>316</v>
      </c>
      <c r="E223" s="8" t="s">
        <v>14</v>
      </c>
      <c r="F223" s="8" t="s">
        <v>86</v>
      </c>
      <c r="G223" s="15">
        <v>8</v>
      </c>
      <c r="H223" s="15">
        <v>8</v>
      </c>
      <c r="I223" s="15">
        <v>8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8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5">
        <v>0</v>
      </c>
      <c r="CH223" s="15">
        <v>0</v>
      </c>
      <c r="CI223" s="15">
        <v>0</v>
      </c>
      <c r="CJ223" s="15">
        <v>0</v>
      </c>
      <c r="CK223" s="15">
        <v>0</v>
      </c>
      <c r="CL223" s="15">
        <v>0</v>
      </c>
      <c r="CM223" s="15">
        <v>0</v>
      </c>
      <c r="CN223" s="15">
        <v>0</v>
      </c>
      <c r="CO223" s="15">
        <v>0</v>
      </c>
      <c r="CP223" s="15">
        <v>0</v>
      </c>
      <c r="CQ223" s="15">
        <v>0</v>
      </c>
      <c r="CR223" s="15">
        <v>0</v>
      </c>
      <c r="CS223" s="15">
        <v>0</v>
      </c>
      <c r="CT223" s="15">
        <v>0</v>
      </c>
      <c r="CU223" s="15">
        <v>0</v>
      </c>
      <c r="CV223" s="15">
        <v>0</v>
      </c>
      <c r="CW223" s="15">
        <v>0</v>
      </c>
      <c r="CX223" s="15">
        <v>0</v>
      </c>
      <c r="CY223" s="15">
        <v>0</v>
      </c>
      <c r="CZ223" s="15">
        <v>0</v>
      </c>
      <c r="DA223" s="15">
        <v>0</v>
      </c>
      <c r="DB223" s="15">
        <v>0</v>
      </c>
      <c r="DC223" s="15">
        <v>0</v>
      </c>
      <c r="DD223" s="15">
        <v>0</v>
      </c>
      <c r="DE223" s="15">
        <v>0</v>
      </c>
      <c r="DF223" s="15">
        <v>0</v>
      </c>
      <c r="DG223" s="15">
        <v>0</v>
      </c>
      <c r="DH223" s="15">
        <v>0</v>
      </c>
      <c r="DI223" s="15">
        <v>0</v>
      </c>
      <c r="DJ223" s="15">
        <v>0</v>
      </c>
      <c r="DK223" s="15">
        <v>0</v>
      </c>
      <c r="DL223" s="15">
        <v>0</v>
      </c>
      <c r="DM223" s="15">
        <v>0</v>
      </c>
      <c r="DN223" s="15">
        <v>0</v>
      </c>
      <c r="DO223" s="15">
        <v>0</v>
      </c>
      <c r="DP223" s="15">
        <v>0</v>
      </c>
      <c r="DQ223" s="15">
        <v>0</v>
      </c>
      <c r="DR223" s="15">
        <v>0</v>
      </c>
      <c r="DS223" s="15">
        <v>0</v>
      </c>
      <c r="DT223" s="15">
        <v>0</v>
      </c>
      <c r="DU223" s="15">
        <v>0</v>
      </c>
      <c r="DV223" s="15">
        <v>0</v>
      </c>
      <c r="DW223" s="15">
        <v>0</v>
      </c>
      <c r="DX223" s="15">
        <v>0</v>
      </c>
      <c r="DY223" s="15">
        <v>0</v>
      </c>
      <c r="DZ223" s="15">
        <v>0</v>
      </c>
      <c r="EA223" s="15">
        <v>0</v>
      </c>
      <c r="EB223" s="15">
        <v>0</v>
      </c>
      <c r="EC223" s="15">
        <v>0</v>
      </c>
      <c r="ED223" s="15">
        <v>0</v>
      </c>
      <c r="EE223" s="15">
        <v>0</v>
      </c>
      <c r="EF223" s="15">
        <v>0</v>
      </c>
    </row>
    <row r="224" spans="1:136" ht="15" customHeight="1" x14ac:dyDescent="0.35">
      <c r="A224" s="8" t="s">
        <v>12</v>
      </c>
      <c r="B224" s="8" t="s">
        <v>123</v>
      </c>
      <c r="C224" s="8" t="s">
        <v>123</v>
      </c>
      <c r="D224" s="8" t="s">
        <v>316</v>
      </c>
      <c r="E224" s="8" t="s">
        <v>14</v>
      </c>
      <c r="F224" s="8" t="s">
        <v>86</v>
      </c>
      <c r="G224" s="15">
        <v>0</v>
      </c>
      <c r="H224" s="15">
        <v>0</v>
      </c>
      <c r="I224" s="15">
        <v>52</v>
      </c>
      <c r="J224" s="15">
        <v>-52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2</v>
      </c>
      <c r="X224" s="15">
        <v>2</v>
      </c>
      <c r="Y224" s="15">
        <v>2</v>
      </c>
      <c r="Z224" s="15">
        <v>23</v>
      </c>
      <c r="AA224" s="15">
        <v>23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0</v>
      </c>
      <c r="BN224" s="15">
        <v>0</v>
      </c>
      <c r="BO224" s="15">
        <v>0</v>
      </c>
      <c r="BP224" s="15">
        <v>0</v>
      </c>
      <c r="BQ224" s="15">
        <v>0</v>
      </c>
      <c r="BR224" s="15">
        <v>0</v>
      </c>
      <c r="BS224" s="15">
        <v>0</v>
      </c>
      <c r="BT224" s="15">
        <v>0</v>
      </c>
      <c r="BU224" s="15">
        <v>0</v>
      </c>
      <c r="BV224" s="15">
        <v>0</v>
      </c>
      <c r="BW224" s="15">
        <v>0</v>
      </c>
      <c r="BX224" s="15">
        <v>0</v>
      </c>
      <c r="BY224" s="15">
        <v>0</v>
      </c>
      <c r="BZ224" s="15">
        <v>0</v>
      </c>
      <c r="CA224" s="15">
        <v>0</v>
      </c>
      <c r="CB224" s="15">
        <v>0</v>
      </c>
      <c r="CC224" s="15">
        <v>0</v>
      </c>
      <c r="CD224" s="15">
        <v>0</v>
      </c>
      <c r="CE224" s="15">
        <v>0</v>
      </c>
      <c r="CF224" s="15">
        <v>0</v>
      </c>
      <c r="CG224" s="15">
        <v>0</v>
      </c>
      <c r="CH224" s="15">
        <v>0</v>
      </c>
      <c r="CI224" s="15">
        <v>0</v>
      </c>
      <c r="CJ224" s="15">
        <v>0</v>
      </c>
      <c r="CK224" s="15">
        <v>0</v>
      </c>
      <c r="CL224" s="15">
        <v>0</v>
      </c>
      <c r="CM224" s="15">
        <v>0</v>
      </c>
      <c r="CN224" s="15">
        <v>0</v>
      </c>
      <c r="CO224" s="15">
        <v>0</v>
      </c>
      <c r="CP224" s="15">
        <v>0</v>
      </c>
      <c r="CQ224" s="15">
        <v>0</v>
      </c>
      <c r="CR224" s="15">
        <v>0</v>
      </c>
      <c r="CS224" s="15">
        <v>0</v>
      </c>
      <c r="CT224" s="15">
        <v>0</v>
      </c>
      <c r="CU224" s="15">
        <v>0</v>
      </c>
      <c r="CV224" s="15">
        <v>0</v>
      </c>
      <c r="CW224" s="15">
        <v>0</v>
      </c>
      <c r="CX224" s="15">
        <v>0</v>
      </c>
      <c r="CY224" s="15">
        <v>0</v>
      </c>
      <c r="CZ224" s="15">
        <v>0</v>
      </c>
      <c r="DA224" s="15">
        <v>0</v>
      </c>
      <c r="DB224" s="15">
        <v>0</v>
      </c>
      <c r="DC224" s="15">
        <v>0</v>
      </c>
      <c r="DD224" s="15">
        <v>0</v>
      </c>
      <c r="DE224" s="15">
        <v>0</v>
      </c>
      <c r="DF224" s="15">
        <v>0</v>
      </c>
      <c r="DG224" s="15">
        <v>0</v>
      </c>
      <c r="DH224" s="15">
        <v>0</v>
      </c>
      <c r="DI224" s="15">
        <v>0</v>
      </c>
      <c r="DJ224" s="15">
        <v>0</v>
      </c>
      <c r="DK224" s="15">
        <v>0</v>
      </c>
      <c r="DL224" s="15">
        <v>0</v>
      </c>
      <c r="DM224" s="15">
        <v>0</v>
      </c>
      <c r="DN224" s="15">
        <v>0</v>
      </c>
      <c r="DO224" s="15">
        <v>0</v>
      </c>
      <c r="DP224" s="15">
        <v>0</v>
      </c>
      <c r="DQ224" s="15">
        <v>0</v>
      </c>
      <c r="DR224" s="15">
        <v>0</v>
      </c>
      <c r="DS224" s="15">
        <v>0</v>
      </c>
      <c r="DT224" s="15">
        <v>0</v>
      </c>
      <c r="DU224" s="15">
        <v>0</v>
      </c>
      <c r="DV224" s="15">
        <v>0</v>
      </c>
      <c r="DW224" s="15">
        <v>0</v>
      </c>
      <c r="DX224" s="15">
        <v>0</v>
      </c>
      <c r="DY224" s="15">
        <v>0</v>
      </c>
      <c r="DZ224" s="15">
        <v>0</v>
      </c>
      <c r="EA224" s="15">
        <v>0</v>
      </c>
      <c r="EB224" s="15">
        <v>0</v>
      </c>
      <c r="EC224" s="15">
        <v>0</v>
      </c>
      <c r="ED224" s="15">
        <v>0</v>
      </c>
      <c r="EE224" s="15">
        <v>0</v>
      </c>
      <c r="EF224" s="15">
        <v>0</v>
      </c>
    </row>
    <row r="225" spans="1:136" ht="15" customHeight="1" x14ac:dyDescent="0.35">
      <c r="A225" s="8" t="s">
        <v>12</v>
      </c>
      <c r="B225" s="8" t="s">
        <v>123</v>
      </c>
      <c r="C225" s="8" t="s">
        <v>123</v>
      </c>
      <c r="D225" s="8" t="s">
        <v>322</v>
      </c>
      <c r="E225" s="8" t="s">
        <v>14</v>
      </c>
      <c r="F225" s="8" t="s">
        <v>86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5">
        <v>0</v>
      </c>
      <c r="CH225" s="15">
        <v>0</v>
      </c>
      <c r="CI225" s="15">
        <v>0</v>
      </c>
      <c r="CJ225" s="15">
        <v>0</v>
      </c>
      <c r="CK225" s="15">
        <v>0</v>
      </c>
      <c r="CL225" s="15">
        <v>0</v>
      </c>
      <c r="CM225" s="15">
        <v>0</v>
      </c>
      <c r="CN225" s="15">
        <v>0</v>
      </c>
      <c r="CO225" s="15">
        <v>0</v>
      </c>
      <c r="CP225" s="15">
        <v>0</v>
      </c>
      <c r="CQ225" s="15">
        <v>0</v>
      </c>
      <c r="CR225" s="15">
        <v>0</v>
      </c>
      <c r="CS225" s="15">
        <v>0</v>
      </c>
      <c r="CT225" s="15">
        <v>0</v>
      </c>
      <c r="CU225" s="15">
        <v>0</v>
      </c>
      <c r="CV225" s="15">
        <v>0</v>
      </c>
      <c r="CW225" s="15">
        <v>0</v>
      </c>
      <c r="CX225" s="15">
        <v>0</v>
      </c>
      <c r="CY225" s="15">
        <v>0</v>
      </c>
      <c r="CZ225" s="15">
        <v>0</v>
      </c>
      <c r="DA225" s="15">
        <v>0</v>
      </c>
      <c r="DB225" s="15">
        <v>0</v>
      </c>
      <c r="DC225" s="15">
        <v>0</v>
      </c>
      <c r="DD225" s="15">
        <v>0</v>
      </c>
      <c r="DE225" s="15">
        <v>0</v>
      </c>
      <c r="DF225" s="15">
        <v>0</v>
      </c>
      <c r="DG225" s="15">
        <v>0</v>
      </c>
      <c r="DH225" s="15">
        <v>0</v>
      </c>
      <c r="DI225" s="15">
        <v>0</v>
      </c>
      <c r="DJ225" s="15">
        <v>0</v>
      </c>
      <c r="DK225" s="15">
        <v>0</v>
      </c>
      <c r="DL225" s="15">
        <v>0</v>
      </c>
      <c r="DM225" s="15">
        <v>0</v>
      </c>
      <c r="DN225" s="15">
        <v>0</v>
      </c>
      <c r="DO225" s="15">
        <v>0</v>
      </c>
      <c r="DP225" s="15">
        <v>0</v>
      </c>
      <c r="DQ225" s="15">
        <v>0</v>
      </c>
      <c r="DR225" s="15">
        <v>0</v>
      </c>
      <c r="DS225" s="15">
        <v>0</v>
      </c>
      <c r="DT225" s="15">
        <v>0</v>
      </c>
      <c r="DU225" s="15">
        <v>0</v>
      </c>
      <c r="DV225" s="15">
        <v>0</v>
      </c>
      <c r="DW225" s="15">
        <v>0</v>
      </c>
      <c r="DX225" s="15">
        <v>0</v>
      </c>
      <c r="DY225" s="15">
        <v>0</v>
      </c>
      <c r="DZ225" s="15">
        <v>0</v>
      </c>
      <c r="EA225" s="15">
        <v>0</v>
      </c>
      <c r="EB225" s="15">
        <v>0</v>
      </c>
      <c r="EC225" s="15">
        <v>0</v>
      </c>
      <c r="ED225" s="15">
        <v>0</v>
      </c>
      <c r="EE225" s="15">
        <v>0</v>
      </c>
      <c r="EF225" s="15">
        <v>0</v>
      </c>
    </row>
    <row r="226" spans="1:136" ht="15" customHeight="1" x14ac:dyDescent="0.35">
      <c r="A226" s="8" t="s">
        <v>12</v>
      </c>
      <c r="B226" s="8" t="s">
        <v>123</v>
      </c>
      <c r="C226" s="8" t="s">
        <v>123</v>
      </c>
      <c r="D226" s="8" t="s">
        <v>316</v>
      </c>
      <c r="E226" s="8" t="s">
        <v>14</v>
      </c>
      <c r="F226" s="8" t="s">
        <v>87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0</v>
      </c>
      <c r="BI226" s="1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0</v>
      </c>
      <c r="BP226" s="15">
        <v>0</v>
      </c>
      <c r="BQ226" s="15">
        <v>0</v>
      </c>
      <c r="BR226" s="15">
        <v>0</v>
      </c>
      <c r="BS226" s="15">
        <v>0</v>
      </c>
      <c r="BT226" s="15">
        <v>0</v>
      </c>
      <c r="BU226" s="15">
        <v>0</v>
      </c>
      <c r="BV226" s="15">
        <v>0</v>
      </c>
      <c r="BW226" s="15">
        <v>0</v>
      </c>
      <c r="BX226" s="15">
        <v>0</v>
      </c>
      <c r="BY226" s="15">
        <v>0</v>
      </c>
      <c r="BZ226" s="15">
        <v>0</v>
      </c>
      <c r="CA226" s="15">
        <v>0</v>
      </c>
      <c r="CB226" s="15">
        <v>0</v>
      </c>
      <c r="CC226" s="15">
        <v>0</v>
      </c>
      <c r="CD226" s="15">
        <v>0</v>
      </c>
      <c r="CE226" s="15">
        <v>0</v>
      </c>
      <c r="CF226" s="15">
        <v>0</v>
      </c>
      <c r="CG226" s="15">
        <v>0</v>
      </c>
      <c r="CH226" s="15">
        <v>0</v>
      </c>
      <c r="CI226" s="15">
        <v>0</v>
      </c>
      <c r="CJ226" s="15">
        <v>0</v>
      </c>
      <c r="CK226" s="15">
        <v>0</v>
      </c>
      <c r="CL226" s="15">
        <v>0</v>
      </c>
      <c r="CM226" s="15">
        <v>0</v>
      </c>
      <c r="CN226" s="15">
        <v>0</v>
      </c>
      <c r="CO226" s="15">
        <v>0</v>
      </c>
      <c r="CP226" s="15">
        <v>0</v>
      </c>
      <c r="CQ226" s="15">
        <v>0</v>
      </c>
      <c r="CR226" s="15">
        <v>0</v>
      </c>
      <c r="CS226" s="15">
        <v>0</v>
      </c>
      <c r="CT226" s="15">
        <v>0</v>
      </c>
      <c r="CU226" s="15">
        <v>0</v>
      </c>
      <c r="CV226" s="15">
        <v>0</v>
      </c>
      <c r="CW226" s="15">
        <v>0</v>
      </c>
      <c r="CX226" s="15">
        <v>0</v>
      </c>
      <c r="CY226" s="15">
        <v>0</v>
      </c>
      <c r="CZ226" s="15">
        <v>0</v>
      </c>
      <c r="DA226" s="15">
        <v>0</v>
      </c>
      <c r="DB226" s="15">
        <v>0</v>
      </c>
      <c r="DC226" s="15">
        <v>0</v>
      </c>
      <c r="DD226" s="15">
        <v>0</v>
      </c>
      <c r="DE226" s="15">
        <v>0</v>
      </c>
      <c r="DF226" s="15">
        <v>0</v>
      </c>
      <c r="DG226" s="15">
        <v>0</v>
      </c>
      <c r="DH226" s="15">
        <v>0</v>
      </c>
      <c r="DI226" s="15">
        <v>0</v>
      </c>
      <c r="DJ226" s="15">
        <v>0</v>
      </c>
      <c r="DK226" s="15">
        <v>0</v>
      </c>
      <c r="DL226" s="15">
        <v>0</v>
      </c>
      <c r="DM226" s="15">
        <v>0</v>
      </c>
      <c r="DN226" s="15">
        <v>0</v>
      </c>
      <c r="DO226" s="15">
        <v>0</v>
      </c>
      <c r="DP226" s="15">
        <v>0</v>
      </c>
      <c r="DQ226" s="15">
        <v>0</v>
      </c>
      <c r="DR226" s="15">
        <v>0</v>
      </c>
      <c r="DS226" s="15">
        <v>0</v>
      </c>
      <c r="DT226" s="15">
        <v>0</v>
      </c>
      <c r="DU226" s="15">
        <v>0</v>
      </c>
      <c r="DV226" s="15">
        <v>0</v>
      </c>
      <c r="DW226" s="15">
        <v>0</v>
      </c>
      <c r="DX226" s="15">
        <v>0</v>
      </c>
      <c r="DY226" s="15">
        <v>0</v>
      </c>
      <c r="DZ226" s="15">
        <v>0</v>
      </c>
      <c r="EA226" s="15">
        <v>0</v>
      </c>
      <c r="EB226" s="15">
        <v>0</v>
      </c>
      <c r="EC226" s="15">
        <v>0</v>
      </c>
      <c r="ED226" s="15">
        <v>0</v>
      </c>
      <c r="EE226" s="15">
        <v>0</v>
      </c>
      <c r="EF226" s="15">
        <v>0</v>
      </c>
    </row>
    <row r="227" spans="1:136" ht="15" customHeight="1" x14ac:dyDescent="0.35">
      <c r="A227" s="8" t="s">
        <v>12</v>
      </c>
      <c r="B227" s="8" t="s">
        <v>123</v>
      </c>
      <c r="C227" s="8" t="s">
        <v>123</v>
      </c>
      <c r="D227" s="8" t="s">
        <v>322</v>
      </c>
      <c r="E227" s="8" t="s">
        <v>14</v>
      </c>
      <c r="F227" s="8" t="s">
        <v>87</v>
      </c>
      <c r="G227" s="15">
        <v>0</v>
      </c>
      <c r="H227" s="15">
        <v>0</v>
      </c>
      <c r="I227" s="15">
        <v>21.5</v>
      </c>
      <c r="J227" s="15">
        <v>-21.5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19.5</v>
      </c>
      <c r="AN227" s="15">
        <v>2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5">
        <v>0</v>
      </c>
      <c r="CH227" s="15">
        <v>0</v>
      </c>
      <c r="CI227" s="15">
        <v>0</v>
      </c>
      <c r="CJ227" s="15">
        <v>0</v>
      </c>
      <c r="CK227" s="15">
        <v>0</v>
      </c>
      <c r="CL227" s="15">
        <v>0</v>
      </c>
      <c r="CM227" s="15">
        <v>0</v>
      </c>
      <c r="CN227" s="15">
        <v>0</v>
      </c>
      <c r="CO227" s="15">
        <v>0</v>
      </c>
      <c r="CP227" s="15">
        <v>0</v>
      </c>
      <c r="CQ227" s="15">
        <v>0</v>
      </c>
      <c r="CR227" s="15">
        <v>0</v>
      </c>
      <c r="CS227" s="15">
        <v>0</v>
      </c>
      <c r="CT227" s="15">
        <v>0</v>
      </c>
      <c r="CU227" s="15">
        <v>0</v>
      </c>
      <c r="CV227" s="15">
        <v>0</v>
      </c>
      <c r="CW227" s="15">
        <v>0</v>
      </c>
      <c r="CX227" s="15">
        <v>0</v>
      </c>
      <c r="CY227" s="15">
        <v>0</v>
      </c>
      <c r="CZ227" s="15">
        <v>0</v>
      </c>
      <c r="DA227" s="15">
        <v>0</v>
      </c>
      <c r="DB227" s="15">
        <v>0</v>
      </c>
      <c r="DC227" s="15">
        <v>0</v>
      </c>
      <c r="DD227" s="15">
        <v>0</v>
      </c>
      <c r="DE227" s="15">
        <v>0</v>
      </c>
      <c r="DF227" s="15">
        <v>0</v>
      </c>
      <c r="DG227" s="15">
        <v>0</v>
      </c>
      <c r="DH227" s="15">
        <v>0</v>
      </c>
      <c r="DI227" s="15">
        <v>0</v>
      </c>
      <c r="DJ227" s="15">
        <v>0</v>
      </c>
      <c r="DK227" s="15">
        <v>0</v>
      </c>
      <c r="DL227" s="15">
        <v>0</v>
      </c>
      <c r="DM227" s="15">
        <v>0</v>
      </c>
      <c r="DN227" s="15">
        <v>0</v>
      </c>
      <c r="DO227" s="15">
        <v>0</v>
      </c>
      <c r="DP227" s="15">
        <v>0</v>
      </c>
      <c r="DQ227" s="15">
        <v>0</v>
      </c>
      <c r="DR227" s="15">
        <v>0</v>
      </c>
      <c r="DS227" s="15">
        <v>0</v>
      </c>
      <c r="DT227" s="15">
        <v>0</v>
      </c>
      <c r="DU227" s="15">
        <v>0</v>
      </c>
      <c r="DV227" s="15">
        <v>0</v>
      </c>
      <c r="DW227" s="15">
        <v>0</v>
      </c>
      <c r="DX227" s="15">
        <v>0</v>
      </c>
      <c r="DY227" s="15">
        <v>0</v>
      </c>
      <c r="DZ227" s="15">
        <v>0</v>
      </c>
      <c r="EA227" s="15">
        <v>0</v>
      </c>
      <c r="EB227" s="15">
        <v>0</v>
      </c>
      <c r="EC227" s="15">
        <v>0</v>
      </c>
      <c r="ED227" s="15">
        <v>0</v>
      </c>
      <c r="EE227" s="15">
        <v>0</v>
      </c>
      <c r="EF227" s="15">
        <v>0</v>
      </c>
    </row>
    <row r="228" spans="1:136" ht="15" customHeight="1" x14ac:dyDescent="0.35">
      <c r="A228" s="8" t="s">
        <v>12</v>
      </c>
      <c r="B228" s="8" t="s">
        <v>75</v>
      </c>
      <c r="C228" s="8" t="s">
        <v>75</v>
      </c>
      <c r="D228" s="8" t="s">
        <v>321</v>
      </c>
      <c r="E228" s="8" t="s">
        <v>16</v>
      </c>
      <c r="F228" s="8" t="s">
        <v>79</v>
      </c>
      <c r="G228" s="15">
        <v>0</v>
      </c>
      <c r="H228" s="15">
        <v>0</v>
      </c>
      <c r="I228" s="15">
        <v>60.9</v>
      </c>
      <c r="J228" s="15">
        <v>-60.9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1.5</v>
      </c>
      <c r="AK228" s="15">
        <v>2</v>
      </c>
      <c r="AL228" s="15">
        <v>1</v>
      </c>
      <c r="AM228" s="15">
        <v>0</v>
      </c>
      <c r="AN228" s="15">
        <v>1</v>
      </c>
      <c r="AO228" s="15">
        <v>1</v>
      </c>
      <c r="AP228" s="15">
        <v>0.5</v>
      </c>
      <c r="AQ228" s="15">
        <v>0</v>
      </c>
      <c r="AR228" s="15">
        <v>2</v>
      </c>
      <c r="AS228" s="15">
        <v>1</v>
      </c>
      <c r="AT228" s="15">
        <v>0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0</v>
      </c>
      <c r="BI228" s="15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0</v>
      </c>
      <c r="BP228" s="15">
        <v>0</v>
      </c>
      <c r="BQ228" s="15">
        <v>0</v>
      </c>
      <c r="BR228" s="15">
        <v>0</v>
      </c>
      <c r="BS228" s="15">
        <v>0</v>
      </c>
      <c r="BT228" s="15">
        <v>0</v>
      </c>
      <c r="BU228" s="15">
        <v>0</v>
      </c>
      <c r="BV228" s="15">
        <v>0</v>
      </c>
      <c r="BW228" s="15">
        <v>0</v>
      </c>
      <c r="BX228" s="15">
        <v>0</v>
      </c>
      <c r="BY228" s="15">
        <v>0</v>
      </c>
      <c r="BZ228" s="15">
        <v>0</v>
      </c>
      <c r="CA228" s="15">
        <v>0</v>
      </c>
      <c r="CB228" s="15">
        <v>0</v>
      </c>
      <c r="CC228" s="15">
        <v>0</v>
      </c>
      <c r="CD228" s="15">
        <v>0</v>
      </c>
      <c r="CE228" s="15">
        <v>0</v>
      </c>
      <c r="CF228" s="15">
        <v>0</v>
      </c>
      <c r="CG228" s="15">
        <v>0</v>
      </c>
      <c r="CH228" s="15">
        <v>0</v>
      </c>
      <c r="CI228" s="15">
        <v>0</v>
      </c>
      <c r="CJ228" s="15">
        <v>0</v>
      </c>
      <c r="CK228" s="15">
        <v>0</v>
      </c>
      <c r="CL228" s="15">
        <v>0</v>
      </c>
      <c r="CM228" s="15">
        <v>0</v>
      </c>
      <c r="CN228" s="15">
        <v>0</v>
      </c>
      <c r="CO228" s="15">
        <v>0</v>
      </c>
      <c r="CP228" s="15">
        <v>0</v>
      </c>
      <c r="CQ228" s="15">
        <v>0</v>
      </c>
      <c r="CR228" s="15">
        <v>0</v>
      </c>
      <c r="CS228" s="15">
        <v>1.4035089999999999</v>
      </c>
      <c r="CT228" s="15">
        <v>1.4035089999999999</v>
      </c>
      <c r="CU228" s="15">
        <v>1.4035089999999999</v>
      </c>
      <c r="CV228" s="15">
        <v>1.4035089999999999</v>
      </c>
      <c r="CW228" s="15">
        <v>1.4035089999999999</v>
      </c>
      <c r="CX228" s="15">
        <v>1.4035089999999999</v>
      </c>
      <c r="CY228" s="15">
        <v>1.4035089999999999</v>
      </c>
      <c r="CZ228" s="15">
        <v>1.4035089999999999</v>
      </c>
      <c r="DA228" s="15">
        <v>1.4035089999999999</v>
      </c>
      <c r="DB228" s="15">
        <v>1.4035089999999999</v>
      </c>
      <c r="DC228" s="15">
        <v>1.4035089999999999</v>
      </c>
      <c r="DD228" s="15">
        <v>1.4035089999999999</v>
      </c>
      <c r="DE228" s="15">
        <v>1.4035089999999999</v>
      </c>
      <c r="DF228" s="15">
        <v>1.4035089999999999</v>
      </c>
      <c r="DG228" s="15">
        <v>1.4035089999999999</v>
      </c>
      <c r="DH228" s="15">
        <v>1.4035089999999999</v>
      </c>
      <c r="DI228" s="15">
        <v>1.4035089999999999</v>
      </c>
      <c r="DJ228" s="15">
        <v>1.4035089999999999</v>
      </c>
      <c r="DK228" s="15">
        <v>1.4035089999999999</v>
      </c>
      <c r="DL228" s="15">
        <v>1.4035089999999999</v>
      </c>
      <c r="DM228" s="15">
        <v>1.4035089999999999</v>
      </c>
      <c r="DN228" s="15">
        <v>1.4035089999999999</v>
      </c>
      <c r="DO228" s="15">
        <v>1.4035089999999999</v>
      </c>
      <c r="DP228" s="15">
        <v>1.4035089999999999</v>
      </c>
      <c r="DQ228" s="15">
        <v>1.4035089999999999</v>
      </c>
      <c r="DR228" s="15">
        <v>1.4035089999999999</v>
      </c>
      <c r="DS228" s="15">
        <v>1.4035089999999999</v>
      </c>
      <c r="DT228" s="15">
        <v>1.4035089999999999</v>
      </c>
      <c r="DU228" s="15">
        <v>1.4035089999999999</v>
      </c>
      <c r="DV228" s="15">
        <v>1.4035089999999999</v>
      </c>
      <c r="DW228" s="15">
        <v>1.4035089999999999</v>
      </c>
      <c r="DX228" s="15">
        <v>1.4035089999999999</v>
      </c>
      <c r="DY228" s="15">
        <v>1.4035089999999999</v>
      </c>
      <c r="DZ228" s="15">
        <v>1.4035089999999999</v>
      </c>
      <c r="EA228" s="15">
        <v>1.4035089999999999</v>
      </c>
      <c r="EB228" s="15">
        <v>1.4035089999999999</v>
      </c>
      <c r="EC228" s="15">
        <v>1.4035089999999999</v>
      </c>
      <c r="ED228" s="15">
        <v>0</v>
      </c>
      <c r="EE228" s="15">
        <v>0</v>
      </c>
      <c r="EF228" s="15">
        <v>0</v>
      </c>
    </row>
    <row r="229" spans="1:136" ht="15" customHeight="1" x14ac:dyDescent="0.35">
      <c r="A229" s="8" t="s">
        <v>12</v>
      </c>
      <c r="B229" s="8" t="s">
        <v>75</v>
      </c>
      <c r="C229" s="8" t="s">
        <v>75</v>
      </c>
      <c r="D229" s="8" t="s">
        <v>320</v>
      </c>
      <c r="E229" s="8" t="s">
        <v>16</v>
      </c>
      <c r="F229" s="8" t="s">
        <v>79</v>
      </c>
      <c r="G229" s="15">
        <v>19.399999999999999</v>
      </c>
      <c r="H229" s="15">
        <v>71.400000000000006</v>
      </c>
      <c r="I229" s="15">
        <v>6</v>
      </c>
      <c r="J229" s="15">
        <v>65.400000000000006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1</v>
      </c>
      <c r="AC229" s="15">
        <v>1.5</v>
      </c>
      <c r="AD229" s="15">
        <v>1</v>
      </c>
      <c r="AE229" s="15">
        <v>0</v>
      </c>
      <c r="AF229" s="15">
        <v>0.5</v>
      </c>
      <c r="AG229" s="15">
        <v>0</v>
      </c>
      <c r="AH229" s="15">
        <v>1</v>
      </c>
      <c r="AI229" s="15">
        <v>1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5">
        <v>0</v>
      </c>
      <c r="CH229" s="15">
        <v>0</v>
      </c>
      <c r="CI229" s="15">
        <v>0</v>
      </c>
      <c r="CJ229" s="15">
        <v>0</v>
      </c>
      <c r="CK229" s="15">
        <v>0</v>
      </c>
      <c r="CL229" s="15">
        <v>0</v>
      </c>
      <c r="CM229" s="15">
        <v>0</v>
      </c>
      <c r="CN229" s="15">
        <v>0</v>
      </c>
      <c r="CO229" s="15">
        <v>0</v>
      </c>
      <c r="CP229" s="15">
        <v>0</v>
      </c>
      <c r="CQ229" s="15">
        <v>0</v>
      </c>
      <c r="CR229" s="15">
        <v>0</v>
      </c>
      <c r="CS229" s="15">
        <v>0</v>
      </c>
      <c r="CT229" s="15">
        <v>0</v>
      </c>
      <c r="CU229" s="15">
        <v>0</v>
      </c>
      <c r="CV229" s="15">
        <v>0</v>
      </c>
      <c r="CW229" s="15">
        <v>0</v>
      </c>
      <c r="CX229" s="15">
        <v>0</v>
      </c>
      <c r="CY229" s="15">
        <v>0</v>
      </c>
      <c r="CZ229" s="15">
        <v>0</v>
      </c>
      <c r="DA229" s="15">
        <v>0</v>
      </c>
      <c r="DB229" s="15">
        <v>0</v>
      </c>
      <c r="DC229" s="15">
        <v>0</v>
      </c>
      <c r="DD229" s="15">
        <v>0</v>
      </c>
      <c r="DE229" s="15">
        <v>0</v>
      </c>
      <c r="DF229" s="15">
        <v>0</v>
      </c>
      <c r="DG229" s="15">
        <v>0</v>
      </c>
      <c r="DH229" s="15">
        <v>0</v>
      </c>
      <c r="DI229" s="15">
        <v>0</v>
      </c>
      <c r="DJ229" s="15">
        <v>0</v>
      </c>
      <c r="DK229" s="15">
        <v>0</v>
      </c>
      <c r="DL229" s="15">
        <v>0</v>
      </c>
      <c r="DM229" s="15">
        <v>0</v>
      </c>
      <c r="DN229" s="15">
        <v>0</v>
      </c>
      <c r="DO229" s="15">
        <v>0</v>
      </c>
      <c r="DP229" s="15">
        <v>0</v>
      </c>
      <c r="DQ229" s="15">
        <v>0</v>
      </c>
      <c r="DR229" s="15">
        <v>0</v>
      </c>
      <c r="DS229" s="15">
        <v>0</v>
      </c>
      <c r="DT229" s="15">
        <v>0</v>
      </c>
      <c r="DU229" s="15">
        <v>0</v>
      </c>
      <c r="DV229" s="15">
        <v>0</v>
      </c>
      <c r="DW229" s="15">
        <v>0</v>
      </c>
      <c r="DX229" s="15">
        <v>0</v>
      </c>
      <c r="DY229" s="15">
        <v>0</v>
      </c>
      <c r="DZ229" s="15">
        <v>0</v>
      </c>
      <c r="EA229" s="15">
        <v>0</v>
      </c>
      <c r="EB229" s="15">
        <v>0</v>
      </c>
      <c r="EC229" s="15">
        <v>0</v>
      </c>
      <c r="ED229" s="15">
        <v>0</v>
      </c>
      <c r="EE229" s="15">
        <v>0</v>
      </c>
      <c r="EF229" s="15">
        <v>0</v>
      </c>
    </row>
    <row r="230" spans="1:136" ht="15" customHeight="1" x14ac:dyDescent="0.35">
      <c r="A230" s="8" t="s">
        <v>12</v>
      </c>
      <c r="B230" s="8" t="s">
        <v>75</v>
      </c>
      <c r="C230" s="8" t="s">
        <v>75</v>
      </c>
      <c r="D230" s="8" t="s">
        <v>320</v>
      </c>
      <c r="E230" s="8" t="s">
        <v>16</v>
      </c>
      <c r="F230" s="8" t="s">
        <v>79</v>
      </c>
      <c r="G230" s="15">
        <v>0</v>
      </c>
      <c r="H230" s="15">
        <v>0</v>
      </c>
      <c r="I230" s="15">
        <v>7.5</v>
      </c>
      <c r="J230" s="15">
        <v>-7.5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2</v>
      </c>
      <c r="X230" s="15">
        <v>2</v>
      </c>
      <c r="Y230" s="15">
        <v>3</v>
      </c>
      <c r="Z230" s="15">
        <v>0.5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0</v>
      </c>
      <c r="BP230" s="15">
        <v>0</v>
      </c>
      <c r="BQ230" s="15">
        <v>0</v>
      </c>
      <c r="BR230" s="15">
        <v>0</v>
      </c>
      <c r="BS230" s="15">
        <v>0</v>
      </c>
      <c r="BT230" s="15">
        <v>0</v>
      </c>
      <c r="BU230" s="15">
        <v>0</v>
      </c>
      <c r="BV230" s="15">
        <v>0</v>
      </c>
      <c r="BW230" s="15">
        <v>0</v>
      </c>
      <c r="BX230" s="15">
        <v>0</v>
      </c>
      <c r="BY230" s="15">
        <v>0</v>
      </c>
      <c r="BZ230" s="15">
        <v>0</v>
      </c>
      <c r="CA230" s="15">
        <v>0</v>
      </c>
      <c r="CB230" s="15">
        <v>0</v>
      </c>
      <c r="CC230" s="15">
        <v>0</v>
      </c>
      <c r="CD230" s="15">
        <v>0</v>
      </c>
      <c r="CE230" s="15">
        <v>0</v>
      </c>
      <c r="CF230" s="15">
        <v>0</v>
      </c>
      <c r="CG230" s="15">
        <v>0</v>
      </c>
      <c r="CH230" s="15">
        <v>0</v>
      </c>
      <c r="CI230" s="15">
        <v>0</v>
      </c>
      <c r="CJ230" s="15">
        <v>0</v>
      </c>
      <c r="CK230" s="15">
        <v>0</v>
      </c>
      <c r="CL230" s="15">
        <v>0</v>
      </c>
      <c r="CM230" s="15">
        <v>0</v>
      </c>
      <c r="CN230" s="15">
        <v>0</v>
      </c>
      <c r="CO230" s="15">
        <v>0</v>
      </c>
      <c r="CP230" s="15">
        <v>0</v>
      </c>
      <c r="CQ230" s="15">
        <v>0</v>
      </c>
      <c r="CR230" s="15">
        <v>0</v>
      </c>
      <c r="CS230" s="15">
        <v>0</v>
      </c>
      <c r="CT230" s="15">
        <v>0</v>
      </c>
      <c r="CU230" s="15">
        <v>0</v>
      </c>
      <c r="CV230" s="15">
        <v>0</v>
      </c>
      <c r="CW230" s="15">
        <v>0</v>
      </c>
      <c r="CX230" s="15">
        <v>0</v>
      </c>
      <c r="CY230" s="15">
        <v>0</v>
      </c>
      <c r="CZ230" s="15">
        <v>0</v>
      </c>
      <c r="DA230" s="15">
        <v>0</v>
      </c>
      <c r="DB230" s="15">
        <v>0</v>
      </c>
      <c r="DC230" s="15">
        <v>0</v>
      </c>
      <c r="DD230" s="15">
        <v>0</v>
      </c>
      <c r="DE230" s="15">
        <v>0</v>
      </c>
      <c r="DF230" s="15">
        <v>0</v>
      </c>
      <c r="DG230" s="15">
        <v>0</v>
      </c>
      <c r="DH230" s="15">
        <v>0</v>
      </c>
      <c r="DI230" s="15">
        <v>0</v>
      </c>
      <c r="DJ230" s="15">
        <v>0</v>
      </c>
      <c r="DK230" s="15">
        <v>0</v>
      </c>
      <c r="DL230" s="15">
        <v>0</v>
      </c>
      <c r="DM230" s="15">
        <v>0</v>
      </c>
      <c r="DN230" s="15">
        <v>0</v>
      </c>
      <c r="DO230" s="15">
        <v>0</v>
      </c>
      <c r="DP230" s="15">
        <v>0</v>
      </c>
      <c r="DQ230" s="15">
        <v>0</v>
      </c>
      <c r="DR230" s="15">
        <v>0</v>
      </c>
      <c r="DS230" s="15">
        <v>0</v>
      </c>
      <c r="DT230" s="15">
        <v>0</v>
      </c>
      <c r="DU230" s="15">
        <v>0</v>
      </c>
      <c r="DV230" s="15">
        <v>0</v>
      </c>
      <c r="DW230" s="15">
        <v>0</v>
      </c>
      <c r="DX230" s="15">
        <v>0</v>
      </c>
      <c r="DY230" s="15">
        <v>0</v>
      </c>
      <c r="DZ230" s="15">
        <v>0</v>
      </c>
      <c r="EA230" s="15">
        <v>0</v>
      </c>
      <c r="EB230" s="15">
        <v>0</v>
      </c>
      <c r="EC230" s="15">
        <v>0</v>
      </c>
      <c r="ED230" s="15">
        <v>0</v>
      </c>
      <c r="EE230" s="15">
        <v>0</v>
      </c>
      <c r="EF230" s="15">
        <v>0</v>
      </c>
    </row>
    <row r="231" spans="1:136" ht="15" customHeight="1" x14ac:dyDescent="0.35">
      <c r="A231" s="8" t="s">
        <v>12</v>
      </c>
      <c r="B231" s="8" t="s">
        <v>75</v>
      </c>
      <c r="C231" s="8" t="s">
        <v>75</v>
      </c>
      <c r="D231" s="8" t="s">
        <v>321</v>
      </c>
      <c r="E231" s="8" t="s">
        <v>16</v>
      </c>
      <c r="F231" s="8" t="s">
        <v>80</v>
      </c>
      <c r="G231" s="15">
        <v>0</v>
      </c>
      <c r="H231" s="15">
        <v>0</v>
      </c>
      <c r="I231" s="15">
        <v>5</v>
      </c>
      <c r="J231" s="15">
        <v>-5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5">
        <v>0</v>
      </c>
      <c r="CH231" s="15">
        <v>0</v>
      </c>
      <c r="CI231" s="15">
        <v>0</v>
      </c>
      <c r="CJ231" s="15">
        <v>0</v>
      </c>
      <c r="CK231" s="15">
        <v>0</v>
      </c>
      <c r="CL231" s="15">
        <v>0</v>
      </c>
      <c r="CM231" s="15">
        <v>0</v>
      </c>
      <c r="CN231" s="15">
        <v>0</v>
      </c>
      <c r="CO231" s="15">
        <v>0</v>
      </c>
      <c r="CP231" s="15">
        <v>0</v>
      </c>
      <c r="CQ231" s="15">
        <v>0</v>
      </c>
      <c r="CR231" s="15">
        <v>0</v>
      </c>
      <c r="CS231" s="15">
        <v>0</v>
      </c>
      <c r="CT231" s="15">
        <v>0</v>
      </c>
      <c r="CU231" s="15">
        <v>0</v>
      </c>
      <c r="CV231" s="15">
        <v>0</v>
      </c>
      <c r="CW231" s="15">
        <v>0</v>
      </c>
      <c r="CX231" s="15">
        <v>0</v>
      </c>
      <c r="CY231" s="15">
        <v>0</v>
      </c>
      <c r="CZ231" s="15">
        <v>0</v>
      </c>
      <c r="DA231" s="15">
        <v>0</v>
      </c>
      <c r="DB231" s="15">
        <v>0</v>
      </c>
      <c r="DC231" s="15">
        <v>0</v>
      </c>
      <c r="DD231" s="15">
        <v>0</v>
      </c>
      <c r="DE231" s="15">
        <v>0</v>
      </c>
      <c r="DF231" s="15">
        <v>0</v>
      </c>
      <c r="DG231" s="15">
        <v>0</v>
      </c>
      <c r="DH231" s="15">
        <v>0</v>
      </c>
      <c r="DI231" s="15">
        <v>0</v>
      </c>
      <c r="DJ231" s="15">
        <v>0</v>
      </c>
      <c r="DK231" s="15">
        <v>0</v>
      </c>
      <c r="DL231" s="15">
        <v>0</v>
      </c>
      <c r="DM231" s="15">
        <v>0</v>
      </c>
      <c r="DN231" s="15">
        <v>0</v>
      </c>
      <c r="DO231" s="15">
        <v>0</v>
      </c>
      <c r="DP231" s="15">
        <v>0</v>
      </c>
      <c r="DQ231" s="15">
        <v>0</v>
      </c>
      <c r="DR231" s="15">
        <v>0</v>
      </c>
      <c r="DS231" s="15">
        <v>0</v>
      </c>
      <c r="DT231" s="15">
        <v>0</v>
      </c>
      <c r="DU231" s="15">
        <v>5</v>
      </c>
      <c r="DV231" s="15">
        <v>0</v>
      </c>
      <c r="DW231" s="15">
        <v>0</v>
      </c>
      <c r="DX231" s="15">
        <v>0</v>
      </c>
      <c r="DY231" s="15">
        <v>0</v>
      </c>
      <c r="DZ231" s="15">
        <v>0</v>
      </c>
      <c r="EA231" s="15">
        <v>0</v>
      </c>
      <c r="EB231" s="15">
        <v>0</v>
      </c>
      <c r="EC231" s="15">
        <v>0</v>
      </c>
      <c r="ED231" s="15">
        <v>0</v>
      </c>
      <c r="EE231" s="15">
        <v>0</v>
      </c>
      <c r="EF231" s="15">
        <v>0</v>
      </c>
    </row>
    <row r="232" spans="1:136" ht="15" customHeight="1" x14ac:dyDescent="0.35">
      <c r="A232" s="8" t="s">
        <v>12</v>
      </c>
      <c r="B232" s="8" t="s">
        <v>75</v>
      </c>
      <c r="C232" s="8" t="s">
        <v>75</v>
      </c>
      <c r="D232" s="8" t="s">
        <v>320</v>
      </c>
      <c r="E232" s="8" t="s">
        <v>16</v>
      </c>
      <c r="F232" s="8" t="s">
        <v>80</v>
      </c>
      <c r="G232" s="15">
        <v>0</v>
      </c>
      <c r="H232" s="15">
        <v>5</v>
      </c>
      <c r="I232" s="15">
        <v>0</v>
      </c>
      <c r="J232" s="15">
        <v>5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0</v>
      </c>
      <c r="BI232" s="15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0</v>
      </c>
      <c r="BP232" s="15">
        <v>0</v>
      </c>
      <c r="BQ232" s="15">
        <v>0</v>
      </c>
      <c r="BR232" s="15">
        <v>0</v>
      </c>
      <c r="BS232" s="15">
        <v>0</v>
      </c>
      <c r="BT232" s="15">
        <v>0</v>
      </c>
      <c r="BU232" s="15">
        <v>0</v>
      </c>
      <c r="BV232" s="15">
        <v>0</v>
      </c>
      <c r="BW232" s="15">
        <v>0</v>
      </c>
      <c r="BX232" s="15">
        <v>0</v>
      </c>
      <c r="BY232" s="15">
        <v>0</v>
      </c>
      <c r="BZ232" s="15">
        <v>0</v>
      </c>
      <c r="CA232" s="15">
        <v>0</v>
      </c>
      <c r="CB232" s="15">
        <v>0</v>
      </c>
      <c r="CC232" s="15">
        <v>0</v>
      </c>
      <c r="CD232" s="15">
        <v>0</v>
      </c>
      <c r="CE232" s="15">
        <v>0</v>
      </c>
      <c r="CF232" s="15">
        <v>0</v>
      </c>
      <c r="CG232" s="15">
        <v>0</v>
      </c>
      <c r="CH232" s="15">
        <v>0</v>
      </c>
      <c r="CI232" s="15">
        <v>0</v>
      </c>
      <c r="CJ232" s="15">
        <v>0</v>
      </c>
      <c r="CK232" s="15">
        <v>0</v>
      </c>
      <c r="CL232" s="15">
        <v>0</v>
      </c>
      <c r="CM232" s="15">
        <v>0</v>
      </c>
      <c r="CN232" s="15">
        <v>0</v>
      </c>
      <c r="CO232" s="15">
        <v>0</v>
      </c>
      <c r="CP232" s="15">
        <v>0</v>
      </c>
      <c r="CQ232" s="15">
        <v>0</v>
      </c>
      <c r="CR232" s="15">
        <v>0</v>
      </c>
      <c r="CS232" s="15">
        <v>0</v>
      </c>
      <c r="CT232" s="15">
        <v>0</v>
      </c>
      <c r="CU232" s="15">
        <v>0</v>
      </c>
      <c r="CV232" s="15">
        <v>0</v>
      </c>
      <c r="CW232" s="15">
        <v>0</v>
      </c>
      <c r="CX232" s="15">
        <v>0</v>
      </c>
      <c r="CY232" s="15">
        <v>0</v>
      </c>
      <c r="CZ232" s="15">
        <v>0</v>
      </c>
      <c r="DA232" s="15">
        <v>0</v>
      </c>
      <c r="DB232" s="15">
        <v>0</v>
      </c>
      <c r="DC232" s="15">
        <v>0</v>
      </c>
      <c r="DD232" s="15">
        <v>0</v>
      </c>
      <c r="DE232" s="15">
        <v>0</v>
      </c>
      <c r="DF232" s="15">
        <v>0</v>
      </c>
      <c r="DG232" s="15">
        <v>0</v>
      </c>
      <c r="DH232" s="15">
        <v>0</v>
      </c>
      <c r="DI232" s="15">
        <v>0</v>
      </c>
      <c r="DJ232" s="15">
        <v>0</v>
      </c>
      <c r="DK232" s="15">
        <v>0</v>
      </c>
      <c r="DL232" s="15">
        <v>0</v>
      </c>
      <c r="DM232" s="15">
        <v>0</v>
      </c>
      <c r="DN232" s="15">
        <v>0</v>
      </c>
      <c r="DO232" s="15">
        <v>0</v>
      </c>
      <c r="DP232" s="15">
        <v>0</v>
      </c>
      <c r="DQ232" s="15">
        <v>0</v>
      </c>
      <c r="DR232" s="15">
        <v>0</v>
      </c>
      <c r="DS232" s="15">
        <v>0</v>
      </c>
      <c r="DT232" s="15">
        <v>0</v>
      </c>
      <c r="DU232" s="15">
        <v>0</v>
      </c>
      <c r="DV232" s="15">
        <v>0</v>
      </c>
      <c r="DW232" s="15">
        <v>0</v>
      </c>
      <c r="DX232" s="15">
        <v>0</v>
      </c>
      <c r="DY232" s="15">
        <v>0</v>
      </c>
      <c r="DZ232" s="15">
        <v>0</v>
      </c>
      <c r="EA232" s="15">
        <v>0</v>
      </c>
      <c r="EB232" s="15">
        <v>0</v>
      </c>
      <c r="EC232" s="15">
        <v>0</v>
      </c>
      <c r="ED232" s="15">
        <v>0</v>
      </c>
      <c r="EE232" s="15">
        <v>0</v>
      </c>
      <c r="EF232" s="15">
        <v>0</v>
      </c>
    </row>
    <row r="233" spans="1:136" ht="15" customHeight="1" x14ac:dyDescent="0.35">
      <c r="A233" s="8" t="s">
        <v>12</v>
      </c>
      <c r="B233" s="8" t="s">
        <v>75</v>
      </c>
      <c r="C233" s="8" t="s">
        <v>75</v>
      </c>
      <c r="D233" s="8" t="s">
        <v>321</v>
      </c>
      <c r="E233" s="8" t="s">
        <v>16</v>
      </c>
      <c r="F233" s="8" t="s">
        <v>81</v>
      </c>
      <c r="G233" s="15">
        <v>0</v>
      </c>
      <c r="H233" s="15">
        <v>0</v>
      </c>
      <c r="I233" s="15">
        <v>19.5</v>
      </c>
      <c r="J233" s="15">
        <v>-19.5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5">
        <v>0</v>
      </c>
      <c r="CH233" s="15">
        <v>0</v>
      </c>
      <c r="CI233" s="15">
        <v>0</v>
      </c>
      <c r="CJ233" s="15">
        <v>0</v>
      </c>
      <c r="CK233" s="15">
        <v>0</v>
      </c>
      <c r="CL233" s="15">
        <v>0</v>
      </c>
      <c r="CM233" s="15">
        <v>0</v>
      </c>
      <c r="CN233" s="15">
        <v>0</v>
      </c>
      <c r="CO233" s="15">
        <v>0</v>
      </c>
      <c r="CP233" s="15">
        <v>0</v>
      </c>
      <c r="CQ233" s="15">
        <v>0</v>
      </c>
      <c r="CR233" s="15">
        <v>0</v>
      </c>
      <c r="CS233" s="15">
        <v>0.52631600000000001</v>
      </c>
      <c r="CT233" s="15">
        <v>0.52631600000000001</v>
      </c>
      <c r="CU233" s="15">
        <v>0.52631600000000001</v>
      </c>
      <c r="CV233" s="15">
        <v>0.52631600000000001</v>
      </c>
      <c r="CW233" s="15">
        <v>0.52631600000000001</v>
      </c>
      <c r="CX233" s="15">
        <v>0.52631600000000001</v>
      </c>
      <c r="CY233" s="15">
        <v>0.52631600000000001</v>
      </c>
      <c r="CZ233" s="15">
        <v>0.52631600000000001</v>
      </c>
      <c r="DA233" s="15">
        <v>0.52631600000000001</v>
      </c>
      <c r="DB233" s="15">
        <v>0.52631600000000001</v>
      </c>
      <c r="DC233" s="15">
        <v>0.52631600000000001</v>
      </c>
      <c r="DD233" s="15">
        <v>0.52631600000000001</v>
      </c>
      <c r="DE233" s="15">
        <v>0.52631600000000001</v>
      </c>
      <c r="DF233" s="15">
        <v>0.52631600000000001</v>
      </c>
      <c r="DG233" s="15">
        <v>0.52631600000000001</v>
      </c>
      <c r="DH233" s="15">
        <v>0.52631600000000001</v>
      </c>
      <c r="DI233" s="15">
        <v>0.52631600000000001</v>
      </c>
      <c r="DJ233" s="15">
        <v>0.52631600000000001</v>
      </c>
      <c r="DK233" s="15">
        <v>1</v>
      </c>
      <c r="DL233" s="15">
        <v>1</v>
      </c>
      <c r="DM233" s="15">
        <v>1</v>
      </c>
      <c r="DN233" s="15">
        <v>1</v>
      </c>
      <c r="DO233" s="15">
        <v>1.5</v>
      </c>
      <c r="DP233" s="15">
        <v>1.5</v>
      </c>
      <c r="DQ233" s="15">
        <v>1.5</v>
      </c>
      <c r="DR233" s="15">
        <v>1.5</v>
      </c>
      <c r="DS233" s="15">
        <v>0</v>
      </c>
      <c r="DT233" s="15">
        <v>0</v>
      </c>
      <c r="DU233" s="15">
        <v>0</v>
      </c>
      <c r="DV233" s="15">
        <v>0</v>
      </c>
      <c r="DW233" s="15">
        <v>0</v>
      </c>
      <c r="DX233" s="15">
        <v>0</v>
      </c>
      <c r="DY233" s="15">
        <v>0</v>
      </c>
      <c r="DZ233" s="15">
        <v>0</v>
      </c>
      <c r="EA233" s="15">
        <v>0</v>
      </c>
      <c r="EB233" s="15">
        <v>0</v>
      </c>
      <c r="EC233" s="15">
        <v>0</v>
      </c>
      <c r="ED233" s="15">
        <v>0</v>
      </c>
      <c r="EE233" s="15">
        <v>0</v>
      </c>
      <c r="EF233" s="15">
        <v>0</v>
      </c>
    </row>
    <row r="234" spans="1:136" ht="15" customHeight="1" x14ac:dyDescent="0.35">
      <c r="A234" s="8" t="s">
        <v>12</v>
      </c>
      <c r="B234" s="8" t="s">
        <v>75</v>
      </c>
      <c r="C234" s="8" t="s">
        <v>75</v>
      </c>
      <c r="D234" s="8" t="s">
        <v>320</v>
      </c>
      <c r="E234" s="8" t="s">
        <v>16</v>
      </c>
      <c r="F234" s="8" t="s">
        <v>81</v>
      </c>
      <c r="G234" s="15">
        <v>5.5</v>
      </c>
      <c r="H234" s="15">
        <v>25.3</v>
      </c>
      <c r="I234" s="15">
        <v>0</v>
      </c>
      <c r="J234" s="15">
        <v>25.3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0</v>
      </c>
      <c r="BG234" s="15">
        <v>0</v>
      </c>
      <c r="BH234" s="15">
        <v>0</v>
      </c>
      <c r="BI234" s="15">
        <v>0</v>
      </c>
      <c r="BJ234" s="15">
        <v>0</v>
      </c>
      <c r="BK234" s="15">
        <v>0</v>
      </c>
      <c r="BL234" s="15">
        <v>0</v>
      </c>
      <c r="BM234" s="15">
        <v>0</v>
      </c>
      <c r="BN234" s="15">
        <v>0</v>
      </c>
      <c r="BO234" s="15">
        <v>0</v>
      </c>
      <c r="BP234" s="15">
        <v>0</v>
      </c>
      <c r="BQ234" s="15">
        <v>0</v>
      </c>
      <c r="BR234" s="15">
        <v>0</v>
      </c>
      <c r="BS234" s="15">
        <v>0</v>
      </c>
      <c r="BT234" s="15">
        <v>0</v>
      </c>
      <c r="BU234" s="15">
        <v>0</v>
      </c>
      <c r="BV234" s="15">
        <v>0</v>
      </c>
      <c r="BW234" s="15">
        <v>0</v>
      </c>
      <c r="BX234" s="15">
        <v>0</v>
      </c>
      <c r="BY234" s="15">
        <v>0</v>
      </c>
      <c r="BZ234" s="15">
        <v>0</v>
      </c>
      <c r="CA234" s="15">
        <v>0</v>
      </c>
      <c r="CB234" s="15">
        <v>0</v>
      </c>
      <c r="CC234" s="15">
        <v>0</v>
      </c>
      <c r="CD234" s="15">
        <v>0</v>
      </c>
      <c r="CE234" s="15">
        <v>0</v>
      </c>
      <c r="CF234" s="15">
        <v>0</v>
      </c>
      <c r="CG234" s="15">
        <v>0</v>
      </c>
      <c r="CH234" s="15">
        <v>0</v>
      </c>
      <c r="CI234" s="15">
        <v>0</v>
      </c>
      <c r="CJ234" s="15">
        <v>0</v>
      </c>
      <c r="CK234" s="15">
        <v>0</v>
      </c>
      <c r="CL234" s="15">
        <v>0</v>
      </c>
      <c r="CM234" s="15">
        <v>0</v>
      </c>
      <c r="CN234" s="15">
        <v>0</v>
      </c>
      <c r="CO234" s="15">
        <v>0</v>
      </c>
      <c r="CP234" s="15">
        <v>0</v>
      </c>
      <c r="CQ234" s="15">
        <v>0</v>
      </c>
      <c r="CR234" s="15">
        <v>0</v>
      </c>
      <c r="CS234" s="15">
        <v>0</v>
      </c>
      <c r="CT234" s="15">
        <v>0</v>
      </c>
      <c r="CU234" s="15">
        <v>0</v>
      </c>
      <c r="CV234" s="15">
        <v>0</v>
      </c>
      <c r="CW234" s="15">
        <v>0</v>
      </c>
      <c r="CX234" s="15">
        <v>0</v>
      </c>
      <c r="CY234" s="15">
        <v>0</v>
      </c>
      <c r="CZ234" s="15">
        <v>0</v>
      </c>
      <c r="DA234" s="15">
        <v>0</v>
      </c>
      <c r="DB234" s="15">
        <v>0</v>
      </c>
      <c r="DC234" s="15">
        <v>0</v>
      </c>
      <c r="DD234" s="15">
        <v>0</v>
      </c>
      <c r="DE234" s="15">
        <v>0</v>
      </c>
      <c r="DF234" s="15">
        <v>0</v>
      </c>
      <c r="DG234" s="15">
        <v>0</v>
      </c>
      <c r="DH234" s="15">
        <v>0</v>
      </c>
      <c r="DI234" s="15">
        <v>0</v>
      </c>
      <c r="DJ234" s="15">
        <v>0</v>
      </c>
      <c r="DK234" s="15">
        <v>0</v>
      </c>
      <c r="DL234" s="15">
        <v>0</v>
      </c>
      <c r="DM234" s="15">
        <v>0</v>
      </c>
      <c r="DN234" s="15">
        <v>0</v>
      </c>
      <c r="DO234" s="15">
        <v>0</v>
      </c>
      <c r="DP234" s="15">
        <v>0</v>
      </c>
      <c r="DQ234" s="15">
        <v>0</v>
      </c>
      <c r="DR234" s="15">
        <v>0</v>
      </c>
      <c r="DS234" s="15">
        <v>0</v>
      </c>
      <c r="DT234" s="15">
        <v>0</v>
      </c>
      <c r="DU234" s="15">
        <v>0</v>
      </c>
      <c r="DV234" s="15">
        <v>0</v>
      </c>
      <c r="DW234" s="15">
        <v>0</v>
      </c>
      <c r="DX234" s="15">
        <v>0</v>
      </c>
      <c r="DY234" s="15">
        <v>0</v>
      </c>
      <c r="DZ234" s="15">
        <v>0</v>
      </c>
      <c r="EA234" s="15">
        <v>0</v>
      </c>
      <c r="EB234" s="15">
        <v>0</v>
      </c>
      <c r="EC234" s="15">
        <v>0</v>
      </c>
      <c r="ED234" s="15">
        <v>0</v>
      </c>
      <c r="EE234" s="15">
        <v>0</v>
      </c>
      <c r="EF234" s="15">
        <v>0</v>
      </c>
    </row>
    <row r="235" spans="1:136" ht="15" customHeight="1" x14ac:dyDescent="0.35">
      <c r="A235" s="8" t="s">
        <v>12</v>
      </c>
      <c r="B235" s="8" t="s">
        <v>75</v>
      </c>
      <c r="C235" s="8" t="s">
        <v>75</v>
      </c>
      <c r="D235" s="8" t="s">
        <v>321</v>
      </c>
      <c r="E235" s="8" t="s">
        <v>16</v>
      </c>
      <c r="F235" s="8" t="s">
        <v>82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5">
        <v>0</v>
      </c>
      <c r="CH235" s="15">
        <v>0</v>
      </c>
      <c r="CI235" s="15">
        <v>0</v>
      </c>
      <c r="CJ235" s="15">
        <v>0</v>
      </c>
      <c r="CK235" s="15">
        <v>0</v>
      </c>
      <c r="CL235" s="15">
        <v>0</v>
      </c>
      <c r="CM235" s="15">
        <v>0</v>
      </c>
      <c r="CN235" s="15">
        <v>0</v>
      </c>
      <c r="CO235" s="15">
        <v>0</v>
      </c>
      <c r="CP235" s="15">
        <v>0</v>
      </c>
      <c r="CQ235" s="15">
        <v>0</v>
      </c>
      <c r="CR235" s="15">
        <v>0</v>
      </c>
      <c r="CS235" s="15">
        <v>0</v>
      </c>
      <c r="CT235" s="15">
        <v>0</v>
      </c>
      <c r="CU235" s="15">
        <v>0</v>
      </c>
      <c r="CV235" s="15">
        <v>0</v>
      </c>
      <c r="CW235" s="15">
        <v>0</v>
      </c>
      <c r="CX235" s="15">
        <v>0</v>
      </c>
      <c r="CY235" s="15">
        <v>0</v>
      </c>
      <c r="CZ235" s="15">
        <v>0</v>
      </c>
      <c r="DA235" s="15">
        <v>0</v>
      </c>
      <c r="DB235" s="15">
        <v>0</v>
      </c>
      <c r="DC235" s="15">
        <v>0</v>
      </c>
      <c r="DD235" s="15">
        <v>0</v>
      </c>
      <c r="DE235" s="15">
        <v>0</v>
      </c>
      <c r="DF235" s="15">
        <v>0</v>
      </c>
      <c r="DG235" s="15">
        <v>0</v>
      </c>
      <c r="DH235" s="15">
        <v>0</v>
      </c>
      <c r="DI235" s="15">
        <v>0</v>
      </c>
      <c r="DJ235" s="15">
        <v>0</v>
      </c>
      <c r="DK235" s="15">
        <v>0</v>
      </c>
      <c r="DL235" s="15">
        <v>0</v>
      </c>
      <c r="DM235" s="15">
        <v>0</v>
      </c>
      <c r="DN235" s="15">
        <v>0</v>
      </c>
      <c r="DO235" s="15">
        <v>0</v>
      </c>
      <c r="DP235" s="15">
        <v>0</v>
      </c>
      <c r="DQ235" s="15">
        <v>0</v>
      </c>
      <c r="DR235" s="15">
        <v>0</v>
      </c>
      <c r="DS235" s="15">
        <v>0</v>
      </c>
      <c r="DT235" s="15">
        <v>0</v>
      </c>
      <c r="DU235" s="15">
        <v>0</v>
      </c>
      <c r="DV235" s="15">
        <v>0</v>
      </c>
      <c r="DW235" s="15">
        <v>0</v>
      </c>
      <c r="DX235" s="15">
        <v>0</v>
      </c>
      <c r="DY235" s="15">
        <v>0</v>
      </c>
      <c r="DZ235" s="15">
        <v>0</v>
      </c>
      <c r="EA235" s="15">
        <v>0</v>
      </c>
      <c r="EB235" s="15">
        <v>0</v>
      </c>
      <c r="EC235" s="15">
        <v>0</v>
      </c>
      <c r="ED235" s="15">
        <v>0</v>
      </c>
      <c r="EE235" s="15">
        <v>0</v>
      </c>
      <c r="EF235" s="15">
        <v>0</v>
      </c>
    </row>
    <row r="236" spans="1:136" ht="15" customHeight="1" x14ac:dyDescent="0.35">
      <c r="A236" s="8" t="s">
        <v>12</v>
      </c>
      <c r="B236" s="8" t="s">
        <v>75</v>
      </c>
      <c r="C236" s="8" t="s">
        <v>75</v>
      </c>
      <c r="D236" s="8" t="s">
        <v>320</v>
      </c>
      <c r="E236" s="8" t="s">
        <v>16</v>
      </c>
      <c r="F236" s="8" t="s">
        <v>82</v>
      </c>
      <c r="G236" s="15">
        <v>11</v>
      </c>
      <c r="H236" s="15">
        <v>11</v>
      </c>
      <c r="I236" s="15">
        <v>11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11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0</v>
      </c>
      <c r="BI236" s="15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0</v>
      </c>
      <c r="BP236" s="15">
        <v>0</v>
      </c>
      <c r="BQ236" s="15">
        <v>0</v>
      </c>
      <c r="BR236" s="15">
        <v>0</v>
      </c>
      <c r="BS236" s="15">
        <v>0</v>
      </c>
      <c r="BT236" s="15">
        <v>0</v>
      </c>
      <c r="BU236" s="15">
        <v>0</v>
      </c>
      <c r="BV236" s="15">
        <v>0</v>
      </c>
      <c r="BW236" s="15">
        <v>0</v>
      </c>
      <c r="BX236" s="15">
        <v>0</v>
      </c>
      <c r="BY236" s="15">
        <v>0</v>
      </c>
      <c r="BZ236" s="15">
        <v>0</v>
      </c>
      <c r="CA236" s="15">
        <v>0</v>
      </c>
      <c r="CB236" s="15">
        <v>0</v>
      </c>
      <c r="CC236" s="15">
        <v>0</v>
      </c>
      <c r="CD236" s="15">
        <v>0</v>
      </c>
      <c r="CE236" s="15">
        <v>0</v>
      </c>
      <c r="CF236" s="15">
        <v>0</v>
      </c>
      <c r="CG236" s="15">
        <v>0</v>
      </c>
      <c r="CH236" s="15">
        <v>0</v>
      </c>
      <c r="CI236" s="15">
        <v>0</v>
      </c>
      <c r="CJ236" s="15">
        <v>0</v>
      </c>
      <c r="CK236" s="15">
        <v>0</v>
      </c>
      <c r="CL236" s="15">
        <v>0</v>
      </c>
      <c r="CM236" s="15">
        <v>0</v>
      </c>
      <c r="CN236" s="15">
        <v>0</v>
      </c>
      <c r="CO236" s="15">
        <v>0</v>
      </c>
      <c r="CP236" s="15">
        <v>0</v>
      </c>
      <c r="CQ236" s="15">
        <v>0</v>
      </c>
      <c r="CR236" s="15">
        <v>0</v>
      </c>
      <c r="CS236" s="15">
        <v>0</v>
      </c>
      <c r="CT236" s="15">
        <v>0</v>
      </c>
      <c r="CU236" s="15">
        <v>0</v>
      </c>
      <c r="CV236" s="15">
        <v>0</v>
      </c>
      <c r="CW236" s="15">
        <v>0</v>
      </c>
      <c r="CX236" s="15">
        <v>0</v>
      </c>
      <c r="CY236" s="15">
        <v>0</v>
      </c>
      <c r="CZ236" s="15">
        <v>0</v>
      </c>
      <c r="DA236" s="15">
        <v>0</v>
      </c>
      <c r="DB236" s="15">
        <v>0</v>
      </c>
      <c r="DC236" s="15">
        <v>0</v>
      </c>
      <c r="DD236" s="15">
        <v>0</v>
      </c>
      <c r="DE236" s="15">
        <v>0</v>
      </c>
      <c r="DF236" s="15">
        <v>0</v>
      </c>
      <c r="DG236" s="15">
        <v>0</v>
      </c>
      <c r="DH236" s="15">
        <v>0</v>
      </c>
      <c r="DI236" s="15">
        <v>0</v>
      </c>
      <c r="DJ236" s="15">
        <v>0</v>
      </c>
      <c r="DK236" s="15">
        <v>0</v>
      </c>
      <c r="DL236" s="15">
        <v>0</v>
      </c>
      <c r="DM236" s="15">
        <v>0</v>
      </c>
      <c r="DN236" s="15">
        <v>0</v>
      </c>
      <c r="DO236" s="15">
        <v>0</v>
      </c>
      <c r="DP236" s="15">
        <v>0</v>
      </c>
      <c r="DQ236" s="15">
        <v>0</v>
      </c>
      <c r="DR236" s="15">
        <v>0</v>
      </c>
      <c r="DS236" s="15">
        <v>0</v>
      </c>
      <c r="DT236" s="15">
        <v>0</v>
      </c>
      <c r="DU236" s="15">
        <v>0</v>
      </c>
      <c r="DV236" s="15">
        <v>0</v>
      </c>
      <c r="DW236" s="15">
        <v>0</v>
      </c>
      <c r="DX236" s="15">
        <v>0</v>
      </c>
      <c r="DY236" s="15">
        <v>0</v>
      </c>
      <c r="DZ236" s="15">
        <v>0</v>
      </c>
      <c r="EA236" s="15">
        <v>0</v>
      </c>
      <c r="EB236" s="15">
        <v>0</v>
      </c>
      <c r="EC236" s="15">
        <v>0</v>
      </c>
      <c r="ED236" s="15">
        <v>0</v>
      </c>
      <c r="EE236" s="15">
        <v>0</v>
      </c>
      <c r="EF236" s="15">
        <v>0</v>
      </c>
    </row>
    <row r="237" spans="1:136" ht="15" customHeight="1" x14ac:dyDescent="0.35">
      <c r="A237" s="8" t="s">
        <v>12</v>
      </c>
      <c r="B237" s="8" t="s">
        <v>75</v>
      </c>
      <c r="C237" s="8" t="s">
        <v>75</v>
      </c>
      <c r="D237" s="8" t="s">
        <v>320</v>
      </c>
      <c r="E237" s="8" t="s">
        <v>16</v>
      </c>
      <c r="F237" s="8" t="s">
        <v>82</v>
      </c>
      <c r="G237" s="15">
        <v>0</v>
      </c>
      <c r="H237" s="15">
        <v>0</v>
      </c>
      <c r="I237" s="15">
        <v>13</v>
      </c>
      <c r="J237" s="15">
        <v>-13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10</v>
      </c>
      <c r="AA237" s="15">
        <v>3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5">
        <v>0</v>
      </c>
      <c r="CH237" s="15">
        <v>0</v>
      </c>
      <c r="CI237" s="15">
        <v>0</v>
      </c>
      <c r="CJ237" s="15">
        <v>0</v>
      </c>
      <c r="CK237" s="15">
        <v>0</v>
      </c>
      <c r="CL237" s="15">
        <v>0</v>
      </c>
      <c r="CM237" s="15">
        <v>0</v>
      </c>
      <c r="CN237" s="15">
        <v>0</v>
      </c>
      <c r="CO237" s="15">
        <v>0</v>
      </c>
      <c r="CP237" s="15">
        <v>0</v>
      </c>
      <c r="CQ237" s="15">
        <v>0</v>
      </c>
      <c r="CR237" s="15">
        <v>0</v>
      </c>
      <c r="CS237" s="15">
        <v>0</v>
      </c>
      <c r="CT237" s="15">
        <v>0</v>
      </c>
      <c r="CU237" s="15">
        <v>0</v>
      </c>
      <c r="CV237" s="15">
        <v>0</v>
      </c>
      <c r="CW237" s="15">
        <v>0</v>
      </c>
      <c r="CX237" s="15">
        <v>0</v>
      </c>
      <c r="CY237" s="15">
        <v>0</v>
      </c>
      <c r="CZ237" s="15">
        <v>0</v>
      </c>
      <c r="DA237" s="15">
        <v>0</v>
      </c>
      <c r="DB237" s="15">
        <v>0</v>
      </c>
      <c r="DC237" s="15">
        <v>0</v>
      </c>
      <c r="DD237" s="15">
        <v>0</v>
      </c>
      <c r="DE237" s="15">
        <v>0</v>
      </c>
      <c r="DF237" s="15">
        <v>0</v>
      </c>
      <c r="DG237" s="15">
        <v>0</v>
      </c>
      <c r="DH237" s="15">
        <v>0</v>
      </c>
      <c r="DI237" s="15">
        <v>0</v>
      </c>
      <c r="DJ237" s="15">
        <v>0</v>
      </c>
      <c r="DK237" s="15">
        <v>0</v>
      </c>
      <c r="DL237" s="15">
        <v>0</v>
      </c>
      <c r="DM237" s="15">
        <v>0</v>
      </c>
      <c r="DN237" s="15">
        <v>0</v>
      </c>
      <c r="DO237" s="15">
        <v>0</v>
      </c>
      <c r="DP237" s="15">
        <v>0</v>
      </c>
      <c r="DQ237" s="15">
        <v>0</v>
      </c>
      <c r="DR237" s="15">
        <v>0</v>
      </c>
      <c r="DS237" s="15">
        <v>0</v>
      </c>
      <c r="DT237" s="15">
        <v>0</v>
      </c>
      <c r="DU237" s="15">
        <v>0</v>
      </c>
      <c r="DV237" s="15">
        <v>0</v>
      </c>
      <c r="DW237" s="15">
        <v>0</v>
      </c>
      <c r="DX237" s="15">
        <v>0</v>
      </c>
      <c r="DY237" s="15">
        <v>0</v>
      </c>
      <c r="DZ237" s="15">
        <v>0</v>
      </c>
      <c r="EA237" s="15">
        <v>0</v>
      </c>
      <c r="EB237" s="15">
        <v>0</v>
      </c>
      <c r="EC237" s="15">
        <v>0</v>
      </c>
      <c r="ED237" s="15">
        <v>0</v>
      </c>
      <c r="EE237" s="15">
        <v>0</v>
      </c>
      <c r="EF237" s="15">
        <v>0</v>
      </c>
    </row>
    <row r="238" spans="1:136" ht="15" customHeight="1" x14ac:dyDescent="0.35">
      <c r="A238" s="8" t="s">
        <v>12</v>
      </c>
      <c r="B238" s="8" t="s">
        <v>75</v>
      </c>
      <c r="C238" s="8" t="s">
        <v>75</v>
      </c>
      <c r="D238" s="8" t="s">
        <v>321</v>
      </c>
      <c r="E238" s="8" t="s">
        <v>16</v>
      </c>
      <c r="F238" s="8" t="s">
        <v>83</v>
      </c>
      <c r="G238" s="15">
        <v>0</v>
      </c>
      <c r="H238" s="15">
        <v>0</v>
      </c>
      <c r="I238" s="15">
        <v>25</v>
      </c>
      <c r="J238" s="15">
        <v>-25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10</v>
      </c>
      <c r="AN238" s="15">
        <v>5.5</v>
      </c>
      <c r="AO238" s="15">
        <v>9.5</v>
      </c>
      <c r="AP238" s="15">
        <v>0</v>
      </c>
      <c r="AQ238" s="15">
        <v>0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0</v>
      </c>
      <c r="BI238" s="15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0</v>
      </c>
      <c r="BP238" s="15">
        <v>0</v>
      </c>
      <c r="BQ238" s="15">
        <v>0</v>
      </c>
      <c r="BR238" s="15">
        <v>0</v>
      </c>
      <c r="BS238" s="15">
        <v>0</v>
      </c>
      <c r="BT238" s="15">
        <v>0</v>
      </c>
      <c r="BU238" s="15">
        <v>0</v>
      </c>
      <c r="BV238" s="15">
        <v>0</v>
      </c>
      <c r="BW238" s="15">
        <v>0</v>
      </c>
      <c r="BX238" s="15">
        <v>0</v>
      </c>
      <c r="BY238" s="15">
        <v>0</v>
      </c>
      <c r="BZ238" s="15">
        <v>0</v>
      </c>
      <c r="CA238" s="15">
        <v>0</v>
      </c>
      <c r="CB238" s="15">
        <v>0</v>
      </c>
      <c r="CC238" s="15">
        <v>0</v>
      </c>
      <c r="CD238" s="15">
        <v>0</v>
      </c>
      <c r="CE238" s="15">
        <v>0</v>
      </c>
      <c r="CF238" s="15">
        <v>0</v>
      </c>
      <c r="CG238" s="15">
        <v>0</v>
      </c>
      <c r="CH238" s="15">
        <v>0</v>
      </c>
      <c r="CI238" s="15">
        <v>0</v>
      </c>
      <c r="CJ238" s="15">
        <v>0</v>
      </c>
      <c r="CK238" s="15">
        <v>0</v>
      </c>
      <c r="CL238" s="15">
        <v>0</v>
      </c>
      <c r="CM238" s="15">
        <v>0</v>
      </c>
      <c r="CN238" s="15">
        <v>0</v>
      </c>
      <c r="CO238" s="15">
        <v>0</v>
      </c>
      <c r="CP238" s="15">
        <v>0</v>
      </c>
      <c r="CQ238" s="15">
        <v>0</v>
      </c>
      <c r="CR238" s="15">
        <v>0</v>
      </c>
      <c r="CS238" s="15">
        <v>0</v>
      </c>
      <c r="CT238" s="15">
        <v>0</v>
      </c>
      <c r="CU238" s="15">
        <v>0</v>
      </c>
      <c r="CV238" s="15">
        <v>0</v>
      </c>
      <c r="CW238" s="15">
        <v>0</v>
      </c>
      <c r="CX238" s="15">
        <v>0</v>
      </c>
      <c r="CY238" s="15">
        <v>0</v>
      </c>
      <c r="CZ238" s="15">
        <v>0</v>
      </c>
      <c r="DA238" s="15">
        <v>0</v>
      </c>
      <c r="DB238" s="15">
        <v>0</v>
      </c>
      <c r="DC238" s="15">
        <v>0</v>
      </c>
      <c r="DD238" s="15">
        <v>0</v>
      </c>
      <c r="DE238" s="15">
        <v>0</v>
      </c>
      <c r="DF238" s="15">
        <v>0</v>
      </c>
      <c r="DG238" s="15">
        <v>0</v>
      </c>
      <c r="DH238" s="15">
        <v>0</v>
      </c>
      <c r="DI238" s="15">
        <v>0</v>
      </c>
      <c r="DJ238" s="15">
        <v>0</v>
      </c>
      <c r="DK238" s="15">
        <v>0</v>
      </c>
      <c r="DL238" s="15">
        <v>0</v>
      </c>
      <c r="DM238" s="15">
        <v>0</v>
      </c>
      <c r="DN238" s="15">
        <v>0</v>
      </c>
      <c r="DO238" s="15">
        <v>0</v>
      </c>
      <c r="DP238" s="15">
        <v>0</v>
      </c>
      <c r="DQ238" s="15">
        <v>0</v>
      </c>
      <c r="DR238" s="15">
        <v>0</v>
      </c>
      <c r="DS238" s="15">
        <v>0</v>
      </c>
      <c r="DT238" s="15">
        <v>0</v>
      </c>
      <c r="DU238" s="15">
        <v>0</v>
      </c>
      <c r="DV238" s="15">
        <v>0</v>
      </c>
      <c r="DW238" s="15">
        <v>0</v>
      </c>
      <c r="DX238" s="15">
        <v>0</v>
      </c>
      <c r="DY238" s="15">
        <v>0</v>
      </c>
      <c r="DZ238" s="15">
        <v>0</v>
      </c>
      <c r="EA238" s="15">
        <v>0</v>
      </c>
      <c r="EB238" s="15">
        <v>0</v>
      </c>
      <c r="EC238" s="15">
        <v>0</v>
      </c>
      <c r="ED238" s="15">
        <v>0</v>
      </c>
      <c r="EE238" s="15">
        <v>0</v>
      </c>
      <c r="EF238" s="15">
        <v>0</v>
      </c>
    </row>
    <row r="239" spans="1:136" ht="15" customHeight="1" x14ac:dyDescent="0.35">
      <c r="A239" s="8" t="s">
        <v>12</v>
      </c>
      <c r="B239" s="8" t="s">
        <v>75</v>
      </c>
      <c r="C239" s="8" t="s">
        <v>75</v>
      </c>
      <c r="D239" s="8" t="s">
        <v>320</v>
      </c>
      <c r="E239" s="8" t="s">
        <v>16</v>
      </c>
      <c r="F239" s="8" t="s">
        <v>83</v>
      </c>
      <c r="G239" s="15">
        <v>10</v>
      </c>
      <c r="H239" s="15">
        <v>10</v>
      </c>
      <c r="I239" s="15">
        <v>0</v>
      </c>
      <c r="J239" s="15">
        <v>10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5">
        <v>0</v>
      </c>
      <c r="CH239" s="15">
        <v>0</v>
      </c>
      <c r="CI239" s="15">
        <v>0</v>
      </c>
      <c r="CJ239" s="15">
        <v>0</v>
      </c>
      <c r="CK239" s="15">
        <v>0</v>
      </c>
      <c r="CL239" s="15">
        <v>0</v>
      </c>
      <c r="CM239" s="15">
        <v>0</v>
      </c>
      <c r="CN239" s="15">
        <v>0</v>
      </c>
      <c r="CO239" s="15">
        <v>0</v>
      </c>
      <c r="CP239" s="15">
        <v>0</v>
      </c>
      <c r="CQ239" s="15">
        <v>0</v>
      </c>
      <c r="CR239" s="15">
        <v>0</v>
      </c>
      <c r="CS239" s="15">
        <v>0</v>
      </c>
      <c r="CT239" s="15">
        <v>0</v>
      </c>
      <c r="CU239" s="15">
        <v>0</v>
      </c>
      <c r="CV239" s="15">
        <v>0</v>
      </c>
      <c r="CW239" s="15">
        <v>0</v>
      </c>
      <c r="CX239" s="15">
        <v>0</v>
      </c>
      <c r="CY239" s="15">
        <v>0</v>
      </c>
      <c r="CZ239" s="15">
        <v>0</v>
      </c>
      <c r="DA239" s="15">
        <v>0</v>
      </c>
      <c r="DB239" s="15">
        <v>0</v>
      </c>
      <c r="DC239" s="15">
        <v>0</v>
      </c>
      <c r="DD239" s="15">
        <v>0</v>
      </c>
      <c r="DE239" s="15">
        <v>0</v>
      </c>
      <c r="DF239" s="15">
        <v>0</v>
      </c>
      <c r="DG239" s="15">
        <v>0</v>
      </c>
      <c r="DH239" s="15">
        <v>0</v>
      </c>
      <c r="DI239" s="15">
        <v>0</v>
      </c>
      <c r="DJ239" s="15">
        <v>0</v>
      </c>
      <c r="DK239" s="15">
        <v>0</v>
      </c>
      <c r="DL239" s="15">
        <v>0</v>
      </c>
      <c r="DM239" s="15">
        <v>0</v>
      </c>
      <c r="DN239" s="15">
        <v>0</v>
      </c>
      <c r="DO239" s="15">
        <v>0</v>
      </c>
      <c r="DP239" s="15">
        <v>0</v>
      </c>
      <c r="DQ239" s="15">
        <v>0</v>
      </c>
      <c r="DR239" s="15">
        <v>0</v>
      </c>
      <c r="DS239" s="15">
        <v>0</v>
      </c>
      <c r="DT239" s="15">
        <v>0</v>
      </c>
      <c r="DU239" s="15">
        <v>0</v>
      </c>
      <c r="DV239" s="15">
        <v>0</v>
      </c>
      <c r="DW239" s="15">
        <v>0</v>
      </c>
      <c r="DX239" s="15">
        <v>0</v>
      </c>
      <c r="DY239" s="15">
        <v>0</v>
      </c>
      <c r="DZ239" s="15">
        <v>0</v>
      </c>
      <c r="EA239" s="15">
        <v>0</v>
      </c>
      <c r="EB239" s="15">
        <v>0</v>
      </c>
      <c r="EC239" s="15">
        <v>0</v>
      </c>
      <c r="ED239" s="15">
        <v>0</v>
      </c>
      <c r="EE239" s="15">
        <v>0</v>
      </c>
      <c r="EF239" s="15">
        <v>0</v>
      </c>
    </row>
    <row r="240" spans="1:136" ht="15" customHeight="1" x14ac:dyDescent="0.35">
      <c r="A240" s="8" t="s">
        <v>12</v>
      </c>
      <c r="B240" s="8" t="s">
        <v>75</v>
      </c>
      <c r="C240" s="8" t="s">
        <v>75</v>
      </c>
      <c r="D240" s="8" t="s">
        <v>321</v>
      </c>
      <c r="E240" s="8" t="s">
        <v>16</v>
      </c>
      <c r="F240" s="8" t="s">
        <v>84</v>
      </c>
      <c r="G240" s="15">
        <v>0</v>
      </c>
      <c r="H240" s="15">
        <v>0</v>
      </c>
      <c r="I240" s="15">
        <v>10</v>
      </c>
      <c r="J240" s="15">
        <v>-10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0</v>
      </c>
      <c r="BI240" s="15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0</v>
      </c>
      <c r="BP240" s="15">
        <v>0</v>
      </c>
      <c r="BQ240" s="15">
        <v>0</v>
      </c>
      <c r="BR240" s="15">
        <v>0</v>
      </c>
      <c r="BS240" s="15">
        <v>0</v>
      </c>
      <c r="BT240" s="15">
        <v>0</v>
      </c>
      <c r="BU240" s="15">
        <v>0</v>
      </c>
      <c r="BV240" s="15">
        <v>0</v>
      </c>
      <c r="BW240" s="15">
        <v>0</v>
      </c>
      <c r="BX240" s="15">
        <v>0</v>
      </c>
      <c r="BY240" s="15">
        <v>0</v>
      </c>
      <c r="BZ240" s="15">
        <v>0</v>
      </c>
      <c r="CA240" s="15">
        <v>0</v>
      </c>
      <c r="CB240" s="15">
        <v>0</v>
      </c>
      <c r="CC240" s="15">
        <v>0</v>
      </c>
      <c r="CD240" s="15">
        <v>0</v>
      </c>
      <c r="CE240" s="15">
        <v>0</v>
      </c>
      <c r="CF240" s="15">
        <v>0</v>
      </c>
      <c r="CG240" s="15">
        <v>0</v>
      </c>
      <c r="CH240" s="15">
        <v>0</v>
      </c>
      <c r="CI240" s="15">
        <v>0</v>
      </c>
      <c r="CJ240" s="15">
        <v>0</v>
      </c>
      <c r="CK240" s="15">
        <v>0</v>
      </c>
      <c r="CL240" s="15">
        <v>0</v>
      </c>
      <c r="CM240" s="15">
        <v>0</v>
      </c>
      <c r="CN240" s="15">
        <v>0</v>
      </c>
      <c r="CO240" s="15">
        <v>0</v>
      </c>
      <c r="CP240" s="15">
        <v>0</v>
      </c>
      <c r="CQ240" s="15">
        <v>0</v>
      </c>
      <c r="CR240" s="15">
        <v>0</v>
      </c>
      <c r="CS240" s="15">
        <v>0</v>
      </c>
      <c r="CT240" s="15">
        <v>0</v>
      </c>
      <c r="CU240" s="15">
        <v>0</v>
      </c>
      <c r="CV240" s="15">
        <v>0</v>
      </c>
      <c r="CW240" s="15">
        <v>0</v>
      </c>
      <c r="CX240" s="15">
        <v>0</v>
      </c>
      <c r="CY240" s="15">
        <v>0</v>
      </c>
      <c r="CZ240" s="15">
        <v>5</v>
      </c>
      <c r="DA240" s="15">
        <v>5</v>
      </c>
      <c r="DB240" s="15">
        <v>0</v>
      </c>
      <c r="DC240" s="15">
        <v>0</v>
      </c>
      <c r="DD240" s="15">
        <v>0</v>
      </c>
      <c r="DE240" s="15">
        <v>0</v>
      </c>
      <c r="DF240" s="15">
        <v>0</v>
      </c>
      <c r="DG240" s="15">
        <v>0</v>
      </c>
      <c r="DH240" s="15">
        <v>0</v>
      </c>
      <c r="DI240" s="15">
        <v>0</v>
      </c>
      <c r="DJ240" s="15">
        <v>0</v>
      </c>
      <c r="DK240" s="15">
        <v>0</v>
      </c>
      <c r="DL240" s="15">
        <v>0</v>
      </c>
      <c r="DM240" s="15">
        <v>0</v>
      </c>
      <c r="DN240" s="15">
        <v>0</v>
      </c>
      <c r="DO240" s="15">
        <v>0</v>
      </c>
      <c r="DP240" s="15">
        <v>0</v>
      </c>
      <c r="DQ240" s="15">
        <v>0</v>
      </c>
      <c r="DR240" s="15">
        <v>0</v>
      </c>
      <c r="DS240" s="15">
        <v>0</v>
      </c>
      <c r="DT240" s="15">
        <v>0</v>
      </c>
      <c r="DU240" s="15">
        <v>0</v>
      </c>
      <c r="DV240" s="15">
        <v>0</v>
      </c>
      <c r="DW240" s="15">
        <v>0</v>
      </c>
      <c r="DX240" s="15">
        <v>0</v>
      </c>
      <c r="DY240" s="15">
        <v>0</v>
      </c>
      <c r="DZ240" s="15">
        <v>0</v>
      </c>
      <c r="EA240" s="15">
        <v>0</v>
      </c>
      <c r="EB240" s="15">
        <v>0</v>
      </c>
      <c r="EC240" s="15">
        <v>0</v>
      </c>
      <c r="ED240" s="15">
        <v>0</v>
      </c>
      <c r="EE240" s="15">
        <v>0</v>
      </c>
      <c r="EF240" s="15">
        <v>0</v>
      </c>
    </row>
    <row r="241" spans="1:136" ht="15" customHeight="1" x14ac:dyDescent="0.35">
      <c r="A241" s="8" t="s">
        <v>12</v>
      </c>
      <c r="B241" s="8" t="s">
        <v>75</v>
      </c>
      <c r="C241" s="8" t="s">
        <v>75</v>
      </c>
      <c r="D241" s="8" t="s">
        <v>320</v>
      </c>
      <c r="E241" s="8" t="s">
        <v>16</v>
      </c>
      <c r="F241" s="8" t="s">
        <v>84</v>
      </c>
      <c r="G241" s="15">
        <v>0</v>
      </c>
      <c r="H241" s="15">
        <v>10</v>
      </c>
      <c r="I241" s="15">
        <v>0</v>
      </c>
      <c r="J241" s="15">
        <v>10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5">
        <v>0</v>
      </c>
      <c r="CH241" s="15">
        <v>0</v>
      </c>
      <c r="CI241" s="15">
        <v>0</v>
      </c>
      <c r="CJ241" s="15">
        <v>0</v>
      </c>
      <c r="CK241" s="15">
        <v>0</v>
      </c>
      <c r="CL241" s="15">
        <v>0</v>
      </c>
      <c r="CM241" s="15">
        <v>0</v>
      </c>
      <c r="CN241" s="15">
        <v>0</v>
      </c>
      <c r="CO241" s="15">
        <v>0</v>
      </c>
      <c r="CP241" s="15">
        <v>0</v>
      </c>
      <c r="CQ241" s="15">
        <v>0</v>
      </c>
      <c r="CR241" s="15">
        <v>0</v>
      </c>
      <c r="CS241" s="15">
        <v>0</v>
      </c>
      <c r="CT241" s="15">
        <v>0</v>
      </c>
      <c r="CU241" s="15">
        <v>0</v>
      </c>
      <c r="CV241" s="15">
        <v>0</v>
      </c>
      <c r="CW241" s="15">
        <v>0</v>
      </c>
      <c r="CX241" s="15">
        <v>0</v>
      </c>
      <c r="CY241" s="15">
        <v>0</v>
      </c>
      <c r="CZ241" s="15">
        <v>0</v>
      </c>
      <c r="DA241" s="15">
        <v>0</v>
      </c>
      <c r="DB241" s="15">
        <v>0</v>
      </c>
      <c r="DC241" s="15">
        <v>0</v>
      </c>
      <c r="DD241" s="15">
        <v>0</v>
      </c>
      <c r="DE241" s="15">
        <v>0</v>
      </c>
      <c r="DF241" s="15">
        <v>0</v>
      </c>
      <c r="DG241" s="15">
        <v>0</v>
      </c>
      <c r="DH241" s="15">
        <v>0</v>
      </c>
      <c r="DI241" s="15">
        <v>0</v>
      </c>
      <c r="DJ241" s="15">
        <v>0</v>
      </c>
      <c r="DK241" s="15">
        <v>0</v>
      </c>
      <c r="DL241" s="15">
        <v>0</v>
      </c>
      <c r="DM241" s="15">
        <v>0</v>
      </c>
      <c r="DN241" s="15">
        <v>0</v>
      </c>
      <c r="DO241" s="15">
        <v>0</v>
      </c>
      <c r="DP241" s="15">
        <v>0</v>
      </c>
      <c r="DQ241" s="15">
        <v>0</v>
      </c>
      <c r="DR241" s="15">
        <v>0</v>
      </c>
      <c r="DS241" s="15">
        <v>0</v>
      </c>
      <c r="DT241" s="15">
        <v>0</v>
      </c>
      <c r="DU241" s="15">
        <v>0</v>
      </c>
      <c r="DV241" s="15">
        <v>0</v>
      </c>
      <c r="DW241" s="15">
        <v>0</v>
      </c>
      <c r="DX241" s="15">
        <v>0</v>
      </c>
      <c r="DY241" s="15">
        <v>0</v>
      </c>
      <c r="DZ241" s="15">
        <v>0</v>
      </c>
      <c r="EA241" s="15">
        <v>0</v>
      </c>
      <c r="EB241" s="15">
        <v>0</v>
      </c>
      <c r="EC241" s="15">
        <v>0</v>
      </c>
      <c r="ED241" s="15">
        <v>0</v>
      </c>
      <c r="EE241" s="15">
        <v>0</v>
      </c>
      <c r="EF241" s="15">
        <v>0</v>
      </c>
    </row>
    <row r="242" spans="1:136" ht="15" customHeight="1" x14ac:dyDescent="0.35">
      <c r="A242" s="8" t="s">
        <v>12</v>
      </c>
      <c r="B242" s="8" t="s">
        <v>75</v>
      </c>
      <c r="C242" s="8" t="s">
        <v>75</v>
      </c>
      <c r="D242" s="8" t="s">
        <v>321</v>
      </c>
      <c r="E242" s="8" t="s">
        <v>16</v>
      </c>
      <c r="F242" s="8" t="s">
        <v>40</v>
      </c>
      <c r="G242" s="15">
        <v>0</v>
      </c>
      <c r="H242" s="15">
        <v>0</v>
      </c>
      <c r="I242" s="15">
        <v>20.5</v>
      </c>
      <c r="J242" s="15">
        <v>-20.5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4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1.5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0</v>
      </c>
      <c r="BP242" s="15">
        <v>0</v>
      </c>
      <c r="BQ242" s="15">
        <v>0</v>
      </c>
      <c r="BR242" s="15">
        <v>0</v>
      </c>
      <c r="BS242" s="15">
        <v>0</v>
      </c>
      <c r="BT242" s="15">
        <v>0</v>
      </c>
      <c r="BU242" s="15">
        <v>0</v>
      </c>
      <c r="BV242" s="15">
        <v>0</v>
      </c>
      <c r="BW242" s="15">
        <v>0</v>
      </c>
      <c r="BX242" s="15">
        <v>0</v>
      </c>
      <c r="BY242" s="15">
        <v>0</v>
      </c>
      <c r="BZ242" s="15">
        <v>0</v>
      </c>
      <c r="CA242" s="15">
        <v>0</v>
      </c>
      <c r="CB242" s="15">
        <v>0</v>
      </c>
      <c r="CC242" s="15">
        <v>0</v>
      </c>
      <c r="CD242" s="15">
        <v>0</v>
      </c>
      <c r="CE242" s="15">
        <v>0</v>
      </c>
      <c r="CF242" s="15">
        <v>0</v>
      </c>
      <c r="CG242" s="15">
        <v>0</v>
      </c>
      <c r="CH242" s="15">
        <v>0</v>
      </c>
      <c r="CI242" s="15">
        <v>0</v>
      </c>
      <c r="CJ242" s="15">
        <v>0</v>
      </c>
      <c r="CK242" s="15">
        <v>0</v>
      </c>
      <c r="CL242" s="15">
        <v>0</v>
      </c>
      <c r="CM242" s="15">
        <v>0</v>
      </c>
      <c r="CN242" s="15">
        <v>0</v>
      </c>
      <c r="CO242" s="15">
        <v>0</v>
      </c>
      <c r="CP242" s="15">
        <v>0</v>
      </c>
      <c r="CQ242" s="15">
        <v>0</v>
      </c>
      <c r="CR242" s="15">
        <v>0</v>
      </c>
      <c r="CS242" s="15">
        <v>0</v>
      </c>
      <c r="CT242" s="15">
        <v>0</v>
      </c>
      <c r="CU242" s="15">
        <v>0</v>
      </c>
      <c r="CV242" s="15">
        <v>0</v>
      </c>
      <c r="CW242" s="15">
        <v>0</v>
      </c>
      <c r="CX242" s="15">
        <v>0</v>
      </c>
      <c r="CY242" s="15">
        <v>0</v>
      </c>
      <c r="CZ242" s="15">
        <v>0</v>
      </c>
      <c r="DA242" s="15">
        <v>0</v>
      </c>
      <c r="DB242" s="15">
        <v>0</v>
      </c>
      <c r="DC242" s="15">
        <v>0</v>
      </c>
      <c r="DD242" s="15">
        <v>0</v>
      </c>
      <c r="DE242" s="15">
        <v>0</v>
      </c>
      <c r="DF242" s="15">
        <v>0</v>
      </c>
      <c r="DG242" s="15">
        <v>0</v>
      </c>
      <c r="DH242" s="15">
        <v>0</v>
      </c>
      <c r="DI242" s="15">
        <v>0</v>
      </c>
      <c r="DJ242" s="15">
        <v>0</v>
      </c>
      <c r="DK242" s="15">
        <v>0</v>
      </c>
      <c r="DL242" s="15">
        <v>0</v>
      </c>
      <c r="DM242" s="15">
        <v>0</v>
      </c>
      <c r="DN242" s="15">
        <v>0</v>
      </c>
      <c r="DO242" s="15">
        <v>0</v>
      </c>
      <c r="DP242" s="15">
        <v>5</v>
      </c>
      <c r="DQ242" s="15">
        <v>5</v>
      </c>
      <c r="DR242" s="15">
        <v>5</v>
      </c>
      <c r="DS242" s="15">
        <v>0</v>
      </c>
      <c r="DT242" s="15">
        <v>0</v>
      </c>
      <c r="DU242" s="15">
        <v>0</v>
      </c>
      <c r="DV242" s="15">
        <v>0</v>
      </c>
      <c r="DW242" s="15">
        <v>0</v>
      </c>
      <c r="DX242" s="15">
        <v>0</v>
      </c>
      <c r="DY242" s="15">
        <v>0</v>
      </c>
      <c r="DZ242" s="15">
        <v>0</v>
      </c>
      <c r="EA242" s="15">
        <v>0</v>
      </c>
      <c r="EB242" s="15">
        <v>0</v>
      </c>
      <c r="EC242" s="15">
        <v>0</v>
      </c>
      <c r="ED242" s="15">
        <v>0</v>
      </c>
      <c r="EE242" s="15">
        <v>0</v>
      </c>
      <c r="EF242" s="15">
        <v>0</v>
      </c>
    </row>
    <row r="243" spans="1:136" ht="15" customHeight="1" x14ac:dyDescent="0.35">
      <c r="A243" s="8" t="s">
        <v>12</v>
      </c>
      <c r="B243" s="8" t="s">
        <v>75</v>
      </c>
      <c r="C243" s="8" t="s">
        <v>75</v>
      </c>
      <c r="D243" s="8" t="s">
        <v>320</v>
      </c>
      <c r="E243" s="8" t="s">
        <v>16</v>
      </c>
      <c r="F243" s="8" t="s">
        <v>40</v>
      </c>
      <c r="G243" s="15">
        <v>0</v>
      </c>
      <c r="H243" s="15">
        <v>15</v>
      </c>
      <c r="I243" s="15">
        <v>0</v>
      </c>
      <c r="J243" s="15">
        <v>15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5">
        <v>0</v>
      </c>
      <c r="CH243" s="15">
        <v>0</v>
      </c>
      <c r="CI243" s="15">
        <v>0</v>
      </c>
      <c r="CJ243" s="15">
        <v>0</v>
      </c>
      <c r="CK243" s="15">
        <v>0</v>
      </c>
      <c r="CL243" s="15">
        <v>0</v>
      </c>
      <c r="CM243" s="15">
        <v>0</v>
      </c>
      <c r="CN243" s="15">
        <v>0</v>
      </c>
      <c r="CO243" s="15">
        <v>0</v>
      </c>
      <c r="CP243" s="15">
        <v>0</v>
      </c>
      <c r="CQ243" s="15">
        <v>0</v>
      </c>
      <c r="CR243" s="15">
        <v>0</v>
      </c>
      <c r="CS243" s="15">
        <v>0</v>
      </c>
      <c r="CT243" s="15">
        <v>0</v>
      </c>
      <c r="CU243" s="15">
        <v>0</v>
      </c>
      <c r="CV243" s="15">
        <v>0</v>
      </c>
      <c r="CW243" s="15">
        <v>0</v>
      </c>
      <c r="CX243" s="15">
        <v>0</v>
      </c>
      <c r="CY243" s="15">
        <v>0</v>
      </c>
      <c r="CZ243" s="15">
        <v>0</v>
      </c>
      <c r="DA243" s="15">
        <v>0</v>
      </c>
      <c r="DB243" s="15">
        <v>0</v>
      </c>
      <c r="DC243" s="15">
        <v>0</v>
      </c>
      <c r="DD243" s="15">
        <v>0</v>
      </c>
      <c r="DE243" s="15">
        <v>0</v>
      </c>
      <c r="DF243" s="15">
        <v>0</v>
      </c>
      <c r="DG243" s="15">
        <v>0</v>
      </c>
      <c r="DH243" s="15">
        <v>0</v>
      </c>
      <c r="DI243" s="15">
        <v>0</v>
      </c>
      <c r="DJ243" s="15">
        <v>0</v>
      </c>
      <c r="DK243" s="15">
        <v>0</v>
      </c>
      <c r="DL243" s="15">
        <v>0</v>
      </c>
      <c r="DM243" s="15">
        <v>0</v>
      </c>
      <c r="DN243" s="15">
        <v>0</v>
      </c>
      <c r="DO243" s="15">
        <v>0</v>
      </c>
      <c r="DP243" s="15">
        <v>0</v>
      </c>
      <c r="DQ243" s="15">
        <v>0</v>
      </c>
      <c r="DR243" s="15">
        <v>0</v>
      </c>
      <c r="DS243" s="15">
        <v>0</v>
      </c>
      <c r="DT243" s="15">
        <v>0</v>
      </c>
      <c r="DU243" s="15">
        <v>0</v>
      </c>
      <c r="DV243" s="15">
        <v>0</v>
      </c>
      <c r="DW243" s="15">
        <v>0</v>
      </c>
      <c r="DX243" s="15">
        <v>0</v>
      </c>
      <c r="DY243" s="15">
        <v>0</v>
      </c>
      <c r="DZ243" s="15">
        <v>0</v>
      </c>
      <c r="EA243" s="15">
        <v>0</v>
      </c>
      <c r="EB243" s="15">
        <v>0</v>
      </c>
      <c r="EC243" s="15">
        <v>0</v>
      </c>
      <c r="ED243" s="15">
        <v>0</v>
      </c>
      <c r="EE243" s="15">
        <v>0</v>
      </c>
      <c r="EF243" s="15">
        <v>0</v>
      </c>
    </row>
    <row r="244" spans="1:136" ht="15" customHeight="1" x14ac:dyDescent="0.35">
      <c r="A244" s="8" t="s">
        <v>12</v>
      </c>
      <c r="B244" s="8" t="s">
        <v>75</v>
      </c>
      <c r="C244" s="8" t="s">
        <v>75</v>
      </c>
      <c r="D244" s="8" t="s">
        <v>321</v>
      </c>
      <c r="E244" s="8" t="s">
        <v>16</v>
      </c>
      <c r="F244" s="8" t="s">
        <v>85</v>
      </c>
      <c r="G244" s="15">
        <v>0</v>
      </c>
      <c r="H244" s="15">
        <v>0</v>
      </c>
      <c r="I244" s="15">
        <v>238</v>
      </c>
      <c r="J244" s="15">
        <v>-238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8</v>
      </c>
      <c r="AK244" s="15">
        <v>6</v>
      </c>
      <c r="AL244" s="15">
        <v>6</v>
      </c>
      <c r="AM244" s="15">
        <v>3.5</v>
      </c>
      <c r="AN244" s="15">
        <v>3</v>
      </c>
      <c r="AO244" s="15">
        <v>3.5</v>
      </c>
      <c r="AP244" s="15">
        <v>20.5</v>
      </c>
      <c r="AQ244" s="15">
        <v>21</v>
      </c>
      <c r="AR244" s="15">
        <v>4.5</v>
      </c>
      <c r="AS244" s="15">
        <v>4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0</v>
      </c>
      <c r="BP244" s="15">
        <v>0</v>
      </c>
      <c r="BQ244" s="15">
        <v>0</v>
      </c>
      <c r="BR244" s="15">
        <v>0</v>
      </c>
      <c r="BS244" s="15">
        <v>0</v>
      </c>
      <c r="BT244" s="15">
        <v>0</v>
      </c>
      <c r="BU244" s="15">
        <v>0</v>
      </c>
      <c r="BV244" s="15">
        <v>0</v>
      </c>
      <c r="BW244" s="15">
        <v>0</v>
      </c>
      <c r="BX244" s="15">
        <v>0</v>
      </c>
      <c r="BY244" s="15">
        <v>0</v>
      </c>
      <c r="BZ244" s="15">
        <v>0</v>
      </c>
      <c r="CA244" s="15">
        <v>0</v>
      </c>
      <c r="CB244" s="15">
        <v>0</v>
      </c>
      <c r="CC244" s="15">
        <v>0</v>
      </c>
      <c r="CD244" s="15">
        <v>0</v>
      </c>
      <c r="CE244" s="15">
        <v>0</v>
      </c>
      <c r="CF244" s="15">
        <v>0</v>
      </c>
      <c r="CG244" s="15">
        <v>0</v>
      </c>
      <c r="CH244" s="15">
        <v>0</v>
      </c>
      <c r="CI244" s="15">
        <v>0</v>
      </c>
      <c r="CJ244" s="15">
        <v>0</v>
      </c>
      <c r="CK244" s="15">
        <v>0</v>
      </c>
      <c r="CL244" s="15">
        <v>0</v>
      </c>
      <c r="CM244" s="15">
        <v>0</v>
      </c>
      <c r="CN244" s="15">
        <v>0</v>
      </c>
      <c r="CO244" s="15">
        <v>0</v>
      </c>
      <c r="CP244" s="15">
        <v>0</v>
      </c>
      <c r="CQ244" s="15">
        <v>0</v>
      </c>
      <c r="CR244" s="15">
        <v>0</v>
      </c>
      <c r="CS244" s="15">
        <v>7</v>
      </c>
      <c r="CT244" s="15">
        <v>14</v>
      </c>
      <c r="CU244" s="15">
        <v>14</v>
      </c>
      <c r="CV244" s="15">
        <v>3</v>
      </c>
      <c r="CW244" s="15">
        <v>3</v>
      </c>
      <c r="CX244" s="15">
        <v>3</v>
      </c>
      <c r="CY244" s="15">
        <v>3</v>
      </c>
      <c r="CZ244" s="15">
        <v>3</v>
      </c>
      <c r="DA244" s="15">
        <v>3</v>
      </c>
      <c r="DB244" s="15">
        <v>3</v>
      </c>
      <c r="DC244" s="15">
        <v>3</v>
      </c>
      <c r="DD244" s="15">
        <v>3</v>
      </c>
      <c r="DE244" s="15">
        <v>13</v>
      </c>
      <c r="DF244" s="15">
        <v>19</v>
      </c>
      <c r="DG244" s="15">
        <v>3</v>
      </c>
      <c r="DH244" s="15">
        <v>3</v>
      </c>
      <c r="DI244" s="15">
        <v>3</v>
      </c>
      <c r="DJ244" s="15">
        <v>0</v>
      </c>
      <c r="DK244" s="15">
        <v>4.5</v>
      </c>
      <c r="DL244" s="15">
        <v>6.5</v>
      </c>
      <c r="DM244" s="15">
        <v>3.5</v>
      </c>
      <c r="DN244" s="15">
        <v>3.5</v>
      </c>
      <c r="DO244" s="15">
        <v>7</v>
      </c>
      <c r="DP244" s="15">
        <v>12</v>
      </c>
      <c r="DQ244" s="15">
        <v>11</v>
      </c>
      <c r="DR244" s="15">
        <v>11</v>
      </c>
      <c r="DS244" s="15">
        <v>0</v>
      </c>
      <c r="DT244" s="15">
        <v>0</v>
      </c>
      <c r="DU244" s="15">
        <v>0</v>
      </c>
      <c r="DV244" s="15">
        <v>0</v>
      </c>
      <c r="DW244" s="15">
        <v>0</v>
      </c>
      <c r="DX244" s="15">
        <v>0</v>
      </c>
      <c r="DY244" s="15">
        <v>0</v>
      </c>
      <c r="DZ244" s="15">
        <v>0</v>
      </c>
      <c r="EA244" s="15">
        <v>0</v>
      </c>
      <c r="EB244" s="15">
        <v>0</v>
      </c>
      <c r="EC244" s="15">
        <v>0</v>
      </c>
      <c r="ED244" s="15">
        <v>0</v>
      </c>
      <c r="EE244" s="15">
        <v>0</v>
      </c>
      <c r="EF244" s="15">
        <v>0</v>
      </c>
    </row>
    <row r="245" spans="1:136" ht="15" customHeight="1" x14ac:dyDescent="0.35">
      <c r="A245" s="8" t="s">
        <v>12</v>
      </c>
      <c r="B245" s="8" t="s">
        <v>75</v>
      </c>
      <c r="C245" s="8" t="s">
        <v>75</v>
      </c>
      <c r="D245" s="8" t="s">
        <v>320</v>
      </c>
      <c r="E245" s="8" t="s">
        <v>16</v>
      </c>
      <c r="F245" s="8" t="s">
        <v>85</v>
      </c>
      <c r="G245" s="15">
        <v>112</v>
      </c>
      <c r="H245" s="15">
        <v>458</v>
      </c>
      <c r="I245" s="15">
        <v>19.5</v>
      </c>
      <c r="J245" s="15">
        <v>438.5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0.5</v>
      </c>
      <c r="AD245" s="15">
        <v>0.5</v>
      </c>
      <c r="AE245" s="15">
        <v>0.5</v>
      </c>
      <c r="AF245" s="15">
        <v>9</v>
      </c>
      <c r="AG245" s="15">
        <v>1.5</v>
      </c>
      <c r="AH245" s="15">
        <v>2.5</v>
      </c>
      <c r="AI245" s="15">
        <v>5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5">
        <v>0</v>
      </c>
      <c r="CH245" s="15">
        <v>0</v>
      </c>
      <c r="CI245" s="15">
        <v>0</v>
      </c>
      <c r="CJ245" s="15">
        <v>0</v>
      </c>
      <c r="CK245" s="15">
        <v>0</v>
      </c>
      <c r="CL245" s="15">
        <v>0</v>
      </c>
      <c r="CM245" s="15">
        <v>0</v>
      </c>
      <c r="CN245" s="15">
        <v>0</v>
      </c>
      <c r="CO245" s="15">
        <v>0</v>
      </c>
      <c r="CP245" s="15">
        <v>0</v>
      </c>
      <c r="CQ245" s="15">
        <v>0</v>
      </c>
      <c r="CR245" s="15">
        <v>0</v>
      </c>
      <c r="CS245" s="15">
        <v>0</v>
      </c>
      <c r="CT245" s="15">
        <v>0</v>
      </c>
      <c r="CU245" s="15">
        <v>0</v>
      </c>
      <c r="CV245" s="15">
        <v>0</v>
      </c>
      <c r="CW245" s="15">
        <v>0</v>
      </c>
      <c r="CX245" s="15">
        <v>0</v>
      </c>
      <c r="CY245" s="15">
        <v>0</v>
      </c>
      <c r="CZ245" s="15">
        <v>0</v>
      </c>
      <c r="DA245" s="15">
        <v>0</v>
      </c>
      <c r="DB245" s="15">
        <v>0</v>
      </c>
      <c r="DC245" s="15">
        <v>0</v>
      </c>
      <c r="DD245" s="15">
        <v>0</v>
      </c>
      <c r="DE245" s="15">
        <v>0</v>
      </c>
      <c r="DF245" s="15">
        <v>0</v>
      </c>
      <c r="DG245" s="15">
        <v>0</v>
      </c>
      <c r="DH245" s="15">
        <v>0</v>
      </c>
      <c r="DI245" s="15">
        <v>0</v>
      </c>
      <c r="DJ245" s="15">
        <v>0</v>
      </c>
      <c r="DK245" s="15">
        <v>0</v>
      </c>
      <c r="DL245" s="15">
        <v>0</v>
      </c>
      <c r="DM245" s="15">
        <v>0</v>
      </c>
      <c r="DN245" s="15">
        <v>0</v>
      </c>
      <c r="DO245" s="15">
        <v>0</v>
      </c>
      <c r="DP245" s="15">
        <v>0</v>
      </c>
      <c r="DQ245" s="15">
        <v>0</v>
      </c>
      <c r="DR245" s="15">
        <v>0</v>
      </c>
      <c r="DS245" s="15">
        <v>0</v>
      </c>
      <c r="DT245" s="15">
        <v>0</v>
      </c>
      <c r="DU245" s="15">
        <v>0</v>
      </c>
      <c r="DV245" s="15">
        <v>0</v>
      </c>
      <c r="DW245" s="15">
        <v>0</v>
      </c>
      <c r="DX245" s="15">
        <v>0</v>
      </c>
      <c r="DY245" s="15">
        <v>0</v>
      </c>
      <c r="DZ245" s="15">
        <v>0</v>
      </c>
      <c r="EA245" s="15">
        <v>0</v>
      </c>
      <c r="EB245" s="15">
        <v>0</v>
      </c>
      <c r="EC245" s="15">
        <v>0</v>
      </c>
      <c r="ED245" s="15">
        <v>0</v>
      </c>
      <c r="EE245" s="15">
        <v>0</v>
      </c>
      <c r="EF245" s="15">
        <v>0</v>
      </c>
    </row>
    <row r="246" spans="1:136" ht="15" customHeight="1" x14ac:dyDescent="0.35">
      <c r="A246" s="8" t="s">
        <v>12</v>
      </c>
      <c r="B246" s="8" t="s">
        <v>75</v>
      </c>
      <c r="C246" s="8" t="s">
        <v>75</v>
      </c>
      <c r="D246" s="8" t="s">
        <v>321</v>
      </c>
      <c r="E246" s="8" t="s">
        <v>16</v>
      </c>
      <c r="F246" s="8" t="s">
        <v>46</v>
      </c>
      <c r="G246" s="15">
        <v>0</v>
      </c>
      <c r="H246" s="15">
        <v>0</v>
      </c>
      <c r="I246" s="15">
        <v>266.5</v>
      </c>
      <c r="J246" s="15">
        <v>-266.5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2</v>
      </c>
      <c r="AK246" s="15">
        <v>8.5</v>
      </c>
      <c r="AL246" s="15">
        <v>12.5</v>
      </c>
      <c r="AM246" s="15">
        <v>3.5</v>
      </c>
      <c r="AN246" s="15">
        <v>3</v>
      </c>
      <c r="AO246" s="15">
        <v>2.5</v>
      </c>
      <c r="AP246" s="15">
        <v>7</v>
      </c>
      <c r="AQ246" s="15">
        <v>7</v>
      </c>
      <c r="AR246" s="15">
        <v>10.5</v>
      </c>
      <c r="AS246" s="15">
        <v>3.5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0</v>
      </c>
      <c r="BQ246" s="15">
        <v>0</v>
      </c>
      <c r="BR246" s="15">
        <v>0</v>
      </c>
      <c r="BS246" s="15">
        <v>0</v>
      </c>
      <c r="BT246" s="15">
        <v>0</v>
      </c>
      <c r="BU246" s="15">
        <v>0</v>
      </c>
      <c r="BV246" s="15">
        <v>0</v>
      </c>
      <c r="BW246" s="15">
        <v>0</v>
      </c>
      <c r="BX246" s="15">
        <v>0</v>
      </c>
      <c r="BY246" s="15">
        <v>0</v>
      </c>
      <c r="BZ246" s="15">
        <v>0</v>
      </c>
      <c r="CA246" s="15">
        <v>0</v>
      </c>
      <c r="CB246" s="15">
        <v>0</v>
      </c>
      <c r="CC246" s="15">
        <v>0</v>
      </c>
      <c r="CD246" s="15">
        <v>0</v>
      </c>
      <c r="CE246" s="15">
        <v>0</v>
      </c>
      <c r="CF246" s="15">
        <v>0</v>
      </c>
      <c r="CG246" s="15">
        <v>0</v>
      </c>
      <c r="CH246" s="15">
        <v>0</v>
      </c>
      <c r="CI246" s="15">
        <v>0</v>
      </c>
      <c r="CJ246" s="15">
        <v>0</v>
      </c>
      <c r="CK246" s="15">
        <v>0</v>
      </c>
      <c r="CL246" s="15">
        <v>0</v>
      </c>
      <c r="CM246" s="15">
        <v>0</v>
      </c>
      <c r="CN246" s="15">
        <v>0</v>
      </c>
      <c r="CO246" s="15">
        <v>0</v>
      </c>
      <c r="CP246" s="15">
        <v>0</v>
      </c>
      <c r="CQ246" s="15">
        <v>0</v>
      </c>
      <c r="CR246" s="15">
        <v>0</v>
      </c>
      <c r="CS246" s="15">
        <v>4</v>
      </c>
      <c r="CT246" s="15">
        <v>4</v>
      </c>
      <c r="CU246" s="15">
        <v>5</v>
      </c>
      <c r="CV246" s="15">
        <v>4</v>
      </c>
      <c r="CW246" s="15">
        <v>4</v>
      </c>
      <c r="CX246" s="15">
        <v>4</v>
      </c>
      <c r="CY246" s="15">
        <v>4</v>
      </c>
      <c r="CZ246" s="15">
        <v>4</v>
      </c>
      <c r="DA246" s="15">
        <v>4</v>
      </c>
      <c r="DB246" s="15">
        <v>4</v>
      </c>
      <c r="DC246" s="15">
        <v>4</v>
      </c>
      <c r="DD246" s="15">
        <v>8</v>
      </c>
      <c r="DE246" s="15">
        <v>4</v>
      </c>
      <c r="DF246" s="15">
        <v>4</v>
      </c>
      <c r="DG246" s="15">
        <v>10</v>
      </c>
      <c r="DH246" s="15">
        <v>4</v>
      </c>
      <c r="DI246" s="15">
        <v>0</v>
      </c>
      <c r="DJ246" s="15">
        <v>0</v>
      </c>
      <c r="DK246" s="15">
        <v>4</v>
      </c>
      <c r="DL246" s="15">
        <v>11</v>
      </c>
      <c r="DM246" s="15">
        <v>21</v>
      </c>
      <c r="DN246" s="15">
        <v>20</v>
      </c>
      <c r="DO246" s="15">
        <v>21</v>
      </c>
      <c r="DP246" s="15">
        <v>22</v>
      </c>
      <c r="DQ246" s="15">
        <v>15</v>
      </c>
      <c r="DR246" s="15">
        <v>9</v>
      </c>
      <c r="DS246" s="15">
        <v>4</v>
      </c>
      <c r="DT246" s="15">
        <v>4</v>
      </c>
      <c r="DU246" s="15">
        <v>4</v>
      </c>
      <c r="DV246" s="15">
        <v>0</v>
      </c>
      <c r="DW246" s="15">
        <v>0</v>
      </c>
      <c r="DX246" s="15">
        <v>0</v>
      </c>
      <c r="DY246" s="15">
        <v>0</v>
      </c>
      <c r="DZ246" s="15">
        <v>0</v>
      </c>
      <c r="EA246" s="15">
        <v>0</v>
      </c>
      <c r="EB246" s="15">
        <v>0</v>
      </c>
      <c r="EC246" s="15">
        <v>0</v>
      </c>
      <c r="ED246" s="15">
        <v>0</v>
      </c>
      <c r="EE246" s="15">
        <v>0</v>
      </c>
      <c r="EF246" s="15">
        <v>0</v>
      </c>
    </row>
    <row r="247" spans="1:136" ht="15" customHeight="1" x14ac:dyDescent="0.35">
      <c r="A247" s="8" t="s">
        <v>12</v>
      </c>
      <c r="B247" s="8" t="s">
        <v>75</v>
      </c>
      <c r="C247" s="8" t="s">
        <v>75</v>
      </c>
      <c r="D247" s="8" t="s">
        <v>320</v>
      </c>
      <c r="E247" s="8" t="s">
        <v>16</v>
      </c>
      <c r="F247" s="8" t="s">
        <v>46</v>
      </c>
      <c r="G247" s="15">
        <v>94.5</v>
      </c>
      <c r="H247" s="15">
        <v>304.5</v>
      </c>
      <c r="I247" s="15">
        <v>46</v>
      </c>
      <c r="J247" s="15">
        <v>258.5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2.5</v>
      </c>
      <c r="AC247" s="15">
        <v>6</v>
      </c>
      <c r="AD247" s="15">
        <v>1</v>
      </c>
      <c r="AE247" s="15">
        <v>14</v>
      </c>
      <c r="AF247" s="15">
        <v>9</v>
      </c>
      <c r="AG247" s="15">
        <v>6</v>
      </c>
      <c r="AH247" s="15">
        <v>4.5</v>
      </c>
      <c r="AI247" s="15">
        <v>3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5">
        <v>0</v>
      </c>
      <c r="CH247" s="15">
        <v>0</v>
      </c>
      <c r="CI247" s="15">
        <v>0</v>
      </c>
      <c r="CJ247" s="15">
        <v>0</v>
      </c>
      <c r="CK247" s="15">
        <v>0</v>
      </c>
      <c r="CL247" s="15">
        <v>0</v>
      </c>
      <c r="CM247" s="15">
        <v>0</v>
      </c>
      <c r="CN247" s="15">
        <v>0</v>
      </c>
      <c r="CO247" s="15">
        <v>0</v>
      </c>
      <c r="CP247" s="15">
        <v>0</v>
      </c>
      <c r="CQ247" s="15">
        <v>0</v>
      </c>
      <c r="CR247" s="15">
        <v>0</v>
      </c>
      <c r="CS247" s="15">
        <v>0</v>
      </c>
      <c r="CT247" s="15">
        <v>0</v>
      </c>
      <c r="CU247" s="15">
        <v>0</v>
      </c>
      <c r="CV247" s="15">
        <v>0</v>
      </c>
      <c r="CW247" s="15">
        <v>0</v>
      </c>
      <c r="CX247" s="15">
        <v>0</v>
      </c>
      <c r="CY247" s="15">
        <v>0</v>
      </c>
      <c r="CZ247" s="15">
        <v>0</v>
      </c>
      <c r="DA247" s="15">
        <v>0</v>
      </c>
      <c r="DB247" s="15">
        <v>0</v>
      </c>
      <c r="DC247" s="15">
        <v>0</v>
      </c>
      <c r="DD247" s="15">
        <v>0</v>
      </c>
      <c r="DE247" s="15">
        <v>0</v>
      </c>
      <c r="DF247" s="15">
        <v>0</v>
      </c>
      <c r="DG247" s="15">
        <v>0</v>
      </c>
      <c r="DH247" s="15">
        <v>0</v>
      </c>
      <c r="DI247" s="15">
        <v>0</v>
      </c>
      <c r="DJ247" s="15">
        <v>0</v>
      </c>
      <c r="DK247" s="15">
        <v>0</v>
      </c>
      <c r="DL247" s="15">
        <v>0</v>
      </c>
      <c r="DM247" s="15">
        <v>0</v>
      </c>
      <c r="DN247" s="15">
        <v>0</v>
      </c>
      <c r="DO247" s="15">
        <v>0</v>
      </c>
      <c r="DP247" s="15">
        <v>0</v>
      </c>
      <c r="DQ247" s="15">
        <v>0</v>
      </c>
      <c r="DR247" s="15">
        <v>0</v>
      </c>
      <c r="DS247" s="15">
        <v>0</v>
      </c>
      <c r="DT247" s="15">
        <v>0</v>
      </c>
      <c r="DU247" s="15">
        <v>0</v>
      </c>
      <c r="DV247" s="15">
        <v>0</v>
      </c>
      <c r="DW247" s="15">
        <v>0</v>
      </c>
      <c r="DX247" s="15">
        <v>0</v>
      </c>
      <c r="DY247" s="15">
        <v>0</v>
      </c>
      <c r="DZ247" s="15">
        <v>0</v>
      </c>
      <c r="EA247" s="15">
        <v>0</v>
      </c>
      <c r="EB247" s="15">
        <v>0</v>
      </c>
      <c r="EC247" s="15">
        <v>0</v>
      </c>
      <c r="ED247" s="15">
        <v>0</v>
      </c>
      <c r="EE247" s="15">
        <v>0</v>
      </c>
      <c r="EF247" s="15">
        <v>0</v>
      </c>
    </row>
    <row r="248" spans="1:136" ht="15" customHeight="1" x14ac:dyDescent="0.35">
      <c r="A248" s="8" t="s">
        <v>12</v>
      </c>
      <c r="B248" s="8" t="s">
        <v>75</v>
      </c>
      <c r="C248" s="8" t="s">
        <v>75</v>
      </c>
      <c r="D248" s="8" t="s">
        <v>320</v>
      </c>
      <c r="E248" s="8" t="s">
        <v>16</v>
      </c>
      <c r="F248" s="8" t="s">
        <v>46</v>
      </c>
      <c r="G248" s="15">
        <v>0</v>
      </c>
      <c r="H248" s="15">
        <v>0</v>
      </c>
      <c r="I248" s="15">
        <v>12</v>
      </c>
      <c r="J248" s="15">
        <v>-12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2</v>
      </c>
      <c r="X248" s="15">
        <v>10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</v>
      </c>
      <c r="BC248" s="15">
        <v>0</v>
      </c>
      <c r="BD248" s="15">
        <v>0</v>
      </c>
      <c r="BE248" s="15">
        <v>0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0</v>
      </c>
      <c r="BL248" s="15">
        <v>0</v>
      </c>
      <c r="BM248" s="15">
        <v>0</v>
      </c>
      <c r="BN248" s="15">
        <v>0</v>
      </c>
      <c r="BO248" s="15">
        <v>0</v>
      </c>
      <c r="BP248" s="15">
        <v>0</v>
      </c>
      <c r="BQ248" s="15">
        <v>0</v>
      </c>
      <c r="BR248" s="15">
        <v>0</v>
      </c>
      <c r="BS248" s="15">
        <v>0</v>
      </c>
      <c r="BT248" s="15">
        <v>0</v>
      </c>
      <c r="BU248" s="15">
        <v>0</v>
      </c>
      <c r="BV248" s="15">
        <v>0</v>
      </c>
      <c r="BW248" s="15">
        <v>0</v>
      </c>
      <c r="BX248" s="15">
        <v>0</v>
      </c>
      <c r="BY248" s="15">
        <v>0</v>
      </c>
      <c r="BZ248" s="15">
        <v>0</v>
      </c>
      <c r="CA248" s="15">
        <v>0</v>
      </c>
      <c r="CB248" s="15">
        <v>0</v>
      </c>
      <c r="CC248" s="15">
        <v>0</v>
      </c>
      <c r="CD248" s="15">
        <v>0</v>
      </c>
      <c r="CE248" s="15">
        <v>0</v>
      </c>
      <c r="CF248" s="15">
        <v>0</v>
      </c>
      <c r="CG248" s="15">
        <v>0</v>
      </c>
      <c r="CH248" s="15">
        <v>0</v>
      </c>
      <c r="CI248" s="15">
        <v>0</v>
      </c>
      <c r="CJ248" s="15">
        <v>0</v>
      </c>
      <c r="CK248" s="15">
        <v>0</v>
      </c>
      <c r="CL248" s="15">
        <v>0</v>
      </c>
      <c r="CM248" s="15">
        <v>0</v>
      </c>
      <c r="CN248" s="15">
        <v>0</v>
      </c>
      <c r="CO248" s="15">
        <v>0</v>
      </c>
      <c r="CP248" s="15">
        <v>0</v>
      </c>
      <c r="CQ248" s="15">
        <v>0</v>
      </c>
      <c r="CR248" s="15">
        <v>0</v>
      </c>
      <c r="CS248" s="15">
        <v>0</v>
      </c>
      <c r="CT248" s="15">
        <v>0</v>
      </c>
      <c r="CU248" s="15">
        <v>0</v>
      </c>
      <c r="CV248" s="15">
        <v>0</v>
      </c>
      <c r="CW248" s="15">
        <v>0</v>
      </c>
      <c r="CX248" s="15">
        <v>0</v>
      </c>
      <c r="CY248" s="15">
        <v>0</v>
      </c>
      <c r="CZ248" s="15">
        <v>0</v>
      </c>
      <c r="DA248" s="15">
        <v>0</v>
      </c>
      <c r="DB248" s="15">
        <v>0</v>
      </c>
      <c r="DC248" s="15">
        <v>0</v>
      </c>
      <c r="DD248" s="15">
        <v>0</v>
      </c>
      <c r="DE248" s="15">
        <v>0</v>
      </c>
      <c r="DF248" s="15">
        <v>0</v>
      </c>
      <c r="DG248" s="15">
        <v>0</v>
      </c>
      <c r="DH248" s="15">
        <v>0</v>
      </c>
      <c r="DI248" s="15">
        <v>0</v>
      </c>
      <c r="DJ248" s="15">
        <v>0</v>
      </c>
      <c r="DK248" s="15">
        <v>0</v>
      </c>
      <c r="DL248" s="15">
        <v>0</v>
      </c>
      <c r="DM248" s="15">
        <v>0</v>
      </c>
      <c r="DN248" s="15">
        <v>0</v>
      </c>
      <c r="DO248" s="15">
        <v>0</v>
      </c>
      <c r="DP248" s="15">
        <v>0</v>
      </c>
      <c r="DQ248" s="15">
        <v>0</v>
      </c>
      <c r="DR248" s="15">
        <v>0</v>
      </c>
      <c r="DS248" s="15">
        <v>0</v>
      </c>
      <c r="DT248" s="15">
        <v>0</v>
      </c>
      <c r="DU248" s="15">
        <v>0</v>
      </c>
      <c r="DV248" s="15">
        <v>0</v>
      </c>
      <c r="DW248" s="15">
        <v>0</v>
      </c>
      <c r="DX248" s="15">
        <v>0</v>
      </c>
      <c r="DY248" s="15">
        <v>0</v>
      </c>
      <c r="DZ248" s="15">
        <v>0</v>
      </c>
      <c r="EA248" s="15">
        <v>0</v>
      </c>
      <c r="EB248" s="15">
        <v>0</v>
      </c>
      <c r="EC248" s="15">
        <v>0</v>
      </c>
      <c r="ED248" s="15">
        <v>0</v>
      </c>
      <c r="EE248" s="15">
        <v>0</v>
      </c>
      <c r="EF248" s="15">
        <v>0</v>
      </c>
    </row>
    <row r="249" spans="1:136" ht="15" customHeight="1" x14ac:dyDescent="0.35">
      <c r="A249" s="8" t="s">
        <v>12</v>
      </c>
      <c r="B249" s="8" t="s">
        <v>75</v>
      </c>
      <c r="C249" s="8" t="s">
        <v>75</v>
      </c>
      <c r="D249" s="8" t="s">
        <v>321</v>
      </c>
      <c r="E249" s="8" t="s">
        <v>16</v>
      </c>
      <c r="F249" s="8" t="s">
        <v>86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5">
        <v>0</v>
      </c>
      <c r="CH249" s="15">
        <v>0</v>
      </c>
      <c r="CI249" s="15">
        <v>0</v>
      </c>
      <c r="CJ249" s="15">
        <v>0</v>
      </c>
      <c r="CK249" s="15">
        <v>0</v>
      </c>
      <c r="CL249" s="15">
        <v>0</v>
      </c>
      <c r="CM249" s="15">
        <v>0</v>
      </c>
      <c r="CN249" s="15">
        <v>0</v>
      </c>
      <c r="CO249" s="15">
        <v>0</v>
      </c>
      <c r="CP249" s="15">
        <v>0</v>
      </c>
      <c r="CQ249" s="15">
        <v>0</v>
      </c>
      <c r="CR249" s="15">
        <v>0</v>
      </c>
      <c r="CS249" s="15">
        <v>0</v>
      </c>
      <c r="CT249" s="15">
        <v>0</v>
      </c>
      <c r="CU249" s="15">
        <v>0</v>
      </c>
      <c r="CV249" s="15">
        <v>0</v>
      </c>
      <c r="CW249" s="15">
        <v>0</v>
      </c>
      <c r="CX249" s="15">
        <v>0</v>
      </c>
      <c r="CY249" s="15">
        <v>0</v>
      </c>
      <c r="CZ249" s="15">
        <v>0</v>
      </c>
      <c r="DA249" s="15">
        <v>0</v>
      </c>
      <c r="DB249" s="15">
        <v>0</v>
      </c>
      <c r="DC249" s="15">
        <v>0</v>
      </c>
      <c r="DD249" s="15">
        <v>0</v>
      </c>
      <c r="DE249" s="15">
        <v>0</v>
      </c>
      <c r="DF249" s="15">
        <v>0</v>
      </c>
      <c r="DG249" s="15">
        <v>0</v>
      </c>
      <c r="DH249" s="15">
        <v>0</v>
      </c>
      <c r="DI249" s="15">
        <v>0</v>
      </c>
      <c r="DJ249" s="15">
        <v>0</v>
      </c>
      <c r="DK249" s="15">
        <v>0</v>
      </c>
      <c r="DL249" s="15">
        <v>0</v>
      </c>
      <c r="DM249" s="15">
        <v>0</v>
      </c>
      <c r="DN249" s="15">
        <v>0</v>
      </c>
      <c r="DO249" s="15">
        <v>0</v>
      </c>
      <c r="DP249" s="15">
        <v>0</v>
      </c>
      <c r="DQ249" s="15">
        <v>0</v>
      </c>
      <c r="DR249" s="15">
        <v>0</v>
      </c>
      <c r="DS249" s="15">
        <v>0</v>
      </c>
      <c r="DT249" s="15">
        <v>0</v>
      </c>
      <c r="DU249" s="15">
        <v>0</v>
      </c>
      <c r="DV249" s="15">
        <v>0</v>
      </c>
      <c r="DW249" s="15">
        <v>0</v>
      </c>
      <c r="DX249" s="15">
        <v>0</v>
      </c>
      <c r="DY249" s="15">
        <v>0</v>
      </c>
      <c r="DZ249" s="15">
        <v>0</v>
      </c>
      <c r="EA249" s="15">
        <v>0</v>
      </c>
      <c r="EB249" s="15">
        <v>0</v>
      </c>
      <c r="EC249" s="15">
        <v>0</v>
      </c>
      <c r="ED249" s="15">
        <v>0</v>
      </c>
      <c r="EE249" s="15">
        <v>0</v>
      </c>
      <c r="EF249" s="15">
        <v>0</v>
      </c>
    </row>
    <row r="250" spans="1:136" ht="15" customHeight="1" x14ac:dyDescent="0.35">
      <c r="A250" s="8" t="s">
        <v>12</v>
      </c>
      <c r="B250" s="8" t="s">
        <v>75</v>
      </c>
      <c r="C250" s="8" t="s">
        <v>75</v>
      </c>
      <c r="D250" s="8" t="s">
        <v>320</v>
      </c>
      <c r="E250" s="8" t="s">
        <v>16</v>
      </c>
      <c r="F250" s="8" t="s">
        <v>86</v>
      </c>
      <c r="G250" s="15">
        <v>4.5</v>
      </c>
      <c r="H250" s="15">
        <v>4.5</v>
      </c>
      <c r="I250" s="15">
        <v>4.5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4.5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0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0</v>
      </c>
      <c r="BP250" s="15">
        <v>0</v>
      </c>
      <c r="BQ250" s="15">
        <v>0</v>
      </c>
      <c r="BR250" s="15">
        <v>0</v>
      </c>
      <c r="BS250" s="15">
        <v>0</v>
      </c>
      <c r="BT250" s="15">
        <v>0</v>
      </c>
      <c r="BU250" s="15">
        <v>0</v>
      </c>
      <c r="BV250" s="15">
        <v>0</v>
      </c>
      <c r="BW250" s="15">
        <v>0</v>
      </c>
      <c r="BX250" s="15">
        <v>0</v>
      </c>
      <c r="BY250" s="15">
        <v>0</v>
      </c>
      <c r="BZ250" s="15">
        <v>0</v>
      </c>
      <c r="CA250" s="15">
        <v>0</v>
      </c>
      <c r="CB250" s="15">
        <v>0</v>
      </c>
      <c r="CC250" s="15">
        <v>0</v>
      </c>
      <c r="CD250" s="15">
        <v>0</v>
      </c>
      <c r="CE250" s="15">
        <v>0</v>
      </c>
      <c r="CF250" s="15">
        <v>0</v>
      </c>
      <c r="CG250" s="15">
        <v>0</v>
      </c>
      <c r="CH250" s="15">
        <v>0</v>
      </c>
      <c r="CI250" s="15">
        <v>0</v>
      </c>
      <c r="CJ250" s="15">
        <v>0</v>
      </c>
      <c r="CK250" s="15">
        <v>0</v>
      </c>
      <c r="CL250" s="15">
        <v>0</v>
      </c>
      <c r="CM250" s="15">
        <v>0</v>
      </c>
      <c r="CN250" s="15">
        <v>0</v>
      </c>
      <c r="CO250" s="15">
        <v>0</v>
      </c>
      <c r="CP250" s="15">
        <v>0</v>
      </c>
      <c r="CQ250" s="15">
        <v>0</v>
      </c>
      <c r="CR250" s="15">
        <v>0</v>
      </c>
      <c r="CS250" s="15">
        <v>0</v>
      </c>
      <c r="CT250" s="15">
        <v>0</v>
      </c>
      <c r="CU250" s="15">
        <v>0</v>
      </c>
      <c r="CV250" s="15">
        <v>0</v>
      </c>
      <c r="CW250" s="15">
        <v>0</v>
      </c>
      <c r="CX250" s="15">
        <v>0</v>
      </c>
      <c r="CY250" s="15">
        <v>0</v>
      </c>
      <c r="CZ250" s="15">
        <v>0</v>
      </c>
      <c r="DA250" s="15">
        <v>0</v>
      </c>
      <c r="DB250" s="15">
        <v>0</v>
      </c>
      <c r="DC250" s="15">
        <v>0</v>
      </c>
      <c r="DD250" s="15">
        <v>0</v>
      </c>
      <c r="DE250" s="15">
        <v>0</v>
      </c>
      <c r="DF250" s="15">
        <v>0</v>
      </c>
      <c r="DG250" s="15">
        <v>0</v>
      </c>
      <c r="DH250" s="15">
        <v>0</v>
      </c>
      <c r="DI250" s="15">
        <v>0</v>
      </c>
      <c r="DJ250" s="15">
        <v>0</v>
      </c>
      <c r="DK250" s="15">
        <v>0</v>
      </c>
      <c r="DL250" s="15">
        <v>0</v>
      </c>
      <c r="DM250" s="15">
        <v>0</v>
      </c>
      <c r="DN250" s="15">
        <v>0</v>
      </c>
      <c r="DO250" s="15">
        <v>0</v>
      </c>
      <c r="DP250" s="15">
        <v>0</v>
      </c>
      <c r="DQ250" s="15">
        <v>0</v>
      </c>
      <c r="DR250" s="15">
        <v>0</v>
      </c>
      <c r="DS250" s="15">
        <v>0</v>
      </c>
      <c r="DT250" s="15">
        <v>0</v>
      </c>
      <c r="DU250" s="15">
        <v>0</v>
      </c>
      <c r="DV250" s="15">
        <v>0</v>
      </c>
      <c r="DW250" s="15">
        <v>0</v>
      </c>
      <c r="DX250" s="15">
        <v>0</v>
      </c>
      <c r="DY250" s="15">
        <v>0</v>
      </c>
      <c r="DZ250" s="15">
        <v>0</v>
      </c>
      <c r="EA250" s="15">
        <v>0</v>
      </c>
      <c r="EB250" s="15">
        <v>0</v>
      </c>
      <c r="EC250" s="15">
        <v>0</v>
      </c>
      <c r="ED250" s="15">
        <v>0</v>
      </c>
      <c r="EE250" s="15">
        <v>0</v>
      </c>
      <c r="EF250" s="15">
        <v>0</v>
      </c>
    </row>
    <row r="251" spans="1:136" ht="15" customHeight="1" x14ac:dyDescent="0.35">
      <c r="A251" s="8" t="s">
        <v>12</v>
      </c>
      <c r="B251" s="8" t="s">
        <v>75</v>
      </c>
      <c r="C251" s="8" t="s">
        <v>75</v>
      </c>
      <c r="D251" s="8" t="s">
        <v>320</v>
      </c>
      <c r="E251" s="8" t="s">
        <v>16</v>
      </c>
      <c r="F251" s="8" t="s">
        <v>86</v>
      </c>
      <c r="G251" s="15">
        <v>0</v>
      </c>
      <c r="H251" s="15">
        <v>0</v>
      </c>
      <c r="I251" s="15">
        <v>63</v>
      </c>
      <c r="J251" s="15">
        <v>-63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4.5</v>
      </c>
      <c r="Z251" s="15">
        <v>29.5</v>
      </c>
      <c r="AA251" s="15">
        <v>29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5">
        <v>0</v>
      </c>
      <c r="CH251" s="15">
        <v>0</v>
      </c>
      <c r="CI251" s="15">
        <v>0</v>
      </c>
      <c r="CJ251" s="15">
        <v>0</v>
      </c>
      <c r="CK251" s="15">
        <v>0</v>
      </c>
      <c r="CL251" s="15">
        <v>0</v>
      </c>
      <c r="CM251" s="15">
        <v>0</v>
      </c>
      <c r="CN251" s="15">
        <v>0</v>
      </c>
      <c r="CO251" s="15">
        <v>0</v>
      </c>
      <c r="CP251" s="15">
        <v>0</v>
      </c>
      <c r="CQ251" s="15">
        <v>0</v>
      </c>
      <c r="CR251" s="15">
        <v>0</v>
      </c>
      <c r="CS251" s="15">
        <v>0</v>
      </c>
      <c r="CT251" s="15">
        <v>0</v>
      </c>
      <c r="CU251" s="15">
        <v>0</v>
      </c>
      <c r="CV251" s="15">
        <v>0</v>
      </c>
      <c r="CW251" s="15">
        <v>0</v>
      </c>
      <c r="CX251" s="15">
        <v>0</v>
      </c>
      <c r="CY251" s="15">
        <v>0</v>
      </c>
      <c r="CZ251" s="15">
        <v>0</v>
      </c>
      <c r="DA251" s="15">
        <v>0</v>
      </c>
      <c r="DB251" s="15">
        <v>0</v>
      </c>
      <c r="DC251" s="15">
        <v>0</v>
      </c>
      <c r="DD251" s="15">
        <v>0</v>
      </c>
      <c r="DE251" s="15">
        <v>0</v>
      </c>
      <c r="DF251" s="15">
        <v>0</v>
      </c>
      <c r="DG251" s="15">
        <v>0</v>
      </c>
      <c r="DH251" s="15">
        <v>0</v>
      </c>
      <c r="DI251" s="15">
        <v>0</v>
      </c>
      <c r="DJ251" s="15">
        <v>0</v>
      </c>
      <c r="DK251" s="15">
        <v>0</v>
      </c>
      <c r="DL251" s="15">
        <v>0</v>
      </c>
      <c r="DM251" s="15">
        <v>0</v>
      </c>
      <c r="DN251" s="15">
        <v>0</v>
      </c>
      <c r="DO251" s="15">
        <v>0</v>
      </c>
      <c r="DP251" s="15">
        <v>0</v>
      </c>
      <c r="DQ251" s="15">
        <v>0</v>
      </c>
      <c r="DR251" s="15">
        <v>0</v>
      </c>
      <c r="DS251" s="15">
        <v>0</v>
      </c>
      <c r="DT251" s="15">
        <v>0</v>
      </c>
      <c r="DU251" s="15">
        <v>0</v>
      </c>
      <c r="DV251" s="15">
        <v>0</v>
      </c>
      <c r="DW251" s="15">
        <v>0</v>
      </c>
      <c r="DX251" s="15">
        <v>0</v>
      </c>
      <c r="DY251" s="15">
        <v>0</v>
      </c>
      <c r="DZ251" s="15">
        <v>0</v>
      </c>
      <c r="EA251" s="15">
        <v>0</v>
      </c>
      <c r="EB251" s="15">
        <v>0</v>
      </c>
      <c r="EC251" s="15">
        <v>0</v>
      </c>
      <c r="ED251" s="15">
        <v>0</v>
      </c>
      <c r="EE251" s="15">
        <v>0</v>
      </c>
      <c r="EF251" s="15">
        <v>0</v>
      </c>
    </row>
    <row r="252" spans="1:136" ht="15" customHeight="1" x14ac:dyDescent="0.35">
      <c r="A252" s="8" t="s">
        <v>12</v>
      </c>
      <c r="B252" s="8" t="s">
        <v>75</v>
      </c>
      <c r="C252" s="8" t="s">
        <v>75</v>
      </c>
      <c r="D252" s="8" t="s">
        <v>321</v>
      </c>
      <c r="E252" s="8" t="s">
        <v>16</v>
      </c>
      <c r="F252" s="8" t="s">
        <v>43</v>
      </c>
      <c r="G252" s="15">
        <v>0</v>
      </c>
      <c r="H252" s="15">
        <v>0</v>
      </c>
      <c r="I252" s="15">
        <v>42</v>
      </c>
      <c r="J252" s="15">
        <v>-42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3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>
        <v>0</v>
      </c>
      <c r="BI252" s="15">
        <v>0</v>
      </c>
      <c r="BJ252" s="15">
        <v>0</v>
      </c>
      <c r="BK252" s="15">
        <v>0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5">
        <v>0</v>
      </c>
      <c r="BS252" s="15">
        <v>0</v>
      </c>
      <c r="BT252" s="15">
        <v>0</v>
      </c>
      <c r="BU252" s="15">
        <v>0</v>
      </c>
      <c r="BV252" s="15">
        <v>0</v>
      </c>
      <c r="BW252" s="15">
        <v>0</v>
      </c>
      <c r="BX252" s="15">
        <v>0</v>
      </c>
      <c r="BY252" s="15">
        <v>0</v>
      </c>
      <c r="BZ252" s="15">
        <v>0</v>
      </c>
      <c r="CA252" s="15">
        <v>0</v>
      </c>
      <c r="CB252" s="15">
        <v>0</v>
      </c>
      <c r="CC252" s="15">
        <v>0</v>
      </c>
      <c r="CD252" s="15">
        <v>0</v>
      </c>
      <c r="CE252" s="15">
        <v>0</v>
      </c>
      <c r="CF252" s="15">
        <v>0</v>
      </c>
      <c r="CG252" s="15">
        <v>0</v>
      </c>
      <c r="CH252" s="15">
        <v>0</v>
      </c>
      <c r="CI252" s="15">
        <v>0</v>
      </c>
      <c r="CJ252" s="15">
        <v>0</v>
      </c>
      <c r="CK252" s="15">
        <v>0</v>
      </c>
      <c r="CL252" s="15">
        <v>0</v>
      </c>
      <c r="CM252" s="15">
        <v>0</v>
      </c>
      <c r="CN252" s="15">
        <v>0</v>
      </c>
      <c r="CO252" s="15">
        <v>0</v>
      </c>
      <c r="CP252" s="15">
        <v>0</v>
      </c>
      <c r="CQ252" s="15">
        <v>0</v>
      </c>
      <c r="CR252" s="15">
        <v>0</v>
      </c>
      <c r="CS252" s="15">
        <v>1</v>
      </c>
      <c r="CT252" s="15">
        <v>1</v>
      </c>
      <c r="CU252" s="15">
        <v>1</v>
      </c>
      <c r="CV252" s="15">
        <v>1</v>
      </c>
      <c r="CW252" s="15">
        <v>1</v>
      </c>
      <c r="CX252" s="15">
        <v>1</v>
      </c>
      <c r="CY252" s="15">
        <v>1</v>
      </c>
      <c r="CZ252" s="15">
        <v>0</v>
      </c>
      <c r="DA252" s="15">
        <v>0</v>
      </c>
      <c r="DB252" s="15">
        <v>1</v>
      </c>
      <c r="DC252" s="15">
        <v>1</v>
      </c>
      <c r="DD252" s="15">
        <v>1</v>
      </c>
      <c r="DE252" s="15">
        <v>1</v>
      </c>
      <c r="DF252" s="15">
        <v>1</v>
      </c>
      <c r="DG252" s="15">
        <v>1</v>
      </c>
      <c r="DH252" s="15">
        <v>1</v>
      </c>
      <c r="DI252" s="15">
        <v>0</v>
      </c>
      <c r="DJ252" s="15">
        <v>0</v>
      </c>
      <c r="DK252" s="15">
        <v>0</v>
      </c>
      <c r="DL252" s="15">
        <v>1</v>
      </c>
      <c r="DM252" s="15">
        <v>5</v>
      </c>
      <c r="DN252" s="15">
        <v>5</v>
      </c>
      <c r="DO252" s="15">
        <v>6</v>
      </c>
      <c r="DP252" s="15">
        <v>6</v>
      </c>
      <c r="DQ252" s="15">
        <v>1</v>
      </c>
      <c r="DR252" s="15">
        <v>1</v>
      </c>
      <c r="DS252" s="15">
        <v>0</v>
      </c>
      <c r="DT252" s="15">
        <v>0</v>
      </c>
      <c r="DU252" s="15">
        <v>0</v>
      </c>
      <c r="DV252" s="15">
        <v>0</v>
      </c>
      <c r="DW252" s="15">
        <v>0</v>
      </c>
      <c r="DX252" s="15">
        <v>0</v>
      </c>
      <c r="DY252" s="15">
        <v>0</v>
      </c>
      <c r="DZ252" s="15">
        <v>0</v>
      </c>
      <c r="EA252" s="15">
        <v>0</v>
      </c>
      <c r="EB252" s="15">
        <v>0</v>
      </c>
      <c r="EC252" s="15">
        <v>0</v>
      </c>
      <c r="ED252" s="15">
        <v>0</v>
      </c>
      <c r="EE252" s="15">
        <v>0</v>
      </c>
      <c r="EF252" s="15">
        <v>0</v>
      </c>
    </row>
    <row r="253" spans="1:136" ht="15" customHeight="1" x14ac:dyDescent="0.35">
      <c r="A253" s="8" t="s">
        <v>12</v>
      </c>
      <c r="B253" s="8" t="s">
        <v>75</v>
      </c>
      <c r="C253" s="8" t="s">
        <v>75</v>
      </c>
      <c r="D253" s="8" t="s">
        <v>320</v>
      </c>
      <c r="E253" s="8" t="s">
        <v>16</v>
      </c>
      <c r="F253" s="8" t="s">
        <v>43</v>
      </c>
      <c r="G253" s="15">
        <v>4</v>
      </c>
      <c r="H253" s="15">
        <v>49</v>
      </c>
      <c r="I253" s="15">
        <v>0</v>
      </c>
      <c r="J253" s="15">
        <v>49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0</v>
      </c>
      <c r="AO253" s="15">
        <v>0</v>
      </c>
      <c r="AP253" s="15">
        <v>0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5">
        <v>0</v>
      </c>
      <c r="CH253" s="15">
        <v>0</v>
      </c>
      <c r="CI253" s="15">
        <v>0</v>
      </c>
      <c r="CJ253" s="15">
        <v>0</v>
      </c>
      <c r="CK253" s="15">
        <v>0</v>
      </c>
      <c r="CL253" s="15">
        <v>0</v>
      </c>
      <c r="CM253" s="15">
        <v>0</v>
      </c>
      <c r="CN253" s="15">
        <v>0</v>
      </c>
      <c r="CO253" s="15">
        <v>0</v>
      </c>
      <c r="CP253" s="15">
        <v>0</v>
      </c>
      <c r="CQ253" s="15">
        <v>0</v>
      </c>
      <c r="CR253" s="15">
        <v>0</v>
      </c>
      <c r="CS253" s="15">
        <v>0</v>
      </c>
      <c r="CT253" s="15">
        <v>0</v>
      </c>
      <c r="CU253" s="15">
        <v>0</v>
      </c>
      <c r="CV253" s="15">
        <v>0</v>
      </c>
      <c r="CW253" s="15">
        <v>0</v>
      </c>
      <c r="CX253" s="15">
        <v>0</v>
      </c>
      <c r="CY253" s="15">
        <v>0</v>
      </c>
      <c r="CZ253" s="15">
        <v>0</v>
      </c>
      <c r="DA253" s="15">
        <v>0</v>
      </c>
      <c r="DB253" s="15">
        <v>0</v>
      </c>
      <c r="DC253" s="15">
        <v>0</v>
      </c>
      <c r="DD253" s="15">
        <v>0</v>
      </c>
      <c r="DE253" s="15">
        <v>0</v>
      </c>
      <c r="DF253" s="15">
        <v>0</v>
      </c>
      <c r="DG253" s="15">
        <v>0</v>
      </c>
      <c r="DH253" s="15">
        <v>0</v>
      </c>
      <c r="DI253" s="15">
        <v>0</v>
      </c>
      <c r="DJ253" s="15">
        <v>0</v>
      </c>
      <c r="DK253" s="15">
        <v>0</v>
      </c>
      <c r="DL253" s="15">
        <v>0</v>
      </c>
      <c r="DM253" s="15">
        <v>0</v>
      </c>
      <c r="DN253" s="15">
        <v>0</v>
      </c>
      <c r="DO253" s="15">
        <v>0</v>
      </c>
      <c r="DP253" s="15">
        <v>0</v>
      </c>
      <c r="DQ253" s="15">
        <v>0</v>
      </c>
      <c r="DR253" s="15">
        <v>0</v>
      </c>
      <c r="DS253" s="15">
        <v>0</v>
      </c>
      <c r="DT253" s="15">
        <v>0</v>
      </c>
      <c r="DU253" s="15">
        <v>0</v>
      </c>
      <c r="DV253" s="15">
        <v>0</v>
      </c>
      <c r="DW253" s="15">
        <v>0</v>
      </c>
      <c r="DX253" s="15">
        <v>0</v>
      </c>
      <c r="DY253" s="15">
        <v>0</v>
      </c>
      <c r="DZ253" s="15">
        <v>0</v>
      </c>
      <c r="EA253" s="15">
        <v>0</v>
      </c>
      <c r="EB253" s="15">
        <v>0</v>
      </c>
      <c r="EC253" s="15">
        <v>0</v>
      </c>
      <c r="ED253" s="15">
        <v>0</v>
      </c>
      <c r="EE253" s="15">
        <v>0</v>
      </c>
      <c r="EF253" s="15">
        <v>0</v>
      </c>
    </row>
    <row r="254" spans="1:136" ht="15" customHeight="1" x14ac:dyDescent="0.35">
      <c r="A254" s="8" t="s">
        <v>12</v>
      </c>
      <c r="B254" s="8" t="s">
        <v>75</v>
      </c>
      <c r="C254" s="8" t="s">
        <v>75</v>
      </c>
      <c r="D254" s="8" t="s">
        <v>321</v>
      </c>
      <c r="E254" s="8" t="s">
        <v>16</v>
      </c>
      <c r="F254" s="8" t="s">
        <v>87</v>
      </c>
      <c r="G254" s="15">
        <v>0</v>
      </c>
      <c r="H254" s="15">
        <v>0</v>
      </c>
      <c r="I254" s="15">
        <v>59</v>
      </c>
      <c r="J254" s="15">
        <v>-59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4</v>
      </c>
      <c r="AM254" s="15">
        <v>21.5</v>
      </c>
      <c r="AN254" s="15">
        <v>25.5</v>
      </c>
      <c r="AO254" s="15">
        <v>8</v>
      </c>
      <c r="AP254" s="15">
        <v>0</v>
      </c>
      <c r="AQ254" s="15">
        <v>0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  <c r="BB254" s="15">
        <v>0</v>
      </c>
      <c r="BC254" s="15">
        <v>0</v>
      </c>
      <c r="BD254" s="15">
        <v>0</v>
      </c>
      <c r="BE254" s="15">
        <v>0</v>
      </c>
      <c r="BF254" s="15">
        <v>0</v>
      </c>
      <c r="BG254" s="15">
        <v>0</v>
      </c>
      <c r="BH254" s="15">
        <v>0</v>
      </c>
      <c r="BI254" s="15">
        <v>0</v>
      </c>
      <c r="BJ254" s="15">
        <v>0</v>
      </c>
      <c r="BK254" s="15">
        <v>0</v>
      </c>
      <c r="BL254" s="15">
        <v>0</v>
      </c>
      <c r="BM254" s="15">
        <v>0</v>
      </c>
      <c r="BN254" s="15">
        <v>0</v>
      </c>
      <c r="BO254" s="15">
        <v>0</v>
      </c>
      <c r="BP254" s="15">
        <v>0</v>
      </c>
      <c r="BQ254" s="15">
        <v>0</v>
      </c>
      <c r="BR254" s="15">
        <v>0</v>
      </c>
      <c r="BS254" s="15">
        <v>0</v>
      </c>
      <c r="BT254" s="15">
        <v>0</v>
      </c>
      <c r="BU254" s="15">
        <v>0</v>
      </c>
      <c r="BV254" s="15">
        <v>0</v>
      </c>
      <c r="BW254" s="15">
        <v>0</v>
      </c>
      <c r="BX254" s="15">
        <v>0</v>
      </c>
      <c r="BY254" s="15">
        <v>0</v>
      </c>
      <c r="BZ254" s="15">
        <v>0</v>
      </c>
      <c r="CA254" s="15">
        <v>0</v>
      </c>
      <c r="CB254" s="15">
        <v>0</v>
      </c>
      <c r="CC254" s="15">
        <v>0</v>
      </c>
      <c r="CD254" s="15">
        <v>0</v>
      </c>
      <c r="CE254" s="15">
        <v>0</v>
      </c>
      <c r="CF254" s="15">
        <v>0</v>
      </c>
      <c r="CG254" s="15">
        <v>0</v>
      </c>
      <c r="CH254" s="15">
        <v>0</v>
      </c>
      <c r="CI254" s="15">
        <v>0</v>
      </c>
      <c r="CJ254" s="15">
        <v>0</v>
      </c>
      <c r="CK254" s="15">
        <v>0</v>
      </c>
      <c r="CL254" s="15">
        <v>0</v>
      </c>
      <c r="CM254" s="15">
        <v>0</v>
      </c>
      <c r="CN254" s="15">
        <v>0</v>
      </c>
      <c r="CO254" s="15">
        <v>0</v>
      </c>
      <c r="CP254" s="15">
        <v>0</v>
      </c>
      <c r="CQ254" s="15">
        <v>0</v>
      </c>
      <c r="CR254" s="15">
        <v>0</v>
      </c>
      <c r="CS254" s="15">
        <v>0</v>
      </c>
      <c r="CT254" s="15">
        <v>0</v>
      </c>
      <c r="CU254" s="15">
        <v>0</v>
      </c>
      <c r="CV254" s="15">
        <v>0</v>
      </c>
      <c r="CW254" s="15">
        <v>0</v>
      </c>
      <c r="CX254" s="15">
        <v>0</v>
      </c>
      <c r="CY254" s="15">
        <v>0</v>
      </c>
      <c r="CZ254" s="15">
        <v>0</v>
      </c>
      <c r="DA254" s="15">
        <v>0</v>
      </c>
      <c r="DB254" s="15">
        <v>0</v>
      </c>
      <c r="DC254" s="15">
        <v>0</v>
      </c>
      <c r="DD254" s="15">
        <v>0</v>
      </c>
      <c r="DE254" s="15">
        <v>0</v>
      </c>
      <c r="DF254" s="15">
        <v>0</v>
      </c>
      <c r="DG254" s="15">
        <v>0</v>
      </c>
      <c r="DH254" s="15">
        <v>0</v>
      </c>
      <c r="DI254" s="15">
        <v>0</v>
      </c>
      <c r="DJ254" s="15">
        <v>0</v>
      </c>
      <c r="DK254" s="15">
        <v>0</v>
      </c>
      <c r="DL254" s="15">
        <v>0</v>
      </c>
      <c r="DM254" s="15">
        <v>0</v>
      </c>
      <c r="DN254" s="15">
        <v>0</v>
      </c>
      <c r="DO254" s="15">
        <v>0</v>
      </c>
      <c r="DP254" s="15">
        <v>0</v>
      </c>
      <c r="DQ254" s="15">
        <v>0</v>
      </c>
      <c r="DR254" s="15">
        <v>0</v>
      </c>
      <c r="DS254" s="15">
        <v>0</v>
      </c>
      <c r="DT254" s="15">
        <v>0</v>
      </c>
      <c r="DU254" s="15">
        <v>0</v>
      </c>
      <c r="DV254" s="15">
        <v>0</v>
      </c>
      <c r="DW254" s="15">
        <v>0</v>
      </c>
      <c r="DX254" s="15">
        <v>0</v>
      </c>
      <c r="DY254" s="15">
        <v>0</v>
      </c>
      <c r="DZ254" s="15">
        <v>0</v>
      </c>
      <c r="EA254" s="15">
        <v>0</v>
      </c>
      <c r="EB254" s="15">
        <v>0</v>
      </c>
      <c r="EC254" s="15">
        <v>0</v>
      </c>
      <c r="ED254" s="15">
        <v>0</v>
      </c>
      <c r="EE254" s="15">
        <v>0</v>
      </c>
      <c r="EF254" s="15">
        <v>0</v>
      </c>
    </row>
    <row r="255" spans="1:136" ht="15" customHeight="1" x14ac:dyDescent="0.35">
      <c r="A255" s="8" t="s">
        <v>12</v>
      </c>
      <c r="B255" s="8" t="s">
        <v>75</v>
      </c>
      <c r="C255" s="8" t="s">
        <v>75</v>
      </c>
      <c r="D255" s="8" t="s">
        <v>320</v>
      </c>
      <c r="E255" s="8" t="s">
        <v>16</v>
      </c>
      <c r="F255" s="8" t="s">
        <v>87</v>
      </c>
      <c r="G255" s="15">
        <v>60</v>
      </c>
      <c r="H255" s="15">
        <v>60</v>
      </c>
      <c r="I255" s="15">
        <v>0</v>
      </c>
      <c r="J255" s="15">
        <v>60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5">
        <v>0</v>
      </c>
      <c r="CH255" s="15">
        <v>0</v>
      </c>
      <c r="CI255" s="15">
        <v>0</v>
      </c>
      <c r="CJ255" s="15">
        <v>0</v>
      </c>
      <c r="CK255" s="15">
        <v>0</v>
      </c>
      <c r="CL255" s="15">
        <v>0</v>
      </c>
      <c r="CM255" s="15">
        <v>0</v>
      </c>
      <c r="CN255" s="15">
        <v>0</v>
      </c>
      <c r="CO255" s="15">
        <v>0</v>
      </c>
      <c r="CP255" s="15">
        <v>0</v>
      </c>
      <c r="CQ255" s="15">
        <v>0</v>
      </c>
      <c r="CR255" s="15">
        <v>0</v>
      </c>
      <c r="CS255" s="15">
        <v>0</v>
      </c>
      <c r="CT255" s="15">
        <v>0</v>
      </c>
      <c r="CU255" s="15">
        <v>0</v>
      </c>
      <c r="CV255" s="15">
        <v>0</v>
      </c>
      <c r="CW255" s="15">
        <v>0</v>
      </c>
      <c r="CX255" s="15">
        <v>0</v>
      </c>
      <c r="CY255" s="15">
        <v>0</v>
      </c>
      <c r="CZ255" s="15">
        <v>0</v>
      </c>
      <c r="DA255" s="15">
        <v>0</v>
      </c>
      <c r="DB255" s="15">
        <v>0</v>
      </c>
      <c r="DC255" s="15">
        <v>0</v>
      </c>
      <c r="DD255" s="15">
        <v>0</v>
      </c>
      <c r="DE255" s="15">
        <v>0</v>
      </c>
      <c r="DF255" s="15">
        <v>0</v>
      </c>
      <c r="DG255" s="15">
        <v>0</v>
      </c>
      <c r="DH255" s="15">
        <v>0</v>
      </c>
      <c r="DI255" s="15">
        <v>0</v>
      </c>
      <c r="DJ255" s="15">
        <v>0</v>
      </c>
      <c r="DK255" s="15">
        <v>0</v>
      </c>
      <c r="DL255" s="15">
        <v>0</v>
      </c>
      <c r="DM255" s="15">
        <v>0</v>
      </c>
      <c r="DN255" s="15">
        <v>0</v>
      </c>
      <c r="DO255" s="15">
        <v>0</v>
      </c>
      <c r="DP255" s="15">
        <v>0</v>
      </c>
      <c r="DQ255" s="15">
        <v>0</v>
      </c>
      <c r="DR255" s="15">
        <v>0</v>
      </c>
      <c r="DS255" s="15">
        <v>0</v>
      </c>
      <c r="DT255" s="15">
        <v>0</v>
      </c>
      <c r="DU255" s="15">
        <v>0</v>
      </c>
      <c r="DV255" s="15">
        <v>0</v>
      </c>
      <c r="DW255" s="15">
        <v>0</v>
      </c>
      <c r="DX255" s="15">
        <v>0</v>
      </c>
      <c r="DY255" s="15">
        <v>0</v>
      </c>
      <c r="DZ255" s="15">
        <v>0</v>
      </c>
      <c r="EA255" s="15">
        <v>0</v>
      </c>
      <c r="EB255" s="15">
        <v>0</v>
      </c>
      <c r="EC255" s="15">
        <v>0</v>
      </c>
      <c r="ED255" s="15">
        <v>0</v>
      </c>
      <c r="EE255" s="15">
        <v>0</v>
      </c>
      <c r="EF255" s="15">
        <v>0</v>
      </c>
    </row>
    <row r="256" spans="1:136" ht="15" customHeight="1" x14ac:dyDescent="0.35">
      <c r="A256" s="8" t="s">
        <v>12</v>
      </c>
      <c r="B256" s="8" t="s">
        <v>75</v>
      </c>
      <c r="C256" s="8" t="s">
        <v>75</v>
      </c>
      <c r="D256" s="8" t="s">
        <v>321</v>
      </c>
      <c r="E256" s="8" t="s">
        <v>16</v>
      </c>
      <c r="F256" s="8" t="s">
        <v>88</v>
      </c>
      <c r="G256" s="15">
        <v>0</v>
      </c>
      <c r="H256" s="15">
        <v>0</v>
      </c>
      <c r="I256" s="15">
        <v>40</v>
      </c>
      <c r="J256" s="15">
        <v>-40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0</v>
      </c>
      <c r="BC256" s="15">
        <v>0</v>
      </c>
      <c r="BD256" s="15">
        <v>0</v>
      </c>
      <c r="BE256" s="15">
        <v>0</v>
      </c>
      <c r="BF256" s="15">
        <v>0</v>
      </c>
      <c r="BG256" s="15">
        <v>0</v>
      </c>
      <c r="BH256" s="15">
        <v>0</v>
      </c>
      <c r="BI256" s="15">
        <v>0</v>
      </c>
      <c r="BJ256" s="15">
        <v>0</v>
      </c>
      <c r="BK256" s="15">
        <v>0</v>
      </c>
      <c r="BL256" s="15">
        <v>0</v>
      </c>
      <c r="BM256" s="15">
        <v>0</v>
      </c>
      <c r="BN256" s="15">
        <v>0</v>
      </c>
      <c r="BO256" s="15">
        <v>0</v>
      </c>
      <c r="BP256" s="15">
        <v>0</v>
      </c>
      <c r="BQ256" s="15">
        <v>0</v>
      </c>
      <c r="BR256" s="15">
        <v>0</v>
      </c>
      <c r="BS256" s="15">
        <v>0</v>
      </c>
      <c r="BT256" s="15">
        <v>0</v>
      </c>
      <c r="BU256" s="15">
        <v>0</v>
      </c>
      <c r="BV256" s="15">
        <v>0</v>
      </c>
      <c r="BW256" s="15">
        <v>0</v>
      </c>
      <c r="BX256" s="15">
        <v>0</v>
      </c>
      <c r="BY256" s="15">
        <v>0</v>
      </c>
      <c r="BZ256" s="15">
        <v>0</v>
      </c>
      <c r="CA256" s="15">
        <v>0</v>
      </c>
      <c r="CB256" s="15">
        <v>0</v>
      </c>
      <c r="CC256" s="15">
        <v>0</v>
      </c>
      <c r="CD256" s="15">
        <v>0</v>
      </c>
      <c r="CE256" s="15">
        <v>0</v>
      </c>
      <c r="CF256" s="15">
        <v>0</v>
      </c>
      <c r="CG256" s="15">
        <v>0</v>
      </c>
      <c r="CH256" s="15">
        <v>0</v>
      </c>
      <c r="CI256" s="15">
        <v>0</v>
      </c>
      <c r="CJ256" s="15">
        <v>0</v>
      </c>
      <c r="CK256" s="15">
        <v>0</v>
      </c>
      <c r="CL256" s="15">
        <v>0</v>
      </c>
      <c r="CM256" s="15">
        <v>0</v>
      </c>
      <c r="CN256" s="15">
        <v>0</v>
      </c>
      <c r="CO256" s="15">
        <v>0</v>
      </c>
      <c r="CP256" s="15">
        <v>0</v>
      </c>
      <c r="CQ256" s="15">
        <v>0</v>
      </c>
      <c r="CR256" s="15">
        <v>0</v>
      </c>
      <c r="CS256" s="15">
        <v>0</v>
      </c>
      <c r="CT256" s="15">
        <v>0</v>
      </c>
      <c r="CU256" s="15">
        <v>0</v>
      </c>
      <c r="CV256" s="15">
        <v>0</v>
      </c>
      <c r="CW256" s="15">
        <v>0</v>
      </c>
      <c r="CX256" s="15">
        <v>0</v>
      </c>
      <c r="CY256" s="15">
        <v>0</v>
      </c>
      <c r="CZ256" s="15">
        <v>20</v>
      </c>
      <c r="DA256" s="15">
        <v>20</v>
      </c>
      <c r="DB256" s="15">
        <v>0</v>
      </c>
      <c r="DC256" s="15">
        <v>0</v>
      </c>
      <c r="DD256" s="15">
        <v>0</v>
      </c>
      <c r="DE256" s="15">
        <v>0</v>
      </c>
      <c r="DF256" s="15">
        <v>0</v>
      </c>
      <c r="DG256" s="15">
        <v>0</v>
      </c>
      <c r="DH256" s="15">
        <v>0</v>
      </c>
      <c r="DI256" s="15">
        <v>0</v>
      </c>
      <c r="DJ256" s="15">
        <v>0</v>
      </c>
      <c r="DK256" s="15">
        <v>0</v>
      </c>
      <c r="DL256" s="15">
        <v>0</v>
      </c>
      <c r="DM256" s="15">
        <v>0</v>
      </c>
      <c r="DN256" s="15">
        <v>0</v>
      </c>
      <c r="DO256" s="15">
        <v>0</v>
      </c>
      <c r="DP256" s="15">
        <v>0</v>
      </c>
      <c r="DQ256" s="15">
        <v>0</v>
      </c>
      <c r="DR256" s="15">
        <v>0</v>
      </c>
      <c r="DS256" s="15">
        <v>0</v>
      </c>
      <c r="DT256" s="15">
        <v>0</v>
      </c>
      <c r="DU256" s="15">
        <v>0</v>
      </c>
      <c r="DV256" s="15">
        <v>0</v>
      </c>
      <c r="DW256" s="15">
        <v>0</v>
      </c>
      <c r="DX256" s="15">
        <v>0</v>
      </c>
      <c r="DY256" s="15">
        <v>0</v>
      </c>
      <c r="DZ256" s="15">
        <v>0</v>
      </c>
      <c r="EA256" s="15">
        <v>0</v>
      </c>
      <c r="EB256" s="15">
        <v>0</v>
      </c>
      <c r="EC256" s="15">
        <v>0</v>
      </c>
      <c r="ED256" s="15">
        <v>0</v>
      </c>
      <c r="EE256" s="15">
        <v>0</v>
      </c>
      <c r="EF256" s="15">
        <v>0</v>
      </c>
    </row>
    <row r="257" spans="1:136" ht="15" customHeight="1" x14ac:dyDescent="0.35">
      <c r="A257" s="8" t="s">
        <v>12</v>
      </c>
      <c r="B257" s="8" t="s">
        <v>75</v>
      </c>
      <c r="C257" s="8" t="s">
        <v>75</v>
      </c>
      <c r="D257" s="8" t="s">
        <v>320</v>
      </c>
      <c r="E257" s="8" t="s">
        <v>16</v>
      </c>
      <c r="F257" s="8" t="s">
        <v>88</v>
      </c>
      <c r="G257" s="15">
        <v>0</v>
      </c>
      <c r="H257" s="15">
        <v>40</v>
      </c>
      <c r="I257" s="15">
        <v>0</v>
      </c>
      <c r="J257" s="15">
        <v>40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  <c r="AR257" s="15">
        <v>0</v>
      </c>
      <c r="AS257" s="15">
        <v>0</v>
      </c>
      <c r="AT257" s="15">
        <v>0</v>
      </c>
      <c r="AU257" s="15">
        <v>0</v>
      </c>
      <c r="AV257" s="15">
        <v>0</v>
      </c>
      <c r="AW257" s="15">
        <v>0</v>
      </c>
      <c r="AX257" s="15">
        <v>0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5">
        <v>0</v>
      </c>
      <c r="CH257" s="15">
        <v>0</v>
      </c>
      <c r="CI257" s="15">
        <v>0</v>
      </c>
      <c r="CJ257" s="15">
        <v>0</v>
      </c>
      <c r="CK257" s="15">
        <v>0</v>
      </c>
      <c r="CL257" s="15">
        <v>0</v>
      </c>
      <c r="CM257" s="15">
        <v>0</v>
      </c>
      <c r="CN257" s="15">
        <v>0</v>
      </c>
      <c r="CO257" s="15">
        <v>0</v>
      </c>
      <c r="CP257" s="15">
        <v>0</v>
      </c>
      <c r="CQ257" s="15">
        <v>0</v>
      </c>
      <c r="CR257" s="15">
        <v>0</v>
      </c>
      <c r="CS257" s="15">
        <v>0</v>
      </c>
      <c r="CT257" s="15">
        <v>0</v>
      </c>
      <c r="CU257" s="15">
        <v>0</v>
      </c>
      <c r="CV257" s="15">
        <v>0</v>
      </c>
      <c r="CW257" s="15">
        <v>0</v>
      </c>
      <c r="CX257" s="15">
        <v>0</v>
      </c>
      <c r="CY257" s="15">
        <v>0</v>
      </c>
      <c r="CZ257" s="15">
        <v>0</v>
      </c>
      <c r="DA257" s="15">
        <v>0</v>
      </c>
      <c r="DB257" s="15">
        <v>0</v>
      </c>
      <c r="DC257" s="15">
        <v>0</v>
      </c>
      <c r="DD257" s="15">
        <v>0</v>
      </c>
      <c r="DE257" s="15">
        <v>0</v>
      </c>
      <c r="DF257" s="15">
        <v>0</v>
      </c>
      <c r="DG257" s="15">
        <v>0</v>
      </c>
      <c r="DH257" s="15">
        <v>0</v>
      </c>
      <c r="DI257" s="15">
        <v>0</v>
      </c>
      <c r="DJ257" s="15">
        <v>0</v>
      </c>
      <c r="DK257" s="15">
        <v>0</v>
      </c>
      <c r="DL257" s="15">
        <v>0</v>
      </c>
      <c r="DM257" s="15">
        <v>0</v>
      </c>
      <c r="DN257" s="15">
        <v>0</v>
      </c>
      <c r="DO257" s="15">
        <v>0</v>
      </c>
      <c r="DP257" s="15">
        <v>0</v>
      </c>
      <c r="DQ257" s="15">
        <v>0</v>
      </c>
      <c r="DR257" s="15">
        <v>0</v>
      </c>
      <c r="DS257" s="15">
        <v>0</v>
      </c>
      <c r="DT257" s="15">
        <v>0</v>
      </c>
      <c r="DU257" s="15">
        <v>0</v>
      </c>
      <c r="DV257" s="15">
        <v>0</v>
      </c>
      <c r="DW257" s="15">
        <v>0</v>
      </c>
      <c r="DX257" s="15">
        <v>0</v>
      </c>
      <c r="DY257" s="15">
        <v>0</v>
      </c>
      <c r="DZ257" s="15">
        <v>0</v>
      </c>
      <c r="EA257" s="15">
        <v>0</v>
      </c>
      <c r="EB257" s="15">
        <v>0</v>
      </c>
      <c r="EC257" s="15">
        <v>0</v>
      </c>
      <c r="ED257" s="15">
        <v>0</v>
      </c>
      <c r="EE257" s="15">
        <v>0</v>
      </c>
      <c r="EF257" s="15">
        <v>0</v>
      </c>
    </row>
    <row r="258" spans="1:136" ht="15" customHeight="1" x14ac:dyDescent="0.35">
      <c r="A258" s="8" t="s">
        <v>12</v>
      </c>
      <c r="B258" s="8" t="s">
        <v>115</v>
      </c>
      <c r="C258" s="8" t="s">
        <v>115</v>
      </c>
      <c r="D258" s="8" t="s">
        <v>316</v>
      </c>
      <c r="E258" s="8" t="s">
        <v>14</v>
      </c>
      <c r="F258" s="8" t="s">
        <v>103</v>
      </c>
      <c r="G258" s="15">
        <v>0</v>
      </c>
      <c r="H258" s="15">
        <v>0</v>
      </c>
      <c r="I258" s="15">
        <v>1.5</v>
      </c>
      <c r="J258" s="15">
        <v>-1.5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1.5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0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>
        <v>0</v>
      </c>
      <c r="BP258" s="15">
        <v>0</v>
      </c>
      <c r="BQ258" s="15">
        <v>0</v>
      </c>
      <c r="BR258" s="15">
        <v>0</v>
      </c>
      <c r="BS258" s="15">
        <v>0</v>
      </c>
      <c r="BT258" s="15">
        <v>0</v>
      </c>
      <c r="BU258" s="15">
        <v>0</v>
      </c>
      <c r="BV258" s="15">
        <v>0</v>
      </c>
      <c r="BW258" s="15">
        <v>0</v>
      </c>
      <c r="BX258" s="15">
        <v>0</v>
      </c>
      <c r="BY258" s="15">
        <v>0</v>
      </c>
      <c r="BZ258" s="15">
        <v>0</v>
      </c>
      <c r="CA258" s="15">
        <v>0</v>
      </c>
      <c r="CB258" s="15">
        <v>0</v>
      </c>
      <c r="CC258" s="15">
        <v>0</v>
      </c>
      <c r="CD258" s="15">
        <v>0</v>
      </c>
      <c r="CE258" s="15">
        <v>0</v>
      </c>
      <c r="CF258" s="15">
        <v>0</v>
      </c>
      <c r="CG258" s="15">
        <v>0</v>
      </c>
      <c r="CH258" s="15">
        <v>0</v>
      </c>
      <c r="CI258" s="15">
        <v>0</v>
      </c>
      <c r="CJ258" s="15">
        <v>0</v>
      </c>
      <c r="CK258" s="15">
        <v>0</v>
      </c>
      <c r="CL258" s="15">
        <v>0</v>
      </c>
      <c r="CM258" s="15">
        <v>0</v>
      </c>
      <c r="CN258" s="15">
        <v>0</v>
      </c>
      <c r="CO258" s="15">
        <v>0</v>
      </c>
      <c r="CP258" s="15">
        <v>0</v>
      </c>
      <c r="CQ258" s="15">
        <v>0</v>
      </c>
      <c r="CR258" s="15">
        <v>0</v>
      </c>
      <c r="CS258" s="15">
        <v>0</v>
      </c>
      <c r="CT258" s="15">
        <v>0</v>
      </c>
      <c r="CU258" s="15">
        <v>0</v>
      </c>
      <c r="CV258" s="15">
        <v>0</v>
      </c>
      <c r="CW258" s="15">
        <v>0</v>
      </c>
      <c r="CX258" s="15">
        <v>0</v>
      </c>
      <c r="CY258" s="15">
        <v>0</v>
      </c>
      <c r="CZ258" s="15">
        <v>0</v>
      </c>
      <c r="DA258" s="15">
        <v>0</v>
      </c>
      <c r="DB258" s="15">
        <v>0</v>
      </c>
      <c r="DC258" s="15">
        <v>0</v>
      </c>
      <c r="DD258" s="15">
        <v>0</v>
      </c>
      <c r="DE258" s="15">
        <v>0</v>
      </c>
      <c r="DF258" s="15">
        <v>0</v>
      </c>
      <c r="DG258" s="15">
        <v>0</v>
      </c>
      <c r="DH258" s="15">
        <v>0</v>
      </c>
      <c r="DI258" s="15">
        <v>0</v>
      </c>
      <c r="DJ258" s="15">
        <v>0</v>
      </c>
      <c r="DK258" s="15">
        <v>0</v>
      </c>
      <c r="DL258" s="15">
        <v>0</v>
      </c>
      <c r="DM258" s="15">
        <v>0</v>
      </c>
      <c r="DN258" s="15">
        <v>0</v>
      </c>
      <c r="DO258" s="15">
        <v>0</v>
      </c>
      <c r="DP258" s="15">
        <v>0</v>
      </c>
      <c r="DQ258" s="15">
        <v>0</v>
      </c>
      <c r="DR258" s="15">
        <v>0</v>
      </c>
      <c r="DS258" s="15">
        <v>0</v>
      </c>
      <c r="DT258" s="15">
        <v>0</v>
      </c>
      <c r="DU258" s="15">
        <v>0</v>
      </c>
      <c r="DV258" s="15">
        <v>0</v>
      </c>
      <c r="DW258" s="15">
        <v>0</v>
      </c>
      <c r="DX258" s="15">
        <v>0</v>
      </c>
      <c r="DY258" s="15">
        <v>0</v>
      </c>
      <c r="DZ258" s="15">
        <v>0</v>
      </c>
      <c r="EA258" s="15">
        <v>0</v>
      </c>
      <c r="EB258" s="15">
        <v>0</v>
      </c>
      <c r="EC258" s="15">
        <v>0</v>
      </c>
      <c r="ED258" s="15">
        <v>0</v>
      </c>
      <c r="EE258" s="15">
        <v>0</v>
      </c>
      <c r="EF258" s="15">
        <v>0</v>
      </c>
    </row>
    <row r="259" spans="1:136" ht="15" customHeight="1" x14ac:dyDescent="0.35">
      <c r="A259" s="8" t="s">
        <v>12</v>
      </c>
      <c r="B259" s="8" t="s">
        <v>115</v>
      </c>
      <c r="C259" s="8" t="s">
        <v>115</v>
      </c>
      <c r="D259" s="8" t="s">
        <v>316</v>
      </c>
      <c r="E259" s="8" t="s">
        <v>14</v>
      </c>
      <c r="F259" s="8" t="s">
        <v>86</v>
      </c>
      <c r="G259" s="15">
        <v>0</v>
      </c>
      <c r="H259" s="15">
        <v>0</v>
      </c>
      <c r="I259" s="15">
        <v>2</v>
      </c>
      <c r="J259" s="15">
        <v>-2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2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0</v>
      </c>
      <c r="AP259" s="15">
        <v>0</v>
      </c>
      <c r="AQ259" s="15">
        <v>0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5">
        <v>0</v>
      </c>
      <c r="CH259" s="15">
        <v>0</v>
      </c>
      <c r="CI259" s="15">
        <v>0</v>
      </c>
      <c r="CJ259" s="15">
        <v>0</v>
      </c>
      <c r="CK259" s="15">
        <v>0</v>
      </c>
      <c r="CL259" s="15">
        <v>0</v>
      </c>
      <c r="CM259" s="15">
        <v>0</v>
      </c>
      <c r="CN259" s="15">
        <v>0</v>
      </c>
      <c r="CO259" s="15">
        <v>0</v>
      </c>
      <c r="CP259" s="15">
        <v>0</v>
      </c>
      <c r="CQ259" s="15">
        <v>0</v>
      </c>
      <c r="CR259" s="15">
        <v>0</v>
      </c>
      <c r="CS259" s="15">
        <v>0</v>
      </c>
      <c r="CT259" s="15">
        <v>0</v>
      </c>
      <c r="CU259" s="15">
        <v>0</v>
      </c>
      <c r="CV259" s="15">
        <v>0</v>
      </c>
      <c r="CW259" s="15">
        <v>0</v>
      </c>
      <c r="CX259" s="15">
        <v>0</v>
      </c>
      <c r="CY259" s="15">
        <v>0</v>
      </c>
      <c r="CZ259" s="15">
        <v>0</v>
      </c>
      <c r="DA259" s="15">
        <v>0</v>
      </c>
      <c r="DB259" s="15">
        <v>0</v>
      </c>
      <c r="DC259" s="15">
        <v>0</v>
      </c>
      <c r="DD259" s="15">
        <v>0</v>
      </c>
      <c r="DE259" s="15">
        <v>0</v>
      </c>
      <c r="DF259" s="15">
        <v>0</v>
      </c>
      <c r="DG259" s="15">
        <v>0</v>
      </c>
      <c r="DH259" s="15">
        <v>0</v>
      </c>
      <c r="DI259" s="15">
        <v>0</v>
      </c>
      <c r="DJ259" s="15">
        <v>0</v>
      </c>
      <c r="DK259" s="15">
        <v>0</v>
      </c>
      <c r="DL259" s="15">
        <v>0</v>
      </c>
      <c r="DM259" s="15">
        <v>0</v>
      </c>
      <c r="DN259" s="15">
        <v>0</v>
      </c>
      <c r="DO259" s="15">
        <v>0</v>
      </c>
      <c r="DP259" s="15">
        <v>0</v>
      </c>
      <c r="DQ259" s="15">
        <v>0</v>
      </c>
      <c r="DR259" s="15">
        <v>0</v>
      </c>
      <c r="DS259" s="15">
        <v>0</v>
      </c>
      <c r="DT259" s="15">
        <v>0</v>
      </c>
      <c r="DU259" s="15">
        <v>0</v>
      </c>
      <c r="DV259" s="15">
        <v>0</v>
      </c>
      <c r="DW259" s="15">
        <v>0</v>
      </c>
      <c r="DX259" s="15">
        <v>0</v>
      </c>
      <c r="DY259" s="15">
        <v>0</v>
      </c>
      <c r="DZ259" s="15">
        <v>0</v>
      </c>
      <c r="EA259" s="15">
        <v>0</v>
      </c>
      <c r="EB259" s="15">
        <v>0</v>
      </c>
      <c r="EC259" s="15">
        <v>0</v>
      </c>
      <c r="ED259" s="15">
        <v>0</v>
      </c>
      <c r="EE259" s="15">
        <v>0</v>
      </c>
      <c r="EF259" s="15">
        <v>0</v>
      </c>
    </row>
    <row r="260" spans="1:136" ht="15" customHeight="1" x14ac:dyDescent="0.35">
      <c r="A260" s="8" t="s">
        <v>12</v>
      </c>
      <c r="B260" s="8" t="s">
        <v>115</v>
      </c>
      <c r="C260" s="8" t="s">
        <v>115</v>
      </c>
      <c r="D260" s="8" t="s">
        <v>316</v>
      </c>
      <c r="E260" s="8" t="s">
        <v>14</v>
      </c>
      <c r="F260" s="8" t="s">
        <v>111</v>
      </c>
      <c r="G260" s="15">
        <v>0</v>
      </c>
      <c r="H260" s="15">
        <v>0</v>
      </c>
      <c r="I260" s="15">
        <v>1.5</v>
      </c>
      <c r="J260" s="15">
        <v>-1.5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1</v>
      </c>
      <c r="Z260" s="15">
        <v>0</v>
      </c>
      <c r="AA260" s="15">
        <v>0.5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15">
        <v>0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5">
        <v>0</v>
      </c>
      <c r="AX260" s="15">
        <v>0</v>
      </c>
      <c r="AY260" s="15">
        <v>0</v>
      </c>
      <c r="AZ260" s="15">
        <v>0</v>
      </c>
      <c r="BA260" s="15">
        <v>0</v>
      </c>
      <c r="BB260" s="15">
        <v>0</v>
      </c>
      <c r="BC260" s="15">
        <v>0</v>
      </c>
      <c r="BD260" s="15">
        <v>0</v>
      </c>
      <c r="BE260" s="15">
        <v>0</v>
      </c>
      <c r="BF260" s="15">
        <v>0</v>
      </c>
      <c r="BG260" s="15">
        <v>0</v>
      </c>
      <c r="BH260" s="15">
        <v>0</v>
      </c>
      <c r="BI260" s="15">
        <v>0</v>
      </c>
      <c r="BJ260" s="15">
        <v>0</v>
      </c>
      <c r="BK260" s="15">
        <v>0</v>
      </c>
      <c r="BL260" s="15">
        <v>0</v>
      </c>
      <c r="BM260" s="15">
        <v>0</v>
      </c>
      <c r="BN260" s="15">
        <v>0</v>
      </c>
      <c r="BO260" s="15">
        <v>0</v>
      </c>
      <c r="BP260" s="15">
        <v>0</v>
      </c>
      <c r="BQ260" s="15">
        <v>0</v>
      </c>
      <c r="BR260" s="15">
        <v>0</v>
      </c>
      <c r="BS260" s="15">
        <v>0</v>
      </c>
      <c r="BT260" s="15">
        <v>0</v>
      </c>
      <c r="BU260" s="15">
        <v>0</v>
      </c>
      <c r="BV260" s="15">
        <v>0</v>
      </c>
      <c r="BW260" s="15">
        <v>0</v>
      </c>
      <c r="BX260" s="15">
        <v>0</v>
      </c>
      <c r="BY260" s="15">
        <v>0</v>
      </c>
      <c r="BZ260" s="15">
        <v>0</v>
      </c>
      <c r="CA260" s="15">
        <v>0</v>
      </c>
      <c r="CB260" s="15">
        <v>0</v>
      </c>
      <c r="CC260" s="15">
        <v>0</v>
      </c>
      <c r="CD260" s="15">
        <v>0</v>
      </c>
      <c r="CE260" s="15">
        <v>0</v>
      </c>
      <c r="CF260" s="15">
        <v>0</v>
      </c>
      <c r="CG260" s="15">
        <v>0</v>
      </c>
      <c r="CH260" s="15">
        <v>0</v>
      </c>
      <c r="CI260" s="15">
        <v>0</v>
      </c>
      <c r="CJ260" s="15">
        <v>0</v>
      </c>
      <c r="CK260" s="15">
        <v>0</v>
      </c>
      <c r="CL260" s="15">
        <v>0</v>
      </c>
      <c r="CM260" s="15">
        <v>0</v>
      </c>
      <c r="CN260" s="15">
        <v>0</v>
      </c>
      <c r="CO260" s="15">
        <v>0</v>
      </c>
      <c r="CP260" s="15">
        <v>0</v>
      </c>
      <c r="CQ260" s="15">
        <v>0</v>
      </c>
      <c r="CR260" s="15">
        <v>0</v>
      </c>
      <c r="CS260" s="15">
        <v>0</v>
      </c>
      <c r="CT260" s="15">
        <v>0</v>
      </c>
      <c r="CU260" s="15">
        <v>0</v>
      </c>
      <c r="CV260" s="15">
        <v>0</v>
      </c>
      <c r="CW260" s="15">
        <v>0</v>
      </c>
      <c r="CX260" s="15">
        <v>0</v>
      </c>
      <c r="CY260" s="15">
        <v>0</v>
      </c>
      <c r="CZ260" s="15">
        <v>0</v>
      </c>
      <c r="DA260" s="15">
        <v>0</v>
      </c>
      <c r="DB260" s="15">
        <v>0</v>
      </c>
      <c r="DC260" s="15">
        <v>0</v>
      </c>
      <c r="DD260" s="15">
        <v>0</v>
      </c>
      <c r="DE260" s="15">
        <v>0</v>
      </c>
      <c r="DF260" s="15">
        <v>0</v>
      </c>
      <c r="DG260" s="15">
        <v>0</v>
      </c>
      <c r="DH260" s="15">
        <v>0</v>
      </c>
      <c r="DI260" s="15">
        <v>0</v>
      </c>
      <c r="DJ260" s="15">
        <v>0</v>
      </c>
      <c r="DK260" s="15">
        <v>0</v>
      </c>
      <c r="DL260" s="15">
        <v>0</v>
      </c>
      <c r="DM260" s="15">
        <v>0</v>
      </c>
      <c r="DN260" s="15">
        <v>0</v>
      </c>
      <c r="DO260" s="15">
        <v>0</v>
      </c>
      <c r="DP260" s="15">
        <v>0</v>
      </c>
      <c r="DQ260" s="15">
        <v>0</v>
      </c>
      <c r="DR260" s="15">
        <v>0</v>
      </c>
      <c r="DS260" s="15">
        <v>0</v>
      </c>
      <c r="DT260" s="15">
        <v>0</v>
      </c>
      <c r="DU260" s="15">
        <v>0</v>
      </c>
      <c r="DV260" s="15">
        <v>0</v>
      </c>
      <c r="DW260" s="15">
        <v>0</v>
      </c>
      <c r="DX260" s="15">
        <v>0</v>
      </c>
      <c r="DY260" s="15">
        <v>0</v>
      </c>
      <c r="DZ260" s="15">
        <v>0</v>
      </c>
      <c r="EA260" s="15">
        <v>0</v>
      </c>
      <c r="EB260" s="15">
        <v>0</v>
      </c>
      <c r="EC260" s="15">
        <v>0</v>
      </c>
      <c r="ED260" s="15">
        <v>0</v>
      </c>
      <c r="EE260" s="15">
        <v>0</v>
      </c>
      <c r="EF260" s="15">
        <v>0</v>
      </c>
    </row>
    <row r="261" spans="1:136" ht="15" customHeight="1" x14ac:dyDescent="0.35">
      <c r="A261" s="8" t="s">
        <v>12</v>
      </c>
      <c r="B261" s="8" t="s">
        <v>33</v>
      </c>
      <c r="C261" s="8" t="s">
        <v>33</v>
      </c>
      <c r="D261" s="8" t="s">
        <v>317</v>
      </c>
      <c r="E261" s="8" t="s">
        <v>10</v>
      </c>
      <c r="F261" s="8" t="s">
        <v>81</v>
      </c>
      <c r="G261" s="15">
        <v>0</v>
      </c>
      <c r="H261" s="15">
        <v>0</v>
      </c>
      <c r="I261" s="15">
        <v>3</v>
      </c>
      <c r="J261" s="15">
        <v>-3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3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5">
        <v>0</v>
      </c>
      <c r="CH261" s="15">
        <v>0</v>
      </c>
      <c r="CI261" s="15">
        <v>0</v>
      </c>
      <c r="CJ261" s="15">
        <v>0</v>
      </c>
      <c r="CK261" s="15">
        <v>0</v>
      </c>
      <c r="CL261" s="15">
        <v>0</v>
      </c>
      <c r="CM261" s="15">
        <v>0</v>
      </c>
      <c r="CN261" s="15">
        <v>0</v>
      </c>
      <c r="CO261" s="15">
        <v>0</v>
      </c>
      <c r="CP261" s="15">
        <v>0</v>
      </c>
      <c r="CQ261" s="15">
        <v>0</v>
      </c>
      <c r="CR261" s="15">
        <v>0</v>
      </c>
      <c r="CS261" s="15">
        <v>0</v>
      </c>
      <c r="CT261" s="15">
        <v>0</v>
      </c>
      <c r="CU261" s="15">
        <v>0</v>
      </c>
      <c r="CV261" s="15">
        <v>0</v>
      </c>
      <c r="CW261" s="15">
        <v>0</v>
      </c>
      <c r="CX261" s="15">
        <v>0</v>
      </c>
      <c r="CY261" s="15">
        <v>0</v>
      </c>
      <c r="CZ261" s="15">
        <v>0</v>
      </c>
      <c r="DA261" s="15">
        <v>0</v>
      </c>
      <c r="DB261" s="15">
        <v>0</v>
      </c>
      <c r="DC261" s="15">
        <v>0</v>
      </c>
      <c r="DD261" s="15">
        <v>0</v>
      </c>
      <c r="DE261" s="15">
        <v>0</v>
      </c>
      <c r="DF261" s="15">
        <v>0</v>
      </c>
      <c r="DG261" s="15">
        <v>0</v>
      </c>
      <c r="DH261" s="15">
        <v>0</v>
      </c>
      <c r="DI261" s="15">
        <v>0</v>
      </c>
      <c r="DJ261" s="15">
        <v>0</v>
      </c>
      <c r="DK261" s="15">
        <v>0</v>
      </c>
      <c r="DL261" s="15">
        <v>0</v>
      </c>
      <c r="DM261" s="15">
        <v>0</v>
      </c>
      <c r="DN261" s="15">
        <v>0</v>
      </c>
      <c r="DO261" s="15">
        <v>0</v>
      </c>
      <c r="DP261" s="15">
        <v>0</v>
      </c>
      <c r="DQ261" s="15">
        <v>0</v>
      </c>
      <c r="DR261" s="15">
        <v>0</v>
      </c>
      <c r="DS261" s="15">
        <v>0</v>
      </c>
      <c r="DT261" s="15">
        <v>0</v>
      </c>
      <c r="DU261" s="15">
        <v>0</v>
      </c>
      <c r="DV261" s="15">
        <v>0</v>
      </c>
      <c r="DW261" s="15">
        <v>0</v>
      </c>
      <c r="DX261" s="15">
        <v>0</v>
      </c>
      <c r="DY261" s="15">
        <v>0</v>
      </c>
      <c r="DZ261" s="15">
        <v>0</v>
      </c>
      <c r="EA261" s="15">
        <v>0</v>
      </c>
      <c r="EB261" s="15">
        <v>0</v>
      </c>
      <c r="EC261" s="15">
        <v>0</v>
      </c>
      <c r="ED261" s="15">
        <v>0</v>
      </c>
      <c r="EE261" s="15">
        <v>0</v>
      </c>
      <c r="EF261" s="15">
        <v>0</v>
      </c>
    </row>
    <row r="262" spans="1:136" ht="15" customHeight="1" x14ac:dyDescent="0.35">
      <c r="A262" s="8" t="s">
        <v>12</v>
      </c>
      <c r="B262" s="8" t="s">
        <v>33</v>
      </c>
      <c r="C262" s="8" t="s">
        <v>33</v>
      </c>
      <c r="D262" s="8" t="s">
        <v>317</v>
      </c>
      <c r="E262" s="8" t="s">
        <v>10</v>
      </c>
      <c r="F262" s="8" t="s">
        <v>83</v>
      </c>
      <c r="G262" s="15">
        <v>0</v>
      </c>
      <c r="H262" s="15">
        <v>0</v>
      </c>
      <c r="I262" s="15">
        <v>5</v>
      </c>
      <c r="J262" s="15">
        <v>-5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5</v>
      </c>
      <c r="AO262" s="15">
        <v>0</v>
      </c>
      <c r="AP262" s="15">
        <v>0</v>
      </c>
      <c r="AQ262" s="15">
        <v>0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5">
        <v>0</v>
      </c>
      <c r="AX262" s="15">
        <v>0</v>
      </c>
      <c r="AY262" s="15">
        <v>0</v>
      </c>
      <c r="AZ262" s="15">
        <v>0</v>
      </c>
      <c r="BA262" s="15">
        <v>0</v>
      </c>
      <c r="BB262" s="15">
        <v>0</v>
      </c>
      <c r="BC262" s="15">
        <v>0</v>
      </c>
      <c r="BD262" s="15">
        <v>0</v>
      </c>
      <c r="BE262" s="15">
        <v>0</v>
      </c>
      <c r="BF262" s="15">
        <v>0</v>
      </c>
      <c r="BG262" s="15">
        <v>0</v>
      </c>
      <c r="BH262" s="15">
        <v>0</v>
      </c>
      <c r="BI262" s="15">
        <v>0</v>
      </c>
      <c r="BJ262" s="15">
        <v>0</v>
      </c>
      <c r="BK262" s="15">
        <v>0</v>
      </c>
      <c r="BL262" s="15">
        <v>0</v>
      </c>
      <c r="BM262" s="15">
        <v>0</v>
      </c>
      <c r="BN262" s="15">
        <v>0</v>
      </c>
      <c r="BO262" s="15">
        <v>0</v>
      </c>
      <c r="BP262" s="15">
        <v>0</v>
      </c>
      <c r="BQ262" s="15">
        <v>0</v>
      </c>
      <c r="BR262" s="15">
        <v>0</v>
      </c>
      <c r="BS262" s="15">
        <v>0</v>
      </c>
      <c r="BT262" s="15">
        <v>0</v>
      </c>
      <c r="BU262" s="15">
        <v>0</v>
      </c>
      <c r="BV262" s="15">
        <v>0</v>
      </c>
      <c r="BW262" s="15">
        <v>0</v>
      </c>
      <c r="BX262" s="15">
        <v>0</v>
      </c>
      <c r="BY262" s="15">
        <v>0</v>
      </c>
      <c r="BZ262" s="15">
        <v>0</v>
      </c>
      <c r="CA262" s="15">
        <v>0</v>
      </c>
      <c r="CB262" s="15">
        <v>0</v>
      </c>
      <c r="CC262" s="15">
        <v>0</v>
      </c>
      <c r="CD262" s="15">
        <v>0</v>
      </c>
      <c r="CE262" s="15">
        <v>0</v>
      </c>
      <c r="CF262" s="15">
        <v>0</v>
      </c>
      <c r="CG262" s="15">
        <v>0</v>
      </c>
      <c r="CH262" s="15">
        <v>0</v>
      </c>
      <c r="CI262" s="15">
        <v>0</v>
      </c>
      <c r="CJ262" s="15">
        <v>0</v>
      </c>
      <c r="CK262" s="15">
        <v>0</v>
      </c>
      <c r="CL262" s="15">
        <v>0</v>
      </c>
      <c r="CM262" s="15">
        <v>0</v>
      </c>
      <c r="CN262" s="15">
        <v>0</v>
      </c>
      <c r="CO262" s="15">
        <v>0</v>
      </c>
      <c r="CP262" s="15">
        <v>0</v>
      </c>
      <c r="CQ262" s="15">
        <v>0</v>
      </c>
      <c r="CR262" s="15">
        <v>0</v>
      </c>
      <c r="CS262" s="15">
        <v>0</v>
      </c>
      <c r="CT262" s="15">
        <v>0</v>
      </c>
      <c r="CU262" s="15">
        <v>0</v>
      </c>
      <c r="CV262" s="15">
        <v>0</v>
      </c>
      <c r="CW262" s="15">
        <v>0</v>
      </c>
      <c r="CX262" s="15">
        <v>0</v>
      </c>
      <c r="CY262" s="15">
        <v>0</v>
      </c>
      <c r="CZ262" s="15">
        <v>0</v>
      </c>
      <c r="DA262" s="15">
        <v>0</v>
      </c>
      <c r="DB262" s="15">
        <v>0</v>
      </c>
      <c r="DC262" s="15">
        <v>0</v>
      </c>
      <c r="DD262" s="15">
        <v>0</v>
      </c>
      <c r="DE262" s="15">
        <v>0</v>
      </c>
      <c r="DF262" s="15">
        <v>0</v>
      </c>
      <c r="DG262" s="15">
        <v>0</v>
      </c>
      <c r="DH262" s="15">
        <v>0</v>
      </c>
      <c r="DI262" s="15">
        <v>0</v>
      </c>
      <c r="DJ262" s="15">
        <v>0</v>
      </c>
      <c r="DK262" s="15">
        <v>0</v>
      </c>
      <c r="DL262" s="15">
        <v>0</v>
      </c>
      <c r="DM262" s="15">
        <v>0</v>
      </c>
      <c r="DN262" s="15">
        <v>0</v>
      </c>
      <c r="DO262" s="15">
        <v>0</v>
      </c>
      <c r="DP262" s="15">
        <v>0</v>
      </c>
      <c r="DQ262" s="15">
        <v>0</v>
      </c>
      <c r="DR262" s="15">
        <v>0</v>
      </c>
      <c r="DS262" s="15">
        <v>0</v>
      </c>
      <c r="DT262" s="15">
        <v>0</v>
      </c>
      <c r="DU262" s="15">
        <v>0</v>
      </c>
      <c r="DV262" s="15">
        <v>0</v>
      </c>
      <c r="DW262" s="15">
        <v>0</v>
      </c>
      <c r="DX262" s="15">
        <v>0</v>
      </c>
      <c r="DY262" s="15">
        <v>0</v>
      </c>
      <c r="DZ262" s="15">
        <v>0</v>
      </c>
      <c r="EA262" s="15">
        <v>0</v>
      </c>
      <c r="EB262" s="15">
        <v>0</v>
      </c>
      <c r="EC262" s="15">
        <v>0</v>
      </c>
      <c r="ED262" s="15">
        <v>0</v>
      </c>
      <c r="EE262" s="15">
        <v>0</v>
      </c>
      <c r="EF262" s="15">
        <v>0</v>
      </c>
    </row>
    <row r="263" spans="1:136" ht="15" customHeight="1" x14ac:dyDescent="0.35">
      <c r="A263" s="8" t="s">
        <v>12</v>
      </c>
      <c r="B263" s="8" t="s">
        <v>33</v>
      </c>
      <c r="C263" s="8" t="s">
        <v>33</v>
      </c>
      <c r="D263" s="8" t="s">
        <v>317</v>
      </c>
      <c r="E263" s="8" t="s">
        <v>10</v>
      </c>
      <c r="F263" s="8" t="s">
        <v>103</v>
      </c>
      <c r="G263" s="15">
        <v>0</v>
      </c>
      <c r="H263" s="15">
        <v>0</v>
      </c>
      <c r="I263" s="15">
        <v>678.5</v>
      </c>
      <c r="J263" s="15">
        <v>-678.5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4</v>
      </c>
      <c r="AK263" s="15">
        <v>16.5</v>
      </c>
      <c r="AL263" s="15">
        <v>9.5</v>
      </c>
      <c r="AM263" s="15">
        <v>21</v>
      </c>
      <c r="AN263" s="15">
        <v>11</v>
      </c>
      <c r="AO263" s="15">
        <v>12</v>
      </c>
      <c r="AP263" s="15">
        <v>20.5</v>
      </c>
      <c r="AQ263" s="15">
        <v>9</v>
      </c>
      <c r="AR263" s="15">
        <v>12</v>
      </c>
      <c r="AS263" s="15">
        <v>5</v>
      </c>
      <c r="AT263" s="15">
        <v>0</v>
      </c>
      <c r="AU263" s="15">
        <v>0</v>
      </c>
      <c r="AV263" s="15">
        <v>0</v>
      </c>
      <c r="AW263" s="15">
        <v>0</v>
      </c>
      <c r="AX263" s="15">
        <v>0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5">
        <v>0</v>
      </c>
      <c r="CH263" s="15">
        <v>0</v>
      </c>
      <c r="CI263" s="15">
        <v>0</v>
      </c>
      <c r="CJ263" s="15">
        <v>0</v>
      </c>
      <c r="CK263" s="15">
        <v>0</v>
      </c>
      <c r="CL263" s="15">
        <v>0</v>
      </c>
      <c r="CM263" s="15">
        <v>0</v>
      </c>
      <c r="CN263" s="15">
        <v>0</v>
      </c>
      <c r="CO263" s="15">
        <v>0</v>
      </c>
      <c r="CP263" s="15">
        <v>0</v>
      </c>
      <c r="CQ263" s="15">
        <v>0</v>
      </c>
      <c r="CR263" s="15">
        <v>0</v>
      </c>
      <c r="CS263" s="15">
        <v>10</v>
      </c>
      <c r="CT263" s="15">
        <v>0</v>
      </c>
      <c r="CU263" s="15">
        <v>0</v>
      </c>
      <c r="CV263" s="15">
        <v>0</v>
      </c>
      <c r="CW263" s="15">
        <v>0</v>
      </c>
      <c r="CX263" s="15">
        <v>5</v>
      </c>
      <c r="CY263" s="15">
        <v>13</v>
      </c>
      <c r="CZ263" s="15">
        <v>30</v>
      </c>
      <c r="DA263" s="15">
        <v>30</v>
      </c>
      <c r="DB263" s="15">
        <v>13</v>
      </c>
      <c r="DC263" s="15">
        <v>15</v>
      </c>
      <c r="DD263" s="15">
        <v>15</v>
      </c>
      <c r="DE263" s="15">
        <v>22</v>
      </c>
      <c r="DF263" s="15">
        <v>25</v>
      </c>
      <c r="DG263" s="15">
        <v>15</v>
      </c>
      <c r="DH263" s="15">
        <v>15</v>
      </c>
      <c r="DI263" s="15">
        <v>0</v>
      </c>
      <c r="DJ263" s="15">
        <v>0</v>
      </c>
      <c r="DK263" s="15">
        <v>30</v>
      </c>
      <c r="DL263" s="15">
        <v>45</v>
      </c>
      <c r="DM263" s="15">
        <v>65</v>
      </c>
      <c r="DN263" s="15">
        <v>63</v>
      </c>
      <c r="DO263" s="15">
        <v>62</v>
      </c>
      <c r="DP263" s="15">
        <v>65</v>
      </c>
      <c r="DQ263" s="15">
        <v>25</v>
      </c>
      <c r="DR263" s="15">
        <v>0</v>
      </c>
      <c r="DS263" s="15">
        <v>0</v>
      </c>
      <c r="DT263" s="15">
        <v>0</v>
      </c>
      <c r="DU263" s="15">
        <v>0</v>
      </c>
      <c r="DV263" s="15">
        <v>0</v>
      </c>
      <c r="DW263" s="15">
        <v>0</v>
      </c>
      <c r="DX263" s="15">
        <v>0</v>
      </c>
      <c r="DY263" s="15">
        <v>0</v>
      </c>
      <c r="DZ263" s="15">
        <v>0</v>
      </c>
      <c r="EA263" s="15">
        <v>0</v>
      </c>
      <c r="EB263" s="15">
        <v>0</v>
      </c>
      <c r="EC263" s="15">
        <v>0</v>
      </c>
      <c r="ED263" s="15">
        <v>0</v>
      </c>
      <c r="EE263" s="15">
        <v>0</v>
      </c>
      <c r="EF263" s="15">
        <v>0</v>
      </c>
    </row>
    <row r="264" spans="1:136" ht="15" customHeight="1" x14ac:dyDescent="0.35">
      <c r="A264" s="8" t="s">
        <v>12</v>
      </c>
      <c r="B264" s="8" t="s">
        <v>33</v>
      </c>
      <c r="C264" s="8" t="s">
        <v>33</v>
      </c>
      <c r="D264" s="8" t="s">
        <v>316</v>
      </c>
      <c r="E264" s="8" t="s">
        <v>10</v>
      </c>
      <c r="F264" s="8" t="s">
        <v>103</v>
      </c>
      <c r="G264" s="15">
        <v>243.5</v>
      </c>
      <c r="H264" s="15">
        <v>806.5</v>
      </c>
      <c r="I264" s="15">
        <v>128.5</v>
      </c>
      <c r="J264" s="15">
        <v>678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5.5</v>
      </c>
      <c r="AC264" s="15">
        <v>5</v>
      </c>
      <c r="AD264" s="15">
        <v>17</v>
      </c>
      <c r="AE264" s="15">
        <v>24</v>
      </c>
      <c r="AF264" s="15">
        <v>23</v>
      </c>
      <c r="AG264" s="15">
        <v>20</v>
      </c>
      <c r="AH264" s="15">
        <v>14.5</v>
      </c>
      <c r="AI264" s="15">
        <v>15.5</v>
      </c>
      <c r="AJ264" s="15">
        <v>4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>
        <v>0</v>
      </c>
      <c r="BI264" s="15">
        <v>0</v>
      </c>
      <c r="BJ264" s="15">
        <v>0</v>
      </c>
      <c r="BK264" s="15">
        <v>0</v>
      </c>
      <c r="BL264" s="15">
        <v>0</v>
      </c>
      <c r="BM264" s="15">
        <v>0</v>
      </c>
      <c r="BN264" s="15">
        <v>0</v>
      </c>
      <c r="BO264" s="15">
        <v>0</v>
      </c>
      <c r="BP264" s="15">
        <v>0</v>
      </c>
      <c r="BQ264" s="15">
        <v>0</v>
      </c>
      <c r="BR264" s="15">
        <v>0</v>
      </c>
      <c r="BS264" s="15">
        <v>0</v>
      </c>
      <c r="BT264" s="15">
        <v>0</v>
      </c>
      <c r="BU264" s="15">
        <v>0</v>
      </c>
      <c r="BV264" s="15">
        <v>0</v>
      </c>
      <c r="BW264" s="15">
        <v>0</v>
      </c>
      <c r="BX264" s="15">
        <v>0</v>
      </c>
      <c r="BY264" s="15">
        <v>0</v>
      </c>
      <c r="BZ264" s="15">
        <v>0</v>
      </c>
      <c r="CA264" s="15">
        <v>0</v>
      </c>
      <c r="CB264" s="15">
        <v>0</v>
      </c>
      <c r="CC264" s="15">
        <v>0</v>
      </c>
      <c r="CD264" s="15">
        <v>0</v>
      </c>
      <c r="CE264" s="15">
        <v>0</v>
      </c>
      <c r="CF264" s="15">
        <v>0</v>
      </c>
      <c r="CG264" s="15">
        <v>0</v>
      </c>
      <c r="CH264" s="15">
        <v>0</v>
      </c>
      <c r="CI264" s="15">
        <v>0</v>
      </c>
      <c r="CJ264" s="15">
        <v>0</v>
      </c>
      <c r="CK264" s="15">
        <v>0</v>
      </c>
      <c r="CL264" s="15">
        <v>0</v>
      </c>
      <c r="CM264" s="15">
        <v>0</v>
      </c>
      <c r="CN264" s="15">
        <v>0</v>
      </c>
      <c r="CO264" s="15">
        <v>0</v>
      </c>
      <c r="CP264" s="15">
        <v>0</v>
      </c>
      <c r="CQ264" s="15">
        <v>0</v>
      </c>
      <c r="CR264" s="15">
        <v>0</v>
      </c>
      <c r="CS264" s="15">
        <v>0</v>
      </c>
      <c r="CT264" s="15">
        <v>0</v>
      </c>
      <c r="CU264" s="15">
        <v>0</v>
      </c>
      <c r="CV264" s="15">
        <v>0</v>
      </c>
      <c r="CW264" s="15">
        <v>0</v>
      </c>
      <c r="CX264" s="15">
        <v>0</v>
      </c>
      <c r="CY264" s="15">
        <v>0</v>
      </c>
      <c r="CZ264" s="15">
        <v>0</v>
      </c>
      <c r="DA264" s="15">
        <v>0</v>
      </c>
      <c r="DB264" s="15">
        <v>0</v>
      </c>
      <c r="DC264" s="15">
        <v>0</v>
      </c>
      <c r="DD264" s="15">
        <v>0</v>
      </c>
      <c r="DE264" s="15">
        <v>0</v>
      </c>
      <c r="DF264" s="15">
        <v>0</v>
      </c>
      <c r="DG264" s="15">
        <v>0</v>
      </c>
      <c r="DH264" s="15">
        <v>0</v>
      </c>
      <c r="DI264" s="15">
        <v>0</v>
      </c>
      <c r="DJ264" s="15">
        <v>0</v>
      </c>
      <c r="DK264" s="15">
        <v>0</v>
      </c>
      <c r="DL264" s="15">
        <v>0</v>
      </c>
      <c r="DM264" s="15">
        <v>0</v>
      </c>
      <c r="DN264" s="15">
        <v>0</v>
      </c>
      <c r="DO264" s="15">
        <v>0</v>
      </c>
      <c r="DP264" s="15">
        <v>0</v>
      </c>
      <c r="DQ264" s="15">
        <v>0</v>
      </c>
      <c r="DR264" s="15">
        <v>0</v>
      </c>
      <c r="DS264" s="15">
        <v>0</v>
      </c>
      <c r="DT264" s="15">
        <v>0</v>
      </c>
      <c r="DU264" s="15">
        <v>0</v>
      </c>
      <c r="DV264" s="15">
        <v>0</v>
      </c>
      <c r="DW264" s="15">
        <v>0</v>
      </c>
      <c r="DX264" s="15">
        <v>0</v>
      </c>
      <c r="DY264" s="15">
        <v>0</v>
      </c>
      <c r="DZ264" s="15">
        <v>0</v>
      </c>
      <c r="EA264" s="15">
        <v>0</v>
      </c>
      <c r="EB264" s="15">
        <v>0</v>
      </c>
      <c r="EC264" s="15">
        <v>0</v>
      </c>
      <c r="ED264" s="15">
        <v>0</v>
      </c>
      <c r="EE264" s="15">
        <v>0</v>
      </c>
      <c r="EF264" s="15">
        <v>0</v>
      </c>
    </row>
    <row r="265" spans="1:136" ht="15" customHeight="1" x14ac:dyDescent="0.35">
      <c r="A265" s="8" t="s">
        <v>12</v>
      </c>
      <c r="B265" s="8" t="s">
        <v>33</v>
      </c>
      <c r="C265" s="8" t="s">
        <v>33</v>
      </c>
      <c r="D265" s="8" t="s">
        <v>317</v>
      </c>
      <c r="E265" s="8" t="s">
        <v>10</v>
      </c>
      <c r="F265" s="8" t="s">
        <v>100</v>
      </c>
      <c r="G265" s="15">
        <v>0</v>
      </c>
      <c r="H265" s="15">
        <v>0</v>
      </c>
      <c r="I265" s="15">
        <v>21</v>
      </c>
      <c r="J265" s="15">
        <v>-21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0.5</v>
      </c>
      <c r="AN265" s="15">
        <v>5.5</v>
      </c>
      <c r="AO265" s="15">
        <v>8</v>
      </c>
      <c r="AP265" s="15">
        <v>3</v>
      </c>
      <c r="AQ265" s="15">
        <v>0</v>
      </c>
      <c r="AR265" s="15">
        <v>0</v>
      </c>
      <c r="AS265" s="15">
        <v>0</v>
      </c>
      <c r="AT265" s="15">
        <v>0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5">
        <v>0</v>
      </c>
      <c r="CH265" s="15">
        <v>0</v>
      </c>
      <c r="CI265" s="15">
        <v>0</v>
      </c>
      <c r="CJ265" s="15">
        <v>0</v>
      </c>
      <c r="CK265" s="15">
        <v>0</v>
      </c>
      <c r="CL265" s="15">
        <v>0</v>
      </c>
      <c r="CM265" s="15">
        <v>0</v>
      </c>
      <c r="CN265" s="15">
        <v>0</v>
      </c>
      <c r="CO265" s="15">
        <v>0</v>
      </c>
      <c r="CP265" s="15">
        <v>0</v>
      </c>
      <c r="CQ265" s="15">
        <v>0</v>
      </c>
      <c r="CR265" s="15">
        <v>0</v>
      </c>
      <c r="CS265" s="15">
        <v>0</v>
      </c>
      <c r="CT265" s="15">
        <v>0</v>
      </c>
      <c r="CU265" s="15">
        <v>0</v>
      </c>
      <c r="CV265" s="15">
        <v>0</v>
      </c>
      <c r="CW265" s="15">
        <v>0</v>
      </c>
      <c r="CX265" s="15">
        <v>0</v>
      </c>
      <c r="CY265" s="15">
        <v>0</v>
      </c>
      <c r="CZ265" s="15">
        <v>0</v>
      </c>
      <c r="DA265" s="15">
        <v>0</v>
      </c>
      <c r="DB265" s="15">
        <v>0</v>
      </c>
      <c r="DC265" s="15">
        <v>0</v>
      </c>
      <c r="DD265" s="15">
        <v>0</v>
      </c>
      <c r="DE265" s="15">
        <v>0</v>
      </c>
      <c r="DF265" s="15">
        <v>0</v>
      </c>
      <c r="DG265" s="15">
        <v>0</v>
      </c>
      <c r="DH265" s="15">
        <v>0</v>
      </c>
      <c r="DI265" s="15">
        <v>0</v>
      </c>
      <c r="DJ265" s="15">
        <v>0</v>
      </c>
      <c r="DK265" s="15">
        <v>0</v>
      </c>
      <c r="DL265" s="15">
        <v>0</v>
      </c>
      <c r="DM265" s="15">
        <v>0</v>
      </c>
      <c r="DN265" s="15">
        <v>0</v>
      </c>
      <c r="DO265" s="15">
        <v>0</v>
      </c>
      <c r="DP265" s="15">
        <v>0</v>
      </c>
      <c r="DQ265" s="15">
        <v>0</v>
      </c>
      <c r="DR265" s="15">
        <v>4</v>
      </c>
      <c r="DS265" s="15">
        <v>0</v>
      </c>
      <c r="DT265" s="15">
        <v>0</v>
      </c>
      <c r="DU265" s="15">
        <v>0</v>
      </c>
      <c r="DV265" s="15">
        <v>0</v>
      </c>
      <c r="DW265" s="15">
        <v>0</v>
      </c>
      <c r="DX265" s="15">
        <v>0</v>
      </c>
      <c r="DY265" s="15">
        <v>0</v>
      </c>
      <c r="DZ265" s="15">
        <v>0</v>
      </c>
      <c r="EA265" s="15">
        <v>0</v>
      </c>
      <c r="EB265" s="15">
        <v>0</v>
      </c>
      <c r="EC265" s="15">
        <v>0</v>
      </c>
      <c r="ED265" s="15">
        <v>0</v>
      </c>
      <c r="EE265" s="15">
        <v>0</v>
      </c>
      <c r="EF265" s="15">
        <v>0</v>
      </c>
    </row>
    <row r="266" spans="1:136" ht="15" customHeight="1" x14ac:dyDescent="0.35">
      <c r="A266" s="8" t="s">
        <v>12</v>
      </c>
      <c r="B266" s="8" t="s">
        <v>33</v>
      </c>
      <c r="C266" s="8" t="s">
        <v>33</v>
      </c>
      <c r="D266" s="8" t="s">
        <v>317</v>
      </c>
      <c r="E266" s="8" t="s">
        <v>10</v>
      </c>
      <c r="F266" s="8" t="s">
        <v>114</v>
      </c>
      <c r="G266" s="15">
        <v>0</v>
      </c>
      <c r="H266" s="15">
        <v>0</v>
      </c>
      <c r="I266" s="15">
        <v>90</v>
      </c>
      <c r="J266" s="15">
        <v>-90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5">
        <v>0</v>
      </c>
      <c r="AS266" s="15">
        <v>0</v>
      </c>
      <c r="AT266" s="15">
        <v>0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15">
        <v>0</v>
      </c>
      <c r="BB266" s="15">
        <v>0</v>
      </c>
      <c r="BC266" s="15">
        <v>0</v>
      </c>
      <c r="BD266" s="15">
        <v>0</v>
      </c>
      <c r="BE266" s="15">
        <v>0</v>
      </c>
      <c r="BF266" s="15">
        <v>0</v>
      </c>
      <c r="BG266" s="15">
        <v>0</v>
      </c>
      <c r="BH266" s="15">
        <v>0</v>
      </c>
      <c r="BI266" s="15">
        <v>0</v>
      </c>
      <c r="BJ266" s="15">
        <v>0</v>
      </c>
      <c r="BK266" s="15">
        <v>0</v>
      </c>
      <c r="BL266" s="15">
        <v>0</v>
      </c>
      <c r="BM266" s="15">
        <v>0</v>
      </c>
      <c r="BN266" s="15">
        <v>0</v>
      </c>
      <c r="BO266" s="15">
        <v>0</v>
      </c>
      <c r="BP266" s="15">
        <v>0</v>
      </c>
      <c r="BQ266" s="15">
        <v>0</v>
      </c>
      <c r="BR266" s="15">
        <v>0</v>
      </c>
      <c r="BS266" s="15">
        <v>0</v>
      </c>
      <c r="BT266" s="15">
        <v>0</v>
      </c>
      <c r="BU266" s="15">
        <v>0</v>
      </c>
      <c r="BV266" s="15">
        <v>0</v>
      </c>
      <c r="BW266" s="15">
        <v>0</v>
      </c>
      <c r="BX266" s="15">
        <v>0</v>
      </c>
      <c r="BY266" s="15">
        <v>0</v>
      </c>
      <c r="BZ266" s="15">
        <v>0</v>
      </c>
      <c r="CA266" s="15">
        <v>0</v>
      </c>
      <c r="CB266" s="15">
        <v>0</v>
      </c>
      <c r="CC266" s="15">
        <v>0</v>
      </c>
      <c r="CD266" s="15">
        <v>0</v>
      </c>
      <c r="CE266" s="15">
        <v>0</v>
      </c>
      <c r="CF266" s="15">
        <v>0</v>
      </c>
      <c r="CG266" s="15">
        <v>0</v>
      </c>
      <c r="CH266" s="15">
        <v>0</v>
      </c>
      <c r="CI266" s="15">
        <v>0</v>
      </c>
      <c r="CJ266" s="15">
        <v>0</v>
      </c>
      <c r="CK266" s="15">
        <v>0</v>
      </c>
      <c r="CL266" s="15">
        <v>0</v>
      </c>
      <c r="CM266" s="15">
        <v>0</v>
      </c>
      <c r="CN266" s="15">
        <v>0</v>
      </c>
      <c r="CO266" s="15">
        <v>0</v>
      </c>
      <c r="CP266" s="15">
        <v>0</v>
      </c>
      <c r="CQ266" s="15">
        <v>0</v>
      </c>
      <c r="CR266" s="15">
        <v>0</v>
      </c>
      <c r="CS266" s="15">
        <v>0</v>
      </c>
      <c r="CT266" s="15">
        <v>0</v>
      </c>
      <c r="CU266" s="15">
        <v>0</v>
      </c>
      <c r="CV266" s="15">
        <v>0</v>
      </c>
      <c r="CW266" s="15">
        <v>0</v>
      </c>
      <c r="CX266" s="15">
        <v>0</v>
      </c>
      <c r="CY266" s="15">
        <v>0</v>
      </c>
      <c r="CZ266" s="15">
        <v>0</v>
      </c>
      <c r="DA266" s="15">
        <v>0</v>
      </c>
      <c r="DB266" s="15">
        <v>0</v>
      </c>
      <c r="DC266" s="15">
        <v>0</v>
      </c>
      <c r="DD266" s="15">
        <v>0</v>
      </c>
      <c r="DE266" s="15">
        <v>0</v>
      </c>
      <c r="DF266" s="15">
        <v>0</v>
      </c>
      <c r="DG266" s="15">
        <v>0</v>
      </c>
      <c r="DH266" s="15">
        <v>0</v>
      </c>
      <c r="DI266" s="15">
        <v>0</v>
      </c>
      <c r="DJ266" s="15">
        <v>0</v>
      </c>
      <c r="DK266" s="15">
        <v>0</v>
      </c>
      <c r="DL266" s="15">
        <v>0</v>
      </c>
      <c r="DM266" s="15">
        <v>0</v>
      </c>
      <c r="DN266" s="15">
        <v>0</v>
      </c>
      <c r="DO266" s="15">
        <v>0</v>
      </c>
      <c r="DP266" s="15">
        <v>0</v>
      </c>
      <c r="DQ266" s="15">
        <v>0</v>
      </c>
      <c r="DR266" s="15">
        <v>0</v>
      </c>
      <c r="DS266" s="15">
        <v>30</v>
      </c>
      <c r="DT266" s="15">
        <v>30</v>
      </c>
      <c r="DU266" s="15">
        <v>30</v>
      </c>
      <c r="DV266" s="15">
        <v>0</v>
      </c>
      <c r="DW266" s="15">
        <v>0</v>
      </c>
      <c r="DX266" s="15">
        <v>0</v>
      </c>
      <c r="DY266" s="15">
        <v>0</v>
      </c>
      <c r="DZ266" s="15">
        <v>0</v>
      </c>
      <c r="EA266" s="15">
        <v>0</v>
      </c>
      <c r="EB266" s="15">
        <v>0</v>
      </c>
      <c r="EC266" s="15">
        <v>0</v>
      </c>
      <c r="ED266" s="15">
        <v>0</v>
      </c>
      <c r="EE266" s="15">
        <v>0</v>
      </c>
      <c r="EF266" s="15">
        <v>0</v>
      </c>
    </row>
    <row r="267" spans="1:136" ht="15" customHeight="1" x14ac:dyDescent="0.35">
      <c r="A267" s="8" t="s">
        <v>12</v>
      </c>
      <c r="B267" s="8" t="s">
        <v>33</v>
      </c>
      <c r="C267" s="8" t="s">
        <v>33</v>
      </c>
      <c r="D267" s="8" t="s">
        <v>316</v>
      </c>
      <c r="E267" s="8" t="s">
        <v>10</v>
      </c>
      <c r="F267" s="8" t="s">
        <v>114</v>
      </c>
      <c r="G267" s="15">
        <v>0</v>
      </c>
      <c r="H267" s="15">
        <v>90</v>
      </c>
      <c r="I267" s="15">
        <v>0</v>
      </c>
      <c r="J267" s="15">
        <v>90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5">
        <v>0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5">
        <v>0</v>
      </c>
      <c r="CH267" s="15">
        <v>0</v>
      </c>
      <c r="CI267" s="15">
        <v>0</v>
      </c>
      <c r="CJ267" s="15">
        <v>0</v>
      </c>
      <c r="CK267" s="15">
        <v>0</v>
      </c>
      <c r="CL267" s="15">
        <v>0</v>
      </c>
      <c r="CM267" s="15">
        <v>0</v>
      </c>
      <c r="CN267" s="15">
        <v>0</v>
      </c>
      <c r="CO267" s="15">
        <v>0</v>
      </c>
      <c r="CP267" s="15">
        <v>0</v>
      </c>
      <c r="CQ267" s="15">
        <v>0</v>
      </c>
      <c r="CR267" s="15">
        <v>0</v>
      </c>
      <c r="CS267" s="15">
        <v>0</v>
      </c>
      <c r="CT267" s="15">
        <v>0</v>
      </c>
      <c r="CU267" s="15">
        <v>0</v>
      </c>
      <c r="CV267" s="15">
        <v>0</v>
      </c>
      <c r="CW267" s="15">
        <v>0</v>
      </c>
      <c r="CX267" s="15">
        <v>0</v>
      </c>
      <c r="CY267" s="15">
        <v>0</v>
      </c>
      <c r="CZ267" s="15">
        <v>0</v>
      </c>
      <c r="DA267" s="15">
        <v>0</v>
      </c>
      <c r="DB267" s="15">
        <v>0</v>
      </c>
      <c r="DC267" s="15">
        <v>0</v>
      </c>
      <c r="DD267" s="15">
        <v>0</v>
      </c>
      <c r="DE267" s="15">
        <v>0</v>
      </c>
      <c r="DF267" s="15">
        <v>0</v>
      </c>
      <c r="DG267" s="15">
        <v>0</v>
      </c>
      <c r="DH267" s="15">
        <v>0</v>
      </c>
      <c r="DI267" s="15">
        <v>0</v>
      </c>
      <c r="DJ267" s="15">
        <v>0</v>
      </c>
      <c r="DK267" s="15">
        <v>0</v>
      </c>
      <c r="DL267" s="15">
        <v>0</v>
      </c>
      <c r="DM267" s="15">
        <v>0</v>
      </c>
      <c r="DN267" s="15">
        <v>0</v>
      </c>
      <c r="DO267" s="15">
        <v>0</v>
      </c>
      <c r="DP267" s="15">
        <v>0</v>
      </c>
      <c r="DQ267" s="15">
        <v>0</v>
      </c>
      <c r="DR267" s="15">
        <v>0</v>
      </c>
      <c r="DS267" s="15">
        <v>0</v>
      </c>
      <c r="DT267" s="15">
        <v>0</v>
      </c>
      <c r="DU267" s="15">
        <v>0</v>
      </c>
      <c r="DV267" s="15">
        <v>0</v>
      </c>
      <c r="DW267" s="15">
        <v>0</v>
      </c>
      <c r="DX267" s="15">
        <v>0</v>
      </c>
      <c r="DY267" s="15">
        <v>0</v>
      </c>
      <c r="DZ267" s="15">
        <v>0</v>
      </c>
      <c r="EA267" s="15">
        <v>0</v>
      </c>
      <c r="EB267" s="15">
        <v>0</v>
      </c>
      <c r="EC267" s="15">
        <v>0</v>
      </c>
      <c r="ED267" s="15">
        <v>0</v>
      </c>
      <c r="EE267" s="15">
        <v>0</v>
      </c>
      <c r="EF267" s="15">
        <v>0</v>
      </c>
    </row>
    <row r="268" spans="1:136" ht="15" customHeight="1" x14ac:dyDescent="0.35">
      <c r="A268" s="8" t="s">
        <v>12</v>
      </c>
      <c r="B268" s="8" t="s">
        <v>33</v>
      </c>
      <c r="C268" s="8" t="s">
        <v>33</v>
      </c>
      <c r="D268" s="8" t="s">
        <v>317</v>
      </c>
      <c r="E268" s="8" t="s">
        <v>10</v>
      </c>
      <c r="F268" s="8" t="s">
        <v>87</v>
      </c>
      <c r="G268" s="15">
        <v>0</v>
      </c>
      <c r="H268" s="15">
        <v>0</v>
      </c>
      <c r="I268" s="15">
        <v>4.5</v>
      </c>
      <c r="J268" s="15">
        <v>-4.5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1</v>
      </c>
      <c r="AL268" s="15">
        <v>3.5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  <c r="AR268" s="15">
        <v>0</v>
      </c>
      <c r="AS268" s="15">
        <v>0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5">
        <v>0</v>
      </c>
      <c r="BE268" s="15">
        <v>0</v>
      </c>
      <c r="BF268" s="15">
        <v>0</v>
      </c>
      <c r="BG268" s="15">
        <v>0</v>
      </c>
      <c r="BH268" s="15">
        <v>0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0</v>
      </c>
      <c r="BP268" s="15">
        <v>0</v>
      </c>
      <c r="BQ268" s="15">
        <v>0</v>
      </c>
      <c r="BR268" s="15">
        <v>0</v>
      </c>
      <c r="BS268" s="15">
        <v>0</v>
      </c>
      <c r="BT268" s="15">
        <v>0</v>
      </c>
      <c r="BU268" s="15">
        <v>0</v>
      </c>
      <c r="BV268" s="15">
        <v>0</v>
      </c>
      <c r="BW268" s="15">
        <v>0</v>
      </c>
      <c r="BX268" s="15">
        <v>0</v>
      </c>
      <c r="BY268" s="15">
        <v>0</v>
      </c>
      <c r="BZ268" s="15">
        <v>0</v>
      </c>
      <c r="CA268" s="15">
        <v>0</v>
      </c>
      <c r="CB268" s="15">
        <v>0</v>
      </c>
      <c r="CC268" s="15">
        <v>0</v>
      </c>
      <c r="CD268" s="15">
        <v>0</v>
      </c>
      <c r="CE268" s="15">
        <v>0</v>
      </c>
      <c r="CF268" s="15">
        <v>0</v>
      </c>
      <c r="CG268" s="15">
        <v>0</v>
      </c>
      <c r="CH268" s="15">
        <v>0</v>
      </c>
      <c r="CI268" s="15">
        <v>0</v>
      </c>
      <c r="CJ268" s="15">
        <v>0</v>
      </c>
      <c r="CK268" s="15">
        <v>0</v>
      </c>
      <c r="CL268" s="15">
        <v>0</v>
      </c>
      <c r="CM268" s="15">
        <v>0</v>
      </c>
      <c r="CN268" s="15">
        <v>0</v>
      </c>
      <c r="CO268" s="15">
        <v>0</v>
      </c>
      <c r="CP268" s="15">
        <v>0</v>
      </c>
      <c r="CQ268" s="15">
        <v>0</v>
      </c>
      <c r="CR268" s="15">
        <v>0</v>
      </c>
      <c r="CS268" s="15">
        <v>0</v>
      </c>
      <c r="CT268" s="15">
        <v>0</v>
      </c>
      <c r="CU268" s="15">
        <v>0</v>
      </c>
      <c r="CV268" s="15">
        <v>0</v>
      </c>
      <c r="CW268" s="15">
        <v>0</v>
      </c>
      <c r="CX268" s="15">
        <v>0</v>
      </c>
      <c r="CY268" s="15">
        <v>0</v>
      </c>
      <c r="CZ268" s="15">
        <v>0</v>
      </c>
      <c r="DA268" s="15">
        <v>0</v>
      </c>
      <c r="DB268" s="15">
        <v>0</v>
      </c>
      <c r="DC268" s="15">
        <v>0</v>
      </c>
      <c r="DD268" s="15">
        <v>0</v>
      </c>
      <c r="DE268" s="15">
        <v>0</v>
      </c>
      <c r="DF268" s="15">
        <v>0</v>
      </c>
      <c r="DG268" s="15">
        <v>0</v>
      </c>
      <c r="DH268" s="15">
        <v>0</v>
      </c>
      <c r="DI268" s="15">
        <v>0</v>
      </c>
      <c r="DJ268" s="15">
        <v>0</v>
      </c>
      <c r="DK268" s="15">
        <v>0</v>
      </c>
      <c r="DL268" s="15">
        <v>0</v>
      </c>
      <c r="DM268" s="15">
        <v>0</v>
      </c>
      <c r="DN268" s="15">
        <v>0</v>
      </c>
      <c r="DO268" s="15">
        <v>0</v>
      </c>
      <c r="DP268" s="15">
        <v>0</v>
      </c>
      <c r="DQ268" s="15">
        <v>0</v>
      </c>
      <c r="DR268" s="15">
        <v>0</v>
      </c>
      <c r="DS268" s="15">
        <v>0</v>
      </c>
      <c r="DT268" s="15">
        <v>0</v>
      </c>
      <c r="DU268" s="15">
        <v>0</v>
      </c>
      <c r="DV268" s="15">
        <v>0</v>
      </c>
      <c r="DW268" s="15">
        <v>0</v>
      </c>
      <c r="DX268" s="15">
        <v>0</v>
      </c>
      <c r="DY268" s="15">
        <v>0</v>
      </c>
      <c r="DZ268" s="15">
        <v>0</v>
      </c>
      <c r="EA268" s="15">
        <v>0</v>
      </c>
      <c r="EB268" s="15">
        <v>0</v>
      </c>
      <c r="EC268" s="15">
        <v>0</v>
      </c>
      <c r="ED268" s="15">
        <v>0</v>
      </c>
      <c r="EE268" s="15">
        <v>0</v>
      </c>
      <c r="EF268" s="15">
        <v>0</v>
      </c>
    </row>
    <row r="269" spans="1:136" ht="15" customHeight="1" x14ac:dyDescent="0.35">
      <c r="A269" s="8" t="s">
        <v>12</v>
      </c>
      <c r="B269" s="8" t="s">
        <v>33</v>
      </c>
      <c r="C269" s="8" t="s">
        <v>33</v>
      </c>
      <c r="D269" s="8" t="s">
        <v>316</v>
      </c>
      <c r="E269" s="8" t="s">
        <v>10</v>
      </c>
      <c r="F269" s="8" t="s">
        <v>87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5">
        <v>0</v>
      </c>
      <c r="CH269" s="15">
        <v>0</v>
      </c>
      <c r="CI269" s="15">
        <v>0</v>
      </c>
      <c r="CJ269" s="15">
        <v>0</v>
      </c>
      <c r="CK269" s="15">
        <v>0</v>
      </c>
      <c r="CL269" s="15">
        <v>0</v>
      </c>
      <c r="CM269" s="15">
        <v>0</v>
      </c>
      <c r="CN269" s="15">
        <v>0</v>
      </c>
      <c r="CO269" s="15">
        <v>0</v>
      </c>
      <c r="CP269" s="15">
        <v>0</v>
      </c>
      <c r="CQ269" s="15">
        <v>0</v>
      </c>
      <c r="CR269" s="15">
        <v>0</v>
      </c>
      <c r="CS269" s="15">
        <v>0</v>
      </c>
      <c r="CT269" s="15">
        <v>0</v>
      </c>
      <c r="CU269" s="15">
        <v>0</v>
      </c>
      <c r="CV269" s="15">
        <v>0</v>
      </c>
      <c r="CW269" s="15">
        <v>0</v>
      </c>
      <c r="CX269" s="15">
        <v>0</v>
      </c>
      <c r="CY269" s="15">
        <v>0</v>
      </c>
      <c r="CZ269" s="15">
        <v>0</v>
      </c>
      <c r="DA269" s="15">
        <v>0</v>
      </c>
      <c r="DB269" s="15">
        <v>0</v>
      </c>
      <c r="DC269" s="15">
        <v>0</v>
      </c>
      <c r="DD269" s="15">
        <v>0</v>
      </c>
      <c r="DE269" s="15">
        <v>0</v>
      </c>
      <c r="DF269" s="15">
        <v>0</v>
      </c>
      <c r="DG269" s="15">
        <v>0</v>
      </c>
      <c r="DH269" s="15">
        <v>0</v>
      </c>
      <c r="DI269" s="15">
        <v>0</v>
      </c>
      <c r="DJ269" s="15">
        <v>0</v>
      </c>
      <c r="DK269" s="15">
        <v>0</v>
      </c>
      <c r="DL269" s="15">
        <v>0</v>
      </c>
      <c r="DM269" s="15">
        <v>0</v>
      </c>
      <c r="DN269" s="15">
        <v>0</v>
      </c>
      <c r="DO269" s="15">
        <v>0</v>
      </c>
      <c r="DP269" s="15">
        <v>0</v>
      </c>
      <c r="DQ269" s="15">
        <v>0</v>
      </c>
      <c r="DR269" s="15">
        <v>0</v>
      </c>
      <c r="DS269" s="15">
        <v>0</v>
      </c>
      <c r="DT269" s="15">
        <v>0</v>
      </c>
      <c r="DU269" s="15">
        <v>0</v>
      </c>
      <c r="DV269" s="15">
        <v>0</v>
      </c>
      <c r="DW269" s="15">
        <v>0</v>
      </c>
      <c r="DX269" s="15">
        <v>0</v>
      </c>
      <c r="DY269" s="15">
        <v>0</v>
      </c>
      <c r="DZ269" s="15">
        <v>0</v>
      </c>
      <c r="EA269" s="15">
        <v>0</v>
      </c>
      <c r="EB269" s="15">
        <v>0</v>
      </c>
      <c r="EC269" s="15">
        <v>0</v>
      </c>
      <c r="ED269" s="15">
        <v>0</v>
      </c>
      <c r="EE269" s="15">
        <v>0</v>
      </c>
      <c r="EF269" s="15">
        <v>0</v>
      </c>
    </row>
    <row r="270" spans="1:136" ht="15" customHeight="1" x14ac:dyDescent="0.35">
      <c r="A270" s="8" t="s">
        <v>12</v>
      </c>
      <c r="B270" s="8" t="s">
        <v>33</v>
      </c>
      <c r="C270" s="8" t="s">
        <v>33</v>
      </c>
      <c r="D270" s="8" t="s">
        <v>317</v>
      </c>
      <c r="E270" s="8" t="s">
        <v>10</v>
      </c>
      <c r="F270" s="8" t="s">
        <v>107</v>
      </c>
      <c r="G270" s="15">
        <v>9</v>
      </c>
      <c r="H270" s="15">
        <v>117.7</v>
      </c>
      <c r="I270" s="15">
        <v>108.7</v>
      </c>
      <c r="J270" s="15">
        <v>9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15">
        <v>0</v>
      </c>
      <c r="BB270" s="15">
        <v>0</v>
      </c>
      <c r="BC270" s="15">
        <v>0</v>
      </c>
      <c r="BD270" s="15">
        <v>0</v>
      </c>
      <c r="BE270" s="15">
        <v>0</v>
      </c>
      <c r="BF270" s="15">
        <v>0</v>
      </c>
      <c r="BG270" s="15">
        <v>0</v>
      </c>
      <c r="BH270" s="15">
        <v>0</v>
      </c>
      <c r="BI270" s="15">
        <v>0</v>
      </c>
      <c r="BJ270" s="15">
        <v>0</v>
      </c>
      <c r="BK270" s="15">
        <v>0</v>
      </c>
      <c r="BL270" s="15">
        <v>0</v>
      </c>
      <c r="BM270" s="15">
        <v>0</v>
      </c>
      <c r="BN270" s="15">
        <v>0</v>
      </c>
      <c r="BO270" s="15">
        <v>0</v>
      </c>
      <c r="BP270" s="15">
        <v>0</v>
      </c>
      <c r="BQ270" s="15">
        <v>0</v>
      </c>
      <c r="BR270" s="15">
        <v>0</v>
      </c>
      <c r="BS270" s="15">
        <v>0</v>
      </c>
      <c r="BT270" s="15">
        <v>0</v>
      </c>
      <c r="BU270" s="15">
        <v>0</v>
      </c>
      <c r="BV270" s="15">
        <v>0</v>
      </c>
      <c r="BW270" s="15">
        <v>0</v>
      </c>
      <c r="BX270" s="15">
        <v>0</v>
      </c>
      <c r="BY270" s="15">
        <v>0</v>
      </c>
      <c r="BZ270" s="15">
        <v>0</v>
      </c>
      <c r="CA270" s="15">
        <v>0</v>
      </c>
      <c r="CB270" s="15">
        <v>0</v>
      </c>
      <c r="CC270" s="15">
        <v>0</v>
      </c>
      <c r="CD270" s="15">
        <v>0</v>
      </c>
      <c r="CE270" s="15">
        <v>0</v>
      </c>
      <c r="CF270" s="15">
        <v>0</v>
      </c>
      <c r="CG270" s="15">
        <v>0</v>
      </c>
      <c r="CH270" s="15">
        <v>0</v>
      </c>
      <c r="CI270" s="15">
        <v>0</v>
      </c>
      <c r="CJ270" s="15">
        <v>0</v>
      </c>
      <c r="CK270" s="15">
        <v>0</v>
      </c>
      <c r="CL270" s="15">
        <v>0</v>
      </c>
      <c r="CM270" s="15">
        <v>0</v>
      </c>
      <c r="CN270" s="15">
        <v>0</v>
      </c>
      <c r="CO270" s="15">
        <v>0</v>
      </c>
      <c r="CP270" s="15">
        <v>0</v>
      </c>
      <c r="CQ270" s="15">
        <v>0</v>
      </c>
      <c r="CR270" s="15">
        <v>0</v>
      </c>
      <c r="CS270" s="15">
        <v>7</v>
      </c>
      <c r="CT270" s="15">
        <v>7</v>
      </c>
      <c r="CU270" s="15">
        <v>4</v>
      </c>
      <c r="CV270" s="15">
        <v>1</v>
      </c>
      <c r="CW270" s="15">
        <v>1</v>
      </c>
      <c r="CX270" s="15">
        <v>1</v>
      </c>
      <c r="CY270" s="15">
        <v>0.2</v>
      </c>
      <c r="CZ270" s="15">
        <v>0.1</v>
      </c>
      <c r="DA270" s="15">
        <v>0.1</v>
      </c>
      <c r="DB270" s="15">
        <v>0.2</v>
      </c>
      <c r="DC270" s="15">
        <v>0</v>
      </c>
      <c r="DD270" s="15">
        <v>0</v>
      </c>
      <c r="DE270" s="15">
        <v>0</v>
      </c>
      <c r="DF270" s="15">
        <v>7</v>
      </c>
      <c r="DG270" s="15">
        <v>7</v>
      </c>
      <c r="DH270" s="15">
        <v>7</v>
      </c>
      <c r="DI270" s="15">
        <v>0</v>
      </c>
      <c r="DJ270" s="15">
        <v>0</v>
      </c>
      <c r="DK270" s="15">
        <v>7</v>
      </c>
      <c r="DL270" s="15">
        <v>0.1</v>
      </c>
      <c r="DM270" s="15">
        <v>0</v>
      </c>
      <c r="DN270" s="15">
        <v>0</v>
      </c>
      <c r="DO270" s="15">
        <v>0</v>
      </c>
      <c r="DP270" s="15">
        <v>0</v>
      </c>
      <c r="DQ270" s="15">
        <v>0</v>
      </c>
      <c r="DR270" s="15">
        <v>2</v>
      </c>
      <c r="DS270" s="15">
        <v>9</v>
      </c>
      <c r="DT270" s="15">
        <v>9</v>
      </c>
      <c r="DU270" s="15">
        <v>9</v>
      </c>
      <c r="DV270" s="15">
        <v>9</v>
      </c>
      <c r="DW270" s="15">
        <v>9</v>
      </c>
      <c r="DX270" s="15">
        <v>9</v>
      </c>
      <c r="DY270" s="15">
        <v>3</v>
      </c>
      <c r="DZ270" s="15">
        <v>0</v>
      </c>
      <c r="EA270" s="15">
        <v>0</v>
      </c>
      <c r="EB270" s="15">
        <v>0</v>
      </c>
      <c r="EC270" s="15">
        <v>0</v>
      </c>
      <c r="ED270" s="15">
        <v>0</v>
      </c>
      <c r="EE270" s="15">
        <v>0</v>
      </c>
      <c r="EF270" s="15">
        <v>0</v>
      </c>
    </row>
    <row r="271" spans="1:136" ht="15" customHeight="1" x14ac:dyDescent="0.35">
      <c r="A271" s="8" t="s">
        <v>12</v>
      </c>
      <c r="B271" s="8" t="s">
        <v>90</v>
      </c>
      <c r="C271" s="8" t="s">
        <v>90</v>
      </c>
      <c r="D271" s="8" t="s">
        <v>320</v>
      </c>
      <c r="E271" s="8" t="s">
        <v>16</v>
      </c>
      <c r="F271" s="8" t="s">
        <v>82</v>
      </c>
      <c r="G271" s="15">
        <v>6</v>
      </c>
      <c r="H271" s="15">
        <v>6</v>
      </c>
      <c r="I271" s="15">
        <v>6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6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5">
        <v>0</v>
      </c>
      <c r="CH271" s="15">
        <v>0</v>
      </c>
      <c r="CI271" s="15">
        <v>0</v>
      </c>
      <c r="CJ271" s="15">
        <v>0</v>
      </c>
      <c r="CK271" s="15">
        <v>0</v>
      </c>
      <c r="CL271" s="15">
        <v>0</v>
      </c>
      <c r="CM271" s="15">
        <v>0</v>
      </c>
      <c r="CN271" s="15">
        <v>0</v>
      </c>
      <c r="CO271" s="15">
        <v>0</v>
      </c>
      <c r="CP271" s="15">
        <v>0</v>
      </c>
      <c r="CQ271" s="15">
        <v>0</v>
      </c>
      <c r="CR271" s="15">
        <v>0</v>
      </c>
      <c r="CS271" s="15">
        <v>0</v>
      </c>
      <c r="CT271" s="15">
        <v>0</v>
      </c>
      <c r="CU271" s="15">
        <v>0</v>
      </c>
      <c r="CV271" s="15">
        <v>0</v>
      </c>
      <c r="CW271" s="15">
        <v>0</v>
      </c>
      <c r="CX271" s="15">
        <v>0</v>
      </c>
      <c r="CY271" s="15">
        <v>0</v>
      </c>
      <c r="CZ271" s="15">
        <v>0</v>
      </c>
      <c r="DA271" s="15">
        <v>0</v>
      </c>
      <c r="DB271" s="15">
        <v>0</v>
      </c>
      <c r="DC271" s="15">
        <v>0</v>
      </c>
      <c r="DD271" s="15">
        <v>0</v>
      </c>
      <c r="DE271" s="15">
        <v>0</v>
      </c>
      <c r="DF271" s="15">
        <v>0</v>
      </c>
      <c r="DG271" s="15">
        <v>0</v>
      </c>
      <c r="DH271" s="15">
        <v>0</v>
      </c>
      <c r="DI271" s="15">
        <v>0</v>
      </c>
      <c r="DJ271" s="15">
        <v>0</v>
      </c>
      <c r="DK271" s="15">
        <v>0</v>
      </c>
      <c r="DL271" s="15">
        <v>0</v>
      </c>
      <c r="DM271" s="15">
        <v>0</v>
      </c>
      <c r="DN271" s="15">
        <v>0</v>
      </c>
      <c r="DO271" s="15">
        <v>0</v>
      </c>
      <c r="DP271" s="15">
        <v>0</v>
      </c>
      <c r="DQ271" s="15">
        <v>0</v>
      </c>
      <c r="DR271" s="15">
        <v>0</v>
      </c>
      <c r="DS271" s="15">
        <v>0</v>
      </c>
      <c r="DT271" s="15">
        <v>0</v>
      </c>
      <c r="DU271" s="15">
        <v>0</v>
      </c>
      <c r="DV271" s="15">
        <v>0</v>
      </c>
      <c r="DW271" s="15">
        <v>0</v>
      </c>
      <c r="DX271" s="15">
        <v>0</v>
      </c>
      <c r="DY271" s="15">
        <v>0</v>
      </c>
      <c r="DZ271" s="15">
        <v>0</v>
      </c>
      <c r="EA271" s="15">
        <v>0</v>
      </c>
      <c r="EB271" s="15">
        <v>0</v>
      </c>
      <c r="EC271" s="15">
        <v>0</v>
      </c>
      <c r="ED271" s="15">
        <v>0</v>
      </c>
      <c r="EE271" s="15">
        <v>0</v>
      </c>
      <c r="EF271" s="15">
        <v>0</v>
      </c>
    </row>
    <row r="272" spans="1:136" ht="15" customHeight="1" x14ac:dyDescent="0.35">
      <c r="A272" s="8" t="s">
        <v>12</v>
      </c>
      <c r="B272" s="8" t="s">
        <v>90</v>
      </c>
      <c r="C272" s="8" t="s">
        <v>90</v>
      </c>
      <c r="D272" s="8" t="s">
        <v>319</v>
      </c>
      <c r="E272" s="8" t="s">
        <v>16</v>
      </c>
      <c r="F272" s="8" t="s">
        <v>82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15">
        <v>0</v>
      </c>
      <c r="BB272" s="15">
        <v>0</v>
      </c>
      <c r="BC272" s="15">
        <v>0</v>
      </c>
      <c r="BD272" s="15">
        <v>0</v>
      </c>
      <c r="BE272" s="15">
        <v>0</v>
      </c>
      <c r="BF272" s="15">
        <v>0</v>
      </c>
      <c r="BG272" s="15">
        <v>0</v>
      </c>
      <c r="BH272" s="15">
        <v>0</v>
      </c>
      <c r="BI272" s="15">
        <v>0</v>
      </c>
      <c r="BJ272" s="15">
        <v>0</v>
      </c>
      <c r="BK272" s="15">
        <v>0</v>
      </c>
      <c r="BL272" s="15">
        <v>0</v>
      </c>
      <c r="BM272" s="15">
        <v>0</v>
      </c>
      <c r="BN272" s="15">
        <v>0</v>
      </c>
      <c r="BO272" s="15">
        <v>0</v>
      </c>
      <c r="BP272" s="15">
        <v>0</v>
      </c>
      <c r="BQ272" s="15">
        <v>0</v>
      </c>
      <c r="BR272" s="15">
        <v>0</v>
      </c>
      <c r="BS272" s="15">
        <v>0</v>
      </c>
      <c r="BT272" s="15">
        <v>0</v>
      </c>
      <c r="BU272" s="15">
        <v>0</v>
      </c>
      <c r="BV272" s="15">
        <v>0</v>
      </c>
      <c r="BW272" s="15">
        <v>0</v>
      </c>
      <c r="BX272" s="15">
        <v>0</v>
      </c>
      <c r="BY272" s="15">
        <v>0</v>
      </c>
      <c r="BZ272" s="15">
        <v>0</v>
      </c>
      <c r="CA272" s="15">
        <v>0</v>
      </c>
      <c r="CB272" s="15">
        <v>0</v>
      </c>
      <c r="CC272" s="15">
        <v>0</v>
      </c>
      <c r="CD272" s="15">
        <v>0</v>
      </c>
      <c r="CE272" s="15">
        <v>0</v>
      </c>
      <c r="CF272" s="15">
        <v>0</v>
      </c>
      <c r="CG272" s="15">
        <v>0</v>
      </c>
      <c r="CH272" s="15">
        <v>0</v>
      </c>
      <c r="CI272" s="15">
        <v>0</v>
      </c>
      <c r="CJ272" s="15">
        <v>0</v>
      </c>
      <c r="CK272" s="15">
        <v>0</v>
      </c>
      <c r="CL272" s="15">
        <v>0</v>
      </c>
      <c r="CM272" s="15">
        <v>0</v>
      </c>
      <c r="CN272" s="15">
        <v>0</v>
      </c>
      <c r="CO272" s="15">
        <v>0</v>
      </c>
      <c r="CP272" s="15">
        <v>0</v>
      </c>
      <c r="CQ272" s="15">
        <v>0</v>
      </c>
      <c r="CR272" s="15">
        <v>0</v>
      </c>
      <c r="CS272" s="15">
        <v>0</v>
      </c>
      <c r="CT272" s="15">
        <v>0</v>
      </c>
      <c r="CU272" s="15">
        <v>0</v>
      </c>
      <c r="CV272" s="15">
        <v>0</v>
      </c>
      <c r="CW272" s="15">
        <v>0</v>
      </c>
      <c r="CX272" s="15">
        <v>0</v>
      </c>
      <c r="CY272" s="15">
        <v>0</v>
      </c>
      <c r="CZ272" s="15">
        <v>0</v>
      </c>
      <c r="DA272" s="15">
        <v>0</v>
      </c>
      <c r="DB272" s="15">
        <v>0</v>
      </c>
      <c r="DC272" s="15">
        <v>0</v>
      </c>
      <c r="DD272" s="15">
        <v>0</v>
      </c>
      <c r="DE272" s="15">
        <v>0</v>
      </c>
      <c r="DF272" s="15">
        <v>0</v>
      </c>
      <c r="DG272" s="15">
        <v>0</v>
      </c>
      <c r="DH272" s="15">
        <v>0</v>
      </c>
      <c r="DI272" s="15">
        <v>0</v>
      </c>
      <c r="DJ272" s="15">
        <v>0</v>
      </c>
      <c r="DK272" s="15">
        <v>0</v>
      </c>
      <c r="DL272" s="15">
        <v>0</v>
      </c>
      <c r="DM272" s="15">
        <v>0</v>
      </c>
      <c r="DN272" s="15">
        <v>0</v>
      </c>
      <c r="DO272" s="15">
        <v>0</v>
      </c>
      <c r="DP272" s="15">
        <v>0</v>
      </c>
      <c r="DQ272" s="15">
        <v>0</v>
      </c>
      <c r="DR272" s="15">
        <v>0</v>
      </c>
      <c r="DS272" s="15">
        <v>0</v>
      </c>
      <c r="DT272" s="15">
        <v>0</v>
      </c>
      <c r="DU272" s="15">
        <v>0</v>
      </c>
      <c r="DV272" s="15">
        <v>0</v>
      </c>
      <c r="DW272" s="15">
        <v>0</v>
      </c>
      <c r="DX272" s="15">
        <v>0</v>
      </c>
      <c r="DY272" s="15">
        <v>0</v>
      </c>
      <c r="DZ272" s="15">
        <v>0</v>
      </c>
      <c r="EA272" s="15">
        <v>0</v>
      </c>
      <c r="EB272" s="15">
        <v>0</v>
      </c>
      <c r="EC272" s="15">
        <v>0</v>
      </c>
      <c r="ED272" s="15">
        <v>0</v>
      </c>
      <c r="EE272" s="15">
        <v>0</v>
      </c>
      <c r="EF272" s="15">
        <v>0</v>
      </c>
    </row>
    <row r="273" spans="1:136" ht="15" customHeight="1" x14ac:dyDescent="0.35">
      <c r="A273" s="8" t="s">
        <v>12</v>
      </c>
      <c r="B273" s="8" t="s">
        <v>90</v>
      </c>
      <c r="C273" s="8" t="s">
        <v>90</v>
      </c>
      <c r="D273" s="8" t="s">
        <v>320</v>
      </c>
      <c r="E273" s="8" t="s">
        <v>16</v>
      </c>
      <c r="F273" s="8" t="s">
        <v>84</v>
      </c>
      <c r="G273" s="15">
        <v>0</v>
      </c>
      <c r="H273" s="15">
        <v>10</v>
      </c>
      <c r="I273" s="15">
        <v>0</v>
      </c>
      <c r="J273" s="15">
        <v>10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5">
        <v>0</v>
      </c>
      <c r="CH273" s="15">
        <v>0</v>
      </c>
      <c r="CI273" s="15">
        <v>0</v>
      </c>
      <c r="CJ273" s="15">
        <v>0</v>
      </c>
      <c r="CK273" s="15">
        <v>0</v>
      </c>
      <c r="CL273" s="15">
        <v>0</v>
      </c>
      <c r="CM273" s="15">
        <v>0</v>
      </c>
      <c r="CN273" s="15">
        <v>0</v>
      </c>
      <c r="CO273" s="15">
        <v>0</v>
      </c>
      <c r="CP273" s="15">
        <v>0</v>
      </c>
      <c r="CQ273" s="15">
        <v>0</v>
      </c>
      <c r="CR273" s="15">
        <v>0</v>
      </c>
      <c r="CS273" s="15">
        <v>0</v>
      </c>
      <c r="CT273" s="15">
        <v>0</v>
      </c>
      <c r="CU273" s="15">
        <v>0</v>
      </c>
      <c r="CV273" s="15">
        <v>0</v>
      </c>
      <c r="CW273" s="15">
        <v>0</v>
      </c>
      <c r="CX273" s="15">
        <v>0</v>
      </c>
      <c r="CY273" s="15">
        <v>0</v>
      </c>
      <c r="CZ273" s="15">
        <v>0</v>
      </c>
      <c r="DA273" s="15">
        <v>0</v>
      </c>
      <c r="DB273" s="15">
        <v>0</v>
      </c>
      <c r="DC273" s="15">
        <v>0</v>
      </c>
      <c r="DD273" s="15">
        <v>0</v>
      </c>
      <c r="DE273" s="15">
        <v>0</v>
      </c>
      <c r="DF273" s="15">
        <v>0</v>
      </c>
      <c r="DG273" s="15">
        <v>0</v>
      </c>
      <c r="DH273" s="15">
        <v>0</v>
      </c>
      <c r="DI273" s="15">
        <v>0</v>
      </c>
      <c r="DJ273" s="15">
        <v>0</v>
      </c>
      <c r="DK273" s="15">
        <v>0</v>
      </c>
      <c r="DL273" s="15">
        <v>0</v>
      </c>
      <c r="DM273" s="15">
        <v>0</v>
      </c>
      <c r="DN273" s="15">
        <v>0</v>
      </c>
      <c r="DO273" s="15">
        <v>0</v>
      </c>
      <c r="DP273" s="15">
        <v>0</v>
      </c>
      <c r="DQ273" s="15">
        <v>0</v>
      </c>
      <c r="DR273" s="15">
        <v>0</v>
      </c>
      <c r="DS273" s="15">
        <v>0</v>
      </c>
      <c r="DT273" s="15">
        <v>0</v>
      </c>
      <c r="DU273" s="15">
        <v>0</v>
      </c>
      <c r="DV273" s="15">
        <v>0</v>
      </c>
      <c r="DW273" s="15">
        <v>0</v>
      </c>
      <c r="DX273" s="15">
        <v>0</v>
      </c>
      <c r="DY273" s="15">
        <v>0</v>
      </c>
      <c r="DZ273" s="15">
        <v>0</v>
      </c>
      <c r="EA273" s="15">
        <v>0</v>
      </c>
      <c r="EB273" s="15">
        <v>0</v>
      </c>
      <c r="EC273" s="15">
        <v>0</v>
      </c>
      <c r="ED273" s="15">
        <v>0</v>
      </c>
      <c r="EE273" s="15">
        <v>0</v>
      </c>
      <c r="EF273" s="15">
        <v>0</v>
      </c>
    </row>
    <row r="274" spans="1:136" ht="15" customHeight="1" x14ac:dyDescent="0.35">
      <c r="A274" s="8" t="s">
        <v>12</v>
      </c>
      <c r="B274" s="8" t="s">
        <v>90</v>
      </c>
      <c r="C274" s="8" t="s">
        <v>90</v>
      </c>
      <c r="D274" s="8" t="s">
        <v>319</v>
      </c>
      <c r="E274" s="8" t="s">
        <v>16</v>
      </c>
      <c r="F274" s="8" t="s">
        <v>84</v>
      </c>
      <c r="G274" s="15">
        <v>0</v>
      </c>
      <c r="H274" s="15">
        <v>0</v>
      </c>
      <c r="I274" s="15">
        <v>10</v>
      </c>
      <c r="J274" s="15">
        <v>-10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15">
        <v>0</v>
      </c>
      <c r="BB274" s="15">
        <v>0</v>
      </c>
      <c r="BC274" s="15">
        <v>0</v>
      </c>
      <c r="BD274" s="15">
        <v>0</v>
      </c>
      <c r="BE274" s="15">
        <v>0</v>
      </c>
      <c r="BF274" s="15">
        <v>0</v>
      </c>
      <c r="BG274" s="15">
        <v>0</v>
      </c>
      <c r="BH274" s="15">
        <v>0</v>
      </c>
      <c r="BI274" s="15">
        <v>0</v>
      </c>
      <c r="BJ274" s="15">
        <v>0</v>
      </c>
      <c r="BK274" s="15">
        <v>0</v>
      </c>
      <c r="BL274" s="15">
        <v>0</v>
      </c>
      <c r="BM274" s="15">
        <v>0</v>
      </c>
      <c r="BN274" s="15">
        <v>0</v>
      </c>
      <c r="BO274" s="15">
        <v>0</v>
      </c>
      <c r="BP274" s="15">
        <v>0</v>
      </c>
      <c r="BQ274" s="15">
        <v>0</v>
      </c>
      <c r="BR274" s="15">
        <v>0</v>
      </c>
      <c r="BS274" s="15">
        <v>0</v>
      </c>
      <c r="BT274" s="15">
        <v>0</v>
      </c>
      <c r="BU274" s="15">
        <v>0</v>
      </c>
      <c r="BV274" s="15">
        <v>0</v>
      </c>
      <c r="BW274" s="15">
        <v>0</v>
      </c>
      <c r="BX274" s="15">
        <v>0</v>
      </c>
      <c r="BY274" s="15">
        <v>0</v>
      </c>
      <c r="BZ274" s="15">
        <v>0</v>
      </c>
      <c r="CA274" s="15">
        <v>0</v>
      </c>
      <c r="CB274" s="15">
        <v>0</v>
      </c>
      <c r="CC274" s="15">
        <v>0</v>
      </c>
      <c r="CD274" s="15">
        <v>0</v>
      </c>
      <c r="CE274" s="15">
        <v>0</v>
      </c>
      <c r="CF274" s="15">
        <v>0</v>
      </c>
      <c r="CG274" s="15">
        <v>0</v>
      </c>
      <c r="CH274" s="15">
        <v>0</v>
      </c>
      <c r="CI274" s="15">
        <v>0</v>
      </c>
      <c r="CJ274" s="15">
        <v>0</v>
      </c>
      <c r="CK274" s="15">
        <v>0</v>
      </c>
      <c r="CL274" s="15">
        <v>0</v>
      </c>
      <c r="CM274" s="15">
        <v>0</v>
      </c>
      <c r="CN274" s="15">
        <v>0</v>
      </c>
      <c r="CO274" s="15">
        <v>0</v>
      </c>
      <c r="CP274" s="15">
        <v>0</v>
      </c>
      <c r="CQ274" s="15">
        <v>0</v>
      </c>
      <c r="CR274" s="15">
        <v>0</v>
      </c>
      <c r="CS274" s="15">
        <v>0</v>
      </c>
      <c r="CT274" s="15">
        <v>0</v>
      </c>
      <c r="CU274" s="15">
        <v>0</v>
      </c>
      <c r="CV274" s="15">
        <v>0</v>
      </c>
      <c r="CW274" s="15">
        <v>0</v>
      </c>
      <c r="CX274" s="15">
        <v>0</v>
      </c>
      <c r="CY274" s="15">
        <v>0</v>
      </c>
      <c r="CZ274" s="15">
        <v>5</v>
      </c>
      <c r="DA274" s="15">
        <v>5</v>
      </c>
      <c r="DB274" s="15">
        <v>0</v>
      </c>
      <c r="DC274" s="15">
        <v>0</v>
      </c>
      <c r="DD274" s="15">
        <v>0</v>
      </c>
      <c r="DE274" s="15">
        <v>0</v>
      </c>
      <c r="DF274" s="15">
        <v>0</v>
      </c>
      <c r="DG274" s="15">
        <v>0</v>
      </c>
      <c r="DH274" s="15">
        <v>0</v>
      </c>
      <c r="DI274" s="15">
        <v>0</v>
      </c>
      <c r="DJ274" s="15">
        <v>0</v>
      </c>
      <c r="DK274" s="15">
        <v>0</v>
      </c>
      <c r="DL274" s="15">
        <v>0</v>
      </c>
      <c r="DM274" s="15">
        <v>0</v>
      </c>
      <c r="DN274" s="15">
        <v>0</v>
      </c>
      <c r="DO274" s="15">
        <v>0</v>
      </c>
      <c r="DP274" s="15">
        <v>0</v>
      </c>
      <c r="DQ274" s="15">
        <v>0</v>
      </c>
      <c r="DR274" s="15">
        <v>0</v>
      </c>
      <c r="DS274" s="15">
        <v>0</v>
      </c>
      <c r="DT274" s="15">
        <v>0</v>
      </c>
      <c r="DU274" s="15">
        <v>0</v>
      </c>
      <c r="DV274" s="15">
        <v>0</v>
      </c>
      <c r="DW274" s="15">
        <v>0</v>
      </c>
      <c r="DX274" s="15">
        <v>0</v>
      </c>
      <c r="DY274" s="15">
        <v>0</v>
      </c>
      <c r="DZ274" s="15">
        <v>0</v>
      </c>
      <c r="EA274" s="15">
        <v>0</v>
      </c>
      <c r="EB274" s="15">
        <v>0</v>
      </c>
      <c r="EC274" s="15">
        <v>0</v>
      </c>
      <c r="ED274" s="15">
        <v>0</v>
      </c>
      <c r="EE274" s="15">
        <v>0</v>
      </c>
      <c r="EF274" s="15">
        <v>0</v>
      </c>
    </row>
    <row r="275" spans="1:136" ht="15" customHeight="1" x14ac:dyDescent="0.35">
      <c r="A275" s="8" t="s">
        <v>12</v>
      </c>
      <c r="B275" s="8" t="s">
        <v>90</v>
      </c>
      <c r="C275" s="8" t="s">
        <v>90</v>
      </c>
      <c r="D275" s="8" t="s">
        <v>320</v>
      </c>
      <c r="E275" s="8" t="s">
        <v>16</v>
      </c>
      <c r="F275" s="8" t="s">
        <v>86</v>
      </c>
      <c r="G275" s="15">
        <v>0</v>
      </c>
      <c r="H275" s="15">
        <v>0</v>
      </c>
      <c r="I275" s="15">
        <v>13</v>
      </c>
      <c r="J275" s="15">
        <v>-13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3</v>
      </c>
      <c r="Z275" s="15">
        <v>0</v>
      </c>
      <c r="AA275" s="15">
        <v>10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5">
        <v>0</v>
      </c>
      <c r="CH275" s="15">
        <v>0</v>
      </c>
      <c r="CI275" s="15">
        <v>0</v>
      </c>
      <c r="CJ275" s="15">
        <v>0</v>
      </c>
      <c r="CK275" s="15">
        <v>0</v>
      </c>
      <c r="CL275" s="15">
        <v>0</v>
      </c>
      <c r="CM275" s="15">
        <v>0</v>
      </c>
      <c r="CN275" s="15">
        <v>0</v>
      </c>
      <c r="CO275" s="15">
        <v>0</v>
      </c>
      <c r="CP275" s="15">
        <v>0</v>
      </c>
      <c r="CQ275" s="15">
        <v>0</v>
      </c>
      <c r="CR275" s="15">
        <v>0</v>
      </c>
      <c r="CS275" s="15">
        <v>0</v>
      </c>
      <c r="CT275" s="15">
        <v>0</v>
      </c>
      <c r="CU275" s="15">
        <v>0</v>
      </c>
      <c r="CV275" s="15">
        <v>0</v>
      </c>
      <c r="CW275" s="15">
        <v>0</v>
      </c>
      <c r="CX275" s="15">
        <v>0</v>
      </c>
      <c r="CY275" s="15">
        <v>0</v>
      </c>
      <c r="CZ275" s="15">
        <v>0</v>
      </c>
      <c r="DA275" s="15">
        <v>0</v>
      </c>
      <c r="DB275" s="15">
        <v>0</v>
      </c>
      <c r="DC275" s="15">
        <v>0</v>
      </c>
      <c r="DD275" s="15">
        <v>0</v>
      </c>
      <c r="DE275" s="15">
        <v>0</v>
      </c>
      <c r="DF275" s="15">
        <v>0</v>
      </c>
      <c r="DG275" s="15">
        <v>0</v>
      </c>
      <c r="DH275" s="15">
        <v>0</v>
      </c>
      <c r="DI275" s="15">
        <v>0</v>
      </c>
      <c r="DJ275" s="15">
        <v>0</v>
      </c>
      <c r="DK275" s="15">
        <v>0</v>
      </c>
      <c r="DL275" s="15">
        <v>0</v>
      </c>
      <c r="DM275" s="15">
        <v>0</v>
      </c>
      <c r="DN275" s="15">
        <v>0</v>
      </c>
      <c r="DO275" s="15">
        <v>0</v>
      </c>
      <c r="DP275" s="15">
        <v>0</v>
      </c>
      <c r="DQ275" s="15">
        <v>0</v>
      </c>
      <c r="DR275" s="15">
        <v>0</v>
      </c>
      <c r="DS275" s="15">
        <v>0</v>
      </c>
      <c r="DT275" s="15">
        <v>0</v>
      </c>
      <c r="DU275" s="15">
        <v>0</v>
      </c>
      <c r="DV275" s="15">
        <v>0</v>
      </c>
      <c r="DW275" s="15">
        <v>0</v>
      </c>
      <c r="DX275" s="15">
        <v>0</v>
      </c>
      <c r="DY275" s="15">
        <v>0</v>
      </c>
      <c r="DZ275" s="15">
        <v>0</v>
      </c>
      <c r="EA275" s="15">
        <v>0</v>
      </c>
      <c r="EB275" s="15">
        <v>0</v>
      </c>
      <c r="EC275" s="15">
        <v>0</v>
      </c>
      <c r="ED275" s="15">
        <v>0</v>
      </c>
      <c r="EE275" s="15">
        <v>0</v>
      </c>
      <c r="EF275" s="15">
        <v>0</v>
      </c>
    </row>
    <row r="276" spans="1:136" ht="15" customHeight="1" x14ac:dyDescent="0.35">
      <c r="A276" s="8" t="s">
        <v>12</v>
      </c>
      <c r="B276" s="8" t="s">
        <v>90</v>
      </c>
      <c r="C276" s="8" t="s">
        <v>90</v>
      </c>
      <c r="D276" s="8" t="s">
        <v>320</v>
      </c>
      <c r="E276" s="8" t="s">
        <v>16</v>
      </c>
      <c r="F276" s="8" t="s">
        <v>93</v>
      </c>
      <c r="G276" s="15">
        <v>2</v>
      </c>
      <c r="H276" s="15">
        <v>2</v>
      </c>
      <c r="I276" s="15">
        <v>2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2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5">
        <v>0</v>
      </c>
      <c r="BC276" s="15">
        <v>0</v>
      </c>
      <c r="BD276" s="15">
        <v>0</v>
      </c>
      <c r="BE276" s="15">
        <v>0</v>
      </c>
      <c r="BF276" s="15">
        <v>0</v>
      </c>
      <c r="BG276" s="15">
        <v>0</v>
      </c>
      <c r="BH276" s="15">
        <v>0</v>
      </c>
      <c r="BI276" s="15">
        <v>0</v>
      </c>
      <c r="BJ276" s="15">
        <v>0</v>
      </c>
      <c r="BK276" s="15">
        <v>0</v>
      </c>
      <c r="BL276" s="15">
        <v>0</v>
      </c>
      <c r="BM276" s="15">
        <v>0</v>
      </c>
      <c r="BN276" s="15">
        <v>0</v>
      </c>
      <c r="BO276" s="15">
        <v>0</v>
      </c>
      <c r="BP276" s="15">
        <v>0</v>
      </c>
      <c r="BQ276" s="15">
        <v>0</v>
      </c>
      <c r="BR276" s="15">
        <v>0</v>
      </c>
      <c r="BS276" s="15">
        <v>0</v>
      </c>
      <c r="BT276" s="15">
        <v>0</v>
      </c>
      <c r="BU276" s="15">
        <v>0</v>
      </c>
      <c r="BV276" s="15">
        <v>0</v>
      </c>
      <c r="BW276" s="15">
        <v>0</v>
      </c>
      <c r="BX276" s="15">
        <v>0</v>
      </c>
      <c r="BY276" s="15">
        <v>0</v>
      </c>
      <c r="BZ276" s="15">
        <v>0</v>
      </c>
      <c r="CA276" s="15">
        <v>0</v>
      </c>
      <c r="CB276" s="15">
        <v>0</v>
      </c>
      <c r="CC276" s="15">
        <v>0</v>
      </c>
      <c r="CD276" s="15">
        <v>0</v>
      </c>
      <c r="CE276" s="15">
        <v>0</v>
      </c>
      <c r="CF276" s="15">
        <v>0</v>
      </c>
      <c r="CG276" s="15">
        <v>0</v>
      </c>
      <c r="CH276" s="15">
        <v>0</v>
      </c>
      <c r="CI276" s="15">
        <v>0</v>
      </c>
      <c r="CJ276" s="15">
        <v>0</v>
      </c>
      <c r="CK276" s="15">
        <v>0</v>
      </c>
      <c r="CL276" s="15">
        <v>0</v>
      </c>
      <c r="CM276" s="15">
        <v>0</v>
      </c>
      <c r="CN276" s="15">
        <v>0</v>
      </c>
      <c r="CO276" s="15">
        <v>0</v>
      </c>
      <c r="CP276" s="15">
        <v>0</v>
      </c>
      <c r="CQ276" s="15">
        <v>0</v>
      </c>
      <c r="CR276" s="15">
        <v>0</v>
      </c>
      <c r="CS276" s="15">
        <v>0</v>
      </c>
      <c r="CT276" s="15">
        <v>0</v>
      </c>
      <c r="CU276" s="15">
        <v>0</v>
      </c>
      <c r="CV276" s="15">
        <v>0</v>
      </c>
      <c r="CW276" s="15">
        <v>0</v>
      </c>
      <c r="CX276" s="15">
        <v>0</v>
      </c>
      <c r="CY276" s="15">
        <v>0</v>
      </c>
      <c r="CZ276" s="15">
        <v>0</v>
      </c>
      <c r="DA276" s="15">
        <v>0</v>
      </c>
      <c r="DB276" s="15">
        <v>0</v>
      </c>
      <c r="DC276" s="15">
        <v>0</v>
      </c>
      <c r="DD276" s="15">
        <v>0</v>
      </c>
      <c r="DE276" s="15">
        <v>0</v>
      </c>
      <c r="DF276" s="15">
        <v>0</v>
      </c>
      <c r="DG276" s="15">
        <v>0</v>
      </c>
      <c r="DH276" s="15">
        <v>0</v>
      </c>
      <c r="DI276" s="15">
        <v>0</v>
      </c>
      <c r="DJ276" s="15">
        <v>0</v>
      </c>
      <c r="DK276" s="15">
        <v>0</v>
      </c>
      <c r="DL276" s="15">
        <v>0</v>
      </c>
      <c r="DM276" s="15">
        <v>0</v>
      </c>
      <c r="DN276" s="15">
        <v>0</v>
      </c>
      <c r="DO276" s="15">
        <v>0</v>
      </c>
      <c r="DP276" s="15">
        <v>0</v>
      </c>
      <c r="DQ276" s="15">
        <v>0</v>
      </c>
      <c r="DR276" s="15">
        <v>0</v>
      </c>
      <c r="DS276" s="15">
        <v>0</v>
      </c>
      <c r="DT276" s="15">
        <v>0</v>
      </c>
      <c r="DU276" s="15">
        <v>0</v>
      </c>
      <c r="DV276" s="15">
        <v>0</v>
      </c>
      <c r="DW276" s="15">
        <v>0</v>
      </c>
      <c r="DX276" s="15">
        <v>0</v>
      </c>
      <c r="DY276" s="15">
        <v>0</v>
      </c>
      <c r="DZ276" s="15">
        <v>0</v>
      </c>
      <c r="EA276" s="15">
        <v>0</v>
      </c>
      <c r="EB276" s="15">
        <v>0</v>
      </c>
      <c r="EC276" s="15">
        <v>0</v>
      </c>
      <c r="ED276" s="15">
        <v>0</v>
      </c>
      <c r="EE276" s="15">
        <v>0</v>
      </c>
      <c r="EF276" s="15">
        <v>0</v>
      </c>
    </row>
    <row r="277" spans="1:136" ht="15" customHeight="1" x14ac:dyDescent="0.35">
      <c r="A277" s="8" t="s">
        <v>12</v>
      </c>
      <c r="B277" s="8" t="s">
        <v>90</v>
      </c>
      <c r="C277" s="8" t="s">
        <v>90</v>
      </c>
      <c r="D277" s="8" t="s">
        <v>319</v>
      </c>
      <c r="E277" s="8" t="s">
        <v>16</v>
      </c>
      <c r="F277" s="8" t="s">
        <v>93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5">
        <v>0</v>
      </c>
      <c r="AX277" s="15">
        <v>0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5">
        <v>0</v>
      </c>
      <c r="CH277" s="15">
        <v>0</v>
      </c>
      <c r="CI277" s="15">
        <v>0</v>
      </c>
      <c r="CJ277" s="15">
        <v>0</v>
      </c>
      <c r="CK277" s="15">
        <v>0</v>
      </c>
      <c r="CL277" s="15">
        <v>0</v>
      </c>
      <c r="CM277" s="15">
        <v>0</v>
      </c>
      <c r="CN277" s="15">
        <v>0</v>
      </c>
      <c r="CO277" s="15">
        <v>0</v>
      </c>
      <c r="CP277" s="15">
        <v>0</v>
      </c>
      <c r="CQ277" s="15">
        <v>0</v>
      </c>
      <c r="CR277" s="15">
        <v>0</v>
      </c>
      <c r="CS277" s="15">
        <v>0</v>
      </c>
      <c r="CT277" s="15">
        <v>0</v>
      </c>
      <c r="CU277" s="15">
        <v>0</v>
      </c>
      <c r="CV277" s="15">
        <v>0</v>
      </c>
      <c r="CW277" s="15">
        <v>0</v>
      </c>
      <c r="CX277" s="15">
        <v>0</v>
      </c>
      <c r="CY277" s="15">
        <v>0</v>
      </c>
      <c r="CZ277" s="15">
        <v>0</v>
      </c>
      <c r="DA277" s="15">
        <v>0</v>
      </c>
      <c r="DB277" s="15">
        <v>0</v>
      </c>
      <c r="DC277" s="15">
        <v>0</v>
      </c>
      <c r="DD277" s="15">
        <v>0</v>
      </c>
      <c r="DE277" s="15">
        <v>0</v>
      </c>
      <c r="DF277" s="15">
        <v>0</v>
      </c>
      <c r="DG277" s="15">
        <v>0</v>
      </c>
      <c r="DH277" s="15">
        <v>0</v>
      </c>
      <c r="DI277" s="15">
        <v>0</v>
      </c>
      <c r="DJ277" s="15">
        <v>0</v>
      </c>
      <c r="DK277" s="15">
        <v>0</v>
      </c>
      <c r="DL277" s="15">
        <v>0</v>
      </c>
      <c r="DM277" s="15">
        <v>0</v>
      </c>
      <c r="DN277" s="15">
        <v>0</v>
      </c>
      <c r="DO277" s="15">
        <v>0</v>
      </c>
      <c r="DP277" s="15">
        <v>0</v>
      </c>
      <c r="DQ277" s="15">
        <v>0</v>
      </c>
      <c r="DR277" s="15">
        <v>0</v>
      </c>
      <c r="DS277" s="15">
        <v>0</v>
      </c>
      <c r="DT277" s="15">
        <v>0</v>
      </c>
      <c r="DU277" s="15">
        <v>0</v>
      </c>
      <c r="DV277" s="15">
        <v>0</v>
      </c>
      <c r="DW277" s="15">
        <v>0</v>
      </c>
      <c r="DX277" s="15">
        <v>0</v>
      </c>
      <c r="DY277" s="15">
        <v>0</v>
      </c>
      <c r="DZ277" s="15">
        <v>0</v>
      </c>
      <c r="EA277" s="15">
        <v>0</v>
      </c>
      <c r="EB277" s="15">
        <v>0</v>
      </c>
      <c r="EC277" s="15">
        <v>0</v>
      </c>
      <c r="ED277" s="15">
        <v>0</v>
      </c>
      <c r="EE277" s="15">
        <v>0</v>
      </c>
      <c r="EF277" s="15">
        <v>0</v>
      </c>
    </row>
    <row r="278" spans="1:136" ht="15" customHeight="1" x14ac:dyDescent="0.35">
      <c r="A278" s="8" t="s">
        <v>12</v>
      </c>
      <c r="B278" s="8" t="s">
        <v>90</v>
      </c>
      <c r="C278" s="8" t="s">
        <v>90</v>
      </c>
      <c r="D278" s="8" t="s">
        <v>320</v>
      </c>
      <c r="E278" s="8" t="s">
        <v>16</v>
      </c>
      <c r="F278" s="8" t="s">
        <v>87</v>
      </c>
      <c r="G278" s="15">
        <v>24</v>
      </c>
      <c r="H278" s="15">
        <v>24</v>
      </c>
      <c r="I278" s="15">
        <v>0</v>
      </c>
      <c r="J278" s="15">
        <v>24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0</v>
      </c>
      <c r="BD278" s="15">
        <v>0</v>
      </c>
      <c r="BE278" s="15">
        <v>0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0</v>
      </c>
      <c r="BP278" s="15">
        <v>0</v>
      </c>
      <c r="BQ278" s="15">
        <v>0</v>
      </c>
      <c r="BR278" s="15">
        <v>0</v>
      </c>
      <c r="BS278" s="15">
        <v>0</v>
      </c>
      <c r="BT278" s="15">
        <v>0</v>
      </c>
      <c r="BU278" s="15">
        <v>0</v>
      </c>
      <c r="BV278" s="15">
        <v>0</v>
      </c>
      <c r="BW278" s="15">
        <v>0</v>
      </c>
      <c r="BX278" s="15">
        <v>0</v>
      </c>
      <c r="BY278" s="15">
        <v>0</v>
      </c>
      <c r="BZ278" s="15">
        <v>0</v>
      </c>
      <c r="CA278" s="15">
        <v>0</v>
      </c>
      <c r="CB278" s="15">
        <v>0</v>
      </c>
      <c r="CC278" s="15">
        <v>0</v>
      </c>
      <c r="CD278" s="15">
        <v>0</v>
      </c>
      <c r="CE278" s="15">
        <v>0</v>
      </c>
      <c r="CF278" s="15">
        <v>0</v>
      </c>
      <c r="CG278" s="15">
        <v>0</v>
      </c>
      <c r="CH278" s="15">
        <v>0</v>
      </c>
      <c r="CI278" s="15">
        <v>0</v>
      </c>
      <c r="CJ278" s="15">
        <v>0</v>
      </c>
      <c r="CK278" s="15">
        <v>0</v>
      </c>
      <c r="CL278" s="15">
        <v>0</v>
      </c>
      <c r="CM278" s="15">
        <v>0</v>
      </c>
      <c r="CN278" s="15">
        <v>0</v>
      </c>
      <c r="CO278" s="15">
        <v>0</v>
      </c>
      <c r="CP278" s="15">
        <v>0</v>
      </c>
      <c r="CQ278" s="15">
        <v>0</v>
      </c>
      <c r="CR278" s="15">
        <v>0</v>
      </c>
      <c r="CS278" s="15">
        <v>0</v>
      </c>
      <c r="CT278" s="15">
        <v>0</v>
      </c>
      <c r="CU278" s="15">
        <v>0</v>
      </c>
      <c r="CV278" s="15">
        <v>0</v>
      </c>
      <c r="CW278" s="15">
        <v>0</v>
      </c>
      <c r="CX278" s="15">
        <v>0</v>
      </c>
      <c r="CY278" s="15">
        <v>0</v>
      </c>
      <c r="CZ278" s="15">
        <v>0</v>
      </c>
      <c r="DA278" s="15">
        <v>0</v>
      </c>
      <c r="DB278" s="15">
        <v>0</v>
      </c>
      <c r="DC278" s="15">
        <v>0</v>
      </c>
      <c r="DD278" s="15">
        <v>0</v>
      </c>
      <c r="DE278" s="15">
        <v>0</v>
      </c>
      <c r="DF278" s="15">
        <v>0</v>
      </c>
      <c r="DG278" s="15">
        <v>0</v>
      </c>
      <c r="DH278" s="15">
        <v>0</v>
      </c>
      <c r="DI278" s="15">
        <v>0</v>
      </c>
      <c r="DJ278" s="15">
        <v>0</v>
      </c>
      <c r="DK278" s="15">
        <v>0</v>
      </c>
      <c r="DL278" s="15">
        <v>0</v>
      </c>
      <c r="DM278" s="15">
        <v>0</v>
      </c>
      <c r="DN278" s="15">
        <v>0</v>
      </c>
      <c r="DO278" s="15">
        <v>0</v>
      </c>
      <c r="DP278" s="15">
        <v>0</v>
      </c>
      <c r="DQ278" s="15">
        <v>0</v>
      </c>
      <c r="DR278" s="15">
        <v>0</v>
      </c>
      <c r="DS278" s="15">
        <v>0</v>
      </c>
      <c r="DT278" s="15">
        <v>0</v>
      </c>
      <c r="DU278" s="15">
        <v>0</v>
      </c>
      <c r="DV278" s="15">
        <v>0</v>
      </c>
      <c r="DW278" s="15">
        <v>0</v>
      </c>
      <c r="DX278" s="15">
        <v>0</v>
      </c>
      <c r="DY278" s="15">
        <v>0</v>
      </c>
      <c r="DZ278" s="15">
        <v>0</v>
      </c>
      <c r="EA278" s="15">
        <v>0</v>
      </c>
      <c r="EB278" s="15">
        <v>0</v>
      </c>
      <c r="EC278" s="15">
        <v>0</v>
      </c>
      <c r="ED278" s="15">
        <v>0</v>
      </c>
      <c r="EE278" s="15">
        <v>0</v>
      </c>
      <c r="EF278" s="15">
        <v>0</v>
      </c>
    </row>
    <row r="279" spans="1:136" ht="15" customHeight="1" x14ac:dyDescent="0.35">
      <c r="A279" s="8" t="s">
        <v>12</v>
      </c>
      <c r="B279" s="8" t="s">
        <v>90</v>
      </c>
      <c r="C279" s="8" t="s">
        <v>90</v>
      </c>
      <c r="D279" s="8" t="s">
        <v>319</v>
      </c>
      <c r="E279" s="8" t="s">
        <v>16</v>
      </c>
      <c r="F279" s="8" t="s">
        <v>87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  <c r="AW279" s="15">
        <v>0</v>
      </c>
      <c r="AX279" s="15">
        <v>0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5">
        <v>0</v>
      </c>
      <c r="CH279" s="15">
        <v>0</v>
      </c>
      <c r="CI279" s="15">
        <v>0</v>
      </c>
      <c r="CJ279" s="15">
        <v>0</v>
      </c>
      <c r="CK279" s="15">
        <v>0</v>
      </c>
      <c r="CL279" s="15">
        <v>0</v>
      </c>
      <c r="CM279" s="15">
        <v>0</v>
      </c>
      <c r="CN279" s="15">
        <v>0</v>
      </c>
      <c r="CO279" s="15">
        <v>0</v>
      </c>
      <c r="CP279" s="15">
        <v>0</v>
      </c>
      <c r="CQ279" s="15">
        <v>0</v>
      </c>
      <c r="CR279" s="15">
        <v>0</v>
      </c>
      <c r="CS279" s="15">
        <v>0</v>
      </c>
      <c r="CT279" s="15">
        <v>0</v>
      </c>
      <c r="CU279" s="15">
        <v>0</v>
      </c>
      <c r="CV279" s="15">
        <v>0</v>
      </c>
      <c r="CW279" s="15">
        <v>0</v>
      </c>
      <c r="CX279" s="15">
        <v>0</v>
      </c>
      <c r="CY279" s="15">
        <v>0</v>
      </c>
      <c r="CZ279" s="15">
        <v>0</v>
      </c>
      <c r="DA279" s="15">
        <v>0</v>
      </c>
      <c r="DB279" s="15">
        <v>0</v>
      </c>
      <c r="DC279" s="15">
        <v>0</v>
      </c>
      <c r="DD279" s="15">
        <v>0</v>
      </c>
      <c r="DE279" s="15">
        <v>0</v>
      </c>
      <c r="DF279" s="15">
        <v>0</v>
      </c>
      <c r="DG279" s="15">
        <v>0</v>
      </c>
      <c r="DH279" s="15">
        <v>0</v>
      </c>
      <c r="DI279" s="15">
        <v>0</v>
      </c>
      <c r="DJ279" s="15">
        <v>0</v>
      </c>
      <c r="DK279" s="15">
        <v>0</v>
      </c>
      <c r="DL279" s="15">
        <v>0</v>
      </c>
      <c r="DM279" s="15">
        <v>0</v>
      </c>
      <c r="DN279" s="15">
        <v>0</v>
      </c>
      <c r="DO279" s="15">
        <v>0</v>
      </c>
      <c r="DP279" s="15">
        <v>0</v>
      </c>
      <c r="DQ279" s="15">
        <v>0</v>
      </c>
      <c r="DR279" s="15">
        <v>0</v>
      </c>
      <c r="DS279" s="15">
        <v>0</v>
      </c>
      <c r="DT279" s="15">
        <v>0</v>
      </c>
      <c r="DU279" s="15">
        <v>0</v>
      </c>
      <c r="DV279" s="15">
        <v>0</v>
      </c>
      <c r="DW279" s="15">
        <v>0</v>
      </c>
      <c r="DX279" s="15">
        <v>0</v>
      </c>
      <c r="DY279" s="15">
        <v>0</v>
      </c>
      <c r="DZ279" s="15">
        <v>0</v>
      </c>
      <c r="EA279" s="15">
        <v>0</v>
      </c>
      <c r="EB279" s="15">
        <v>0</v>
      </c>
      <c r="EC279" s="15">
        <v>0</v>
      </c>
      <c r="ED279" s="15">
        <v>0</v>
      </c>
      <c r="EE279" s="15">
        <v>0</v>
      </c>
      <c r="EF279" s="15">
        <v>0</v>
      </c>
    </row>
    <row r="280" spans="1:136" ht="15" customHeight="1" x14ac:dyDescent="0.35">
      <c r="A280" s="8" t="s">
        <v>12</v>
      </c>
      <c r="B280" s="8" t="s">
        <v>24</v>
      </c>
      <c r="C280" s="8" t="s">
        <v>24</v>
      </c>
      <c r="D280" s="8" t="s">
        <v>316</v>
      </c>
      <c r="E280" s="8" t="s">
        <v>14</v>
      </c>
      <c r="F280" s="8" t="s">
        <v>80</v>
      </c>
      <c r="G280" s="15">
        <v>0</v>
      </c>
      <c r="H280" s="15">
        <v>88</v>
      </c>
      <c r="I280" s="15">
        <v>0</v>
      </c>
      <c r="J280" s="15">
        <v>88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5">
        <v>0</v>
      </c>
      <c r="AX280" s="15">
        <v>0</v>
      </c>
      <c r="AY280" s="15">
        <v>0</v>
      </c>
      <c r="AZ280" s="15">
        <v>0</v>
      </c>
      <c r="BA280" s="15">
        <v>0</v>
      </c>
      <c r="BB280" s="15">
        <v>0</v>
      </c>
      <c r="BC280" s="15">
        <v>0</v>
      </c>
      <c r="BD280" s="15">
        <v>0</v>
      </c>
      <c r="BE280" s="15">
        <v>0</v>
      </c>
      <c r="BF280" s="15">
        <v>0</v>
      </c>
      <c r="BG280" s="15">
        <v>0</v>
      </c>
      <c r="BH280" s="15">
        <v>0</v>
      </c>
      <c r="BI280" s="15">
        <v>0</v>
      </c>
      <c r="BJ280" s="15">
        <v>0</v>
      </c>
      <c r="BK280" s="15">
        <v>0</v>
      </c>
      <c r="BL280" s="15">
        <v>0</v>
      </c>
      <c r="BM280" s="15">
        <v>0</v>
      </c>
      <c r="BN280" s="15">
        <v>0</v>
      </c>
      <c r="BO280" s="15">
        <v>0</v>
      </c>
      <c r="BP280" s="15">
        <v>0</v>
      </c>
      <c r="BQ280" s="15">
        <v>0</v>
      </c>
      <c r="BR280" s="15">
        <v>0</v>
      </c>
      <c r="BS280" s="15">
        <v>0</v>
      </c>
      <c r="BT280" s="15">
        <v>0</v>
      </c>
      <c r="BU280" s="15">
        <v>0</v>
      </c>
      <c r="BV280" s="15">
        <v>0</v>
      </c>
      <c r="BW280" s="15">
        <v>0</v>
      </c>
      <c r="BX280" s="15">
        <v>0</v>
      </c>
      <c r="BY280" s="15">
        <v>0</v>
      </c>
      <c r="BZ280" s="15">
        <v>0</v>
      </c>
      <c r="CA280" s="15">
        <v>0</v>
      </c>
      <c r="CB280" s="15">
        <v>0</v>
      </c>
      <c r="CC280" s="15">
        <v>0</v>
      </c>
      <c r="CD280" s="15">
        <v>0</v>
      </c>
      <c r="CE280" s="15">
        <v>0</v>
      </c>
      <c r="CF280" s="15">
        <v>0</v>
      </c>
      <c r="CG280" s="15">
        <v>0</v>
      </c>
      <c r="CH280" s="15">
        <v>0</v>
      </c>
      <c r="CI280" s="15">
        <v>0</v>
      </c>
      <c r="CJ280" s="15">
        <v>0</v>
      </c>
      <c r="CK280" s="15">
        <v>0</v>
      </c>
      <c r="CL280" s="15">
        <v>0</v>
      </c>
      <c r="CM280" s="15">
        <v>0</v>
      </c>
      <c r="CN280" s="15">
        <v>0</v>
      </c>
      <c r="CO280" s="15">
        <v>0</v>
      </c>
      <c r="CP280" s="15">
        <v>0</v>
      </c>
      <c r="CQ280" s="15">
        <v>0</v>
      </c>
      <c r="CR280" s="15">
        <v>0</v>
      </c>
      <c r="CS280" s="15">
        <v>0</v>
      </c>
      <c r="CT280" s="15">
        <v>0</v>
      </c>
      <c r="CU280" s="15">
        <v>0</v>
      </c>
      <c r="CV280" s="15">
        <v>0</v>
      </c>
      <c r="CW280" s="15">
        <v>0</v>
      </c>
      <c r="CX280" s="15">
        <v>0</v>
      </c>
      <c r="CY280" s="15">
        <v>0</v>
      </c>
      <c r="CZ280" s="15">
        <v>0</v>
      </c>
      <c r="DA280" s="15">
        <v>0</v>
      </c>
      <c r="DB280" s="15">
        <v>0</v>
      </c>
      <c r="DC280" s="15">
        <v>0</v>
      </c>
      <c r="DD280" s="15">
        <v>0</v>
      </c>
      <c r="DE280" s="15">
        <v>0</v>
      </c>
      <c r="DF280" s="15">
        <v>0</v>
      </c>
      <c r="DG280" s="15">
        <v>0</v>
      </c>
      <c r="DH280" s="15">
        <v>0</v>
      </c>
      <c r="DI280" s="15">
        <v>0</v>
      </c>
      <c r="DJ280" s="15">
        <v>0</v>
      </c>
      <c r="DK280" s="15">
        <v>0</v>
      </c>
      <c r="DL280" s="15">
        <v>0</v>
      </c>
      <c r="DM280" s="15">
        <v>0</v>
      </c>
      <c r="DN280" s="15">
        <v>0</v>
      </c>
      <c r="DO280" s="15">
        <v>0</v>
      </c>
      <c r="DP280" s="15">
        <v>0</v>
      </c>
      <c r="DQ280" s="15">
        <v>0</v>
      </c>
      <c r="DR280" s="15">
        <v>0</v>
      </c>
      <c r="DS280" s="15">
        <v>0</v>
      </c>
      <c r="DT280" s="15">
        <v>0</v>
      </c>
      <c r="DU280" s="15">
        <v>0</v>
      </c>
      <c r="DV280" s="15">
        <v>0</v>
      </c>
      <c r="DW280" s="15">
        <v>0</v>
      </c>
      <c r="DX280" s="15">
        <v>0</v>
      </c>
      <c r="DY280" s="15">
        <v>0</v>
      </c>
      <c r="DZ280" s="15">
        <v>0</v>
      </c>
      <c r="EA280" s="15">
        <v>0</v>
      </c>
      <c r="EB280" s="15">
        <v>0</v>
      </c>
      <c r="EC280" s="15">
        <v>0</v>
      </c>
      <c r="ED280" s="15">
        <v>0</v>
      </c>
      <c r="EE280" s="15">
        <v>0</v>
      </c>
      <c r="EF280" s="15">
        <v>0</v>
      </c>
    </row>
    <row r="281" spans="1:136" ht="15" customHeight="1" x14ac:dyDescent="0.35">
      <c r="A281" s="8" t="s">
        <v>12</v>
      </c>
      <c r="B281" s="8" t="s">
        <v>24</v>
      </c>
      <c r="C281" s="8" t="s">
        <v>24</v>
      </c>
      <c r="D281" s="8" t="s">
        <v>322</v>
      </c>
      <c r="E281" s="8" t="s">
        <v>14</v>
      </c>
      <c r="F281" s="8" t="s">
        <v>80</v>
      </c>
      <c r="G281" s="15">
        <v>0</v>
      </c>
      <c r="H281" s="15">
        <v>0</v>
      </c>
      <c r="I281" s="15">
        <v>100</v>
      </c>
      <c r="J281" s="15">
        <v>-100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  <c r="AW281" s="15">
        <v>0</v>
      </c>
      <c r="AX281" s="15">
        <v>0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5">
        <v>0</v>
      </c>
      <c r="CH281" s="15">
        <v>0</v>
      </c>
      <c r="CI281" s="15">
        <v>0</v>
      </c>
      <c r="CJ281" s="15">
        <v>0</v>
      </c>
      <c r="CK281" s="15">
        <v>0</v>
      </c>
      <c r="CL281" s="15">
        <v>0</v>
      </c>
      <c r="CM281" s="15">
        <v>0</v>
      </c>
      <c r="CN281" s="15">
        <v>0</v>
      </c>
      <c r="CO281" s="15">
        <v>0</v>
      </c>
      <c r="CP281" s="15">
        <v>0</v>
      </c>
      <c r="CQ281" s="15">
        <v>0</v>
      </c>
      <c r="CR281" s="15">
        <v>0</v>
      </c>
      <c r="CS281" s="15">
        <v>0</v>
      </c>
      <c r="CT281" s="15">
        <v>2</v>
      </c>
      <c r="CU281" s="15">
        <v>0</v>
      </c>
      <c r="CV281" s="15">
        <v>4</v>
      </c>
      <c r="CW281" s="15">
        <v>0</v>
      </c>
      <c r="CX281" s="15">
        <v>0</v>
      </c>
      <c r="CY281" s="15">
        <v>0</v>
      </c>
      <c r="CZ281" s="15">
        <v>0</v>
      </c>
      <c r="DA281" s="15">
        <v>0</v>
      </c>
      <c r="DB281" s="15">
        <v>0</v>
      </c>
      <c r="DC281" s="15">
        <v>0</v>
      </c>
      <c r="DD281" s="15">
        <v>0</v>
      </c>
      <c r="DE281" s="15">
        <v>0</v>
      </c>
      <c r="DF281" s="15">
        <v>0</v>
      </c>
      <c r="DG281" s="15">
        <v>0</v>
      </c>
      <c r="DH281" s="15">
        <v>0</v>
      </c>
      <c r="DI281" s="15">
        <v>0</v>
      </c>
      <c r="DJ281" s="15">
        <v>0</v>
      </c>
      <c r="DK281" s="15">
        <v>0</v>
      </c>
      <c r="DL281" s="15">
        <v>0</v>
      </c>
      <c r="DM281" s="15">
        <v>0</v>
      </c>
      <c r="DN281" s="15">
        <v>0</v>
      </c>
      <c r="DO281" s="15">
        <v>0</v>
      </c>
      <c r="DP281" s="15">
        <v>0</v>
      </c>
      <c r="DQ281" s="15">
        <v>0</v>
      </c>
      <c r="DR281" s="15">
        <v>10</v>
      </c>
      <c r="DS281" s="15">
        <v>25</v>
      </c>
      <c r="DT281" s="15">
        <v>37</v>
      </c>
      <c r="DU281" s="15">
        <v>22</v>
      </c>
      <c r="DV281" s="15">
        <v>0</v>
      </c>
      <c r="DW281" s="15">
        <v>0</v>
      </c>
      <c r="DX281" s="15">
        <v>0</v>
      </c>
      <c r="DY281" s="15">
        <v>0</v>
      </c>
      <c r="DZ281" s="15">
        <v>0</v>
      </c>
      <c r="EA281" s="15">
        <v>0</v>
      </c>
      <c r="EB281" s="15">
        <v>0</v>
      </c>
      <c r="EC281" s="15">
        <v>0</v>
      </c>
      <c r="ED281" s="15">
        <v>0</v>
      </c>
      <c r="EE281" s="15">
        <v>0</v>
      </c>
      <c r="EF281" s="15">
        <v>0</v>
      </c>
    </row>
    <row r="282" spans="1:136" ht="15" customHeight="1" x14ac:dyDescent="0.35">
      <c r="A282" s="8" t="s">
        <v>12</v>
      </c>
      <c r="B282" s="8" t="s">
        <v>24</v>
      </c>
      <c r="C282" s="8" t="s">
        <v>24</v>
      </c>
      <c r="D282" s="8" t="s">
        <v>316</v>
      </c>
      <c r="E282" s="8" t="s">
        <v>14</v>
      </c>
      <c r="F282" s="8" t="s">
        <v>113</v>
      </c>
      <c r="G282" s="15">
        <v>0</v>
      </c>
      <c r="H282" s="15">
        <v>110</v>
      </c>
      <c r="I282" s="15">
        <v>0</v>
      </c>
      <c r="J282" s="15">
        <v>110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  <c r="BB282" s="15">
        <v>0</v>
      </c>
      <c r="BC282" s="15">
        <v>0</v>
      </c>
      <c r="BD282" s="15">
        <v>0</v>
      </c>
      <c r="BE282" s="15">
        <v>0</v>
      </c>
      <c r="BF282" s="15">
        <v>0</v>
      </c>
      <c r="BG282" s="15">
        <v>0</v>
      </c>
      <c r="BH282" s="15">
        <v>0</v>
      </c>
      <c r="BI282" s="15">
        <v>0</v>
      </c>
      <c r="BJ282" s="15">
        <v>0</v>
      </c>
      <c r="BK282" s="15">
        <v>0</v>
      </c>
      <c r="BL282" s="15">
        <v>0</v>
      </c>
      <c r="BM282" s="15">
        <v>0</v>
      </c>
      <c r="BN282" s="15">
        <v>0</v>
      </c>
      <c r="BO282" s="15">
        <v>0</v>
      </c>
      <c r="BP282" s="15">
        <v>0</v>
      </c>
      <c r="BQ282" s="15">
        <v>0</v>
      </c>
      <c r="BR282" s="15">
        <v>0</v>
      </c>
      <c r="BS282" s="15">
        <v>0</v>
      </c>
      <c r="BT282" s="15">
        <v>0</v>
      </c>
      <c r="BU282" s="15">
        <v>0</v>
      </c>
      <c r="BV282" s="15">
        <v>0</v>
      </c>
      <c r="BW282" s="15">
        <v>0</v>
      </c>
      <c r="BX282" s="15">
        <v>0</v>
      </c>
      <c r="BY282" s="15">
        <v>0</v>
      </c>
      <c r="BZ282" s="15">
        <v>0</v>
      </c>
      <c r="CA282" s="15">
        <v>0</v>
      </c>
      <c r="CB282" s="15">
        <v>0</v>
      </c>
      <c r="CC282" s="15">
        <v>0</v>
      </c>
      <c r="CD282" s="15">
        <v>0</v>
      </c>
      <c r="CE282" s="15">
        <v>0</v>
      </c>
      <c r="CF282" s="15">
        <v>0</v>
      </c>
      <c r="CG282" s="15">
        <v>0</v>
      </c>
      <c r="CH282" s="15">
        <v>0</v>
      </c>
      <c r="CI282" s="15">
        <v>0</v>
      </c>
      <c r="CJ282" s="15">
        <v>0</v>
      </c>
      <c r="CK282" s="15">
        <v>0</v>
      </c>
      <c r="CL282" s="15">
        <v>0</v>
      </c>
      <c r="CM282" s="15">
        <v>0</v>
      </c>
      <c r="CN282" s="15">
        <v>0</v>
      </c>
      <c r="CO282" s="15">
        <v>0</v>
      </c>
      <c r="CP282" s="15">
        <v>0</v>
      </c>
      <c r="CQ282" s="15">
        <v>0</v>
      </c>
      <c r="CR282" s="15">
        <v>0</v>
      </c>
      <c r="CS282" s="15">
        <v>0</v>
      </c>
      <c r="CT282" s="15">
        <v>0</v>
      </c>
      <c r="CU282" s="15">
        <v>0</v>
      </c>
      <c r="CV282" s="15">
        <v>0</v>
      </c>
      <c r="CW282" s="15">
        <v>0</v>
      </c>
      <c r="CX282" s="15">
        <v>0</v>
      </c>
      <c r="CY282" s="15">
        <v>0</v>
      </c>
      <c r="CZ282" s="15">
        <v>0</v>
      </c>
      <c r="DA282" s="15">
        <v>0</v>
      </c>
      <c r="DB282" s="15">
        <v>0</v>
      </c>
      <c r="DC282" s="15">
        <v>0</v>
      </c>
      <c r="DD282" s="15">
        <v>0</v>
      </c>
      <c r="DE282" s="15">
        <v>0</v>
      </c>
      <c r="DF282" s="15">
        <v>0</v>
      </c>
      <c r="DG282" s="15">
        <v>0</v>
      </c>
      <c r="DH282" s="15">
        <v>0</v>
      </c>
      <c r="DI282" s="15">
        <v>0</v>
      </c>
      <c r="DJ282" s="15">
        <v>0</v>
      </c>
      <c r="DK282" s="15">
        <v>0</v>
      </c>
      <c r="DL282" s="15">
        <v>0</v>
      </c>
      <c r="DM282" s="15">
        <v>0</v>
      </c>
      <c r="DN282" s="15">
        <v>0</v>
      </c>
      <c r="DO282" s="15">
        <v>0</v>
      </c>
      <c r="DP282" s="15">
        <v>0</v>
      </c>
      <c r="DQ282" s="15">
        <v>0</v>
      </c>
      <c r="DR282" s="15">
        <v>0</v>
      </c>
      <c r="DS282" s="15">
        <v>0</v>
      </c>
      <c r="DT282" s="15">
        <v>0</v>
      </c>
      <c r="DU282" s="15">
        <v>0</v>
      </c>
      <c r="DV282" s="15">
        <v>0</v>
      </c>
      <c r="DW282" s="15">
        <v>0</v>
      </c>
      <c r="DX282" s="15">
        <v>0</v>
      </c>
      <c r="DY282" s="15">
        <v>0</v>
      </c>
      <c r="DZ282" s="15">
        <v>0</v>
      </c>
      <c r="EA282" s="15">
        <v>0</v>
      </c>
      <c r="EB282" s="15">
        <v>0</v>
      </c>
      <c r="EC282" s="15">
        <v>0</v>
      </c>
      <c r="ED282" s="15">
        <v>0</v>
      </c>
      <c r="EE282" s="15">
        <v>0</v>
      </c>
      <c r="EF282" s="15">
        <v>0</v>
      </c>
    </row>
    <row r="283" spans="1:136" ht="15" customHeight="1" x14ac:dyDescent="0.35">
      <c r="A283" s="8" t="s">
        <v>12</v>
      </c>
      <c r="B283" s="8" t="s">
        <v>24</v>
      </c>
      <c r="C283" s="8" t="s">
        <v>24</v>
      </c>
      <c r="D283" s="8" t="s">
        <v>322</v>
      </c>
      <c r="E283" s="8" t="s">
        <v>14</v>
      </c>
      <c r="F283" s="8" t="s">
        <v>113</v>
      </c>
      <c r="G283" s="15">
        <v>0</v>
      </c>
      <c r="H283" s="15">
        <v>0</v>
      </c>
      <c r="I283" s="15">
        <v>110.5</v>
      </c>
      <c r="J283" s="15">
        <v>-110.5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0.5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  <c r="AW283" s="15">
        <v>0</v>
      </c>
      <c r="AX283" s="15">
        <v>0</v>
      </c>
      <c r="AY283" s="15">
        <v>0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5">
        <v>0</v>
      </c>
      <c r="CH283" s="15">
        <v>0</v>
      </c>
      <c r="CI283" s="15">
        <v>0</v>
      </c>
      <c r="CJ283" s="15">
        <v>0</v>
      </c>
      <c r="CK283" s="15">
        <v>0</v>
      </c>
      <c r="CL283" s="15">
        <v>0</v>
      </c>
      <c r="CM283" s="15">
        <v>0</v>
      </c>
      <c r="CN283" s="15">
        <v>0</v>
      </c>
      <c r="CO283" s="15">
        <v>0</v>
      </c>
      <c r="CP283" s="15">
        <v>0</v>
      </c>
      <c r="CQ283" s="15">
        <v>0</v>
      </c>
      <c r="CR283" s="15">
        <v>0</v>
      </c>
      <c r="CS283" s="15">
        <v>0</v>
      </c>
      <c r="CT283" s="15">
        <v>0</v>
      </c>
      <c r="CU283" s="15">
        <v>5</v>
      </c>
      <c r="CV283" s="15">
        <v>5</v>
      </c>
      <c r="CW283" s="15">
        <v>5</v>
      </c>
      <c r="CX283" s="15">
        <v>5</v>
      </c>
      <c r="CY283" s="15">
        <v>5</v>
      </c>
      <c r="CZ283" s="15">
        <v>5</v>
      </c>
      <c r="DA283" s="15">
        <v>0</v>
      </c>
      <c r="DB283" s="15">
        <v>0</v>
      </c>
      <c r="DC283" s="15">
        <v>0</v>
      </c>
      <c r="DD283" s="15">
        <v>0</v>
      </c>
      <c r="DE283" s="15">
        <v>0</v>
      </c>
      <c r="DF283" s="15">
        <v>0</v>
      </c>
      <c r="DG283" s="15">
        <v>0</v>
      </c>
      <c r="DH283" s="15">
        <v>0</v>
      </c>
      <c r="DI283" s="15">
        <v>0</v>
      </c>
      <c r="DJ283" s="15">
        <v>0</v>
      </c>
      <c r="DK283" s="15">
        <v>0</v>
      </c>
      <c r="DL283" s="15">
        <v>0</v>
      </c>
      <c r="DM283" s="15">
        <v>0</v>
      </c>
      <c r="DN283" s="15">
        <v>0</v>
      </c>
      <c r="DO283" s="15">
        <v>0</v>
      </c>
      <c r="DP283" s="15">
        <v>0</v>
      </c>
      <c r="DQ283" s="15">
        <v>0</v>
      </c>
      <c r="DR283" s="15">
        <v>0</v>
      </c>
      <c r="DS283" s="15">
        <v>20</v>
      </c>
      <c r="DT283" s="15">
        <v>24</v>
      </c>
      <c r="DU283" s="15">
        <v>24</v>
      </c>
      <c r="DV283" s="15">
        <v>12</v>
      </c>
      <c r="DW283" s="15">
        <v>0</v>
      </c>
      <c r="DX283" s="15">
        <v>0</v>
      </c>
      <c r="DY283" s="15">
        <v>0</v>
      </c>
      <c r="DZ283" s="15">
        <v>0</v>
      </c>
      <c r="EA283" s="15">
        <v>0</v>
      </c>
      <c r="EB283" s="15">
        <v>0</v>
      </c>
      <c r="EC283" s="15">
        <v>0</v>
      </c>
      <c r="ED283" s="15">
        <v>0</v>
      </c>
      <c r="EE283" s="15">
        <v>0</v>
      </c>
      <c r="EF283" s="15">
        <v>0</v>
      </c>
    </row>
    <row r="284" spans="1:136" ht="15" customHeight="1" x14ac:dyDescent="0.35">
      <c r="A284" s="8" t="s">
        <v>12</v>
      </c>
      <c r="B284" s="8" t="s">
        <v>24</v>
      </c>
      <c r="C284" s="8" t="s">
        <v>24</v>
      </c>
      <c r="D284" s="8" t="s">
        <v>316</v>
      </c>
      <c r="E284" s="8" t="s">
        <v>14</v>
      </c>
      <c r="F284" s="8" t="s">
        <v>81</v>
      </c>
      <c r="G284" s="15">
        <v>14.3</v>
      </c>
      <c r="H284" s="15">
        <v>64.599999999999994</v>
      </c>
      <c r="I284" s="15">
        <v>0</v>
      </c>
      <c r="J284" s="15">
        <v>64.599999999999994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0</v>
      </c>
      <c r="BC284" s="15">
        <v>0</v>
      </c>
      <c r="BD284" s="15">
        <v>0</v>
      </c>
      <c r="BE284" s="15">
        <v>0</v>
      </c>
      <c r="BF284" s="15">
        <v>0</v>
      </c>
      <c r="BG284" s="15">
        <v>0</v>
      </c>
      <c r="BH284" s="15">
        <v>0</v>
      </c>
      <c r="BI284" s="15">
        <v>0</v>
      </c>
      <c r="BJ284" s="15">
        <v>0</v>
      </c>
      <c r="BK284" s="15">
        <v>0</v>
      </c>
      <c r="BL284" s="15">
        <v>0</v>
      </c>
      <c r="BM284" s="15">
        <v>0</v>
      </c>
      <c r="BN284" s="15">
        <v>0</v>
      </c>
      <c r="BO284" s="15">
        <v>0</v>
      </c>
      <c r="BP284" s="15">
        <v>0</v>
      </c>
      <c r="BQ284" s="15">
        <v>0</v>
      </c>
      <c r="BR284" s="15">
        <v>0</v>
      </c>
      <c r="BS284" s="15">
        <v>0</v>
      </c>
      <c r="BT284" s="15">
        <v>0</v>
      </c>
      <c r="BU284" s="15">
        <v>0</v>
      </c>
      <c r="BV284" s="15">
        <v>0</v>
      </c>
      <c r="BW284" s="15">
        <v>0</v>
      </c>
      <c r="BX284" s="15">
        <v>0</v>
      </c>
      <c r="BY284" s="15">
        <v>0</v>
      </c>
      <c r="BZ284" s="15">
        <v>0</v>
      </c>
      <c r="CA284" s="15">
        <v>0</v>
      </c>
      <c r="CB284" s="15">
        <v>0</v>
      </c>
      <c r="CC284" s="15">
        <v>0</v>
      </c>
      <c r="CD284" s="15">
        <v>0</v>
      </c>
      <c r="CE284" s="15">
        <v>0</v>
      </c>
      <c r="CF284" s="15">
        <v>0</v>
      </c>
      <c r="CG284" s="15">
        <v>0</v>
      </c>
      <c r="CH284" s="15">
        <v>0</v>
      </c>
      <c r="CI284" s="15">
        <v>0</v>
      </c>
      <c r="CJ284" s="15">
        <v>0</v>
      </c>
      <c r="CK284" s="15">
        <v>0</v>
      </c>
      <c r="CL284" s="15">
        <v>0</v>
      </c>
      <c r="CM284" s="15">
        <v>0</v>
      </c>
      <c r="CN284" s="15">
        <v>0</v>
      </c>
      <c r="CO284" s="15">
        <v>0</v>
      </c>
      <c r="CP284" s="15">
        <v>0</v>
      </c>
      <c r="CQ284" s="15">
        <v>0</v>
      </c>
      <c r="CR284" s="15">
        <v>0</v>
      </c>
      <c r="CS284" s="15">
        <v>0</v>
      </c>
      <c r="CT284" s="15">
        <v>0</v>
      </c>
      <c r="CU284" s="15">
        <v>0</v>
      </c>
      <c r="CV284" s="15">
        <v>0</v>
      </c>
      <c r="CW284" s="15">
        <v>0</v>
      </c>
      <c r="CX284" s="15">
        <v>0</v>
      </c>
      <c r="CY284" s="15">
        <v>0</v>
      </c>
      <c r="CZ284" s="15">
        <v>0</v>
      </c>
      <c r="DA284" s="15">
        <v>0</v>
      </c>
      <c r="DB284" s="15">
        <v>0</v>
      </c>
      <c r="DC284" s="15">
        <v>0</v>
      </c>
      <c r="DD284" s="15">
        <v>0</v>
      </c>
      <c r="DE284" s="15">
        <v>0</v>
      </c>
      <c r="DF284" s="15">
        <v>0</v>
      </c>
      <c r="DG284" s="15">
        <v>0</v>
      </c>
      <c r="DH284" s="15">
        <v>0</v>
      </c>
      <c r="DI284" s="15">
        <v>0</v>
      </c>
      <c r="DJ284" s="15">
        <v>0</v>
      </c>
      <c r="DK284" s="15">
        <v>0</v>
      </c>
      <c r="DL284" s="15">
        <v>0</v>
      </c>
      <c r="DM284" s="15">
        <v>0</v>
      </c>
      <c r="DN284" s="15">
        <v>0</v>
      </c>
      <c r="DO284" s="15">
        <v>0</v>
      </c>
      <c r="DP284" s="15">
        <v>0</v>
      </c>
      <c r="DQ284" s="15">
        <v>0</v>
      </c>
      <c r="DR284" s="15">
        <v>0</v>
      </c>
      <c r="DS284" s="15">
        <v>0</v>
      </c>
      <c r="DT284" s="15">
        <v>0</v>
      </c>
      <c r="DU284" s="15">
        <v>0</v>
      </c>
      <c r="DV284" s="15">
        <v>0</v>
      </c>
      <c r="DW284" s="15">
        <v>0</v>
      </c>
      <c r="DX284" s="15">
        <v>0</v>
      </c>
      <c r="DY284" s="15">
        <v>0</v>
      </c>
      <c r="DZ284" s="15">
        <v>0</v>
      </c>
      <c r="EA284" s="15">
        <v>0</v>
      </c>
      <c r="EB284" s="15">
        <v>0</v>
      </c>
      <c r="EC284" s="15">
        <v>0</v>
      </c>
      <c r="ED284" s="15">
        <v>0</v>
      </c>
      <c r="EE284" s="15">
        <v>0</v>
      </c>
      <c r="EF284" s="15">
        <v>0</v>
      </c>
    </row>
    <row r="285" spans="1:136" ht="15" customHeight="1" x14ac:dyDescent="0.35">
      <c r="A285" s="8" t="s">
        <v>12</v>
      </c>
      <c r="B285" s="8" t="s">
        <v>24</v>
      </c>
      <c r="C285" s="8" t="s">
        <v>24</v>
      </c>
      <c r="D285" s="8" t="s">
        <v>322</v>
      </c>
      <c r="E285" s="8" t="s">
        <v>14</v>
      </c>
      <c r="F285" s="8" t="s">
        <v>81</v>
      </c>
      <c r="G285" s="15">
        <v>0</v>
      </c>
      <c r="H285" s="15">
        <v>0</v>
      </c>
      <c r="I285" s="15">
        <v>49.8</v>
      </c>
      <c r="J285" s="15">
        <v>-49.8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5">
        <v>0</v>
      </c>
      <c r="AX285" s="15">
        <v>0</v>
      </c>
      <c r="AY285" s="15">
        <v>0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5">
        <v>0</v>
      </c>
      <c r="CH285" s="15">
        <v>0</v>
      </c>
      <c r="CI285" s="15">
        <v>0</v>
      </c>
      <c r="CJ285" s="15">
        <v>0</v>
      </c>
      <c r="CK285" s="15">
        <v>0</v>
      </c>
      <c r="CL285" s="15">
        <v>0</v>
      </c>
      <c r="CM285" s="15">
        <v>0</v>
      </c>
      <c r="CN285" s="15">
        <v>0</v>
      </c>
      <c r="CO285" s="15">
        <v>0</v>
      </c>
      <c r="CP285" s="15">
        <v>0</v>
      </c>
      <c r="CQ285" s="15">
        <v>0</v>
      </c>
      <c r="CR285" s="15">
        <v>0</v>
      </c>
      <c r="CS285" s="15">
        <v>1.3461540000000001</v>
      </c>
      <c r="CT285" s="15">
        <v>1.3461540000000001</v>
      </c>
      <c r="CU285" s="15">
        <v>1.3461540000000001</v>
      </c>
      <c r="CV285" s="15">
        <v>1.3461540000000001</v>
      </c>
      <c r="CW285" s="15">
        <v>1.3461540000000001</v>
      </c>
      <c r="CX285" s="15">
        <v>1.3461540000000001</v>
      </c>
      <c r="CY285" s="15">
        <v>1.3461540000000001</v>
      </c>
      <c r="CZ285" s="15">
        <v>1.3461540000000001</v>
      </c>
      <c r="DA285" s="15">
        <v>1.3461540000000001</v>
      </c>
      <c r="DB285" s="15">
        <v>1.3461540000000001</v>
      </c>
      <c r="DC285" s="15">
        <v>1.3461540000000001</v>
      </c>
      <c r="DD285" s="15">
        <v>1.3461540000000001</v>
      </c>
      <c r="DE285" s="15">
        <v>1.3461540000000001</v>
      </c>
      <c r="DF285" s="15">
        <v>1.3461540000000001</v>
      </c>
      <c r="DG285" s="15">
        <v>1.3461540000000001</v>
      </c>
      <c r="DH285" s="15">
        <v>1.3461540000000001</v>
      </c>
      <c r="DI285" s="15">
        <v>1.3461540000000001</v>
      </c>
      <c r="DJ285" s="15">
        <v>1.3461540000000001</v>
      </c>
      <c r="DK285" s="15">
        <v>2.5</v>
      </c>
      <c r="DL285" s="15">
        <v>2.5</v>
      </c>
      <c r="DM285" s="15">
        <v>3.1</v>
      </c>
      <c r="DN285" s="15">
        <v>3.5</v>
      </c>
      <c r="DO285" s="15">
        <v>3.5</v>
      </c>
      <c r="DP285" s="15">
        <v>3.5</v>
      </c>
      <c r="DQ285" s="15">
        <v>3.5</v>
      </c>
      <c r="DR285" s="15">
        <v>3.5</v>
      </c>
      <c r="DS285" s="15">
        <v>0</v>
      </c>
      <c r="DT285" s="15">
        <v>0</v>
      </c>
      <c r="DU285" s="15">
        <v>0</v>
      </c>
      <c r="DV285" s="15">
        <v>0</v>
      </c>
      <c r="DW285" s="15">
        <v>0</v>
      </c>
      <c r="DX285" s="15">
        <v>0</v>
      </c>
      <c r="DY285" s="15">
        <v>0</v>
      </c>
      <c r="DZ285" s="15">
        <v>0</v>
      </c>
      <c r="EA285" s="15">
        <v>0</v>
      </c>
      <c r="EB285" s="15">
        <v>0</v>
      </c>
      <c r="EC285" s="15">
        <v>0</v>
      </c>
      <c r="ED285" s="15">
        <v>0</v>
      </c>
      <c r="EE285" s="15">
        <v>0</v>
      </c>
      <c r="EF285" s="15">
        <v>0</v>
      </c>
    </row>
    <row r="286" spans="1:136" ht="15" customHeight="1" x14ac:dyDescent="0.35">
      <c r="A286" s="8" t="s">
        <v>12</v>
      </c>
      <c r="B286" s="8" t="s">
        <v>24</v>
      </c>
      <c r="C286" s="8" t="s">
        <v>24</v>
      </c>
      <c r="D286" s="8" t="s">
        <v>316</v>
      </c>
      <c r="E286" s="8" t="s">
        <v>14</v>
      </c>
      <c r="F286" s="8" t="s">
        <v>82</v>
      </c>
      <c r="G286" s="15">
        <v>7</v>
      </c>
      <c r="H286" s="15">
        <v>7</v>
      </c>
      <c r="I286" s="15">
        <v>7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7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0</v>
      </c>
      <c r="BB286" s="15">
        <v>0</v>
      </c>
      <c r="BC286" s="15">
        <v>0</v>
      </c>
      <c r="BD286" s="15">
        <v>0</v>
      </c>
      <c r="BE286" s="15">
        <v>0</v>
      </c>
      <c r="BF286" s="15">
        <v>0</v>
      </c>
      <c r="BG286" s="15">
        <v>0</v>
      </c>
      <c r="BH286" s="15">
        <v>0</v>
      </c>
      <c r="BI286" s="15">
        <v>0</v>
      </c>
      <c r="BJ286" s="15">
        <v>0</v>
      </c>
      <c r="BK286" s="15">
        <v>0</v>
      </c>
      <c r="BL286" s="15">
        <v>0</v>
      </c>
      <c r="BM286" s="15">
        <v>0</v>
      </c>
      <c r="BN286" s="15">
        <v>0</v>
      </c>
      <c r="BO286" s="15">
        <v>0</v>
      </c>
      <c r="BP286" s="15">
        <v>0</v>
      </c>
      <c r="BQ286" s="15">
        <v>0</v>
      </c>
      <c r="BR286" s="15">
        <v>0</v>
      </c>
      <c r="BS286" s="15">
        <v>0</v>
      </c>
      <c r="BT286" s="15">
        <v>0</v>
      </c>
      <c r="BU286" s="15">
        <v>0</v>
      </c>
      <c r="BV286" s="15">
        <v>0</v>
      </c>
      <c r="BW286" s="15">
        <v>0</v>
      </c>
      <c r="BX286" s="15">
        <v>0</v>
      </c>
      <c r="BY286" s="15">
        <v>0</v>
      </c>
      <c r="BZ286" s="15">
        <v>0</v>
      </c>
      <c r="CA286" s="15">
        <v>0</v>
      </c>
      <c r="CB286" s="15">
        <v>0</v>
      </c>
      <c r="CC286" s="15">
        <v>0</v>
      </c>
      <c r="CD286" s="15">
        <v>0</v>
      </c>
      <c r="CE286" s="15">
        <v>0</v>
      </c>
      <c r="CF286" s="15">
        <v>0</v>
      </c>
      <c r="CG286" s="15">
        <v>0</v>
      </c>
      <c r="CH286" s="15">
        <v>0</v>
      </c>
      <c r="CI286" s="15">
        <v>0</v>
      </c>
      <c r="CJ286" s="15">
        <v>0</v>
      </c>
      <c r="CK286" s="15">
        <v>0</v>
      </c>
      <c r="CL286" s="15">
        <v>0</v>
      </c>
      <c r="CM286" s="15">
        <v>0</v>
      </c>
      <c r="CN286" s="15">
        <v>0</v>
      </c>
      <c r="CO286" s="15">
        <v>0</v>
      </c>
      <c r="CP286" s="15">
        <v>0</v>
      </c>
      <c r="CQ286" s="15">
        <v>0</v>
      </c>
      <c r="CR286" s="15">
        <v>0</v>
      </c>
      <c r="CS286" s="15">
        <v>0</v>
      </c>
      <c r="CT286" s="15">
        <v>0</v>
      </c>
      <c r="CU286" s="15">
        <v>0</v>
      </c>
      <c r="CV286" s="15">
        <v>0</v>
      </c>
      <c r="CW286" s="15">
        <v>0</v>
      </c>
      <c r="CX286" s="15">
        <v>0</v>
      </c>
      <c r="CY286" s="15">
        <v>0</v>
      </c>
      <c r="CZ286" s="15">
        <v>0</v>
      </c>
      <c r="DA286" s="15">
        <v>0</v>
      </c>
      <c r="DB286" s="15">
        <v>0</v>
      </c>
      <c r="DC286" s="15">
        <v>0</v>
      </c>
      <c r="DD286" s="15">
        <v>0</v>
      </c>
      <c r="DE286" s="15">
        <v>0</v>
      </c>
      <c r="DF286" s="15">
        <v>0</v>
      </c>
      <c r="DG286" s="15">
        <v>0</v>
      </c>
      <c r="DH286" s="15">
        <v>0</v>
      </c>
      <c r="DI286" s="15">
        <v>0</v>
      </c>
      <c r="DJ286" s="15">
        <v>0</v>
      </c>
      <c r="DK286" s="15">
        <v>0</v>
      </c>
      <c r="DL286" s="15">
        <v>0</v>
      </c>
      <c r="DM286" s="15">
        <v>0</v>
      </c>
      <c r="DN286" s="15">
        <v>0</v>
      </c>
      <c r="DO286" s="15">
        <v>0</v>
      </c>
      <c r="DP286" s="15">
        <v>0</v>
      </c>
      <c r="DQ286" s="15">
        <v>0</v>
      </c>
      <c r="DR286" s="15">
        <v>0</v>
      </c>
      <c r="DS286" s="15">
        <v>0</v>
      </c>
      <c r="DT286" s="15">
        <v>0</v>
      </c>
      <c r="DU286" s="15">
        <v>0</v>
      </c>
      <c r="DV286" s="15">
        <v>0</v>
      </c>
      <c r="DW286" s="15">
        <v>0</v>
      </c>
      <c r="DX286" s="15">
        <v>0</v>
      </c>
      <c r="DY286" s="15">
        <v>0</v>
      </c>
      <c r="DZ286" s="15">
        <v>0</v>
      </c>
      <c r="EA286" s="15">
        <v>0</v>
      </c>
      <c r="EB286" s="15">
        <v>0</v>
      </c>
      <c r="EC286" s="15">
        <v>0</v>
      </c>
      <c r="ED286" s="15">
        <v>0</v>
      </c>
      <c r="EE286" s="15">
        <v>0</v>
      </c>
      <c r="EF286" s="15">
        <v>0</v>
      </c>
    </row>
    <row r="287" spans="1:136" ht="15" customHeight="1" x14ac:dyDescent="0.35">
      <c r="A287" s="8" t="s">
        <v>12</v>
      </c>
      <c r="B287" s="8" t="s">
        <v>24</v>
      </c>
      <c r="C287" s="8" t="s">
        <v>24</v>
      </c>
      <c r="D287" s="8" t="s">
        <v>322</v>
      </c>
      <c r="E287" s="8" t="s">
        <v>14</v>
      </c>
      <c r="F287" s="8" t="s">
        <v>82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5">
        <v>0</v>
      </c>
      <c r="AX287" s="15">
        <v>0</v>
      </c>
      <c r="AY287" s="15">
        <v>0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5">
        <v>0</v>
      </c>
      <c r="CH287" s="15">
        <v>0</v>
      </c>
      <c r="CI287" s="15">
        <v>0</v>
      </c>
      <c r="CJ287" s="15">
        <v>0</v>
      </c>
      <c r="CK287" s="15">
        <v>0</v>
      </c>
      <c r="CL287" s="15">
        <v>0</v>
      </c>
      <c r="CM287" s="15">
        <v>0</v>
      </c>
      <c r="CN287" s="15">
        <v>0</v>
      </c>
      <c r="CO287" s="15">
        <v>0</v>
      </c>
      <c r="CP287" s="15">
        <v>0</v>
      </c>
      <c r="CQ287" s="15">
        <v>0</v>
      </c>
      <c r="CR287" s="15">
        <v>0</v>
      </c>
      <c r="CS287" s="15">
        <v>0</v>
      </c>
      <c r="CT287" s="15">
        <v>0</v>
      </c>
      <c r="CU287" s="15">
        <v>0</v>
      </c>
      <c r="CV287" s="15">
        <v>0</v>
      </c>
      <c r="CW287" s="15">
        <v>0</v>
      </c>
      <c r="CX287" s="15">
        <v>0</v>
      </c>
      <c r="CY287" s="15">
        <v>0</v>
      </c>
      <c r="CZ287" s="15">
        <v>0</v>
      </c>
      <c r="DA287" s="15">
        <v>0</v>
      </c>
      <c r="DB287" s="15">
        <v>0</v>
      </c>
      <c r="DC287" s="15">
        <v>0</v>
      </c>
      <c r="DD287" s="15">
        <v>0</v>
      </c>
      <c r="DE287" s="15">
        <v>0</v>
      </c>
      <c r="DF287" s="15">
        <v>0</v>
      </c>
      <c r="DG287" s="15">
        <v>0</v>
      </c>
      <c r="DH287" s="15">
        <v>0</v>
      </c>
      <c r="DI287" s="15">
        <v>0</v>
      </c>
      <c r="DJ287" s="15">
        <v>0</v>
      </c>
      <c r="DK287" s="15">
        <v>0</v>
      </c>
      <c r="DL287" s="15">
        <v>0</v>
      </c>
      <c r="DM287" s="15">
        <v>0</v>
      </c>
      <c r="DN287" s="15">
        <v>0</v>
      </c>
      <c r="DO287" s="15">
        <v>0</v>
      </c>
      <c r="DP287" s="15">
        <v>0</v>
      </c>
      <c r="DQ287" s="15">
        <v>0</v>
      </c>
      <c r="DR287" s="15">
        <v>0</v>
      </c>
      <c r="DS287" s="15">
        <v>0</v>
      </c>
      <c r="DT287" s="15">
        <v>0</v>
      </c>
      <c r="DU287" s="15">
        <v>0</v>
      </c>
      <c r="DV287" s="15">
        <v>0</v>
      </c>
      <c r="DW287" s="15">
        <v>0</v>
      </c>
      <c r="DX287" s="15">
        <v>0</v>
      </c>
      <c r="DY287" s="15">
        <v>0</v>
      </c>
      <c r="DZ287" s="15">
        <v>0</v>
      </c>
      <c r="EA287" s="15">
        <v>0</v>
      </c>
      <c r="EB287" s="15">
        <v>0</v>
      </c>
      <c r="EC287" s="15">
        <v>0</v>
      </c>
      <c r="ED287" s="15">
        <v>0</v>
      </c>
      <c r="EE287" s="15">
        <v>0</v>
      </c>
      <c r="EF287" s="15">
        <v>0</v>
      </c>
    </row>
    <row r="288" spans="1:136" ht="15" customHeight="1" x14ac:dyDescent="0.35">
      <c r="A288" s="8" t="s">
        <v>12</v>
      </c>
      <c r="B288" s="8" t="s">
        <v>24</v>
      </c>
      <c r="C288" s="8" t="s">
        <v>24</v>
      </c>
      <c r="D288" s="8" t="s">
        <v>322</v>
      </c>
      <c r="E288" s="8" t="s">
        <v>14</v>
      </c>
      <c r="F288" s="8" t="s">
        <v>83</v>
      </c>
      <c r="G288" s="15">
        <v>0</v>
      </c>
      <c r="H288" s="15">
        <v>0</v>
      </c>
      <c r="I288" s="15">
        <v>34</v>
      </c>
      <c r="J288" s="15">
        <v>-34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23</v>
      </c>
      <c r="AO288" s="15">
        <v>11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  <c r="BD288" s="15">
        <v>0</v>
      </c>
      <c r="BE288" s="15">
        <v>0</v>
      </c>
      <c r="BF288" s="15">
        <v>0</v>
      </c>
      <c r="BG288" s="15">
        <v>0</v>
      </c>
      <c r="BH288" s="15">
        <v>0</v>
      </c>
      <c r="BI288" s="15">
        <v>0</v>
      </c>
      <c r="BJ288" s="15">
        <v>0</v>
      </c>
      <c r="BK288" s="15">
        <v>0</v>
      </c>
      <c r="BL288" s="15">
        <v>0</v>
      </c>
      <c r="BM288" s="15">
        <v>0</v>
      </c>
      <c r="BN288" s="15">
        <v>0</v>
      </c>
      <c r="BO288" s="15">
        <v>0</v>
      </c>
      <c r="BP288" s="15">
        <v>0</v>
      </c>
      <c r="BQ288" s="15">
        <v>0</v>
      </c>
      <c r="BR288" s="15">
        <v>0</v>
      </c>
      <c r="BS288" s="15">
        <v>0</v>
      </c>
      <c r="BT288" s="15">
        <v>0</v>
      </c>
      <c r="BU288" s="15">
        <v>0</v>
      </c>
      <c r="BV288" s="15">
        <v>0</v>
      </c>
      <c r="BW288" s="15">
        <v>0</v>
      </c>
      <c r="BX288" s="15">
        <v>0</v>
      </c>
      <c r="BY288" s="15">
        <v>0</v>
      </c>
      <c r="BZ288" s="15">
        <v>0</v>
      </c>
      <c r="CA288" s="15">
        <v>0</v>
      </c>
      <c r="CB288" s="15">
        <v>0</v>
      </c>
      <c r="CC288" s="15">
        <v>0</v>
      </c>
      <c r="CD288" s="15">
        <v>0</v>
      </c>
      <c r="CE288" s="15">
        <v>0</v>
      </c>
      <c r="CF288" s="15">
        <v>0</v>
      </c>
      <c r="CG288" s="15">
        <v>0</v>
      </c>
      <c r="CH288" s="15">
        <v>0</v>
      </c>
      <c r="CI288" s="15">
        <v>0</v>
      </c>
      <c r="CJ288" s="15">
        <v>0</v>
      </c>
      <c r="CK288" s="15">
        <v>0</v>
      </c>
      <c r="CL288" s="15">
        <v>0</v>
      </c>
      <c r="CM288" s="15">
        <v>0</v>
      </c>
      <c r="CN288" s="15">
        <v>0</v>
      </c>
      <c r="CO288" s="15">
        <v>0</v>
      </c>
      <c r="CP288" s="15">
        <v>0</v>
      </c>
      <c r="CQ288" s="15">
        <v>0</v>
      </c>
      <c r="CR288" s="15">
        <v>0</v>
      </c>
      <c r="CS288" s="15">
        <v>0</v>
      </c>
      <c r="CT288" s="15">
        <v>0</v>
      </c>
      <c r="CU288" s="15">
        <v>0</v>
      </c>
      <c r="CV288" s="15">
        <v>0</v>
      </c>
      <c r="CW288" s="15">
        <v>0</v>
      </c>
      <c r="CX288" s="15">
        <v>0</v>
      </c>
      <c r="CY288" s="15">
        <v>0</v>
      </c>
      <c r="CZ288" s="15">
        <v>0</v>
      </c>
      <c r="DA288" s="15">
        <v>0</v>
      </c>
      <c r="DB288" s="15">
        <v>0</v>
      </c>
      <c r="DC288" s="15">
        <v>0</v>
      </c>
      <c r="DD288" s="15">
        <v>0</v>
      </c>
      <c r="DE288" s="15">
        <v>0</v>
      </c>
      <c r="DF288" s="15">
        <v>0</v>
      </c>
      <c r="DG288" s="15">
        <v>0</v>
      </c>
      <c r="DH288" s="15">
        <v>0</v>
      </c>
      <c r="DI288" s="15">
        <v>0</v>
      </c>
      <c r="DJ288" s="15">
        <v>0</v>
      </c>
      <c r="DK288" s="15">
        <v>0</v>
      </c>
      <c r="DL288" s="15">
        <v>0</v>
      </c>
      <c r="DM288" s="15">
        <v>0</v>
      </c>
      <c r="DN288" s="15">
        <v>0</v>
      </c>
      <c r="DO288" s="15">
        <v>0</v>
      </c>
      <c r="DP288" s="15">
        <v>0</v>
      </c>
      <c r="DQ288" s="15">
        <v>0</v>
      </c>
      <c r="DR288" s="15">
        <v>0</v>
      </c>
      <c r="DS288" s="15">
        <v>0</v>
      </c>
      <c r="DT288" s="15">
        <v>0</v>
      </c>
      <c r="DU288" s="15">
        <v>0</v>
      </c>
      <c r="DV288" s="15">
        <v>0</v>
      </c>
      <c r="DW288" s="15">
        <v>0</v>
      </c>
      <c r="DX288" s="15">
        <v>0</v>
      </c>
      <c r="DY288" s="15">
        <v>0</v>
      </c>
      <c r="DZ288" s="15">
        <v>0</v>
      </c>
      <c r="EA288" s="15">
        <v>0</v>
      </c>
      <c r="EB288" s="15">
        <v>0</v>
      </c>
      <c r="EC288" s="15">
        <v>0</v>
      </c>
      <c r="ED288" s="15">
        <v>0</v>
      </c>
      <c r="EE288" s="15">
        <v>0</v>
      </c>
      <c r="EF288" s="15">
        <v>0</v>
      </c>
    </row>
    <row r="289" spans="1:136" ht="15" customHeight="1" x14ac:dyDescent="0.35">
      <c r="A289" s="8" t="s">
        <v>12</v>
      </c>
      <c r="B289" s="8" t="s">
        <v>24</v>
      </c>
      <c r="C289" s="8" t="s">
        <v>24</v>
      </c>
      <c r="D289" s="8" t="s">
        <v>322</v>
      </c>
      <c r="E289" s="8" t="s">
        <v>14</v>
      </c>
      <c r="F289" s="8" t="s">
        <v>84</v>
      </c>
      <c r="G289" s="15">
        <v>0</v>
      </c>
      <c r="H289" s="15">
        <v>0</v>
      </c>
      <c r="I289" s="15">
        <v>10</v>
      </c>
      <c r="J289" s="15">
        <v>-10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5">
        <v>0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5">
        <v>0</v>
      </c>
      <c r="CH289" s="15">
        <v>0</v>
      </c>
      <c r="CI289" s="15">
        <v>0</v>
      </c>
      <c r="CJ289" s="15">
        <v>0</v>
      </c>
      <c r="CK289" s="15">
        <v>0</v>
      </c>
      <c r="CL289" s="15">
        <v>0</v>
      </c>
      <c r="CM289" s="15">
        <v>0</v>
      </c>
      <c r="CN289" s="15">
        <v>0</v>
      </c>
      <c r="CO289" s="15">
        <v>0</v>
      </c>
      <c r="CP289" s="15">
        <v>0</v>
      </c>
      <c r="CQ289" s="15">
        <v>0</v>
      </c>
      <c r="CR289" s="15">
        <v>0</v>
      </c>
      <c r="CS289" s="15">
        <v>0</v>
      </c>
      <c r="CT289" s="15">
        <v>0</v>
      </c>
      <c r="CU289" s="15">
        <v>0</v>
      </c>
      <c r="CV289" s="15">
        <v>0</v>
      </c>
      <c r="CW289" s="15">
        <v>0</v>
      </c>
      <c r="CX289" s="15">
        <v>0</v>
      </c>
      <c r="CY289" s="15">
        <v>0</v>
      </c>
      <c r="CZ289" s="15">
        <v>5</v>
      </c>
      <c r="DA289" s="15">
        <v>5</v>
      </c>
      <c r="DB289" s="15">
        <v>0</v>
      </c>
      <c r="DC289" s="15">
        <v>0</v>
      </c>
      <c r="DD289" s="15">
        <v>0</v>
      </c>
      <c r="DE289" s="15">
        <v>0</v>
      </c>
      <c r="DF289" s="15">
        <v>0</v>
      </c>
      <c r="DG289" s="15">
        <v>0</v>
      </c>
      <c r="DH289" s="15">
        <v>0</v>
      </c>
      <c r="DI289" s="15">
        <v>0</v>
      </c>
      <c r="DJ289" s="15">
        <v>0</v>
      </c>
      <c r="DK289" s="15">
        <v>0</v>
      </c>
      <c r="DL289" s="15">
        <v>0</v>
      </c>
      <c r="DM289" s="15">
        <v>0</v>
      </c>
      <c r="DN289" s="15">
        <v>0</v>
      </c>
      <c r="DO289" s="15">
        <v>0</v>
      </c>
      <c r="DP289" s="15">
        <v>0</v>
      </c>
      <c r="DQ289" s="15">
        <v>0</v>
      </c>
      <c r="DR289" s="15">
        <v>0</v>
      </c>
      <c r="DS289" s="15">
        <v>0</v>
      </c>
      <c r="DT289" s="15">
        <v>0</v>
      </c>
      <c r="DU289" s="15">
        <v>0</v>
      </c>
      <c r="DV289" s="15">
        <v>0</v>
      </c>
      <c r="DW289" s="15">
        <v>0</v>
      </c>
      <c r="DX289" s="15">
        <v>0</v>
      </c>
      <c r="DY289" s="15">
        <v>0</v>
      </c>
      <c r="DZ289" s="15">
        <v>0</v>
      </c>
      <c r="EA289" s="15">
        <v>0</v>
      </c>
      <c r="EB289" s="15">
        <v>0</v>
      </c>
      <c r="EC289" s="15">
        <v>0</v>
      </c>
      <c r="ED289" s="15">
        <v>0</v>
      </c>
      <c r="EE289" s="15">
        <v>0</v>
      </c>
      <c r="EF289" s="15">
        <v>0</v>
      </c>
    </row>
    <row r="290" spans="1:136" ht="15" customHeight="1" x14ac:dyDescent="0.35">
      <c r="A290" s="8" t="s">
        <v>12</v>
      </c>
      <c r="B290" s="8" t="s">
        <v>24</v>
      </c>
      <c r="C290" s="8" t="s">
        <v>24</v>
      </c>
      <c r="D290" s="8" t="s">
        <v>322</v>
      </c>
      <c r="E290" s="8" t="s">
        <v>14</v>
      </c>
      <c r="F290" s="8" t="s">
        <v>40</v>
      </c>
      <c r="G290" s="15">
        <v>0</v>
      </c>
      <c r="H290" s="15">
        <v>0</v>
      </c>
      <c r="I290" s="15">
        <v>56</v>
      </c>
      <c r="J290" s="15">
        <v>-56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5">
        <v>0</v>
      </c>
      <c r="AU290" s="15">
        <v>0</v>
      </c>
      <c r="AV290" s="15">
        <v>0</v>
      </c>
      <c r="AW290" s="15">
        <v>0</v>
      </c>
      <c r="AX290" s="15">
        <v>0</v>
      </c>
      <c r="AY290" s="15">
        <v>0</v>
      </c>
      <c r="AZ290" s="15">
        <v>0</v>
      </c>
      <c r="BA290" s="15">
        <v>0</v>
      </c>
      <c r="BB290" s="15">
        <v>0</v>
      </c>
      <c r="BC290" s="15">
        <v>0</v>
      </c>
      <c r="BD290" s="15">
        <v>0</v>
      </c>
      <c r="BE290" s="15">
        <v>0</v>
      </c>
      <c r="BF290" s="15">
        <v>0</v>
      </c>
      <c r="BG290" s="15">
        <v>0</v>
      </c>
      <c r="BH290" s="15">
        <v>0</v>
      </c>
      <c r="BI290" s="15">
        <v>0</v>
      </c>
      <c r="BJ290" s="15">
        <v>0</v>
      </c>
      <c r="BK290" s="15">
        <v>0</v>
      </c>
      <c r="BL290" s="15">
        <v>0</v>
      </c>
      <c r="BM290" s="15">
        <v>0</v>
      </c>
      <c r="BN290" s="15">
        <v>0</v>
      </c>
      <c r="BO290" s="15">
        <v>0</v>
      </c>
      <c r="BP290" s="15">
        <v>0</v>
      </c>
      <c r="BQ290" s="15">
        <v>0</v>
      </c>
      <c r="BR290" s="15">
        <v>0</v>
      </c>
      <c r="BS290" s="15">
        <v>0</v>
      </c>
      <c r="BT290" s="15">
        <v>0</v>
      </c>
      <c r="BU290" s="15">
        <v>0</v>
      </c>
      <c r="BV290" s="15">
        <v>0</v>
      </c>
      <c r="BW290" s="15">
        <v>0</v>
      </c>
      <c r="BX290" s="15">
        <v>0</v>
      </c>
      <c r="BY290" s="15">
        <v>0</v>
      </c>
      <c r="BZ290" s="15">
        <v>0</v>
      </c>
      <c r="CA290" s="15">
        <v>0</v>
      </c>
      <c r="CB290" s="15">
        <v>0</v>
      </c>
      <c r="CC290" s="15">
        <v>0</v>
      </c>
      <c r="CD290" s="15">
        <v>0</v>
      </c>
      <c r="CE290" s="15">
        <v>0</v>
      </c>
      <c r="CF290" s="15">
        <v>0</v>
      </c>
      <c r="CG290" s="15">
        <v>0</v>
      </c>
      <c r="CH290" s="15">
        <v>0</v>
      </c>
      <c r="CI290" s="15">
        <v>0</v>
      </c>
      <c r="CJ290" s="15">
        <v>0</v>
      </c>
      <c r="CK290" s="15">
        <v>0</v>
      </c>
      <c r="CL290" s="15">
        <v>0</v>
      </c>
      <c r="CM290" s="15">
        <v>0</v>
      </c>
      <c r="CN290" s="15">
        <v>0</v>
      </c>
      <c r="CO290" s="15">
        <v>0</v>
      </c>
      <c r="CP290" s="15">
        <v>0</v>
      </c>
      <c r="CQ290" s="15">
        <v>0</v>
      </c>
      <c r="CR290" s="15">
        <v>0</v>
      </c>
      <c r="CS290" s="15">
        <v>0</v>
      </c>
      <c r="CT290" s="15">
        <v>0</v>
      </c>
      <c r="CU290" s="15">
        <v>0</v>
      </c>
      <c r="CV290" s="15">
        <v>0</v>
      </c>
      <c r="CW290" s="15">
        <v>0</v>
      </c>
      <c r="CX290" s="15">
        <v>0</v>
      </c>
      <c r="CY290" s="15">
        <v>0</v>
      </c>
      <c r="CZ290" s="15">
        <v>0</v>
      </c>
      <c r="DA290" s="15">
        <v>0</v>
      </c>
      <c r="DB290" s="15">
        <v>0</v>
      </c>
      <c r="DC290" s="15">
        <v>0</v>
      </c>
      <c r="DD290" s="15">
        <v>0</v>
      </c>
      <c r="DE290" s="15">
        <v>0</v>
      </c>
      <c r="DF290" s="15">
        <v>0</v>
      </c>
      <c r="DG290" s="15">
        <v>0</v>
      </c>
      <c r="DH290" s="15">
        <v>0</v>
      </c>
      <c r="DI290" s="15">
        <v>0</v>
      </c>
      <c r="DJ290" s="15">
        <v>0</v>
      </c>
      <c r="DK290" s="15">
        <v>0</v>
      </c>
      <c r="DL290" s="15">
        <v>0</v>
      </c>
      <c r="DM290" s="15">
        <v>0</v>
      </c>
      <c r="DN290" s="15">
        <v>0</v>
      </c>
      <c r="DO290" s="15">
        <v>0</v>
      </c>
      <c r="DP290" s="15">
        <v>16</v>
      </c>
      <c r="DQ290" s="15">
        <v>20</v>
      </c>
      <c r="DR290" s="15">
        <v>20</v>
      </c>
      <c r="DS290" s="15">
        <v>0</v>
      </c>
      <c r="DT290" s="15">
        <v>0</v>
      </c>
      <c r="DU290" s="15">
        <v>0</v>
      </c>
      <c r="DV290" s="15">
        <v>0</v>
      </c>
      <c r="DW290" s="15">
        <v>0</v>
      </c>
      <c r="DX290" s="15">
        <v>0</v>
      </c>
      <c r="DY290" s="15">
        <v>0</v>
      </c>
      <c r="DZ290" s="15">
        <v>0</v>
      </c>
      <c r="EA290" s="15">
        <v>0</v>
      </c>
      <c r="EB290" s="15">
        <v>0</v>
      </c>
      <c r="EC290" s="15">
        <v>0</v>
      </c>
      <c r="ED290" s="15">
        <v>0</v>
      </c>
      <c r="EE290" s="15">
        <v>0</v>
      </c>
      <c r="EF290" s="15">
        <v>0</v>
      </c>
    </row>
    <row r="291" spans="1:136" ht="15" customHeight="1" x14ac:dyDescent="0.35">
      <c r="A291" s="8" t="s">
        <v>12</v>
      </c>
      <c r="B291" s="8" t="s">
        <v>24</v>
      </c>
      <c r="C291" s="8" t="s">
        <v>24</v>
      </c>
      <c r="D291" s="8" t="s">
        <v>316</v>
      </c>
      <c r="E291" s="8" t="s">
        <v>14</v>
      </c>
      <c r="F291" s="8" t="s">
        <v>103</v>
      </c>
      <c r="G291" s="15">
        <v>421</v>
      </c>
      <c r="H291" s="15">
        <v>901</v>
      </c>
      <c r="I291" s="15">
        <v>173</v>
      </c>
      <c r="J291" s="15">
        <v>728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2</v>
      </c>
      <c r="AD291" s="15">
        <v>6</v>
      </c>
      <c r="AE291" s="15">
        <v>22.5</v>
      </c>
      <c r="AF291" s="15">
        <v>33.5</v>
      </c>
      <c r="AG291" s="15">
        <v>38</v>
      </c>
      <c r="AH291" s="15">
        <v>26.5</v>
      </c>
      <c r="AI291" s="15">
        <v>29</v>
      </c>
      <c r="AJ291" s="15">
        <v>15.5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5">
        <v>0</v>
      </c>
      <c r="CH291" s="15">
        <v>0</v>
      </c>
      <c r="CI291" s="15">
        <v>0</v>
      </c>
      <c r="CJ291" s="15">
        <v>0</v>
      </c>
      <c r="CK291" s="15">
        <v>0</v>
      </c>
      <c r="CL291" s="15">
        <v>0</v>
      </c>
      <c r="CM291" s="15">
        <v>0</v>
      </c>
      <c r="CN291" s="15">
        <v>0</v>
      </c>
      <c r="CO291" s="15">
        <v>0</v>
      </c>
      <c r="CP291" s="15">
        <v>0</v>
      </c>
      <c r="CQ291" s="15">
        <v>0</v>
      </c>
      <c r="CR291" s="15">
        <v>0</v>
      </c>
      <c r="CS291" s="15">
        <v>0</v>
      </c>
      <c r="CT291" s="15">
        <v>0</v>
      </c>
      <c r="CU291" s="15">
        <v>0</v>
      </c>
      <c r="CV291" s="15">
        <v>0</v>
      </c>
      <c r="CW291" s="15">
        <v>0</v>
      </c>
      <c r="CX291" s="15">
        <v>0</v>
      </c>
      <c r="CY291" s="15">
        <v>0</v>
      </c>
      <c r="CZ291" s="15">
        <v>0</v>
      </c>
      <c r="DA291" s="15">
        <v>0</v>
      </c>
      <c r="DB291" s="15">
        <v>0</v>
      </c>
      <c r="DC291" s="15">
        <v>0</v>
      </c>
      <c r="DD291" s="15">
        <v>0</v>
      </c>
      <c r="DE291" s="15">
        <v>0</v>
      </c>
      <c r="DF291" s="15">
        <v>0</v>
      </c>
      <c r="DG291" s="15">
        <v>0</v>
      </c>
      <c r="DH291" s="15">
        <v>0</v>
      </c>
      <c r="DI291" s="15">
        <v>0</v>
      </c>
      <c r="DJ291" s="15">
        <v>0</v>
      </c>
      <c r="DK291" s="15">
        <v>0</v>
      </c>
      <c r="DL291" s="15">
        <v>0</v>
      </c>
      <c r="DM291" s="15">
        <v>0</v>
      </c>
      <c r="DN291" s="15">
        <v>0</v>
      </c>
      <c r="DO291" s="15">
        <v>0</v>
      </c>
      <c r="DP291" s="15">
        <v>0</v>
      </c>
      <c r="DQ291" s="15">
        <v>0</v>
      </c>
      <c r="DR291" s="15">
        <v>0</v>
      </c>
      <c r="DS291" s="15">
        <v>0</v>
      </c>
      <c r="DT291" s="15">
        <v>0</v>
      </c>
      <c r="DU291" s="15">
        <v>0</v>
      </c>
      <c r="DV291" s="15">
        <v>0</v>
      </c>
      <c r="DW291" s="15">
        <v>0</v>
      </c>
      <c r="DX291" s="15">
        <v>0</v>
      </c>
      <c r="DY291" s="15">
        <v>0</v>
      </c>
      <c r="DZ291" s="15">
        <v>0</v>
      </c>
      <c r="EA291" s="15">
        <v>0</v>
      </c>
      <c r="EB291" s="15">
        <v>0</v>
      </c>
      <c r="EC291" s="15">
        <v>0</v>
      </c>
      <c r="ED291" s="15">
        <v>0</v>
      </c>
      <c r="EE291" s="15">
        <v>0</v>
      </c>
      <c r="EF291" s="15">
        <v>0</v>
      </c>
    </row>
    <row r="292" spans="1:136" ht="15" customHeight="1" x14ac:dyDescent="0.35">
      <c r="A292" s="8" t="s">
        <v>12</v>
      </c>
      <c r="B292" s="8" t="s">
        <v>24</v>
      </c>
      <c r="C292" s="8" t="s">
        <v>24</v>
      </c>
      <c r="D292" s="8" t="s">
        <v>322</v>
      </c>
      <c r="E292" s="8" t="s">
        <v>14</v>
      </c>
      <c r="F292" s="8" t="s">
        <v>103</v>
      </c>
      <c r="G292" s="15">
        <v>0</v>
      </c>
      <c r="H292" s="15">
        <v>0</v>
      </c>
      <c r="I292" s="15">
        <v>855</v>
      </c>
      <c r="J292" s="15">
        <v>-855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19</v>
      </c>
      <c r="AK292" s="15">
        <v>23</v>
      </c>
      <c r="AL292" s="15">
        <v>34</v>
      </c>
      <c r="AM292" s="15">
        <v>18</v>
      </c>
      <c r="AN292" s="15">
        <v>4</v>
      </c>
      <c r="AO292" s="15">
        <v>25</v>
      </c>
      <c r="AP292" s="15">
        <v>36</v>
      </c>
      <c r="AQ292" s="15">
        <v>0</v>
      </c>
      <c r="AR292" s="15">
        <v>33</v>
      </c>
      <c r="AS292" s="15">
        <v>5.5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  <c r="BB292" s="15">
        <v>0</v>
      </c>
      <c r="BC292" s="15">
        <v>0</v>
      </c>
      <c r="BD292" s="15">
        <v>0</v>
      </c>
      <c r="BE292" s="15">
        <v>0</v>
      </c>
      <c r="BF292" s="15">
        <v>0</v>
      </c>
      <c r="BG292" s="15">
        <v>0</v>
      </c>
      <c r="BH292" s="15">
        <v>0</v>
      </c>
      <c r="BI292" s="15">
        <v>0</v>
      </c>
      <c r="BJ292" s="15">
        <v>0</v>
      </c>
      <c r="BK292" s="15">
        <v>0</v>
      </c>
      <c r="BL292" s="15">
        <v>0</v>
      </c>
      <c r="BM292" s="15">
        <v>0</v>
      </c>
      <c r="BN292" s="15">
        <v>0</v>
      </c>
      <c r="BO292" s="15">
        <v>0</v>
      </c>
      <c r="BP292" s="15">
        <v>0</v>
      </c>
      <c r="BQ292" s="15">
        <v>0</v>
      </c>
      <c r="BR292" s="15">
        <v>0</v>
      </c>
      <c r="BS292" s="15">
        <v>0</v>
      </c>
      <c r="BT292" s="15">
        <v>0</v>
      </c>
      <c r="BU292" s="15">
        <v>0</v>
      </c>
      <c r="BV292" s="15">
        <v>0</v>
      </c>
      <c r="BW292" s="15">
        <v>0</v>
      </c>
      <c r="BX292" s="15">
        <v>0</v>
      </c>
      <c r="BY292" s="15">
        <v>0</v>
      </c>
      <c r="BZ292" s="15">
        <v>0</v>
      </c>
      <c r="CA292" s="15">
        <v>0</v>
      </c>
      <c r="CB292" s="15">
        <v>0</v>
      </c>
      <c r="CC292" s="15">
        <v>0</v>
      </c>
      <c r="CD292" s="15">
        <v>0</v>
      </c>
      <c r="CE292" s="15">
        <v>0</v>
      </c>
      <c r="CF292" s="15">
        <v>0</v>
      </c>
      <c r="CG292" s="15">
        <v>0</v>
      </c>
      <c r="CH292" s="15">
        <v>0</v>
      </c>
      <c r="CI292" s="15">
        <v>0</v>
      </c>
      <c r="CJ292" s="15">
        <v>0</v>
      </c>
      <c r="CK292" s="15">
        <v>0</v>
      </c>
      <c r="CL292" s="15">
        <v>0</v>
      </c>
      <c r="CM292" s="15">
        <v>0</v>
      </c>
      <c r="CN292" s="15">
        <v>0</v>
      </c>
      <c r="CO292" s="15">
        <v>0</v>
      </c>
      <c r="CP292" s="15">
        <v>0</v>
      </c>
      <c r="CQ292" s="15">
        <v>0</v>
      </c>
      <c r="CR292" s="15">
        <v>0</v>
      </c>
      <c r="CS292" s="15">
        <v>32</v>
      </c>
      <c r="CT292" s="15">
        <v>30</v>
      </c>
      <c r="CU292" s="15">
        <v>6</v>
      </c>
      <c r="CV292" s="15">
        <v>0</v>
      </c>
      <c r="CW292" s="15">
        <v>10</v>
      </c>
      <c r="CX292" s="15">
        <v>10</v>
      </c>
      <c r="CY292" s="15">
        <v>25</v>
      </c>
      <c r="CZ292" s="15">
        <v>35</v>
      </c>
      <c r="DA292" s="15">
        <v>15</v>
      </c>
      <c r="DB292" s="15">
        <v>30</v>
      </c>
      <c r="DC292" s="15">
        <v>30</v>
      </c>
      <c r="DD292" s="15">
        <v>30</v>
      </c>
      <c r="DE292" s="15">
        <v>25</v>
      </c>
      <c r="DF292" s="15">
        <v>20</v>
      </c>
      <c r="DG292" s="15">
        <v>10</v>
      </c>
      <c r="DH292" s="15">
        <v>5</v>
      </c>
      <c r="DI292" s="15">
        <v>0</v>
      </c>
      <c r="DJ292" s="15">
        <v>0</v>
      </c>
      <c r="DK292" s="15">
        <v>35</v>
      </c>
      <c r="DL292" s="15">
        <v>50</v>
      </c>
      <c r="DM292" s="15">
        <v>60</v>
      </c>
      <c r="DN292" s="15">
        <v>65</v>
      </c>
      <c r="DO292" s="15">
        <v>60</v>
      </c>
      <c r="DP292" s="15">
        <v>50</v>
      </c>
      <c r="DQ292" s="15">
        <v>30</v>
      </c>
      <c r="DR292" s="15">
        <v>0</v>
      </c>
      <c r="DS292" s="15">
        <v>0</v>
      </c>
      <c r="DT292" s="15">
        <v>0</v>
      </c>
      <c r="DU292" s="15">
        <v>0</v>
      </c>
      <c r="DV292" s="15">
        <v>0</v>
      </c>
      <c r="DW292" s="15">
        <v>0</v>
      </c>
      <c r="DX292" s="15">
        <v>0</v>
      </c>
      <c r="DY292" s="15">
        <v>0</v>
      </c>
      <c r="DZ292" s="15">
        <v>0</v>
      </c>
      <c r="EA292" s="15">
        <v>0</v>
      </c>
      <c r="EB292" s="15">
        <v>0</v>
      </c>
      <c r="EC292" s="15">
        <v>0</v>
      </c>
      <c r="ED292" s="15">
        <v>0</v>
      </c>
      <c r="EE292" s="15">
        <v>0</v>
      </c>
      <c r="EF292" s="15">
        <v>0</v>
      </c>
    </row>
    <row r="293" spans="1:136" ht="15" customHeight="1" x14ac:dyDescent="0.35">
      <c r="A293" s="8" t="s">
        <v>12</v>
      </c>
      <c r="B293" s="8" t="s">
        <v>24</v>
      </c>
      <c r="C293" s="8" t="s">
        <v>24</v>
      </c>
      <c r="D293" s="8" t="s">
        <v>316</v>
      </c>
      <c r="E293" s="8" t="s">
        <v>14</v>
      </c>
      <c r="F293" s="8" t="s">
        <v>111</v>
      </c>
      <c r="G293" s="15">
        <v>14.5</v>
      </c>
      <c r="H293" s="15">
        <v>14.5</v>
      </c>
      <c r="I293" s="15">
        <v>14.5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7.5</v>
      </c>
      <c r="AD293" s="15">
        <v>6.5</v>
      </c>
      <c r="AE293" s="15">
        <v>0.5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5">
        <v>0</v>
      </c>
      <c r="CH293" s="15">
        <v>0</v>
      </c>
      <c r="CI293" s="15">
        <v>0</v>
      </c>
      <c r="CJ293" s="15">
        <v>0</v>
      </c>
      <c r="CK293" s="15">
        <v>0</v>
      </c>
      <c r="CL293" s="15">
        <v>0</v>
      </c>
      <c r="CM293" s="15">
        <v>0</v>
      </c>
      <c r="CN293" s="15">
        <v>0</v>
      </c>
      <c r="CO293" s="15">
        <v>0</v>
      </c>
      <c r="CP293" s="15">
        <v>0</v>
      </c>
      <c r="CQ293" s="15">
        <v>0</v>
      </c>
      <c r="CR293" s="15">
        <v>0</v>
      </c>
      <c r="CS293" s="15">
        <v>0</v>
      </c>
      <c r="CT293" s="15">
        <v>0</v>
      </c>
      <c r="CU293" s="15">
        <v>0</v>
      </c>
      <c r="CV293" s="15">
        <v>0</v>
      </c>
      <c r="CW293" s="15">
        <v>0</v>
      </c>
      <c r="CX293" s="15">
        <v>0</v>
      </c>
      <c r="CY293" s="15">
        <v>0</v>
      </c>
      <c r="CZ293" s="15">
        <v>0</v>
      </c>
      <c r="DA293" s="15">
        <v>0</v>
      </c>
      <c r="DB293" s="15">
        <v>0</v>
      </c>
      <c r="DC293" s="15">
        <v>0</v>
      </c>
      <c r="DD293" s="15">
        <v>0</v>
      </c>
      <c r="DE293" s="15">
        <v>0</v>
      </c>
      <c r="DF293" s="15">
        <v>0</v>
      </c>
      <c r="DG293" s="15">
        <v>0</v>
      </c>
      <c r="DH293" s="15">
        <v>0</v>
      </c>
      <c r="DI293" s="15">
        <v>0</v>
      </c>
      <c r="DJ293" s="15">
        <v>0</v>
      </c>
      <c r="DK293" s="15">
        <v>0</v>
      </c>
      <c r="DL293" s="15">
        <v>0</v>
      </c>
      <c r="DM293" s="15">
        <v>0</v>
      </c>
      <c r="DN293" s="15">
        <v>0</v>
      </c>
      <c r="DO293" s="15">
        <v>0</v>
      </c>
      <c r="DP293" s="15">
        <v>0</v>
      </c>
      <c r="DQ293" s="15">
        <v>0</v>
      </c>
      <c r="DR293" s="15">
        <v>0</v>
      </c>
      <c r="DS293" s="15">
        <v>0</v>
      </c>
      <c r="DT293" s="15">
        <v>0</v>
      </c>
      <c r="DU293" s="15">
        <v>0</v>
      </c>
      <c r="DV293" s="15">
        <v>0</v>
      </c>
      <c r="DW293" s="15">
        <v>0</v>
      </c>
      <c r="DX293" s="15">
        <v>0</v>
      </c>
      <c r="DY293" s="15">
        <v>0</v>
      </c>
      <c r="DZ293" s="15">
        <v>0</v>
      </c>
      <c r="EA293" s="15">
        <v>0</v>
      </c>
      <c r="EB293" s="15">
        <v>0</v>
      </c>
      <c r="EC293" s="15">
        <v>0</v>
      </c>
      <c r="ED293" s="15">
        <v>0</v>
      </c>
      <c r="EE293" s="15">
        <v>0</v>
      </c>
      <c r="EF293" s="15">
        <v>0</v>
      </c>
    </row>
    <row r="294" spans="1:136" ht="15" customHeight="1" x14ac:dyDescent="0.35">
      <c r="A294" s="8" t="s">
        <v>12</v>
      </c>
      <c r="B294" s="8" t="s">
        <v>24</v>
      </c>
      <c r="C294" s="8" t="s">
        <v>24</v>
      </c>
      <c r="D294" s="8" t="s">
        <v>322</v>
      </c>
      <c r="E294" s="8" t="s">
        <v>14</v>
      </c>
      <c r="F294" s="8" t="s">
        <v>111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0</v>
      </c>
      <c r="BC294" s="15">
        <v>0</v>
      </c>
      <c r="BD294" s="15">
        <v>0</v>
      </c>
      <c r="BE294" s="15">
        <v>0</v>
      </c>
      <c r="BF294" s="15">
        <v>0</v>
      </c>
      <c r="BG294" s="15">
        <v>0</v>
      </c>
      <c r="BH294" s="15">
        <v>0</v>
      </c>
      <c r="BI294" s="15">
        <v>0</v>
      </c>
      <c r="BJ294" s="15">
        <v>0</v>
      </c>
      <c r="BK294" s="15">
        <v>0</v>
      </c>
      <c r="BL294" s="15">
        <v>0</v>
      </c>
      <c r="BM294" s="15">
        <v>0</v>
      </c>
      <c r="BN294" s="15">
        <v>0</v>
      </c>
      <c r="BO294" s="15">
        <v>0</v>
      </c>
      <c r="BP294" s="15">
        <v>0</v>
      </c>
      <c r="BQ294" s="15">
        <v>0</v>
      </c>
      <c r="BR294" s="15">
        <v>0</v>
      </c>
      <c r="BS294" s="15">
        <v>0</v>
      </c>
      <c r="BT294" s="15">
        <v>0</v>
      </c>
      <c r="BU294" s="15">
        <v>0</v>
      </c>
      <c r="BV294" s="15">
        <v>0</v>
      </c>
      <c r="BW294" s="15">
        <v>0</v>
      </c>
      <c r="BX294" s="15">
        <v>0</v>
      </c>
      <c r="BY294" s="15">
        <v>0</v>
      </c>
      <c r="BZ294" s="15">
        <v>0</v>
      </c>
      <c r="CA294" s="15">
        <v>0</v>
      </c>
      <c r="CB294" s="15">
        <v>0</v>
      </c>
      <c r="CC294" s="15">
        <v>0</v>
      </c>
      <c r="CD294" s="15">
        <v>0</v>
      </c>
      <c r="CE294" s="15">
        <v>0</v>
      </c>
      <c r="CF294" s="15">
        <v>0</v>
      </c>
      <c r="CG294" s="15">
        <v>0</v>
      </c>
      <c r="CH294" s="15">
        <v>0</v>
      </c>
      <c r="CI294" s="15">
        <v>0</v>
      </c>
      <c r="CJ294" s="15">
        <v>0</v>
      </c>
      <c r="CK294" s="15">
        <v>0</v>
      </c>
      <c r="CL294" s="15">
        <v>0</v>
      </c>
      <c r="CM294" s="15">
        <v>0</v>
      </c>
      <c r="CN294" s="15">
        <v>0</v>
      </c>
      <c r="CO294" s="15">
        <v>0</v>
      </c>
      <c r="CP294" s="15">
        <v>0</v>
      </c>
      <c r="CQ294" s="15">
        <v>0</v>
      </c>
      <c r="CR294" s="15">
        <v>0</v>
      </c>
      <c r="CS294" s="15">
        <v>0</v>
      </c>
      <c r="CT294" s="15">
        <v>0</v>
      </c>
      <c r="CU294" s="15">
        <v>0</v>
      </c>
      <c r="CV294" s="15">
        <v>0</v>
      </c>
      <c r="CW294" s="15">
        <v>0</v>
      </c>
      <c r="CX294" s="15">
        <v>0</v>
      </c>
      <c r="CY294" s="15">
        <v>0</v>
      </c>
      <c r="CZ294" s="15">
        <v>0</v>
      </c>
      <c r="DA294" s="15">
        <v>0</v>
      </c>
      <c r="DB294" s="15">
        <v>0</v>
      </c>
      <c r="DC294" s="15">
        <v>0</v>
      </c>
      <c r="DD294" s="15">
        <v>0</v>
      </c>
      <c r="DE294" s="15">
        <v>0</v>
      </c>
      <c r="DF294" s="15">
        <v>0</v>
      </c>
      <c r="DG294" s="15">
        <v>0</v>
      </c>
      <c r="DH294" s="15">
        <v>0</v>
      </c>
      <c r="DI294" s="15">
        <v>0</v>
      </c>
      <c r="DJ294" s="15">
        <v>0</v>
      </c>
      <c r="DK294" s="15">
        <v>0</v>
      </c>
      <c r="DL294" s="15">
        <v>0</v>
      </c>
      <c r="DM294" s="15">
        <v>0</v>
      </c>
      <c r="DN294" s="15">
        <v>0</v>
      </c>
      <c r="DO294" s="15">
        <v>0</v>
      </c>
      <c r="DP294" s="15">
        <v>0</v>
      </c>
      <c r="DQ294" s="15">
        <v>0</v>
      </c>
      <c r="DR294" s="15">
        <v>0</v>
      </c>
      <c r="DS294" s="15">
        <v>0</v>
      </c>
      <c r="DT294" s="15">
        <v>0</v>
      </c>
      <c r="DU294" s="15">
        <v>0</v>
      </c>
      <c r="DV294" s="15">
        <v>0</v>
      </c>
      <c r="DW294" s="15">
        <v>0</v>
      </c>
      <c r="DX294" s="15">
        <v>0</v>
      </c>
      <c r="DY294" s="15">
        <v>0</v>
      </c>
      <c r="DZ294" s="15">
        <v>0</v>
      </c>
      <c r="EA294" s="15">
        <v>0</v>
      </c>
      <c r="EB294" s="15">
        <v>0</v>
      </c>
      <c r="EC294" s="15">
        <v>0</v>
      </c>
      <c r="ED294" s="15">
        <v>0</v>
      </c>
      <c r="EE294" s="15">
        <v>0</v>
      </c>
      <c r="EF294" s="15">
        <v>0</v>
      </c>
    </row>
    <row r="295" spans="1:136" ht="15" customHeight="1" x14ac:dyDescent="0.35">
      <c r="A295" s="8" t="s">
        <v>12</v>
      </c>
      <c r="B295" s="8" t="s">
        <v>24</v>
      </c>
      <c r="C295" s="8" t="s">
        <v>24</v>
      </c>
      <c r="D295" s="8" t="s">
        <v>316</v>
      </c>
      <c r="E295" s="8" t="s">
        <v>14</v>
      </c>
      <c r="F295" s="8" t="s">
        <v>87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5">
        <v>0</v>
      </c>
      <c r="CH295" s="15">
        <v>0</v>
      </c>
      <c r="CI295" s="15">
        <v>0</v>
      </c>
      <c r="CJ295" s="15">
        <v>0</v>
      </c>
      <c r="CK295" s="15">
        <v>0</v>
      </c>
      <c r="CL295" s="15">
        <v>0</v>
      </c>
      <c r="CM295" s="15">
        <v>0</v>
      </c>
      <c r="CN295" s="15">
        <v>0</v>
      </c>
      <c r="CO295" s="15">
        <v>0</v>
      </c>
      <c r="CP295" s="15">
        <v>0</v>
      </c>
      <c r="CQ295" s="15">
        <v>0</v>
      </c>
      <c r="CR295" s="15">
        <v>0</v>
      </c>
      <c r="CS295" s="15">
        <v>0</v>
      </c>
      <c r="CT295" s="15">
        <v>0</v>
      </c>
      <c r="CU295" s="15">
        <v>0</v>
      </c>
      <c r="CV295" s="15">
        <v>0</v>
      </c>
      <c r="CW295" s="15">
        <v>0</v>
      </c>
      <c r="CX295" s="15">
        <v>0</v>
      </c>
      <c r="CY295" s="15">
        <v>0</v>
      </c>
      <c r="CZ295" s="15">
        <v>0</v>
      </c>
      <c r="DA295" s="15">
        <v>0</v>
      </c>
      <c r="DB295" s="15">
        <v>0</v>
      </c>
      <c r="DC295" s="15">
        <v>0</v>
      </c>
      <c r="DD295" s="15">
        <v>0</v>
      </c>
      <c r="DE295" s="15">
        <v>0</v>
      </c>
      <c r="DF295" s="15">
        <v>0</v>
      </c>
      <c r="DG295" s="15">
        <v>0</v>
      </c>
      <c r="DH295" s="15">
        <v>0</v>
      </c>
      <c r="DI295" s="15">
        <v>0</v>
      </c>
      <c r="DJ295" s="15">
        <v>0</v>
      </c>
      <c r="DK295" s="15">
        <v>0</v>
      </c>
      <c r="DL295" s="15">
        <v>0</v>
      </c>
      <c r="DM295" s="15">
        <v>0</v>
      </c>
      <c r="DN295" s="15">
        <v>0</v>
      </c>
      <c r="DO295" s="15">
        <v>0</v>
      </c>
      <c r="DP295" s="15">
        <v>0</v>
      </c>
      <c r="DQ295" s="15">
        <v>0</v>
      </c>
      <c r="DR295" s="15">
        <v>0</v>
      </c>
      <c r="DS295" s="15">
        <v>0</v>
      </c>
      <c r="DT295" s="15">
        <v>0</v>
      </c>
      <c r="DU295" s="15">
        <v>0</v>
      </c>
      <c r="DV295" s="15">
        <v>0</v>
      </c>
      <c r="DW295" s="15">
        <v>0</v>
      </c>
      <c r="DX295" s="15">
        <v>0</v>
      </c>
      <c r="DY295" s="15">
        <v>0</v>
      </c>
      <c r="DZ295" s="15">
        <v>0</v>
      </c>
      <c r="EA295" s="15">
        <v>0</v>
      </c>
      <c r="EB295" s="15">
        <v>0</v>
      </c>
      <c r="EC295" s="15">
        <v>0</v>
      </c>
      <c r="ED295" s="15">
        <v>0</v>
      </c>
      <c r="EE295" s="15">
        <v>0</v>
      </c>
      <c r="EF295" s="15">
        <v>0</v>
      </c>
    </row>
    <row r="296" spans="1:136" ht="15" customHeight="1" x14ac:dyDescent="0.35">
      <c r="A296" s="8" t="s">
        <v>12</v>
      </c>
      <c r="B296" s="8" t="s">
        <v>24</v>
      </c>
      <c r="C296" s="8" t="s">
        <v>24</v>
      </c>
      <c r="D296" s="8" t="s">
        <v>322</v>
      </c>
      <c r="E296" s="8" t="s">
        <v>14</v>
      </c>
      <c r="F296" s="8" t="s">
        <v>87</v>
      </c>
      <c r="G296" s="15">
        <v>0</v>
      </c>
      <c r="H296" s="15">
        <v>0</v>
      </c>
      <c r="I296" s="15">
        <v>35</v>
      </c>
      <c r="J296" s="15">
        <v>-35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3</v>
      </c>
      <c r="AM296" s="15">
        <v>16.5</v>
      </c>
      <c r="AN296" s="15">
        <v>15.5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15">
        <v>0</v>
      </c>
      <c r="BB296" s="15">
        <v>0</v>
      </c>
      <c r="BC296" s="15">
        <v>0</v>
      </c>
      <c r="BD296" s="15">
        <v>0</v>
      </c>
      <c r="BE296" s="15">
        <v>0</v>
      </c>
      <c r="BF296" s="15">
        <v>0</v>
      </c>
      <c r="BG296" s="15">
        <v>0</v>
      </c>
      <c r="BH296" s="15">
        <v>0</v>
      </c>
      <c r="BI296" s="15">
        <v>0</v>
      </c>
      <c r="BJ296" s="15">
        <v>0</v>
      </c>
      <c r="BK296" s="15">
        <v>0</v>
      </c>
      <c r="BL296" s="15">
        <v>0</v>
      </c>
      <c r="BM296" s="15">
        <v>0</v>
      </c>
      <c r="BN296" s="15">
        <v>0</v>
      </c>
      <c r="BO296" s="15">
        <v>0</v>
      </c>
      <c r="BP296" s="15">
        <v>0</v>
      </c>
      <c r="BQ296" s="15">
        <v>0</v>
      </c>
      <c r="BR296" s="15">
        <v>0</v>
      </c>
      <c r="BS296" s="15">
        <v>0</v>
      </c>
      <c r="BT296" s="15">
        <v>0</v>
      </c>
      <c r="BU296" s="15">
        <v>0</v>
      </c>
      <c r="BV296" s="15">
        <v>0</v>
      </c>
      <c r="BW296" s="15">
        <v>0</v>
      </c>
      <c r="BX296" s="15">
        <v>0</v>
      </c>
      <c r="BY296" s="15">
        <v>0</v>
      </c>
      <c r="BZ296" s="15">
        <v>0</v>
      </c>
      <c r="CA296" s="15">
        <v>0</v>
      </c>
      <c r="CB296" s="15">
        <v>0</v>
      </c>
      <c r="CC296" s="15">
        <v>0</v>
      </c>
      <c r="CD296" s="15">
        <v>0</v>
      </c>
      <c r="CE296" s="15">
        <v>0</v>
      </c>
      <c r="CF296" s="15">
        <v>0</v>
      </c>
      <c r="CG296" s="15">
        <v>0</v>
      </c>
      <c r="CH296" s="15">
        <v>0</v>
      </c>
      <c r="CI296" s="15">
        <v>0</v>
      </c>
      <c r="CJ296" s="15">
        <v>0</v>
      </c>
      <c r="CK296" s="15">
        <v>0</v>
      </c>
      <c r="CL296" s="15">
        <v>0</v>
      </c>
      <c r="CM296" s="15">
        <v>0</v>
      </c>
      <c r="CN296" s="15">
        <v>0</v>
      </c>
      <c r="CO296" s="15">
        <v>0</v>
      </c>
      <c r="CP296" s="15">
        <v>0</v>
      </c>
      <c r="CQ296" s="15">
        <v>0</v>
      </c>
      <c r="CR296" s="15">
        <v>0</v>
      </c>
      <c r="CS296" s="15">
        <v>0</v>
      </c>
      <c r="CT296" s="15">
        <v>0</v>
      </c>
      <c r="CU296" s="15">
        <v>0</v>
      </c>
      <c r="CV296" s="15">
        <v>0</v>
      </c>
      <c r="CW296" s="15">
        <v>0</v>
      </c>
      <c r="CX296" s="15">
        <v>0</v>
      </c>
      <c r="CY296" s="15">
        <v>0</v>
      </c>
      <c r="CZ296" s="15">
        <v>0</v>
      </c>
      <c r="DA296" s="15">
        <v>0</v>
      </c>
      <c r="DB296" s="15">
        <v>0</v>
      </c>
      <c r="DC296" s="15">
        <v>0</v>
      </c>
      <c r="DD296" s="15">
        <v>0</v>
      </c>
      <c r="DE296" s="15">
        <v>0</v>
      </c>
      <c r="DF296" s="15">
        <v>0</v>
      </c>
      <c r="DG296" s="15">
        <v>0</v>
      </c>
      <c r="DH296" s="15">
        <v>0</v>
      </c>
      <c r="DI296" s="15">
        <v>0</v>
      </c>
      <c r="DJ296" s="15">
        <v>0</v>
      </c>
      <c r="DK296" s="15">
        <v>0</v>
      </c>
      <c r="DL296" s="15">
        <v>0</v>
      </c>
      <c r="DM296" s="15">
        <v>0</v>
      </c>
      <c r="DN296" s="15">
        <v>0</v>
      </c>
      <c r="DO296" s="15">
        <v>0</v>
      </c>
      <c r="DP296" s="15">
        <v>0</v>
      </c>
      <c r="DQ296" s="15">
        <v>0</v>
      </c>
      <c r="DR296" s="15">
        <v>0</v>
      </c>
      <c r="DS296" s="15">
        <v>0</v>
      </c>
      <c r="DT296" s="15">
        <v>0</v>
      </c>
      <c r="DU296" s="15">
        <v>0</v>
      </c>
      <c r="DV296" s="15">
        <v>0</v>
      </c>
      <c r="DW296" s="15">
        <v>0</v>
      </c>
      <c r="DX296" s="15">
        <v>0</v>
      </c>
      <c r="DY296" s="15">
        <v>0</v>
      </c>
      <c r="DZ296" s="15">
        <v>0</v>
      </c>
      <c r="EA296" s="15">
        <v>0</v>
      </c>
      <c r="EB296" s="15">
        <v>0</v>
      </c>
      <c r="EC296" s="15">
        <v>0</v>
      </c>
      <c r="ED296" s="15">
        <v>0</v>
      </c>
      <c r="EE296" s="15">
        <v>0</v>
      </c>
      <c r="EF296" s="15">
        <v>0</v>
      </c>
    </row>
    <row r="297" spans="1:136" ht="15" customHeight="1" x14ac:dyDescent="0.35">
      <c r="A297" s="8" t="s">
        <v>12</v>
      </c>
      <c r="B297" s="8" t="s">
        <v>15</v>
      </c>
      <c r="C297" s="8" t="s">
        <v>15</v>
      </c>
      <c r="D297" s="8" t="s">
        <v>321</v>
      </c>
      <c r="E297" s="8" t="s">
        <v>16</v>
      </c>
      <c r="F297" s="8" t="s">
        <v>79</v>
      </c>
      <c r="G297" s="15">
        <v>0</v>
      </c>
      <c r="H297" s="15">
        <v>0</v>
      </c>
      <c r="I297" s="15">
        <v>56.4</v>
      </c>
      <c r="J297" s="15">
        <v>-56.4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0.5</v>
      </c>
      <c r="AL297" s="15">
        <v>0.5</v>
      </c>
      <c r="AM297" s="15">
        <v>0</v>
      </c>
      <c r="AN297" s="15">
        <v>1</v>
      </c>
      <c r="AO297" s="15">
        <v>0</v>
      </c>
      <c r="AP297" s="15">
        <v>1</v>
      </c>
      <c r="AQ297" s="15">
        <v>0.5</v>
      </c>
      <c r="AR297" s="15">
        <v>1</v>
      </c>
      <c r="AS297" s="15">
        <v>0.5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5">
        <v>0</v>
      </c>
      <c r="CH297" s="15">
        <v>0</v>
      </c>
      <c r="CI297" s="15">
        <v>0</v>
      </c>
      <c r="CJ297" s="15">
        <v>0</v>
      </c>
      <c r="CK297" s="15">
        <v>0</v>
      </c>
      <c r="CL297" s="15">
        <v>0</v>
      </c>
      <c r="CM297" s="15">
        <v>0</v>
      </c>
      <c r="CN297" s="15">
        <v>0</v>
      </c>
      <c r="CO297" s="15">
        <v>0</v>
      </c>
      <c r="CP297" s="15">
        <v>0</v>
      </c>
      <c r="CQ297" s="15">
        <v>0</v>
      </c>
      <c r="CR297" s="15">
        <v>0</v>
      </c>
      <c r="CS297" s="15">
        <v>1.4035089999999999</v>
      </c>
      <c r="CT297" s="15">
        <v>1.4035089999999999</v>
      </c>
      <c r="CU297" s="15">
        <v>1.4035089999999999</v>
      </c>
      <c r="CV297" s="15">
        <v>1.4035089999999999</v>
      </c>
      <c r="CW297" s="15">
        <v>1.4035089999999999</v>
      </c>
      <c r="CX297" s="15">
        <v>1.4035089999999999</v>
      </c>
      <c r="CY297" s="15">
        <v>1.4035089999999999</v>
      </c>
      <c r="CZ297" s="15">
        <v>1.4035089999999999</v>
      </c>
      <c r="DA297" s="15">
        <v>1.4035089999999999</v>
      </c>
      <c r="DB297" s="15">
        <v>1.4035089999999999</v>
      </c>
      <c r="DC297" s="15">
        <v>1.4035089999999999</v>
      </c>
      <c r="DD297" s="15">
        <v>1.4035089999999999</v>
      </c>
      <c r="DE297" s="15">
        <v>1.4035089999999999</v>
      </c>
      <c r="DF297" s="15">
        <v>1.4035089999999999</v>
      </c>
      <c r="DG297" s="15">
        <v>1.4035089999999999</v>
      </c>
      <c r="DH297" s="15">
        <v>1.4035089999999999</v>
      </c>
      <c r="DI297" s="15">
        <v>1.4035089999999999</v>
      </c>
      <c r="DJ297" s="15">
        <v>1.4035089999999999</v>
      </c>
      <c r="DK297" s="15">
        <v>1.4035089999999999</v>
      </c>
      <c r="DL297" s="15">
        <v>1.4035089999999999</v>
      </c>
      <c r="DM297" s="15">
        <v>1.4035089999999999</v>
      </c>
      <c r="DN297" s="15">
        <v>1.4035089999999999</v>
      </c>
      <c r="DO297" s="15">
        <v>1.4035089999999999</v>
      </c>
      <c r="DP297" s="15">
        <v>1.4035089999999999</v>
      </c>
      <c r="DQ297" s="15">
        <v>1.4035089999999999</v>
      </c>
      <c r="DR297" s="15">
        <v>1.4035089999999999</v>
      </c>
      <c r="DS297" s="15">
        <v>1.4035089999999999</v>
      </c>
      <c r="DT297" s="15">
        <v>1.4035089999999999</v>
      </c>
      <c r="DU297" s="15">
        <v>1.4035089999999999</v>
      </c>
      <c r="DV297" s="15">
        <v>1.4035089999999999</v>
      </c>
      <c r="DW297" s="15">
        <v>1.4035089999999999</v>
      </c>
      <c r="DX297" s="15">
        <v>1.4035089999999999</v>
      </c>
      <c r="DY297" s="15">
        <v>1.4035089999999999</v>
      </c>
      <c r="DZ297" s="15">
        <v>1.4035089999999999</v>
      </c>
      <c r="EA297" s="15">
        <v>1.4035089999999999</v>
      </c>
      <c r="EB297" s="15">
        <v>1.4035089999999999</v>
      </c>
      <c r="EC297" s="15">
        <v>1.4035089999999999</v>
      </c>
      <c r="ED297" s="15">
        <v>0</v>
      </c>
      <c r="EE297" s="15">
        <v>0</v>
      </c>
      <c r="EF297" s="15">
        <v>0</v>
      </c>
    </row>
    <row r="298" spans="1:136" ht="15" customHeight="1" x14ac:dyDescent="0.35">
      <c r="A298" s="8" t="s">
        <v>12</v>
      </c>
      <c r="B298" s="8" t="s">
        <v>15</v>
      </c>
      <c r="C298" s="8" t="s">
        <v>15</v>
      </c>
      <c r="D298" s="8" t="s">
        <v>320</v>
      </c>
      <c r="E298" s="8" t="s">
        <v>16</v>
      </c>
      <c r="F298" s="8" t="s">
        <v>79</v>
      </c>
      <c r="G298" s="15">
        <v>42.9</v>
      </c>
      <c r="H298" s="15">
        <v>94.9</v>
      </c>
      <c r="I298" s="15">
        <v>28.5</v>
      </c>
      <c r="J298" s="15">
        <v>66.400000000000006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9</v>
      </c>
      <c r="AC298" s="15">
        <v>7</v>
      </c>
      <c r="AD298" s="15">
        <v>7</v>
      </c>
      <c r="AE298" s="15">
        <v>1</v>
      </c>
      <c r="AF298" s="15">
        <v>2</v>
      </c>
      <c r="AG298" s="15">
        <v>1.5</v>
      </c>
      <c r="AH298" s="15">
        <v>1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15">
        <v>0</v>
      </c>
      <c r="BB298" s="15">
        <v>0</v>
      </c>
      <c r="BC298" s="15">
        <v>0</v>
      </c>
      <c r="BD298" s="15">
        <v>0</v>
      </c>
      <c r="BE298" s="15">
        <v>0</v>
      </c>
      <c r="BF298" s="15">
        <v>0</v>
      </c>
      <c r="BG298" s="15">
        <v>0</v>
      </c>
      <c r="BH298" s="15">
        <v>0</v>
      </c>
      <c r="BI298" s="15">
        <v>0</v>
      </c>
      <c r="BJ298" s="15">
        <v>0</v>
      </c>
      <c r="BK298" s="15">
        <v>0</v>
      </c>
      <c r="BL298" s="15">
        <v>0</v>
      </c>
      <c r="BM298" s="15">
        <v>0</v>
      </c>
      <c r="BN298" s="15">
        <v>0</v>
      </c>
      <c r="BO298" s="15">
        <v>0</v>
      </c>
      <c r="BP298" s="15">
        <v>0</v>
      </c>
      <c r="BQ298" s="15">
        <v>0</v>
      </c>
      <c r="BR298" s="15">
        <v>0</v>
      </c>
      <c r="BS298" s="15">
        <v>0</v>
      </c>
      <c r="BT298" s="15">
        <v>0</v>
      </c>
      <c r="BU298" s="15">
        <v>0</v>
      </c>
      <c r="BV298" s="15">
        <v>0</v>
      </c>
      <c r="BW298" s="15">
        <v>0</v>
      </c>
      <c r="BX298" s="15">
        <v>0</v>
      </c>
      <c r="BY298" s="15">
        <v>0</v>
      </c>
      <c r="BZ298" s="15">
        <v>0</v>
      </c>
      <c r="CA298" s="15">
        <v>0</v>
      </c>
      <c r="CB298" s="15">
        <v>0</v>
      </c>
      <c r="CC298" s="15">
        <v>0</v>
      </c>
      <c r="CD298" s="15">
        <v>0</v>
      </c>
      <c r="CE298" s="15">
        <v>0</v>
      </c>
      <c r="CF298" s="15">
        <v>0</v>
      </c>
      <c r="CG298" s="15">
        <v>0</v>
      </c>
      <c r="CH298" s="15">
        <v>0</v>
      </c>
      <c r="CI298" s="15">
        <v>0</v>
      </c>
      <c r="CJ298" s="15">
        <v>0</v>
      </c>
      <c r="CK298" s="15">
        <v>0</v>
      </c>
      <c r="CL298" s="15">
        <v>0</v>
      </c>
      <c r="CM298" s="15">
        <v>0</v>
      </c>
      <c r="CN298" s="15">
        <v>0</v>
      </c>
      <c r="CO298" s="15">
        <v>0</v>
      </c>
      <c r="CP298" s="15">
        <v>0</v>
      </c>
      <c r="CQ298" s="15">
        <v>0</v>
      </c>
      <c r="CR298" s="15">
        <v>0</v>
      </c>
      <c r="CS298" s="15">
        <v>0</v>
      </c>
      <c r="CT298" s="15">
        <v>0</v>
      </c>
      <c r="CU298" s="15">
        <v>0</v>
      </c>
      <c r="CV298" s="15">
        <v>0</v>
      </c>
      <c r="CW298" s="15">
        <v>0</v>
      </c>
      <c r="CX298" s="15">
        <v>0</v>
      </c>
      <c r="CY298" s="15">
        <v>0</v>
      </c>
      <c r="CZ298" s="15">
        <v>0</v>
      </c>
      <c r="DA298" s="15">
        <v>0</v>
      </c>
      <c r="DB298" s="15">
        <v>0</v>
      </c>
      <c r="DC298" s="15">
        <v>0</v>
      </c>
      <c r="DD298" s="15">
        <v>0</v>
      </c>
      <c r="DE298" s="15">
        <v>0</v>
      </c>
      <c r="DF298" s="15">
        <v>0</v>
      </c>
      <c r="DG298" s="15">
        <v>0</v>
      </c>
      <c r="DH298" s="15">
        <v>0</v>
      </c>
      <c r="DI298" s="15">
        <v>0</v>
      </c>
      <c r="DJ298" s="15">
        <v>0</v>
      </c>
      <c r="DK298" s="15">
        <v>0</v>
      </c>
      <c r="DL298" s="15">
        <v>0</v>
      </c>
      <c r="DM298" s="15">
        <v>0</v>
      </c>
      <c r="DN298" s="15">
        <v>0</v>
      </c>
      <c r="DO298" s="15">
        <v>0</v>
      </c>
      <c r="DP298" s="15">
        <v>0</v>
      </c>
      <c r="DQ298" s="15">
        <v>0</v>
      </c>
      <c r="DR298" s="15">
        <v>0</v>
      </c>
      <c r="DS298" s="15">
        <v>0</v>
      </c>
      <c r="DT298" s="15">
        <v>0</v>
      </c>
      <c r="DU298" s="15">
        <v>0</v>
      </c>
      <c r="DV298" s="15">
        <v>0</v>
      </c>
      <c r="DW298" s="15">
        <v>0</v>
      </c>
      <c r="DX298" s="15">
        <v>0</v>
      </c>
      <c r="DY298" s="15">
        <v>0</v>
      </c>
      <c r="DZ298" s="15">
        <v>0</v>
      </c>
      <c r="EA298" s="15">
        <v>0</v>
      </c>
      <c r="EB298" s="15">
        <v>0</v>
      </c>
      <c r="EC298" s="15">
        <v>0</v>
      </c>
      <c r="ED298" s="15">
        <v>0</v>
      </c>
      <c r="EE298" s="15">
        <v>0</v>
      </c>
      <c r="EF298" s="15">
        <v>0</v>
      </c>
    </row>
    <row r="299" spans="1:136" ht="15" customHeight="1" x14ac:dyDescent="0.35">
      <c r="A299" s="8" t="s">
        <v>12</v>
      </c>
      <c r="B299" s="8" t="s">
        <v>15</v>
      </c>
      <c r="C299" s="8" t="s">
        <v>15</v>
      </c>
      <c r="D299" s="8" t="s">
        <v>321</v>
      </c>
      <c r="E299" s="8" t="s">
        <v>16</v>
      </c>
      <c r="F299" s="8" t="s">
        <v>81</v>
      </c>
      <c r="G299" s="15">
        <v>0</v>
      </c>
      <c r="H299" s="15">
        <v>0</v>
      </c>
      <c r="I299" s="15">
        <v>73.5</v>
      </c>
      <c r="J299" s="15">
        <v>-73.5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1.5</v>
      </c>
      <c r="AQ299" s="15">
        <v>0</v>
      </c>
      <c r="AR299" s="15">
        <v>0</v>
      </c>
      <c r="AS299" s="15">
        <v>0</v>
      </c>
      <c r="AT299" s="15">
        <v>0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5">
        <v>0</v>
      </c>
      <c r="CH299" s="15">
        <v>0</v>
      </c>
      <c r="CI299" s="15">
        <v>0</v>
      </c>
      <c r="CJ299" s="15">
        <v>0</v>
      </c>
      <c r="CK299" s="15">
        <v>0</v>
      </c>
      <c r="CL299" s="15">
        <v>0</v>
      </c>
      <c r="CM299" s="15">
        <v>0</v>
      </c>
      <c r="CN299" s="15">
        <v>0</v>
      </c>
      <c r="CO299" s="15">
        <v>0</v>
      </c>
      <c r="CP299" s="15">
        <v>0</v>
      </c>
      <c r="CQ299" s="15">
        <v>0</v>
      </c>
      <c r="CR299" s="15">
        <v>0</v>
      </c>
      <c r="CS299" s="15">
        <v>1.3</v>
      </c>
      <c r="CT299" s="15">
        <v>11.5</v>
      </c>
      <c r="CU299" s="15">
        <v>0</v>
      </c>
      <c r="CV299" s="15">
        <v>0</v>
      </c>
      <c r="CW299" s="15">
        <v>0</v>
      </c>
      <c r="CX299" s="15">
        <v>0</v>
      </c>
      <c r="CY299" s="15">
        <v>0</v>
      </c>
      <c r="CZ299" s="15">
        <v>0</v>
      </c>
      <c r="DA299" s="15">
        <v>2</v>
      </c>
      <c r="DB299" s="15">
        <v>0</v>
      </c>
      <c r="DC299" s="15">
        <v>2.2999999999999998</v>
      </c>
      <c r="DD299" s="15">
        <v>1.9</v>
      </c>
      <c r="DE299" s="15">
        <v>1</v>
      </c>
      <c r="DF299" s="15">
        <v>8.8000000000000007</v>
      </c>
      <c r="DG299" s="15">
        <v>1.4</v>
      </c>
      <c r="DH299" s="15">
        <v>0</v>
      </c>
      <c r="DI299" s="15">
        <v>0</v>
      </c>
      <c r="DJ299" s="15">
        <v>0</v>
      </c>
      <c r="DK299" s="15">
        <v>0</v>
      </c>
      <c r="DL299" s="15">
        <v>0</v>
      </c>
      <c r="DM299" s="15">
        <v>0</v>
      </c>
      <c r="DN299" s="15">
        <v>1</v>
      </c>
      <c r="DO299" s="15">
        <v>3.4</v>
      </c>
      <c r="DP299" s="15">
        <v>7.9</v>
      </c>
      <c r="DQ299" s="15">
        <v>13.7</v>
      </c>
      <c r="DR299" s="15">
        <v>15.8</v>
      </c>
      <c r="DS299" s="15">
        <v>0</v>
      </c>
      <c r="DT299" s="15">
        <v>0</v>
      </c>
      <c r="DU299" s="15">
        <v>0</v>
      </c>
      <c r="DV299" s="15">
        <v>0</v>
      </c>
      <c r="DW299" s="15">
        <v>0</v>
      </c>
      <c r="DX299" s="15">
        <v>0</v>
      </c>
      <c r="DY299" s="15">
        <v>0</v>
      </c>
      <c r="DZ299" s="15">
        <v>0</v>
      </c>
      <c r="EA299" s="15">
        <v>0</v>
      </c>
      <c r="EB299" s="15">
        <v>0</v>
      </c>
      <c r="EC299" s="15">
        <v>0</v>
      </c>
      <c r="ED299" s="15">
        <v>0</v>
      </c>
      <c r="EE299" s="15">
        <v>0</v>
      </c>
      <c r="EF299" s="15">
        <v>0</v>
      </c>
    </row>
    <row r="300" spans="1:136" ht="15" customHeight="1" x14ac:dyDescent="0.35">
      <c r="A300" s="8" t="s">
        <v>12</v>
      </c>
      <c r="B300" s="8" t="s">
        <v>15</v>
      </c>
      <c r="C300" s="8" t="s">
        <v>15</v>
      </c>
      <c r="D300" s="8" t="s">
        <v>320</v>
      </c>
      <c r="E300" s="8" t="s">
        <v>16</v>
      </c>
      <c r="F300" s="8" t="s">
        <v>81</v>
      </c>
      <c r="G300" s="15">
        <v>21.1</v>
      </c>
      <c r="H300" s="15">
        <v>93.1</v>
      </c>
      <c r="I300" s="15">
        <v>0</v>
      </c>
      <c r="J300" s="15">
        <v>93.1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15">
        <v>0</v>
      </c>
      <c r="BB300" s="15">
        <v>0</v>
      </c>
      <c r="BC300" s="15">
        <v>0</v>
      </c>
      <c r="BD300" s="15">
        <v>0</v>
      </c>
      <c r="BE300" s="15">
        <v>0</v>
      </c>
      <c r="BF300" s="15">
        <v>0</v>
      </c>
      <c r="BG300" s="15">
        <v>0</v>
      </c>
      <c r="BH300" s="15">
        <v>0</v>
      </c>
      <c r="BI300" s="15">
        <v>0</v>
      </c>
      <c r="BJ300" s="15">
        <v>0</v>
      </c>
      <c r="BK300" s="15">
        <v>0</v>
      </c>
      <c r="BL300" s="15">
        <v>0</v>
      </c>
      <c r="BM300" s="15">
        <v>0</v>
      </c>
      <c r="BN300" s="15">
        <v>0</v>
      </c>
      <c r="BO300" s="15">
        <v>0</v>
      </c>
      <c r="BP300" s="15">
        <v>0</v>
      </c>
      <c r="BQ300" s="15">
        <v>0</v>
      </c>
      <c r="BR300" s="15">
        <v>0</v>
      </c>
      <c r="BS300" s="15">
        <v>0</v>
      </c>
      <c r="BT300" s="15">
        <v>0</v>
      </c>
      <c r="BU300" s="15">
        <v>0</v>
      </c>
      <c r="BV300" s="15">
        <v>0</v>
      </c>
      <c r="BW300" s="15">
        <v>0</v>
      </c>
      <c r="BX300" s="15">
        <v>0</v>
      </c>
      <c r="BY300" s="15">
        <v>0</v>
      </c>
      <c r="BZ300" s="15">
        <v>0</v>
      </c>
      <c r="CA300" s="15">
        <v>0</v>
      </c>
      <c r="CB300" s="15">
        <v>0</v>
      </c>
      <c r="CC300" s="15">
        <v>0</v>
      </c>
      <c r="CD300" s="15">
        <v>0</v>
      </c>
      <c r="CE300" s="15">
        <v>0</v>
      </c>
      <c r="CF300" s="15">
        <v>0</v>
      </c>
      <c r="CG300" s="15">
        <v>0</v>
      </c>
      <c r="CH300" s="15">
        <v>0</v>
      </c>
      <c r="CI300" s="15">
        <v>0</v>
      </c>
      <c r="CJ300" s="15">
        <v>0</v>
      </c>
      <c r="CK300" s="15">
        <v>0</v>
      </c>
      <c r="CL300" s="15">
        <v>0</v>
      </c>
      <c r="CM300" s="15">
        <v>0</v>
      </c>
      <c r="CN300" s="15">
        <v>0</v>
      </c>
      <c r="CO300" s="15">
        <v>0</v>
      </c>
      <c r="CP300" s="15">
        <v>0</v>
      </c>
      <c r="CQ300" s="15">
        <v>0</v>
      </c>
      <c r="CR300" s="15">
        <v>0</v>
      </c>
      <c r="CS300" s="15">
        <v>0</v>
      </c>
      <c r="CT300" s="15">
        <v>0</v>
      </c>
      <c r="CU300" s="15">
        <v>0</v>
      </c>
      <c r="CV300" s="15">
        <v>0</v>
      </c>
      <c r="CW300" s="15">
        <v>0</v>
      </c>
      <c r="CX300" s="15">
        <v>0</v>
      </c>
      <c r="CY300" s="15">
        <v>0</v>
      </c>
      <c r="CZ300" s="15">
        <v>0</v>
      </c>
      <c r="DA300" s="15">
        <v>0</v>
      </c>
      <c r="DB300" s="15">
        <v>0</v>
      </c>
      <c r="DC300" s="15">
        <v>0</v>
      </c>
      <c r="DD300" s="15">
        <v>0</v>
      </c>
      <c r="DE300" s="15">
        <v>0</v>
      </c>
      <c r="DF300" s="15">
        <v>0</v>
      </c>
      <c r="DG300" s="15">
        <v>0</v>
      </c>
      <c r="DH300" s="15">
        <v>0</v>
      </c>
      <c r="DI300" s="15">
        <v>0</v>
      </c>
      <c r="DJ300" s="15">
        <v>0</v>
      </c>
      <c r="DK300" s="15">
        <v>0</v>
      </c>
      <c r="DL300" s="15">
        <v>0</v>
      </c>
      <c r="DM300" s="15">
        <v>0</v>
      </c>
      <c r="DN300" s="15">
        <v>0</v>
      </c>
      <c r="DO300" s="15">
        <v>0</v>
      </c>
      <c r="DP300" s="15">
        <v>0</v>
      </c>
      <c r="DQ300" s="15">
        <v>0</v>
      </c>
      <c r="DR300" s="15">
        <v>0</v>
      </c>
      <c r="DS300" s="15">
        <v>0</v>
      </c>
      <c r="DT300" s="15">
        <v>0</v>
      </c>
      <c r="DU300" s="15">
        <v>0</v>
      </c>
      <c r="DV300" s="15">
        <v>0</v>
      </c>
      <c r="DW300" s="15">
        <v>0</v>
      </c>
      <c r="DX300" s="15">
        <v>0</v>
      </c>
      <c r="DY300" s="15">
        <v>0</v>
      </c>
      <c r="DZ300" s="15">
        <v>0</v>
      </c>
      <c r="EA300" s="15">
        <v>0</v>
      </c>
      <c r="EB300" s="15">
        <v>0</v>
      </c>
      <c r="EC300" s="15">
        <v>0</v>
      </c>
      <c r="ED300" s="15">
        <v>0</v>
      </c>
      <c r="EE300" s="15">
        <v>0</v>
      </c>
      <c r="EF300" s="15">
        <v>0</v>
      </c>
    </row>
    <row r="301" spans="1:136" ht="15" customHeight="1" x14ac:dyDescent="0.35">
      <c r="A301" s="8" t="s">
        <v>12</v>
      </c>
      <c r="B301" s="8" t="s">
        <v>15</v>
      </c>
      <c r="C301" s="8" t="s">
        <v>15</v>
      </c>
      <c r="D301" s="8" t="s">
        <v>321</v>
      </c>
      <c r="E301" s="8" t="s">
        <v>16</v>
      </c>
      <c r="F301" s="8" t="s">
        <v>94</v>
      </c>
      <c r="G301" s="15">
        <v>0</v>
      </c>
      <c r="H301" s="15">
        <v>0</v>
      </c>
      <c r="I301" s="15">
        <v>52.2</v>
      </c>
      <c r="J301" s="15">
        <v>-52.2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2</v>
      </c>
      <c r="AP301" s="15">
        <v>4.5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5">
        <v>0</v>
      </c>
      <c r="CH301" s="15">
        <v>0</v>
      </c>
      <c r="CI301" s="15">
        <v>0</v>
      </c>
      <c r="CJ301" s="15">
        <v>0</v>
      </c>
      <c r="CK301" s="15">
        <v>0</v>
      </c>
      <c r="CL301" s="15">
        <v>0</v>
      </c>
      <c r="CM301" s="15">
        <v>0</v>
      </c>
      <c r="CN301" s="15">
        <v>0</v>
      </c>
      <c r="CO301" s="15">
        <v>0</v>
      </c>
      <c r="CP301" s="15">
        <v>0</v>
      </c>
      <c r="CQ301" s="15">
        <v>0</v>
      </c>
      <c r="CR301" s="15">
        <v>0</v>
      </c>
      <c r="CS301" s="15">
        <v>0</v>
      </c>
      <c r="CT301" s="15">
        <v>0.3</v>
      </c>
      <c r="CU301" s="15">
        <v>0</v>
      </c>
      <c r="CV301" s="15">
        <v>0</v>
      </c>
      <c r="CW301" s="15">
        <v>0</v>
      </c>
      <c r="CX301" s="15">
        <v>0.2</v>
      </c>
      <c r="CY301" s="15">
        <v>0</v>
      </c>
      <c r="CZ301" s="15">
        <v>0</v>
      </c>
      <c r="DA301" s="15">
        <v>1</v>
      </c>
      <c r="DB301" s="15">
        <v>0</v>
      </c>
      <c r="DC301" s="15">
        <v>0</v>
      </c>
      <c r="DD301" s="15">
        <v>2</v>
      </c>
      <c r="DE301" s="15">
        <v>0</v>
      </c>
      <c r="DF301" s="15">
        <v>1</v>
      </c>
      <c r="DG301" s="15">
        <v>0</v>
      </c>
      <c r="DH301" s="15">
        <v>0</v>
      </c>
      <c r="DI301" s="15">
        <v>0</v>
      </c>
      <c r="DJ301" s="15">
        <v>0</v>
      </c>
      <c r="DK301" s="15">
        <v>0</v>
      </c>
      <c r="DL301" s="15">
        <v>1</v>
      </c>
      <c r="DM301" s="15">
        <v>5.2</v>
      </c>
      <c r="DN301" s="15">
        <v>8</v>
      </c>
      <c r="DO301" s="15">
        <v>8</v>
      </c>
      <c r="DP301" s="15">
        <v>5</v>
      </c>
      <c r="DQ301" s="15">
        <v>14</v>
      </c>
      <c r="DR301" s="15">
        <v>0</v>
      </c>
      <c r="DS301" s="15">
        <v>0</v>
      </c>
      <c r="DT301" s="15">
        <v>0</v>
      </c>
      <c r="DU301" s="15">
        <v>0</v>
      </c>
      <c r="DV301" s="15">
        <v>0</v>
      </c>
      <c r="DW301" s="15">
        <v>0</v>
      </c>
      <c r="DX301" s="15">
        <v>0</v>
      </c>
      <c r="DY301" s="15">
        <v>0</v>
      </c>
      <c r="DZ301" s="15">
        <v>0</v>
      </c>
      <c r="EA301" s="15">
        <v>0</v>
      </c>
      <c r="EB301" s="15">
        <v>0</v>
      </c>
      <c r="EC301" s="15">
        <v>0</v>
      </c>
      <c r="ED301" s="15">
        <v>0</v>
      </c>
      <c r="EE301" s="15">
        <v>0</v>
      </c>
      <c r="EF301" s="15">
        <v>0</v>
      </c>
    </row>
    <row r="302" spans="1:136" ht="15" customHeight="1" x14ac:dyDescent="0.35">
      <c r="A302" s="8" t="s">
        <v>12</v>
      </c>
      <c r="B302" s="8" t="s">
        <v>15</v>
      </c>
      <c r="C302" s="8" t="s">
        <v>15</v>
      </c>
      <c r="D302" s="8" t="s">
        <v>320</v>
      </c>
      <c r="E302" s="8" t="s">
        <v>16</v>
      </c>
      <c r="F302" s="8" t="s">
        <v>94</v>
      </c>
      <c r="G302" s="15">
        <v>25.1</v>
      </c>
      <c r="H302" s="15">
        <v>70.8</v>
      </c>
      <c r="I302" s="15">
        <v>11</v>
      </c>
      <c r="J302" s="15">
        <v>59.8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1.5</v>
      </c>
      <c r="AD302" s="15">
        <v>1.5</v>
      </c>
      <c r="AE302" s="15">
        <v>0</v>
      </c>
      <c r="AF302" s="15">
        <v>0.5</v>
      </c>
      <c r="AG302" s="15">
        <v>0</v>
      </c>
      <c r="AH302" s="15">
        <v>0</v>
      </c>
      <c r="AI302" s="15">
        <v>7</v>
      </c>
      <c r="AJ302" s="15">
        <v>0.5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0</v>
      </c>
      <c r="BC302" s="15">
        <v>0</v>
      </c>
      <c r="BD302" s="15">
        <v>0</v>
      </c>
      <c r="BE302" s="15">
        <v>0</v>
      </c>
      <c r="BF302" s="15">
        <v>0</v>
      </c>
      <c r="BG302" s="15">
        <v>0</v>
      </c>
      <c r="BH302" s="15">
        <v>0</v>
      </c>
      <c r="BI302" s="15">
        <v>0</v>
      </c>
      <c r="BJ302" s="15">
        <v>0</v>
      </c>
      <c r="BK302" s="15">
        <v>0</v>
      </c>
      <c r="BL302" s="15">
        <v>0</v>
      </c>
      <c r="BM302" s="15">
        <v>0</v>
      </c>
      <c r="BN302" s="15">
        <v>0</v>
      </c>
      <c r="BO302" s="15">
        <v>0</v>
      </c>
      <c r="BP302" s="15">
        <v>0</v>
      </c>
      <c r="BQ302" s="15">
        <v>0</v>
      </c>
      <c r="BR302" s="15">
        <v>0</v>
      </c>
      <c r="BS302" s="15">
        <v>0</v>
      </c>
      <c r="BT302" s="15">
        <v>0</v>
      </c>
      <c r="BU302" s="15">
        <v>0</v>
      </c>
      <c r="BV302" s="15">
        <v>0</v>
      </c>
      <c r="BW302" s="15">
        <v>0</v>
      </c>
      <c r="BX302" s="15">
        <v>0</v>
      </c>
      <c r="BY302" s="15">
        <v>0</v>
      </c>
      <c r="BZ302" s="15">
        <v>0</v>
      </c>
      <c r="CA302" s="15">
        <v>0</v>
      </c>
      <c r="CB302" s="15">
        <v>0</v>
      </c>
      <c r="CC302" s="15">
        <v>0</v>
      </c>
      <c r="CD302" s="15">
        <v>0</v>
      </c>
      <c r="CE302" s="15">
        <v>0</v>
      </c>
      <c r="CF302" s="15">
        <v>0</v>
      </c>
      <c r="CG302" s="15">
        <v>0</v>
      </c>
      <c r="CH302" s="15">
        <v>0</v>
      </c>
      <c r="CI302" s="15">
        <v>0</v>
      </c>
      <c r="CJ302" s="15">
        <v>0</v>
      </c>
      <c r="CK302" s="15">
        <v>0</v>
      </c>
      <c r="CL302" s="15">
        <v>0</v>
      </c>
      <c r="CM302" s="15">
        <v>0</v>
      </c>
      <c r="CN302" s="15">
        <v>0</v>
      </c>
      <c r="CO302" s="15">
        <v>0</v>
      </c>
      <c r="CP302" s="15">
        <v>0</v>
      </c>
      <c r="CQ302" s="15">
        <v>0</v>
      </c>
      <c r="CR302" s="15">
        <v>0</v>
      </c>
      <c r="CS302" s="15">
        <v>0</v>
      </c>
      <c r="CT302" s="15">
        <v>0</v>
      </c>
      <c r="CU302" s="15">
        <v>0</v>
      </c>
      <c r="CV302" s="15">
        <v>0</v>
      </c>
      <c r="CW302" s="15">
        <v>0</v>
      </c>
      <c r="CX302" s="15">
        <v>0</v>
      </c>
      <c r="CY302" s="15">
        <v>0</v>
      </c>
      <c r="CZ302" s="15">
        <v>0</v>
      </c>
      <c r="DA302" s="15">
        <v>0</v>
      </c>
      <c r="DB302" s="15">
        <v>0</v>
      </c>
      <c r="DC302" s="15">
        <v>0</v>
      </c>
      <c r="DD302" s="15">
        <v>0</v>
      </c>
      <c r="DE302" s="15">
        <v>0</v>
      </c>
      <c r="DF302" s="15">
        <v>0</v>
      </c>
      <c r="DG302" s="15">
        <v>0</v>
      </c>
      <c r="DH302" s="15">
        <v>0</v>
      </c>
      <c r="DI302" s="15">
        <v>0</v>
      </c>
      <c r="DJ302" s="15">
        <v>0</v>
      </c>
      <c r="DK302" s="15">
        <v>0</v>
      </c>
      <c r="DL302" s="15">
        <v>0</v>
      </c>
      <c r="DM302" s="15">
        <v>0</v>
      </c>
      <c r="DN302" s="15">
        <v>0</v>
      </c>
      <c r="DO302" s="15">
        <v>0</v>
      </c>
      <c r="DP302" s="15">
        <v>0</v>
      </c>
      <c r="DQ302" s="15">
        <v>0</v>
      </c>
      <c r="DR302" s="15">
        <v>0</v>
      </c>
      <c r="DS302" s="15">
        <v>0</v>
      </c>
      <c r="DT302" s="15">
        <v>0</v>
      </c>
      <c r="DU302" s="15">
        <v>0</v>
      </c>
      <c r="DV302" s="15">
        <v>0</v>
      </c>
      <c r="DW302" s="15">
        <v>0</v>
      </c>
      <c r="DX302" s="15">
        <v>0</v>
      </c>
      <c r="DY302" s="15">
        <v>0</v>
      </c>
      <c r="DZ302" s="15">
        <v>0</v>
      </c>
      <c r="EA302" s="15">
        <v>0</v>
      </c>
      <c r="EB302" s="15">
        <v>0</v>
      </c>
      <c r="EC302" s="15">
        <v>0</v>
      </c>
      <c r="ED302" s="15">
        <v>0</v>
      </c>
      <c r="EE302" s="15">
        <v>0</v>
      </c>
      <c r="EF302" s="15">
        <v>0</v>
      </c>
    </row>
    <row r="303" spans="1:136" ht="15" customHeight="1" x14ac:dyDescent="0.35">
      <c r="A303" s="8" t="s">
        <v>12</v>
      </c>
      <c r="B303" s="8" t="s">
        <v>15</v>
      </c>
      <c r="C303" s="8" t="s">
        <v>15</v>
      </c>
      <c r="D303" s="8" t="s">
        <v>321</v>
      </c>
      <c r="E303" s="8" t="s">
        <v>16</v>
      </c>
      <c r="F303" s="8" t="s">
        <v>95</v>
      </c>
      <c r="G303" s="15">
        <v>0</v>
      </c>
      <c r="H303" s="15">
        <v>0</v>
      </c>
      <c r="I303" s="15">
        <v>172.5</v>
      </c>
      <c r="J303" s="15">
        <v>-172.5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3</v>
      </c>
      <c r="AK303" s="15">
        <v>6.5</v>
      </c>
      <c r="AL303" s="15">
        <v>17</v>
      </c>
      <c r="AM303" s="15">
        <v>0</v>
      </c>
      <c r="AN303" s="15">
        <v>14.5</v>
      </c>
      <c r="AO303" s="15">
        <v>0</v>
      </c>
      <c r="AP303" s="15">
        <v>3</v>
      </c>
      <c r="AQ303" s="15">
        <v>1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5">
        <v>0</v>
      </c>
      <c r="CH303" s="15">
        <v>0</v>
      </c>
      <c r="CI303" s="15">
        <v>0</v>
      </c>
      <c r="CJ303" s="15">
        <v>0</v>
      </c>
      <c r="CK303" s="15">
        <v>0</v>
      </c>
      <c r="CL303" s="15">
        <v>0</v>
      </c>
      <c r="CM303" s="15">
        <v>0</v>
      </c>
      <c r="CN303" s="15">
        <v>0</v>
      </c>
      <c r="CO303" s="15">
        <v>0</v>
      </c>
      <c r="CP303" s="15">
        <v>0</v>
      </c>
      <c r="CQ303" s="15">
        <v>0</v>
      </c>
      <c r="CR303" s="15">
        <v>0</v>
      </c>
      <c r="CS303" s="15">
        <v>0</v>
      </c>
      <c r="CT303" s="15">
        <v>0</v>
      </c>
      <c r="CU303" s="15">
        <v>0</v>
      </c>
      <c r="CV303" s="15">
        <v>0</v>
      </c>
      <c r="CW303" s="15">
        <v>0</v>
      </c>
      <c r="CX303" s="15">
        <v>0</v>
      </c>
      <c r="CY303" s="15">
        <v>0</v>
      </c>
      <c r="CZ303" s="15">
        <v>0</v>
      </c>
      <c r="DA303" s="15">
        <v>0</v>
      </c>
      <c r="DB303" s="15">
        <v>0</v>
      </c>
      <c r="DC303" s="15">
        <v>0</v>
      </c>
      <c r="DD303" s="15">
        <v>6</v>
      </c>
      <c r="DE303" s="15">
        <v>10</v>
      </c>
      <c r="DF303" s="15">
        <v>12</v>
      </c>
      <c r="DG303" s="15">
        <v>10</v>
      </c>
      <c r="DH303" s="15">
        <v>21</v>
      </c>
      <c r="DI303" s="15">
        <v>4</v>
      </c>
      <c r="DJ303" s="15">
        <v>1</v>
      </c>
      <c r="DK303" s="15">
        <v>1</v>
      </c>
      <c r="DL303" s="15">
        <v>2.5</v>
      </c>
      <c r="DM303" s="15">
        <v>2.5</v>
      </c>
      <c r="DN303" s="15">
        <v>9</v>
      </c>
      <c r="DO303" s="15">
        <v>11.5</v>
      </c>
      <c r="DP303" s="15">
        <v>12</v>
      </c>
      <c r="DQ303" s="15">
        <v>25</v>
      </c>
      <c r="DR303" s="15">
        <v>0</v>
      </c>
      <c r="DS303" s="15">
        <v>0</v>
      </c>
      <c r="DT303" s="15">
        <v>0</v>
      </c>
      <c r="DU303" s="15">
        <v>0</v>
      </c>
      <c r="DV303" s="15">
        <v>0</v>
      </c>
      <c r="DW303" s="15">
        <v>0</v>
      </c>
      <c r="DX303" s="15">
        <v>0</v>
      </c>
      <c r="DY303" s="15">
        <v>0</v>
      </c>
      <c r="DZ303" s="15">
        <v>0</v>
      </c>
      <c r="EA303" s="15">
        <v>0</v>
      </c>
      <c r="EB303" s="15">
        <v>0</v>
      </c>
      <c r="EC303" s="15">
        <v>0</v>
      </c>
      <c r="ED303" s="15">
        <v>0</v>
      </c>
      <c r="EE303" s="15">
        <v>0</v>
      </c>
      <c r="EF303" s="15">
        <v>0</v>
      </c>
    </row>
    <row r="304" spans="1:136" ht="15" customHeight="1" x14ac:dyDescent="0.35">
      <c r="A304" s="8" t="s">
        <v>12</v>
      </c>
      <c r="B304" s="8" t="s">
        <v>15</v>
      </c>
      <c r="C304" s="8" t="s">
        <v>15</v>
      </c>
      <c r="D304" s="8" t="s">
        <v>320</v>
      </c>
      <c r="E304" s="8" t="s">
        <v>16</v>
      </c>
      <c r="F304" s="8" t="s">
        <v>95</v>
      </c>
      <c r="G304" s="15">
        <v>117.5</v>
      </c>
      <c r="H304" s="15">
        <v>245</v>
      </c>
      <c r="I304" s="15">
        <v>42</v>
      </c>
      <c r="J304" s="15">
        <v>203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3.5</v>
      </c>
      <c r="AE304" s="15">
        <v>3.5</v>
      </c>
      <c r="AF304" s="15">
        <v>4.5</v>
      </c>
      <c r="AG304" s="15">
        <v>13</v>
      </c>
      <c r="AH304" s="15">
        <v>10.5</v>
      </c>
      <c r="AI304" s="15">
        <v>2.5</v>
      </c>
      <c r="AJ304" s="15">
        <v>4.5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15">
        <v>0</v>
      </c>
      <c r="BB304" s="15">
        <v>0</v>
      </c>
      <c r="BC304" s="15">
        <v>0</v>
      </c>
      <c r="BD304" s="15">
        <v>0</v>
      </c>
      <c r="BE304" s="15">
        <v>0</v>
      </c>
      <c r="BF304" s="15">
        <v>0</v>
      </c>
      <c r="BG304" s="15">
        <v>0</v>
      </c>
      <c r="BH304" s="15">
        <v>0</v>
      </c>
      <c r="BI304" s="15">
        <v>0</v>
      </c>
      <c r="BJ304" s="15">
        <v>0</v>
      </c>
      <c r="BK304" s="15">
        <v>0</v>
      </c>
      <c r="BL304" s="15">
        <v>0</v>
      </c>
      <c r="BM304" s="15">
        <v>0</v>
      </c>
      <c r="BN304" s="15">
        <v>0</v>
      </c>
      <c r="BO304" s="15">
        <v>0</v>
      </c>
      <c r="BP304" s="15">
        <v>0</v>
      </c>
      <c r="BQ304" s="15">
        <v>0</v>
      </c>
      <c r="BR304" s="15">
        <v>0</v>
      </c>
      <c r="BS304" s="15">
        <v>0</v>
      </c>
      <c r="BT304" s="15">
        <v>0</v>
      </c>
      <c r="BU304" s="15">
        <v>0</v>
      </c>
      <c r="BV304" s="15">
        <v>0</v>
      </c>
      <c r="BW304" s="15">
        <v>0</v>
      </c>
      <c r="BX304" s="15">
        <v>0</v>
      </c>
      <c r="BY304" s="15">
        <v>0</v>
      </c>
      <c r="BZ304" s="15">
        <v>0</v>
      </c>
      <c r="CA304" s="15">
        <v>0</v>
      </c>
      <c r="CB304" s="15">
        <v>0</v>
      </c>
      <c r="CC304" s="15">
        <v>0</v>
      </c>
      <c r="CD304" s="15">
        <v>0</v>
      </c>
      <c r="CE304" s="15">
        <v>0</v>
      </c>
      <c r="CF304" s="15">
        <v>0</v>
      </c>
      <c r="CG304" s="15">
        <v>0</v>
      </c>
      <c r="CH304" s="15">
        <v>0</v>
      </c>
      <c r="CI304" s="15">
        <v>0</v>
      </c>
      <c r="CJ304" s="15">
        <v>0</v>
      </c>
      <c r="CK304" s="15">
        <v>0</v>
      </c>
      <c r="CL304" s="15">
        <v>0</v>
      </c>
      <c r="CM304" s="15">
        <v>0</v>
      </c>
      <c r="CN304" s="15">
        <v>0</v>
      </c>
      <c r="CO304" s="15">
        <v>0</v>
      </c>
      <c r="CP304" s="15">
        <v>0</v>
      </c>
      <c r="CQ304" s="15">
        <v>0</v>
      </c>
      <c r="CR304" s="15">
        <v>0</v>
      </c>
      <c r="CS304" s="15">
        <v>0</v>
      </c>
      <c r="CT304" s="15">
        <v>0</v>
      </c>
      <c r="CU304" s="15">
        <v>0</v>
      </c>
      <c r="CV304" s="15">
        <v>0</v>
      </c>
      <c r="CW304" s="15">
        <v>0</v>
      </c>
      <c r="CX304" s="15">
        <v>0</v>
      </c>
      <c r="CY304" s="15">
        <v>0</v>
      </c>
      <c r="CZ304" s="15">
        <v>0</v>
      </c>
      <c r="DA304" s="15">
        <v>0</v>
      </c>
      <c r="DB304" s="15">
        <v>0</v>
      </c>
      <c r="DC304" s="15">
        <v>0</v>
      </c>
      <c r="DD304" s="15">
        <v>0</v>
      </c>
      <c r="DE304" s="15">
        <v>0</v>
      </c>
      <c r="DF304" s="15">
        <v>0</v>
      </c>
      <c r="DG304" s="15">
        <v>0</v>
      </c>
      <c r="DH304" s="15">
        <v>0</v>
      </c>
      <c r="DI304" s="15">
        <v>0</v>
      </c>
      <c r="DJ304" s="15">
        <v>0</v>
      </c>
      <c r="DK304" s="15">
        <v>0</v>
      </c>
      <c r="DL304" s="15">
        <v>0</v>
      </c>
      <c r="DM304" s="15">
        <v>0</v>
      </c>
      <c r="DN304" s="15">
        <v>0</v>
      </c>
      <c r="DO304" s="15">
        <v>0</v>
      </c>
      <c r="DP304" s="15">
        <v>0</v>
      </c>
      <c r="DQ304" s="15">
        <v>0</v>
      </c>
      <c r="DR304" s="15">
        <v>0</v>
      </c>
      <c r="DS304" s="15">
        <v>0</v>
      </c>
      <c r="DT304" s="15">
        <v>0</v>
      </c>
      <c r="DU304" s="15">
        <v>0</v>
      </c>
      <c r="DV304" s="15">
        <v>0</v>
      </c>
      <c r="DW304" s="15">
        <v>0</v>
      </c>
      <c r="DX304" s="15">
        <v>0</v>
      </c>
      <c r="DY304" s="15">
        <v>0</v>
      </c>
      <c r="DZ304" s="15">
        <v>0</v>
      </c>
      <c r="EA304" s="15">
        <v>0</v>
      </c>
      <c r="EB304" s="15">
        <v>0</v>
      </c>
      <c r="EC304" s="15">
        <v>0</v>
      </c>
      <c r="ED304" s="15">
        <v>0</v>
      </c>
      <c r="EE304" s="15">
        <v>0</v>
      </c>
      <c r="EF304" s="15">
        <v>0</v>
      </c>
    </row>
    <row r="305" spans="1:136" ht="15" customHeight="1" x14ac:dyDescent="0.35">
      <c r="A305" s="8" t="s">
        <v>12</v>
      </c>
      <c r="B305" s="8" t="s">
        <v>15</v>
      </c>
      <c r="C305" s="8" t="s">
        <v>15</v>
      </c>
      <c r="D305" s="8" t="s">
        <v>321</v>
      </c>
      <c r="E305" s="8" t="s">
        <v>16</v>
      </c>
      <c r="F305" s="8" t="s">
        <v>82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5">
        <v>0</v>
      </c>
      <c r="CH305" s="15">
        <v>0</v>
      </c>
      <c r="CI305" s="15">
        <v>0</v>
      </c>
      <c r="CJ305" s="15">
        <v>0</v>
      </c>
      <c r="CK305" s="15">
        <v>0</v>
      </c>
      <c r="CL305" s="15">
        <v>0</v>
      </c>
      <c r="CM305" s="15">
        <v>0</v>
      </c>
      <c r="CN305" s="15">
        <v>0</v>
      </c>
      <c r="CO305" s="15">
        <v>0</v>
      </c>
      <c r="CP305" s="15">
        <v>0</v>
      </c>
      <c r="CQ305" s="15">
        <v>0</v>
      </c>
      <c r="CR305" s="15">
        <v>0</v>
      </c>
      <c r="CS305" s="15">
        <v>0</v>
      </c>
      <c r="CT305" s="15">
        <v>0</v>
      </c>
      <c r="CU305" s="15">
        <v>0</v>
      </c>
      <c r="CV305" s="15">
        <v>0</v>
      </c>
      <c r="CW305" s="15">
        <v>0</v>
      </c>
      <c r="CX305" s="15">
        <v>0</v>
      </c>
      <c r="CY305" s="15">
        <v>0</v>
      </c>
      <c r="CZ305" s="15">
        <v>0</v>
      </c>
      <c r="DA305" s="15">
        <v>0</v>
      </c>
      <c r="DB305" s="15">
        <v>0</v>
      </c>
      <c r="DC305" s="15">
        <v>0</v>
      </c>
      <c r="DD305" s="15">
        <v>0</v>
      </c>
      <c r="DE305" s="15">
        <v>0</v>
      </c>
      <c r="DF305" s="15">
        <v>0</v>
      </c>
      <c r="DG305" s="15">
        <v>0</v>
      </c>
      <c r="DH305" s="15">
        <v>0</v>
      </c>
      <c r="DI305" s="15">
        <v>0</v>
      </c>
      <c r="DJ305" s="15">
        <v>0</v>
      </c>
      <c r="DK305" s="15">
        <v>0</v>
      </c>
      <c r="DL305" s="15">
        <v>0</v>
      </c>
      <c r="DM305" s="15">
        <v>0</v>
      </c>
      <c r="DN305" s="15">
        <v>0</v>
      </c>
      <c r="DO305" s="15">
        <v>0</v>
      </c>
      <c r="DP305" s="15">
        <v>0</v>
      </c>
      <c r="DQ305" s="15">
        <v>0</v>
      </c>
      <c r="DR305" s="15">
        <v>0</v>
      </c>
      <c r="DS305" s="15">
        <v>0</v>
      </c>
      <c r="DT305" s="15">
        <v>0</v>
      </c>
      <c r="DU305" s="15">
        <v>0</v>
      </c>
      <c r="DV305" s="15">
        <v>0</v>
      </c>
      <c r="DW305" s="15">
        <v>0</v>
      </c>
      <c r="DX305" s="15">
        <v>0</v>
      </c>
      <c r="DY305" s="15">
        <v>0</v>
      </c>
      <c r="DZ305" s="15">
        <v>0</v>
      </c>
      <c r="EA305" s="15">
        <v>0</v>
      </c>
      <c r="EB305" s="15">
        <v>0</v>
      </c>
      <c r="EC305" s="15">
        <v>0</v>
      </c>
      <c r="ED305" s="15">
        <v>0</v>
      </c>
      <c r="EE305" s="15">
        <v>0</v>
      </c>
      <c r="EF305" s="15">
        <v>0</v>
      </c>
    </row>
    <row r="306" spans="1:136" ht="15" customHeight="1" x14ac:dyDescent="0.35">
      <c r="A306" s="8" t="s">
        <v>12</v>
      </c>
      <c r="B306" s="8" t="s">
        <v>15</v>
      </c>
      <c r="C306" s="8" t="s">
        <v>15</v>
      </c>
      <c r="D306" s="8" t="s">
        <v>320</v>
      </c>
      <c r="E306" s="8" t="s">
        <v>16</v>
      </c>
      <c r="F306" s="8" t="s">
        <v>82</v>
      </c>
      <c r="G306" s="15">
        <v>3</v>
      </c>
      <c r="H306" s="15">
        <v>3</v>
      </c>
      <c r="I306" s="15">
        <v>3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3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</v>
      </c>
      <c r="AU306" s="15">
        <v>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15">
        <v>0</v>
      </c>
      <c r="BB306" s="15">
        <v>0</v>
      </c>
      <c r="BC306" s="15">
        <v>0</v>
      </c>
      <c r="BD306" s="15">
        <v>0</v>
      </c>
      <c r="BE306" s="15">
        <v>0</v>
      </c>
      <c r="BF306" s="15">
        <v>0</v>
      </c>
      <c r="BG306" s="15">
        <v>0</v>
      </c>
      <c r="BH306" s="15">
        <v>0</v>
      </c>
      <c r="BI306" s="15">
        <v>0</v>
      </c>
      <c r="BJ306" s="15">
        <v>0</v>
      </c>
      <c r="BK306" s="15">
        <v>0</v>
      </c>
      <c r="BL306" s="15">
        <v>0</v>
      </c>
      <c r="BM306" s="15">
        <v>0</v>
      </c>
      <c r="BN306" s="15">
        <v>0</v>
      </c>
      <c r="BO306" s="15">
        <v>0</v>
      </c>
      <c r="BP306" s="15">
        <v>0</v>
      </c>
      <c r="BQ306" s="15">
        <v>0</v>
      </c>
      <c r="BR306" s="15">
        <v>0</v>
      </c>
      <c r="BS306" s="15">
        <v>0</v>
      </c>
      <c r="BT306" s="15">
        <v>0</v>
      </c>
      <c r="BU306" s="15">
        <v>0</v>
      </c>
      <c r="BV306" s="15">
        <v>0</v>
      </c>
      <c r="BW306" s="15">
        <v>0</v>
      </c>
      <c r="BX306" s="15">
        <v>0</v>
      </c>
      <c r="BY306" s="15">
        <v>0</v>
      </c>
      <c r="BZ306" s="15">
        <v>0</v>
      </c>
      <c r="CA306" s="15">
        <v>0</v>
      </c>
      <c r="CB306" s="15">
        <v>0</v>
      </c>
      <c r="CC306" s="15">
        <v>0</v>
      </c>
      <c r="CD306" s="15">
        <v>0</v>
      </c>
      <c r="CE306" s="15">
        <v>0</v>
      </c>
      <c r="CF306" s="15">
        <v>0</v>
      </c>
      <c r="CG306" s="15">
        <v>0</v>
      </c>
      <c r="CH306" s="15">
        <v>0</v>
      </c>
      <c r="CI306" s="15">
        <v>0</v>
      </c>
      <c r="CJ306" s="15">
        <v>0</v>
      </c>
      <c r="CK306" s="15">
        <v>0</v>
      </c>
      <c r="CL306" s="15">
        <v>0</v>
      </c>
      <c r="CM306" s="15">
        <v>0</v>
      </c>
      <c r="CN306" s="15">
        <v>0</v>
      </c>
      <c r="CO306" s="15">
        <v>0</v>
      </c>
      <c r="CP306" s="15">
        <v>0</v>
      </c>
      <c r="CQ306" s="15">
        <v>0</v>
      </c>
      <c r="CR306" s="15">
        <v>0</v>
      </c>
      <c r="CS306" s="15">
        <v>0</v>
      </c>
      <c r="CT306" s="15">
        <v>0</v>
      </c>
      <c r="CU306" s="15">
        <v>0</v>
      </c>
      <c r="CV306" s="15">
        <v>0</v>
      </c>
      <c r="CW306" s="15">
        <v>0</v>
      </c>
      <c r="CX306" s="15">
        <v>0</v>
      </c>
      <c r="CY306" s="15">
        <v>0</v>
      </c>
      <c r="CZ306" s="15">
        <v>0</v>
      </c>
      <c r="DA306" s="15">
        <v>0</v>
      </c>
      <c r="DB306" s="15">
        <v>0</v>
      </c>
      <c r="DC306" s="15">
        <v>0</v>
      </c>
      <c r="DD306" s="15">
        <v>0</v>
      </c>
      <c r="DE306" s="15">
        <v>0</v>
      </c>
      <c r="DF306" s="15">
        <v>0</v>
      </c>
      <c r="DG306" s="15">
        <v>0</v>
      </c>
      <c r="DH306" s="15">
        <v>0</v>
      </c>
      <c r="DI306" s="15">
        <v>0</v>
      </c>
      <c r="DJ306" s="15">
        <v>0</v>
      </c>
      <c r="DK306" s="15">
        <v>0</v>
      </c>
      <c r="DL306" s="15">
        <v>0</v>
      </c>
      <c r="DM306" s="15">
        <v>0</v>
      </c>
      <c r="DN306" s="15">
        <v>0</v>
      </c>
      <c r="DO306" s="15">
        <v>0</v>
      </c>
      <c r="DP306" s="15">
        <v>0</v>
      </c>
      <c r="DQ306" s="15">
        <v>0</v>
      </c>
      <c r="DR306" s="15">
        <v>0</v>
      </c>
      <c r="DS306" s="15">
        <v>0</v>
      </c>
      <c r="DT306" s="15">
        <v>0</v>
      </c>
      <c r="DU306" s="15">
        <v>0</v>
      </c>
      <c r="DV306" s="15">
        <v>0</v>
      </c>
      <c r="DW306" s="15">
        <v>0</v>
      </c>
      <c r="DX306" s="15">
        <v>0</v>
      </c>
      <c r="DY306" s="15">
        <v>0</v>
      </c>
      <c r="DZ306" s="15">
        <v>0</v>
      </c>
      <c r="EA306" s="15">
        <v>0</v>
      </c>
      <c r="EB306" s="15">
        <v>0</v>
      </c>
      <c r="EC306" s="15">
        <v>0</v>
      </c>
      <c r="ED306" s="15">
        <v>0</v>
      </c>
      <c r="EE306" s="15">
        <v>0</v>
      </c>
      <c r="EF306" s="15">
        <v>0</v>
      </c>
    </row>
    <row r="307" spans="1:136" ht="15" customHeight="1" x14ac:dyDescent="0.35">
      <c r="A307" s="8" t="s">
        <v>12</v>
      </c>
      <c r="B307" s="8" t="s">
        <v>15</v>
      </c>
      <c r="C307" s="8" t="s">
        <v>15</v>
      </c>
      <c r="D307" s="8" t="s">
        <v>321</v>
      </c>
      <c r="E307" s="8" t="s">
        <v>16</v>
      </c>
      <c r="F307" s="8" t="s">
        <v>83</v>
      </c>
      <c r="G307" s="15">
        <v>0</v>
      </c>
      <c r="H307" s="15">
        <v>0</v>
      </c>
      <c r="I307" s="15">
        <v>10</v>
      </c>
      <c r="J307" s="15">
        <v>-10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10</v>
      </c>
      <c r="AP307" s="15">
        <v>0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  <c r="AW307" s="15">
        <v>0</v>
      </c>
      <c r="AX307" s="15">
        <v>0</v>
      </c>
      <c r="AY307" s="15">
        <v>0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5">
        <v>0</v>
      </c>
      <c r="CH307" s="15">
        <v>0</v>
      </c>
      <c r="CI307" s="15">
        <v>0</v>
      </c>
      <c r="CJ307" s="15">
        <v>0</v>
      </c>
      <c r="CK307" s="15">
        <v>0</v>
      </c>
      <c r="CL307" s="15">
        <v>0</v>
      </c>
      <c r="CM307" s="15">
        <v>0</v>
      </c>
      <c r="CN307" s="15">
        <v>0</v>
      </c>
      <c r="CO307" s="15">
        <v>0</v>
      </c>
      <c r="CP307" s="15">
        <v>0</v>
      </c>
      <c r="CQ307" s="15">
        <v>0</v>
      </c>
      <c r="CR307" s="15">
        <v>0</v>
      </c>
      <c r="CS307" s="15">
        <v>0</v>
      </c>
      <c r="CT307" s="15">
        <v>0</v>
      </c>
      <c r="CU307" s="15">
        <v>0</v>
      </c>
      <c r="CV307" s="15">
        <v>0</v>
      </c>
      <c r="CW307" s="15">
        <v>0</v>
      </c>
      <c r="CX307" s="15">
        <v>0</v>
      </c>
      <c r="CY307" s="15">
        <v>0</v>
      </c>
      <c r="CZ307" s="15">
        <v>0</v>
      </c>
      <c r="DA307" s="15">
        <v>0</v>
      </c>
      <c r="DB307" s="15">
        <v>0</v>
      </c>
      <c r="DC307" s="15">
        <v>0</v>
      </c>
      <c r="DD307" s="15">
        <v>0</v>
      </c>
      <c r="DE307" s="15">
        <v>0</v>
      </c>
      <c r="DF307" s="15">
        <v>0</v>
      </c>
      <c r="DG307" s="15">
        <v>0</v>
      </c>
      <c r="DH307" s="15">
        <v>0</v>
      </c>
      <c r="DI307" s="15">
        <v>0</v>
      </c>
      <c r="DJ307" s="15">
        <v>0</v>
      </c>
      <c r="DK307" s="15">
        <v>0</v>
      </c>
      <c r="DL307" s="15">
        <v>0</v>
      </c>
      <c r="DM307" s="15">
        <v>0</v>
      </c>
      <c r="DN307" s="15">
        <v>0</v>
      </c>
      <c r="DO307" s="15">
        <v>0</v>
      </c>
      <c r="DP307" s="15">
        <v>0</v>
      </c>
      <c r="DQ307" s="15">
        <v>0</v>
      </c>
      <c r="DR307" s="15">
        <v>0</v>
      </c>
      <c r="DS307" s="15">
        <v>0</v>
      </c>
      <c r="DT307" s="15">
        <v>0</v>
      </c>
      <c r="DU307" s="15">
        <v>0</v>
      </c>
      <c r="DV307" s="15">
        <v>0</v>
      </c>
      <c r="DW307" s="15">
        <v>0</v>
      </c>
      <c r="DX307" s="15">
        <v>0</v>
      </c>
      <c r="DY307" s="15">
        <v>0</v>
      </c>
      <c r="DZ307" s="15">
        <v>0</v>
      </c>
      <c r="EA307" s="15">
        <v>0</v>
      </c>
      <c r="EB307" s="15">
        <v>0</v>
      </c>
      <c r="EC307" s="15">
        <v>0</v>
      </c>
      <c r="ED307" s="15">
        <v>0</v>
      </c>
      <c r="EE307" s="15">
        <v>0</v>
      </c>
      <c r="EF307" s="15">
        <v>0</v>
      </c>
    </row>
    <row r="308" spans="1:136" ht="15" customHeight="1" x14ac:dyDescent="0.35">
      <c r="A308" s="8" t="s">
        <v>12</v>
      </c>
      <c r="B308" s="8" t="s">
        <v>15</v>
      </c>
      <c r="C308" s="8" t="s">
        <v>15</v>
      </c>
      <c r="D308" s="8" t="s">
        <v>321</v>
      </c>
      <c r="E308" s="8" t="s">
        <v>16</v>
      </c>
      <c r="F308" s="8" t="s">
        <v>40</v>
      </c>
      <c r="G308" s="15">
        <v>0</v>
      </c>
      <c r="H308" s="15">
        <v>0</v>
      </c>
      <c r="I308" s="15">
        <v>54.6</v>
      </c>
      <c r="J308" s="15">
        <v>-54.6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0.5</v>
      </c>
      <c r="AR308" s="15">
        <v>1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5">
        <v>0</v>
      </c>
      <c r="BC308" s="15">
        <v>0</v>
      </c>
      <c r="BD308" s="15">
        <v>0</v>
      </c>
      <c r="BE308" s="15">
        <v>0</v>
      </c>
      <c r="BF308" s="15">
        <v>0</v>
      </c>
      <c r="BG308" s="15">
        <v>0</v>
      </c>
      <c r="BH308" s="15">
        <v>0</v>
      </c>
      <c r="BI308" s="15">
        <v>0</v>
      </c>
      <c r="BJ308" s="15">
        <v>0</v>
      </c>
      <c r="BK308" s="15">
        <v>0</v>
      </c>
      <c r="BL308" s="15">
        <v>0</v>
      </c>
      <c r="BM308" s="15">
        <v>0</v>
      </c>
      <c r="BN308" s="15">
        <v>0</v>
      </c>
      <c r="BO308" s="15">
        <v>0</v>
      </c>
      <c r="BP308" s="15">
        <v>0</v>
      </c>
      <c r="BQ308" s="15">
        <v>0</v>
      </c>
      <c r="BR308" s="15">
        <v>0</v>
      </c>
      <c r="BS308" s="15">
        <v>0</v>
      </c>
      <c r="BT308" s="15">
        <v>0</v>
      </c>
      <c r="BU308" s="15">
        <v>0</v>
      </c>
      <c r="BV308" s="15">
        <v>0</v>
      </c>
      <c r="BW308" s="15">
        <v>0</v>
      </c>
      <c r="BX308" s="15">
        <v>0</v>
      </c>
      <c r="BY308" s="15">
        <v>0</v>
      </c>
      <c r="BZ308" s="15">
        <v>0</v>
      </c>
      <c r="CA308" s="15">
        <v>0</v>
      </c>
      <c r="CB308" s="15">
        <v>0</v>
      </c>
      <c r="CC308" s="15">
        <v>0</v>
      </c>
      <c r="CD308" s="15">
        <v>0</v>
      </c>
      <c r="CE308" s="15">
        <v>0</v>
      </c>
      <c r="CF308" s="15">
        <v>0</v>
      </c>
      <c r="CG308" s="15">
        <v>0</v>
      </c>
      <c r="CH308" s="15">
        <v>0</v>
      </c>
      <c r="CI308" s="15">
        <v>0</v>
      </c>
      <c r="CJ308" s="15">
        <v>0</v>
      </c>
      <c r="CK308" s="15">
        <v>0</v>
      </c>
      <c r="CL308" s="15">
        <v>0</v>
      </c>
      <c r="CM308" s="15">
        <v>0</v>
      </c>
      <c r="CN308" s="15">
        <v>0</v>
      </c>
      <c r="CO308" s="15">
        <v>0</v>
      </c>
      <c r="CP308" s="15">
        <v>0</v>
      </c>
      <c r="CQ308" s="15">
        <v>0</v>
      </c>
      <c r="CR308" s="15">
        <v>0</v>
      </c>
      <c r="CS308" s="15">
        <v>7.9</v>
      </c>
      <c r="CT308" s="15">
        <v>0</v>
      </c>
      <c r="CU308" s="15">
        <v>0</v>
      </c>
      <c r="CV308" s="15">
        <v>0</v>
      </c>
      <c r="CW308" s="15">
        <v>0</v>
      </c>
      <c r="CX308" s="15">
        <v>0</v>
      </c>
      <c r="CY308" s="15">
        <v>0</v>
      </c>
      <c r="CZ308" s="15">
        <v>0</v>
      </c>
      <c r="DA308" s="15">
        <v>0</v>
      </c>
      <c r="DB308" s="15">
        <v>1.8</v>
      </c>
      <c r="DC308" s="15">
        <v>1.4</v>
      </c>
      <c r="DD308" s="15">
        <v>0</v>
      </c>
      <c r="DE308" s="15">
        <v>6.4</v>
      </c>
      <c r="DF308" s="15">
        <v>3.8</v>
      </c>
      <c r="DG308" s="15">
        <v>0</v>
      </c>
      <c r="DH308" s="15">
        <v>6</v>
      </c>
      <c r="DI308" s="15">
        <v>5</v>
      </c>
      <c r="DJ308" s="15">
        <v>0</v>
      </c>
      <c r="DK308" s="15">
        <v>0</v>
      </c>
      <c r="DL308" s="15">
        <v>0</v>
      </c>
      <c r="DM308" s="15">
        <v>0</v>
      </c>
      <c r="DN308" s="15">
        <v>0</v>
      </c>
      <c r="DO308" s="15">
        <v>6.9</v>
      </c>
      <c r="DP308" s="15">
        <v>2.9</v>
      </c>
      <c r="DQ308" s="15">
        <v>9.8000000000000007</v>
      </c>
      <c r="DR308" s="15">
        <v>1.2</v>
      </c>
      <c r="DS308" s="15">
        <v>0</v>
      </c>
      <c r="DT308" s="15">
        <v>0</v>
      </c>
      <c r="DU308" s="15">
        <v>0</v>
      </c>
      <c r="DV308" s="15">
        <v>0</v>
      </c>
      <c r="DW308" s="15">
        <v>0</v>
      </c>
      <c r="DX308" s="15">
        <v>0</v>
      </c>
      <c r="DY308" s="15">
        <v>0</v>
      </c>
      <c r="DZ308" s="15">
        <v>0</v>
      </c>
      <c r="EA308" s="15">
        <v>0</v>
      </c>
      <c r="EB308" s="15">
        <v>0</v>
      </c>
      <c r="EC308" s="15">
        <v>0</v>
      </c>
      <c r="ED308" s="15">
        <v>0</v>
      </c>
      <c r="EE308" s="15">
        <v>0</v>
      </c>
      <c r="EF308" s="15">
        <v>0</v>
      </c>
    </row>
    <row r="309" spans="1:136" ht="15" customHeight="1" x14ac:dyDescent="0.35">
      <c r="A309" s="8" t="s">
        <v>12</v>
      </c>
      <c r="B309" s="8" t="s">
        <v>15</v>
      </c>
      <c r="C309" s="8" t="s">
        <v>15</v>
      </c>
      <c r="D309" s="8" t="s">
        <v>320</v>
      </c>
      <c r="E309" s="8" t="s">
        <v>16</v>
      </c>
      <c r="F309" s="8" t="s">
        <v>40</v>
      </c>
      <c r="G309" s="15">
        <v>11.8</v>
      </c>
      <c r="H309" s="15">
        <v>64.900000000000006</v>
      </c>
      <c r="I309" s="15">
        <v>0.5</v>
      </c>
      <c r="J309" s="15">
        <v>64.400000000000006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0.5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5">
        <v>0</v>
      </c>
      <c r="CH309" s="15">
        <v>0</v>
      </c>
      <c r="CI309" s="15">
        <v>0</v>
      </c>
      <c r="CJ309" s="15">
        <v>0</v>
      </c>
      <c r="CK309" s="15">
        <v>0</v>
      </c>
      <c r="CL309" s="15">
        <v>0</v>
      </c>
      <c r="CM309" s="15">
        <v>0</v>
      </c>
      <c r="CN309" s="15">
        <v>0</v>
      </c>
      <c r="CO309" s="15">
        <v>0</v>
      </c>
      <c r="CP309" s="15">
        <v>0</v>
      </c>
      <c r="CQ309" s="15">
        <v>0</v>
      </c>
      <c r="CR309" s="15">
        <v>0</v>
      </c>
      <c r="CS309" s="15">
        <v>0</v>
      </c>
      <c r="CT309" s="15">
        <v>0</v>
      </c>
      <c r="CU309" s="15">
        <v>0</v>
      </c>
      <c r="CV309" s="15">
        <v>0</v>
      </c>
      <c r="CW309" s="15">
        <v>0</v>
      </c>
      <c r="CX309" s="15">
        <v>0</v>
      </c>
      <c r="CY309" s="15">
        <v>0</v>
      </c>
      <c r="CZ309" s="15">
        <v>0</v>
      </c>
      <c r="DA309" s="15">
        <v>0</v>
      </c>
      <c r="DB309" s="15">
        <v>0</v>
      </c>
      <c r="DC309" s="15">
        <v>0</v>
      </c>
      <c r="DD309" s="15">
        <v>0</v>
      </c>
      <c r="DE309" s="15">
        <v>0</v>
      </c>
      <c r="DF309" s="15">
        <v>0</v>
      </c>
      <c r="DG309" s="15">
        <v>0</v>
      </c>
      <c r="DH309" s="15">
        <v>0</v>
      </c>
      <c r="DI309" s="15">
        <v>0</v>
      </c>
      <c r="DJ309" s="15">
        <v>0</v>
      </c>
      <c r="DK309" s="15">
        <v>0</v>
      </c>
      <c r="DL309" s="15">
        <v>0</v>
      </c>
      <c r="DM309" s="15">
        <v>0</v>
      </c>
      <c r="DN309" s="15">
        <v>0</v>
      </c>
      <c r="DO309" s="15">
        <v>0</v>
      </c>
      <c r="DP309" s="15">
        <v>0</v>
      </c>
      <c r="DQ309" s="15">
        <v>0</v>
      </c>
      <c r="DR309" s="15">
        <v>0</v>
      </c>
      <c r="DS309" s="15">
        <v>0</v>
      </c>
      <c r="DT309" s="15">
        <v>0</v>
      </c>
      <c r="DU309" s="15">
        <v>0</v>
      </c>
      <c r="DV309" s="15">
        <v>0</v>
      </c>
      <c r="DW309" s="15">
        <v>0</v>
      </c>
      <c r="DX309" s="15">
        <v>0</v>
      </c>
      <c r="DY309" s="15">
        <v>0</v>
      </c>
      <c r="DZ309" s="15">
        <v>0</v>
      </c>
      <c r="EA309" s="15">
        <v>0</v>
      </c>
      <c r="EB309" s="15">
        <v>0</v>
      </c>
      <c r="EC309" s="15">
        <v>0</v>
      </c>
      <c r="ED309" s="15">
        <v>0</v>
      </c>
      <c r="EE309" s="15">
        <v>0</v>
      </c>
      <c r="EF309" s="15">
        <v>0</v>
      </c>
    </row>
    <row r="310" spans="1:136" ht="15" customHeight="1" x14ac:dyDescent="0.35">
      <c r="A310" s="8" t="s">
        <v>12</v>
      </c>
      <c r="B310" s="8" t="s">
        <v>15</v>
      </c>
      <c r="C310" s="8" t="s">
        <v>15</v>
      </c>
      <c r="D310" s="8" t="s">
        <v>321</v>
      </c>
      <c r="E310" s="8" t="s">
        <v>16</v>
      </c>
      <c r="F310" s="8" t="s">
        <v>96</v>
      </c>
      <c r="G310" s="15">
        <v>0</v>
      </c>
      <c r="H310" s="15">
        <v>0</v>
      </c>
      <c r="I310" s="15">
        <v>154.6</v>
      </c>
      <c r="J310" s="15">
        <v>-154.6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1.5</v>
      </c>
      <c r="AL310" s="15">
        <v>1.5</v>
      </c>
      <c r="AM310" s="15">
        <v>0</v>
      </c>
      <c r="AN310" s="15">
        <v>0</v>
      </c>
      <c r="AO310" s="15">
        <v>4</v>
      </c>
      <c r="AP310" s="15">
        <v>11</v>
      </c>
      <c r="AQ310" s="15">
        <v>14</v>
      </c>
      <c r="AR310" s="15">
        <v>7.5</v>
      </c>
      <c r="AS310" s="15">
        <v>2</v>
      </c>
      <c r="AT310" s="15">
        <v>0</v>
      </c>
      <c r="AU310" s="15">
        <v>0</v>
      </c>
      <c r="AV310" s="15">
        <v>0</v>
      </c>
      <c r="AW310" s="15">
        <v>0</v>
      </c>
      <c r="AX310" s="15">
        <v>0</v>
      </c>
      <c r="AY310" s="15">
        <v>0</v>
      </c>
      <c r="AZ310" s="15">
        <v>0</v>
      </c>
      <c r="BA310" s="15">
        <v>0</v>
      </c>
      <c r="BB310" s="15">
        <v>0</v>
      </c>
      <c r="BC310" s="15">
        <v>0</v>
      </c>
      <c r="BD310" s="15">
        <v>0</v>
      </c>
      <c r="BE310" s="15">
        <v>0</v>
      </c>
      <c r="BF310" s="15">
        <v>0</v>
      </c>
      <c r="BG310" s="15">
        <v>0</v>
      </c>
      <c r="BH310" s="15">
        <v>0</v>
      </c>
      <c r="BI310" s="15">
        <v>0</v>
      </c>
      <c r="BJ310" s="15">
        <v>0</v>
      </c>
      <c r="BK310" s="15">
        <v>0</v>
      </c>
      <c r="BL310" s="15">
        <v>0</v>
      </c>
      <c r="BM310" s="15">
        <v>0</v>
      </c>
      <c r="BN310" s="15">
        <v>0</v>
      </c>
      <c r="BO310" s="15">
        <v>0</v>
      </c>
      <c r="BP310" s="15">
        <v>0</v>
      </c>
      <c r="BQ310" s="15">
        <v>0</v>
      </c>
      <c r="BR310" s="15">
        <v>0</v>
      </c>
      <c r="BS310" s="15">
        <v>0</v>
      </c>
      <c r="BT310" s="15">
        <v>0</v>
      </c>
      <c r="BU310" s="15">
        <v>0</v>
      </c>
      <c r="BV310" s="15">
        <v>0</v>
      </c>
      <c r="BW310" s="15">
        <v>0</v>
      </c>
      <c r="BX310" s="15">
        <v>0</v>
      </c>
      <c r="BY310" s="15">
        <v>0</v>
      </c>
      <c r="BZ310" s="15">
        <v>0</v>
      </c>
      <c r="CA310" s="15">
        <v>0</v>
      </c>
      <c r="CB310" s="15">
        <v>0</v>
      </c>
      <c r="CC310" s="15">
        <v>0</v>
      </c>
      <c r="CD310" s="15">
        <v>0</v>
      </c>
      <c r="CE310" s="15">
        <v>0</v>
      </c>
      <c r="CF310" s="15">
        <v>0</v>
      </c>
      <c r="CG310" s="15">
        <v>0</v>
      </c>
      <c r="CH310" s="15">
        <v>0</v>
      </c>
      <c r="CI310" s="15">
        <v>0</v>
      </c>
      <c r="CJ310" s="15">
        <v>0</v>
      </c>
      <c r="CK310" s="15">
        <v>0</v>
      </c>
      <c r="CL310" s="15">
        <v>0</v>
      </c>
      <c r="CM310" s="15">
        <v>0</v>
      </c>
      <c r="CN310" s="15">
        <v>0</v>
      </c>
      <c r="CO310" s="15">
        <v>0</v>
      </c>
      <c r="CP310" s="15">
        <v>0</v>
      </c>
      <c r="CQ310" s="15">
        <v>0</v>
      </c>
      <c r="CR310" s="15">
        <v>0</v>
      </c>
      <c r="CS310" s="15">
        <v>10</v>
      </c>
      <c r="CT310" s="15">
        <v>1</v>
      </c>
      <c r="CU310" s="15">
        <v>0</v>
      </c>
      <c r="CV310" s="15">
        <v>0</v>
      </c>
      <c r="CW310" s="15">
        <v>0</v>
      </c>
      <c r="CX310" s="15">
        <v>11</v>
      </c>
      <c r="CY310" s="15">
        <v>10.5</v>
      </c>
      <c r="CZ310" s="15">
        <v>11</v>
      </c>
      <c r="DA310" s="15">
        <v>0</v>
      </c>
      <c r="DB310" s="15">
        <v>0</v>
      </c>
      <c r="DC310" s="15">
        <v>7.4</v>
      </c>
      <c r="DD310" s="15">
        <v>1</v>
      </c>
      <c r="DE310" s="15">
        <v>0</v>
      </c>
      <c r="DF310" s="15">
        <v>2</v>
      </c>
      <c r="DG310" s="15">
        <v>14.5</v>
      </c>
      <c r="DH310" s="15">
        <v>11.5</v>
      </c>
      <c r="DI310" s="15">
        <v>0</v>
      </c>
      <c r="DJ310" s="15">
        <v>0</v>
      </c>
      <c r="DK310" s="15">
        <v>0</v>
      </c>
      <c r="DL310" s="15">
        <v>0</v>
      </c>
      <c r="DM310" s="15">
        <v>0</v>
      </c>
      <c r="DN310" s="15">
        <v>0</v>
      </c>
      <c r="DO310" s="15">
        <v>0</v>
      </c>
      <c r="DP310" s="15">
        <v>15</v>
      </c>
      <c r="DQ310" s="15">
        <v>20.2</v>
      </c>
      <c r="DR310" s="15">
        <v>0</v>
      </c>
      <c r="DS310" s="15">
        <v>0</v>
      </c>
      <c r="DT310" s="15">
        <v>0</v>
      </c>
      <c r="DU310" s="15">
        <v>0</v>
      </c>
      <c r="DV310" s="15">
        <v>0</v>
      </c>
      <c r="DW310" s="15">
        <v>0</v>
      </c>
      <c r="DX310" s="15">
        <v>0</v>
      </c>
      <c r="DY310" s="15">
        <v>0</v>
      </c>
      <c r="DZ310" s="15">
        <v>0</v>
      </c>
      <c r="EA310" s="15">
        <v>0</v>
      </c>
      <c r="EB310" s="15">
        <v>0</v>
      </c>
      <c r="EC310" s="15">
        <v>0</v>
      </c>
      <c r="ED310" s="15">
        <v>0</v>
      </c>
      <c r="EE310" s="15">
        <v>0</v>
      </c>
      <c r="EF310" s="15">
        <v>0</v>
      </c>
    </row>
    <row r="311" spans="1:136" ht="15" customHeight="1" x14ac:dyDescent="0.35">
      <c r="A311" s="8" t="s">
        <v>12</v>
      </c>
      <c r="B311" s="8" t="s">
        <v>15</v>
      </c>
      <c r="C311" s="8" t="s">
        <v>15</v>
      </c>
      <c r="D311" s="8" t="s">
        <v>320</v>
      </c>
      <c r="E311" s="8" t="s">
        <v>16</v>
      </c>
      <c r="F311" s="8" t="s">
        <v>96</v>
      </c>
      <c r="G311" s="15">
        <v>55.8</v>
      </c>
      <c r="H311" s="15">
        <v>168.6</v>
      </c>
      <c r="I311" s="15">
        <v>11.5</v>
      </c>
      <c r="J311" s="15">
        <v>157.1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1.5</v>
      </c>
      <c r="AD311" s="15">
        <v>1</v>
      </c>
      <c r="AE311" s="15">
        <v>1</v>
      </c>
      <c r="AF311" s="15">
        <v>2.5</v>
      </c>
      <c r="AG311" s="15">
        <v>2.5</v>
      </c>
      <c r="AH311" s="15">
        <v>1.5</v>
      </c>
      <c r="AI311" s="15">
        <v>0.5</v>
      </c>
      <c r="AJ311" s="15">
        <v>1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5">
        <v>0</v>
      </c>
      <c r="CH311" s="15">
        <v>0</v>
      </c>
      <c r="CI311" s="15">
        <v>0</v>
      </c>
      <c r="CJ311" s="15">
        <v>0</v>
      </c>
      <c r="CK311" s="15">
        <v>0</v>
      </c>
      <c r="CL311" s="15">
        <v>0</v>
      </c>
      <c r="CM311" s="15">
        <v>0</v>
      </c>
      <c r="CN311" s="15">
        <v>0</v>
      </c>
      <c r="CO311" s="15">
        <v>0</v>
      </c>
      <c r="CP311" s="15">
        <v>0</v>
      </c>
      <c r="CQ311" s="15">
        <v>0</v>
      </c>
      <c r="CR311" s="15">
        <v>0</v>
      </c>
      <c r="CS311" s="15">
        <v>0</v>
      </c>
      <c r="CT311" s="15">
        <v>0</v>
      </c>
      <c r="CU311" s="15">
        <v>0</v>
      </c>
      <c r="CV311" s="15">
        <v>0</v>
      </c>
      <c r="CW311" s="15">
        <v>0</v>
      </c>
      <c r="CX311" s="15">
        <v>0</v>
      </c>
      <c r="CY311" s="15">
        <v>0</v>
      </c>
      <c r="CZ311" s="15">
        <v>0</v>
      </c>
      <c r="DA311" s="15">
        <v>0</v>
      </c>
      <c r="DB311" s="15">
        <v>0</v>
      </c>
      <c r="DC311" s="15">
        <v>0</v>
      </c>
      <c r="DD311" s="15">
        <v>0</v>
      </c>
      <c r="DE311" s="15">
        <v>0</v>
      </c>
      <c r="DF311" s="15">
        <v>0</v>
      </c>
      <c r="DG311" s="15">
        <v>0</v>
      </c>
      <c r="DH311" s="15">
        <v>0</v>
      </c>
      <c r="DI311" s="15">
        <v>0</v>
      </c>
      <c r="DJ311" s="15">
        <v>0</v>
      </c>
      <c r="DK311" s="15">
        <v>0</v>
      </c>
      <c r="DL311" s="15">
        <v>0</v>
      </c>
      <c r="DM311" s="15">
        <v>0</v>
      </c>
      <c r="DN311" s="15">
        <v>0</v>
      </c>
      <c r="DO311" s="15">
        <v>0</v>
      </c>
      <c r="DP311" s="15">
        <v>0</v>
      </c>
      <c r="DQ311" s="15">
        <v>0</v>
      </c>
      <c r="DR311" s="15">
        <v>0</v>
      </c>
      <c r="DS311" s="15">
        <v>0</v>
      </c>
      <c r="DT311" s="15">
        <v>0</v>
      </c>
      <c r="DU311" s="15">
        <v>0</v>
      </c>
      <c r="DV311" s="15">
        <v>0</v>
      </c>
      <c r="DW311" s="15">
        <v>0</v>
      </c>
      <c r="DX311" s="15">
        <v>0</v>
      </c>
      <c r="DY311" s="15">
        <v>0</v>
      </c>
      <c r="DZ311" s="15">
        <v>0</v>
      </c>
      <c r="EA311" s="15">
        <v>0</v>
      </c>
      <c r="EB311" s="15">
        <v>0</v>
      </c>
      <c r="EC311" s="15">
        <v>0</v>
      </c>
      <c r="ED311" s="15">
        <v>0</v>
      </c>
      <c r="EE311" s="15">
        <v>0</v>
      </c>
      <c r="EF311" s="15">
        <v>0</v>
      </c>
    </row>
    <row r="312" spans="1:136" ht="15" customHeight="1" x14ac:dyDescent="0.35">
      <c r="A312" s="8" t="s">
        <v>12</v>
      </c>
      <c r="B312" s="8" t="s">
        <v>15</v>
      </c>
      <c r="C312" s="8" t="s">
        <v>15</v>
      </c>
      <c r="D312" s="8" t="s">
        <v>321</v>
      </c>
      <c r="E312" s="8" t="s">
        <v>16</v>
      </c>
      <c r="F312" s="8" t="s">
        <v>97</v>
      </c>
      <c r="G312" s="15">
        <v>0</v>
      </c>
      <c r="H312" s="15">
        <v>0</v>
      </c>
      <c r="I312" s="15">
        <v>93.2</v>
      </c>
      <c r="J312" s="15">
        <v>-93.2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1.5</v>
      </c>
      <c r="AK312" s="15">
        <v>1.5</v>
      </c>
      <c r="AL312" s="15">
        <v>1.7</v>
      </c>
      <c r="AM312" s="15">
        <v>0</v>
      </c>
      <c r="AN312" s="15">
        <v>9</v>
      </c>
      <c r="AO312" s="15">
        <v>0.5</v>
      </c>
      <c r="AP312" s="15">
        <v>0.5</v>
      </c>
      <c r="AQ312" s="15">
        <v>1</v>
      </c>
      <c r="AR312" s="15">
        <v>5.5</v>
      </c>
      <c r="AS312" s="15">
        <v>2.5</v>
      </c>
      <c r="AT312" s="15">
        <v>0</v>
      </c>
      <c r="AU312" s="15">
        <v>0</v>
      </c>
      <c r="AV312" s="15">
        <v>0</v>
      </c>
      <c r="AW312" s="15">
        <v>0</v>
      </c>
      <c r="AX312" s="15">
        <v>0</v>
      </c>
      <c r="AY312" s="15">
        <v>0</v>
      </c>
      <c r="AZ312" s="15">
        <v>0</v>
      </c>
      <c r="BA312" s="15">
        <v>0</v>
      </c>
      <c r="BB312" s="15">
        <v>0</v>
      </c>
      <c r="BC312" s="15">
        <v>0</v>
      </c>
      <c r="BD312" s="15">
        <v>0</v>
      </c>
      <c r="BE312" s="15">
        <v>0</v>
      </c>
      <c r="BF312" s="15">
        <v>0</v>
      </c>
      <c r="BG312" s="15">
        <v>0</v>
      </c>
      <c r="BH312" s="15">
        <v>0</v>
      </c>
      <c r="BI312" s="15">
        <v>0</v>
      </c>
      <c r="BJ312" s="15">
        <v>0</v>
      </c>
      <c r="BK312" s="15">
        <v>0</v>
      </c>
      <c r="BL312" s="15">
        <v>0</v>
      </c>
      <c r="BM312" s="15">
        <v>0</v>
      </c>
      <c r="BN312" s="15">
        <v>0</v>
      </c>
      <c r="BO312" s="15">
        <v>0</v>
      </c>
      <c r="BP312" s="15">
        <v>0</v>
      </c>
      <c r="BQ312" s="15">
        <v>0</v>
      </c>
      <c r="BR312" s="15">
        <v>0</v>
      </c>
      <c r="BS312" s="15">
        <v>0</v>
      </c>
      <c r="BT312" s="15">
        <v>0</v>
      </c>
      <c r="BU312" s="15">
        <v>0</v>
      </c>
      <c r="BV312" s="15">
        <v>0</v>
      </c>
      <c r="BW312" s="15">
        <v>0</v>
      </c>
      <c r="BX312" s="15">
        <v>0</v>
      </c>
      <c r="BY312" s="15">
        <v>0</v>
      </c>
      <c r="BZ312" s="15">
        <v>0</v>
      </c>
      <c r="CA312" s="15">
        <v>0</v>
      </c>
      <c r="CB312" s="15">
        <v>0</v>
      </c>
      <c r="CC312" s="15">
        <v>0</v>
      </c>
      <c r="CD312" s="15">
        <v>0</v>
      </c>
      <c r="CE312" s="15">
        <v>0</v>
      </c>
      <c r="CF312" s="15">
        <v>0</v>
      </c>
      <c r="CG312" s="15">
        <v>0</v>
      </c>
      <c r="CH312" s="15">
        <v>0</v>
      </c>
      <c r="CI312" s="15">
        <v>0</v>
      </c>
      <c r="CJ312" s="15">
        <v>0</v>
      </c>
      <c r="CK312" s="15">
        <v>0</v>
      </c>
      <c r="CL312" s="15">
        <v>0</v>
      </c>
      <c r="CM312" s="15">
        <v>0</v>
      </c>
      <c r="CN312" s="15">
        <v>0</v>
      </c>
      <c r="CO312" s="15">
        <v>0</v>
      </c>
      <c r="CP312" s="15">
        <v>0</v>
      </c>
      <c r="CQ312" s="15">
        <v>0</v>
      </c>
      <c r="CR312" s="15">
        <v>0</v>
      </c>
      <c r="CS312" s="15">
        <v>4</v>
      </c>
      <c r="CT312" s="15">
        <v>0</v>
      </c>
      <c r="CU312" s="15">
        <v>4</v>
      </c>
      <c r="CV312" s="15">
        <v>4</v>
      </c>
      <c r="CW312" s="15">
        <v>4</v>
      </c>
      <c r="CX312" s="15">
        <v>0</v>
      </c>
      <c r="CY312" s="15">
        <v>0</v>
      </c>
      <c r="CZ312" s="15">
        <v>0</v>
      </c>
      <c r="DA312" s="15">
        <v>4</v>
      </c>
      <c r="DB312" s="15">
        <v>5</v>
      </c>
      <c r="DC312" s="15">
        <v>5</v>
      </c>
      <c r="DD312" s="15">
        <v>5</v>
      </c>
      <c r="DE312" s="15">
        <v>0</v>
      </c>
      <c r="DF312" s="15">
        <v>5</v>
      </c>
      <c r="DG312" s="15">
        <v>4</v>
      </c>
      <c r="DH312" s="15">
        <v>4</v>
      </c>
      <c r="DI312" s="15">
        <v>0</v>
      </c>
      <c r="DJ312" s="15">
        <v>0</v>
      </c>
      <c r="DK312" s="15">
        <v>0</v>
      </c>
      <c r="DL312" s="15">
        <v>2</v>
      </c>
      <c r="DM312" s="15">
        <v>2</v>
      </c>
      <c r="DN312" s="15">
        <v>4</v>
      </c>
      <c r="DO312" s="15">
        <v>4</v>
      </c>
      <c r="DP312" s="15">
        <v>4</v>
      </c>
      <c r="DQ312" s="15">
        <v>4</v>
      </c>
      <c r="DR312" s="15">
        <v>4</v>
      </c>
      <c r="DS312" s="15">
        <v>0</v>
      </c>
      <c r="DT312" s="15">
        <v>0</v>
      </c>
      <c r="DU312" s="15">
        <v>0</v>
      </c>
      <c r="DV312" s="15">
        <v>0</v>
      </c>
      <c r="DW312" s="15">
        <v>0</v>
      </c>
      <c r="DX312" s="15">
        <v>0</v>
      </c>
      <c r="DY312" s="15">
        <v>0</v>
      </c>
      <c r="DZ312" s="15">
        <v>0</v>
      </c>
      <c r="EA312" s="15">
        <v>0</v>
      </c>
      <c r="EB312" s="15">
        <v>0</v>
      </c>
      <c r="EC312" s="15">
        <v>0</v>
      </c>
      <c r="ED312" s="15">
        <v>0</v>
      </c>
      <c r="EE312" s="15">
        <v>0</v>
      </c>
      <c r="EF312" s="15">
        <v>0</v>
      </c>
    </row>
    <row r="313" spans="1:136" ht="15" customHeight="1" x14ac:dyDescent="0.35">
      <c r="A313" s="8" t="s">
        <v>12</v>
      </c>
      <c r="B313" s="8" t="s">
        <v>15</v>
      </c>
      <c r="C313" s="8" t="s">
        <v>15</v>
      </c>
      <c r="D313" s="8" t="s">
        <v>320</v>
      </c>
      <c r="E313" s="8" t="s">
        <v>16</v>
      </c>
      <c r="F313" s="8" t="s">
        <v>97</v>
      </c>
      <c r="G313" s="15">
        <v>30.5</v>
      </c>
      <c r="H313" s="15">
        <v>102.5</v>
      </c>
      <c r="I313" s="15">
        <v>13</v>
      </c>
      <c r="J313" s="15">
        <v>89.5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0.5</v>
      </c>
      <c r="AF313" s="15">
        <v>4</v>
      </c>
      <c r="AG313" s="15">
        <v>3</v>
      </c>
      <c r="AH313" s="15">
        <v>2</v>
      </c>
      <c r="AI313" s="15">
        <v>3.5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5">
        <v>0</v>
      </c>
      <c r="CH313" s="15">
        <v>0</v>
      </c>
      <c r="CI313" s="15">
        <v>0</v>
      </c>
      <c r="CJ313" s="15">
        <v>0</v>
      </c>
      <c r="CK313" s="15">
        <v>0</v>
      </c>
      <c r="CL313" s="15">
        <v>0</v>
      </c>
      <c r="CM313" s="15">
        <v>0</v>
      </c>
      <c r="CN313" s="15">
        <v>0</v>
      </c>
      <c r="CO313" s="15">
        <v>0</v>
      </c>
      <c r="CP313" s="15">
        <v>0</v>
      </c>
      <c r="CQ313" s="15">
        <v>0</v>
      </c>
      <c r="CR313" s="15">
        <v>0</v>
      </c>
      <c r="CS313" s="15">
        <v>0</v>
      </c>
      <c r="CT313" s="15">
        <v>0</v>
      </c>
      <c r="CU313" s="15">
        <v>0</v>
      </c>
      <c r="CV313" s="15">
        <v>0</v>
      </c>
      <c r="CW313" s="15">
        <v>0</v>
      </c>
      <c r="CX313" s="15">
        <v>0</v>
      </c>
      <c r="CY313" s="15">
        <v>0</v>
      </c>
      <c r="CZ313" s="15">
        <v>0</v>
      </c>
      <c r="DA313" s="15">
        <v>0</v>
      </c>
      <c r="DB313" s="15">
        <v>0</v>
      </c>
      <c r="DC313" s="15">
        <v>0</v>
      </c>
      <c r="DD313" s="15">
        <v>0</v>
      </c>
      <c r="DE313" s="15">
        <v>0</v>
      </c>
      <c r="DF313" s="15">
        <v>0</v>
      </c>
      <c r="DG313" s="15">
        <v>0</v>
      </c>
      <c r="DH313" s="15">
        <v>0</v>
      </c>
      <c r="DI313" s="15">
        <v>0</v>
      </c>
      <c r="DJ313" s="15">
        <v>0</v>
      </c>
      <c r="DK313" s="15">
        <v>0</v>
      </c>
      <c r="DL313" s="15">
        <v>0</v>
      </c>
      <c r="DM313" s="15">
        <v>0</v>
      </c>
      <c r="DN313" s="15">
        <v>0</v>
      </c>
      <c r="DO313" s="15">
        <v>0</v>
      </c>
      <c r="DP313" s="15">
        <v>0</v>
      </c>
      <c r="DQ313" s="15">
        <v>0</v>
      </c>
      <c r="DR313" s="15">
        <v>0</v>
      </c>
      <c r="DS313" s="15">
        <v>0</v>
      </c>
      <c r="DT313" s="15">
        <v>0</v>
      </c>
      <c r="DU313" s="15">
        <v>0</v>
      </c>
      <c r="DV313" s="15">
        <v>0</v>
      </c>
      <c r="DW313" s="15">
        <v>0</v>
      </c>
      <c r="DX313" s="15">
        <v>0</v>
      </c>
      <c r="DY313" s="15">
        <v>0</v>
      </c>
      <c r="DZ313" s="15">
        <v>0</v>
      </c>
      <c r="EA313" s="15">
        <v>0</v>
      </c>
      <c r="EB313" s="15">
        <v>0</v>
      </c>
      <c r="EC313" s="15">
        <v>0</v>
      </c>
      <c r="ED313" s="15">
        <v>0</v>
      </c>
      <c r="EE313" s="15">
        <v>0</v>
      </c>
      <c r="EF313" s="15">
        <v>0</v>
      </c>
    </row>
    <row r="314" spans="1:136" ht="15" customHeight="1" x14ac:dyDescent="0.35">
      <c r="A314" s="8" t="s">
        <v>12</v>
      </c>
      <c r="B314" s="8" t="s">
        <v>15</v>
      </c>
      <c r="C314" s="8" t="s">
        <v>15</v>
      </c>
      <c r="D314" s="8" t="s">
        <v>321</v>
      </c>
      <c r="E314" s="8" t="s">
        <v>16</v>
      </c>
      <c r="F314" s="8" t="s">
        <v>98</v>
      </c>
      <c r="G314" s="15">
        <v>0</v>
      </c>
      <c r="H314" s="15">
        <v>0</v>
      </c>
      <c r="I314" s="15">
        <v>13</v>
      </c>
      <c r="J314" s="15">
        <v>-13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0</v>
      </c>
      <c r="AW314" s="15">
        <v>0</v>
      </c>
      <c r="AX314" s="15">
        <v>0</v>
      </c>
      <c r="AY314" s="15">
        <v>0</v>
      </c>
      <c r="AZ314" s="15">
        <v>0</v>
      </c>
      <c r="BA314" s="15">
        <v>0</v>
      </c>
      <c r="BB314" s="15">
        <v>0</v>
      </c>
      <c r="BC314" s="15">
        <v>0</v>
      </c>
      <c r="BD314" s="15">
        <v>0</v>
      </c>
      <c r="BE314" s="15">
        <v>0</v>
      </c>
      <c r="BF314" s="15">
        <v>0</v>
      </c>
      <c r="BG314" s="15">
        <v>0</v>
      </c>
      <c r="BH314" s="15">
        <v>0</v>
      </c>
      <c r="BI314" s="15">
        <v>0</v>
      </c>
      <c r="BJ314" s="15">
        <v>0</v>
      </c>
      <c r="BK314" s="15">
        <v>0</v>
      </c>
      <c r="BL314" s="15">
        <v>0</v>
      </c>
      <c r="BM314" s="15">
        <v>0</v>
      </c>
      <c r="BN314" s="15">
        <v>0</v>
      </c>
      <c r="BO314" s="15">
        <v>0</v>
      </c>
      <c r="BP314" s="15">
        <v>0</v>
      </c>
      <c r="BQ314" s="15">
        <v>0</v>
      </c>
      <c r="BR314" s="15">
        <v>0</v>
      </c>
      <c r="BS314" s="15">
        <v>0</v>
      </c>
      <c r="BT314" s="15">
        <v>0</v>
      </c>
      <c r="BU314" s="15">
        <v>0</v>
      </c>
      <c r="BV314" s="15">
        <v>0</v>
      </c>
      <c r="BW314" s="15">
        <v>0</v>
      </c>
      <c r="BX314" s="15">
        <v>0</v>
      </c>
      <c r="BY314" s="15">
        <v>0</v>
      </c>
      <c r="BZ314" s="15">
        <v>0</v>
      </c>
      <c r="CA314" s="15">
        <v>0</v>
      </c>
      <c r="CB314" s="15">
        <v>0</v>
      </c>
      <c r="CC314" s="15">
        <v>0</v>
      </c>
      <c r="CD314" s="15">
        <v>0</v>
      </c>
      <c r="CE314" s="15">
        <v>0</v>
      </c>
      <c r="CF314" s="15">
        <v>0</v>
      </c>
      <c r="CG314" s="15">
        <v>0</v>
      </c>
      <c r="CH314" s="15">
        <v>0</v>
      </c>
      <c r="CI314" s="15">
        <v>0</v>
      </c>
      <c r="CJ314" s="15">
        <v>0</v>
      </c>
      <c r="CK314" s="15">
        <v>0</v>
      </c>
      <c r="CL314" s="15">
        <v>0</v>
      </c>
      <c r="CM314" s="15">
        <v>0</v>
      </c>
      <c r="CN314" s="15">
        <v>0</v>
      </c>
      <c r="CO314" s="15">
        <v>0</v>
      </c>
      <c r="CP314" s="15">
        <v>0</v>
      </c>
      <c r="CQ314" s="15">
        <v>0</v>
      </c>
      <c r="CR314" s="15">
        <v>0</v>
      </c>
      <c r="CS314" s="15">
        <v>0</v>
      </c>
      <c r="CT314" s="15">
        <v>2</v>
      </c>
      <c r="CU314" s="15">
        <v>2</v>
      </c>
      <c r="CV314" s="15">
        <v>2</v>
      </c>
      <c r="CW314" s="15">
        <v>0</v>
      </c>
      <c r="CX314" s="15">
        <v>0</v>
      </c>
      <c r="CY314" s="15">
        <v>1</v>
      </c>
      <c r="CZ314" s="15">
        <v>0</v>
      </c>
      <c r="DA314" s="15">
        <v>0</v>
      </c>
      <c r="DB314" s="15">
        <v>1</v>
      </c>
      <c r="DC314" s="15">
        <v>1</v>
      </c>
      <c r="DD314" s="15">
        <v>1</v>
      </c>
      <c r="DE314" s="15">
        <v>0</v>
      </c>
      <c r="DF314" s="15">
        <v>1</v>
      </c>
      <c r="DG314" s="15">
        <v>1</v>
      </c>
      <c r="DH314" s="15">
        <v>1</v>
      </c>
      <c r="DI314" s="15">
        <v>0</v>
      </c>
      <c r="DJ314" s="15">
        <v>0</v>
      </c>
      <c r="DK314" s="15">
        <v>0</v>
      </c>
      <c r="DL314" s="15">
        <v>0</v>
      </c>
      <c r="DM314" s="15">
        <v>0</v>
      </c>
      <c r="DN314" s="15">
        <v>0</v>
      </c>
      <c r="DO314" s="15">
        <v>0</v>
      </c>
      <c r="DP314" s="15">
        <v>0</v>
      </c>
      <c r="DQ314" s="15">
        <v>0</v>
      </c>
      <c r="DR314" s="15">
        <v>0</v>
      </c>
      <c r="DS314" s="15">
        <v>0</v>
      </c>
      <c r="DT314" s="15">
        <v>0</v>
      </c>
      <c r="DU314" s="15">
        <v>0</v>
      </c>
      <c r="DV314" s="15">
        <v>0</v>
      </c>
      <c r="DW314" s="15">
        <v>0</v>
      </c>
      <c r="DX314" s="15">
        <v>0</v>
      </c>
      <c r="DY314" s="15">
        <v>0</v>
      </c>
      <c r="DZ314" s="15">
        <v>0</v>
      </c>
      <c r="EA314" s="15">
        <v>0</v>
      </c>
      <c r="EB314" s="15">
        <v>0</v>
      </c>
      <c r="EC314" s="15">
        <v>0</v>
      </c>
      <c r="ED314" s="15">
        <v>0</v>
      </c>
      <c r="EE314" s="15">
        <v>0</v>
      </c>
      <c r="EF314" s="15">
        <v>0</v>
      </c>
    </row>
    <row r="315" spans="1:136" ht="15" customHeight="1" x14ac:dyDescent="0.35">
      <c r="A315" s="8" t="s">
        <v>12</v>
      </c>
      <c r="B315" s="8" t="s">
        <v>15</v>
      </c>
      <c r="C315" s="8" t="s">
        <v>15</v>
      </c>
      <c r="D315" s="8" t="s">
        <v>321</v>
      </c>
      <c r="E315" s="8" t="s">
        <v>16</v>
      </c>
      <c r="F315" s="8" t="s">
        <v>99</v>
      </c>
      <c r="G315" s="15">
        <v>0</v>
      </c>
      <c r="H315" s="15">
        <v>0</v>
      </c>
      <c r="I315" s="15">
        <v>30.4</v>
      </c>
      <c r="J315" s="15">
        <v>-30.4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0</v>
      </c>
      <c r="AW315" s="15">
        <v>0</v>
      </c>
      <c r="AX315" s="15">
        <v>0</v>
      </c>
      <c r="AY315" s="15">
        <v>0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5">
        <v>0</v>
      </c>
      <c r="CH315" s="15">
        <v>0</v>
      </c>
      <c r="CI315" s="15">
        <v>0</v>
      </c>
      <c r="CJ315" s="15">
        <v>0</v>
      </c>
      <c r="CK315" s="15">
        <v>0</v>
      </c>
      <c r="CL315" s="15">
        <v>0</v>
      </c>
      <c r="CM315" s="15">
        <v>0</v>
      </c>
      <c r="CN315" s="15">
        <v>0</v>
      </c>
      <c r="CO315" s="15">
        <v>0</v>
      </c>
      <c r="CP315" s="15">
        <v>0</v>
      </c>
      <c r="CQ315" s="15">
        <v>0</v>
      </c>
      <c r="CR315" s="15">
        <v>0</v>
      </c>
      <c r="CS315" s="15">
        <v>2.4</v>
      </c>
      <c r="CT315" s="15">
        <v>0</v>
      </c>
      <c r="CU315" s="15">
        <v>0</v>
      </c>
      <c r="CV315" s="15">
        <v>0</v>
      </c>
      <c r="CW315" s="15">
        <v>0</v>
      </c>
      <c r="CX315" s="15">
        <v>0</v>
      </c>
      <c r="CY315" s="15">
        <v>0</v>
      </c>
      <c r="CZ315" s="15">
        <v>0</v>
      </c>
      <c r="DA315" s="15">
        <v>0</v>
      </c>
      <c r="DB315" s="15">
        <v>1.4</v>
      </c>
      <c r="DC315" s="15">
        <v>1.2</v>
      </c>
      <c r="DD315" s="15">
        <v>0</v>
      </c>
      <c r="DE315" s="15">
        <v>2</v>
      </c>
      <c r="DF315" s="15">
        <v>1.4</v>
      </c>
      <c r="DG315" s="15">
        <v>0</v>
      </c>
      <c r="DH315" s="15">
        <v>0</v>
      </c>
      <c r="DI315" s="15">
        <v>0</v>
      </c>
      <c r="DJ315" s="15">
        <v>0</v>
      </c>
      <c r="DK315" s="15">
        <v>0</v>
      </c>
      <c r="DL315" s="15">
        <v>0</v>
      </c>
      <c r="DM315" s="15">
        <v>0</v>
      </c>
      <c r="DN315" s="15">
        <v>0</v>
      </c>
      <c r="DO315" s="15">
        <v>2</v>
      </c>
      <c r="DP315" s="15">
        <v>16.7</v>
      </c>
      <c r="DQ315" s="15">
        <v>2.1</v>
      </c>
      <c r="DR315" s="15">
        <v>1.2</v>
      </c>
      <c r="DS315" s="15">
        <v>0</v>
      </c>
      <c r="DT315" s="15">
        <v>0</v>
      </c>
      <c r="DU315" s="15">
        <v>0</v>
      </c>
      <c r="DV315" s="15">
        <v>0</v>
      </c>
      <c r="DW315" s="15">
        <v>0</v>
      </c>
      <c r="DX315" s="15">
        <v>0</v>
      </c>
      <c r="DY315" s="15">
        <v>0</v>
      </c>
      <c r="DZ315" s="15">
        <v>0</v>
      </c>
      <c r="EA315" s="15">
        <v>0</v>
      </c>
      <c r="EB315" s="15">
        <v>0</v>
      </c>
      <c r="EC315" s="15">
        <v>0</v>
      </c>
      <c r="ED315" s="15">
        <v>0</v>
      </c>
      <c r="EE315" s="15">
        <v>0</v>
      </c>
      <c r="EF315" s="15">
        <v>0</v>
      </c>
    </row>
    <row r="316" spans="1:136" ht="15" customHeight="1" x14ac:dyDescent="0.35">
      <c r="A316" s="8" t="s">
        <v>12</v>
      </c>
      <c r="B316" s="8" t="s">
        <v>15</v>
      </c>
      <c r="C316" s="8" t="s">
        <v>15</v>
      </c>
      <c r="D316" s="8" t="s">
        <v>320</v>
      </c>
      <c r="E316" s="8" t="s">
        <v>16</v>
      </c>
      <c r="F316" s="8" t="s">
        <v>99</v>
      </c>
      <c r="G316" s="15">
        <v>25.2</v>
      </c>
      <c r="H316" s="15">
        <v>55.6</v>
      </c>
      <c r="I316" s="15">
        <v>0</v>
      </c>
      <c r="J316" s="15">
        <v>55.6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5">
        <v>0</v>
      </c>
      <c r="AS316" s="15">
        <v>0</v>
      </c>
      <c r="AT316" s="15">
        <v>0</v>
      </c>
      <c r="AU316" s="15">
        <v>0</v>
      </c>
      <c r="AV316" s="15">
        <v>0</v>
      </c>
      <c r="AW316" s="15">
        <v>0</v>
      </c>
      <c r="AX316" s="15">
        <v>0</v>
      </c>
      <c r="AY316" s="15">
        <v>0</v>
      </c>
      <c r="AZ316" s="15">
        <v>0</v>
      </c>
      <c r="BA316" s="15">
        <v>0</v>
      </c>
      <c r="BB316" s="15">
        <v>0</v>
      </c>
      <c r="BC316" s="15">
        <v>0</v>
      </c>
      <c r="BD316" s="15">
        <v>0</v>
      </c>
      <c r="BE316" s="15">
        <v>0</v>
      </c>
      <c r="BF316" s="15">
        <v>0</v>
      </c>
      <c r="BG316" s="15">
        <v>0</v>
      </c>
      <c r="BH316" s="15">
        <v>0</v>
      </c>
      <c r="BI316" s="15">
        <v>0</v>
      </c>
      <c r="BJ316" s="15">
        <v>0</v>
      </c>
      <c r="BK316" s="15">
        <v>0</v>
      </c>
      <c r="BL316" s="15">
        <v>0</v>
      </c>
      <c r="BM316" s="15">
        <v>0</v>
      </c>
      <c r="BN316" s="15">
        <v>0</v>
      </c>
      <c r="BO316" s="15">
        <v>0</v>
      </c>
      <c r="BP316" s="15">
        <v>0</v>
      </c>
      <c r="BQ316" s="15">
        <v>0</v>
      </c>
      <c r="BR316" s="15">
        <v>0</v>
      </c>
      <c r="BS316" s="15">
        <v>0</v>
      </c>
      <c r="BT316" s="15">
        <v>0</v>
      </c>
      <c r="BU316" s="15">
        <v>0</v>
      </c>
      <c r="BV316" s="15">
        <v>0</v>
      </c>
      <c r="BW316" s="15">
        <v>0</v>
      </c>
      <c r="BX316" s="15">
        <v>0</v>
      </c>
      <c r="BY316" s="15">
        <v>0</v>
      </c>
      <c r="BZ316" s="15">
        <v>0</v>
      </c>
      <c r="CA316" s="15">
        <v>0</v>
      </c>
      <c r="CB316" s="15">
        <v>0</v>
      </c>
      <c r="CC316" s="15">
        <v>0</v>
      </c>
      <c r="CD316" s="15">
        <v>0</v>
      </c>
      <c r="CE316" s="15">
        <v>0</v>
      </c>
      <c r="CF316" s="15">
        <v>0</v>
      </c>
      <c r="CG316" s="15">
        <v>0</v>
      </c>
      <c r="CH316" s="15">
        <v>0</v>
      </c>
      <c r="CI316" s="15">
        <v>0</v>
      </c>
      <c r="CJ316" s="15">
        <v>0</v>
      </c>
      <c r="CK316" s="15">
        <v>0</v>
      </c>
      <c r="CL316" s="15">
        <v>0</v>
      </c>
      <c r="CM316" s="15">
        <v>0</v>
      </c>
      <c r="CN316" s="15">
        <v>0</v>
      </c>
      <c r="CO316" s="15">
        <v>0</v>
      </c>
      <c r="CP316" s="15">
        <v>0</v>
      </c>
      <c r="CQ316" s="15">
        <v>0</v>
      </c>
      <c r="CR316" s="15">
        <v>0</v>
      </c>
      <c r="CS316" s="15">
        <v>0</v>
      </c>
      <c r="CT316" s="15">
        <v>0</v>
      </c>
      <c r="CU316" s="15">
        <v>0</v>
      </c>
      <c r="CV316" s="15">
        <v>0</v>
      </c>
      <c r="CW316" s="15">
        <v>0</v>
      </c>
      <c r="CX316" s="15">
        <v>0</v>
      </c>
      <c r="CY316" s="15">
        <v>0</v>
      </c>
      <c r="CZ316" s="15">
        <v>0</v>
      </c>
      <c r="DA316" s="15">
        <v>0</v>
      </c>
      <c r="DB316" s="15">
        <v>0</v>
      </c>
      <c r="DC316" s="15">
        <v>0</v>
      </c>
      <c r="DD316" s="15">
        <v>0</v>
      </c>
      <c r="DE316" s="15">
        <v>0</v>
      </c>
      <c r="DF316" s="15">
        <v>0</v>
      </c>
      <c r="DG316" s="15">
        <v>0</v>
      </c>
      <c r="DH316" s="15">
        <v>0</v>
      </c>
      <c r="DI316" s="15">
        <v>0</v>
      </c>
      <c r="DJ316" s="15">
        <v>0</v>
      </c>
      <c r="DK316" s="15">
        <v>0</v>
      </c>
      <c r="DL316" s="15">
        <v>0</v>
      </c>
      <c r="DM316" s="15">
        <v>0</v>
      </c>
      <c r="DN316" s="15">
        <v>0</v>
      </c>
      <c r="DO316" s="15">
        <v>0</v>
      </c>
      <c r="DP316" s="15">
        <v>0</v>
      </c>
      <c r="DQ316" s="15">
        <v>0</v>
      </c>
      <c r="DR316" s="15">
        <v>0</v>
      </c>
      <c r="DS316" s="15">
        <v>0</v>
      </c>
      <c r="DT316" s="15">
        <v>0</v>
      </c>
      <c r="DU316" s="15">
        <v>0</v>
      </c>
      <c r="DV316" s="15">
        <v>0</v>
      </c>
      <c r="DW316" s="15">
        <v>0</v>
      </c>
      <c r="DX316" s="15">
        <v>0</v>
      </c>
      <c r="DY316" s="15">
        <v>0</v>
      </c>
      <c r="DZ316" s="15">
        <v>0</v>
      </c>
      <c r="EA316" s="15">
        <v>0</v>
      </c>
      <c r="EB316" s="15">
        <v>0</v>
      </c>
      <c r="EC316" s="15">
        <v>0</v>
      </c>
      <c r="ED316" s="15">
        <v>0</v>
      </c>
      <c r="EE316" s="15">
        <v>0</v>
      </c>
      <c r="EF316" s="15">
        <v>0</v>
      </c>
    </row>
    <row r="317" spans="1:136" ht="15" customHeight="1" x14ac:dyDescent="0.35">
      <c r="A317" s="8" t="s">
        <v>12</v>
      </c>
      <c r="B317" s="8" t="s">
        <v>15</v>
      </c>
      <c r="C317" s="8" t="s">
        <v>15</v>
      </c>
      <c r="D317" s="8" t="s">
        <v>321</v>
      </c>
      <c r="E317" s="8" t="s">
        <v>16</v>
      </c>
      <c r="F317" s="8" t="s">
        <v>43</v>
      </c>
      <c r="G317" s="15">
        <v>0</v>
      </c>
      <c r="H317" s="15">
        <v>0</v>
      </c>
      <c r="I317" s="15">
        <v>31.8</v>
      </c>
      <c r="J317" s="15">
        <v>-31.8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5">
        <v>0</v>
      </c>
      <c r="AX317" s="15">
        <v>0</v>
      </c>
      <c r="AY317" s="15">
        <v>0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5">
        <v>0</v>
      </c>
      <c r="CH317" s="15">
        <v>0</v>
      </c>
      <c r="CI317" s="15">
        <v>0</v>
      </c>
      <c r="CJ317" s="15">
        <v>0</v>
      </c>
      <c r="CK317" s="15">
        <v>0</v>
      </c>
      <c r="CL317" s="15">
        <v>0</v>
      </c>
      <c r="CM317" s="15">
        <v>0</v>
      </c>
      <c r="CN317" s="15">
        <v>0</v>
      </c>
      <c r="CO317" s="15">
        <v>0</v>
      </c>
      <c r="CP317" s="15">
        <v>0</v>
      </c>
      <c r="CQ317" s="15">
        <v>0</v>
      </c>
      <c r="CR317" s="15">
        <v>0</v>
      </c>
      <c r="CS317" s="15">
        <v>3.6</v>
      </c>
      <c r="CT317" s="15">
        <v>0</v>
      </c>
      <c r="CU317" s="15">
        <v>0</v>
      </c>
      <c r="CV317" s="15">
        <v>0</v>
      </c>
      <c r="CW317" s="15">
        <v>0</v>
      </c>
      <c r="CX317" s="15">
        <v>0</v>
      </c>
      <c r="CY317" s="15">
        <v>0</v>
      </c>
      <c r="CZ317" s="15">
        <v>0</v>
      </c>
      <c r="DA317" s="15">
        <v>0</v>
      </c>
      <c r="DB317" s="15">
        <v>0</v>
      </c>
      <c r="DC317" s="15">
        <v>1.3</v>
      </c>
      <c r="DD317" s="15">
        <v>0.9</v>
      </c>
      <c r="DE317" s="15">
        <v>0</v>
      </c>
      <c r="DF317" s="15">
        <v>4</v>
      </c>
      <c r="DG317" s="15">
        <v>2.2000000000000002</v>
      </c>
      <c r="DH317" s="15">
        <v>0</v>
      </c>
      <c r="DI317" s="15">
        <v>0</v>
      </c>
      <c r="DJ317" s="15">
        <v>0</v>
      </c>
      <c r="DK317" s="15">
        <v>0</v>
      </c>
      <c r="DL317" s="15">
        <v>0</v>
      </c>
      <c r="DM317" s="15">
        <v>0</v>
      </c>
      <c r="DN317" s="15">
        <v>0</v>
      </c>
      <c r="DO317" s="15">
        <v>0</v>
      </c>
      <c r="DP317" s="15">
        <v>4.3</v>
      </c>
      <c r="DQ317" s="15">
        <v>5</v>
      </c>
      <c r="DR317" s="15">
        <v>9.3000000000000007</v>
      </c>
      <c r="DS317" s="15">
        <v>1.2</v>
      </c>
      <c r="DT317" s="15">
        <v>0</v>
      </c>
      <c r="DU317" s="15">
        <v>0</v>
      </c>
      <c r="DV317" s="15">
        <v>0</v>
      </c>
      <c r="DW317" s="15">
        <v>0</v>
      </c>
      <c r="DX317" s="15">
        <v>0</v>
      </c>
      <c r="DY317" s="15">
        <v>0</v>
      </c>
      <c r="DZ317" s="15">
        <v>0</v>
      </c>
      <c r="EA317" s="15">
        <v>0</v>
      </c>
      <c r="EB317" s="15">
        <v>0</v>
      </c>
      <c r="EC317" s="15">
        <v>0</v>
      </c>
      <c r="ED317" s="15">
        <v>0</v>
      </c>
      <c r="EE317" s="15">
        <v>0</v>
      </c>
      <c r="EF317" s="15">
        <v>0</v>
      </c>
    </row>
    <row r="318" spans="1:136" ht="15" customHeight="1" x14ac:dyDescent="0.35">
      <c r="A318" s="8" t="s">
        <v>12</v>
      </c>
      <c r="B318" s="8" t="s">
        <v>15</v>
      </c>
      <c r="C318" s="8" t="s">
        <v>15</v>
      </c>
      <c r="D318" s="8" t="s">
        <v>320</v>
      </c>
      <c r="E318" s="8" t="s">
        <v>16</v>
      </c>
      <c r="F318" s="8" t="s">
        <v>43</v>
      </c>
      <c r="G318" s="15">
        <v>1.4</v>
      </c>
      <c r="H318" s="15">
        <v>33.200000000000003</v>
      </c>
      <c r="I318" s="15">
        <v>0</v>
      </c>
      <c r="J318" s="15">
        <v>33.200000000000003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  <c r="AR318" s="15">
        <v>0</v>
      </c>
      <c r="AS318" s="15">
        <v>0</v>
      </c>
      <c r="AT318" s="15">
        <v>0</v>
      </c>
      <c r="AU318" s="15">
        <v>0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  <c r="BB318" s="15">
        <v>0</v>
      </c>
      <c r="BC318" s="15">
        <v>0</v>
      </c>
      <c r="BD318" s="15">
        <v>0</v>
      </c>
      <c r="BE318" s="15">
        <v>0</v>
      </c>
      <c r="BF318" s="15">
        <v>0</v>
      </c>
      <c r="BG318" s="15">
        <v>0</v>
      </c>
      <c r="BH318" s="15">
        <v>0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0</v>
      </c>
      <c r="BP318" s="15">
        <v>0</v>
      </c>
      <c r="BQ318" s="15">
        <v>0</v>
      </c>
      <c r="BR318" s="15">
        <v>0</v>
      </c>
      <c r="BS318" s="15">
        <v>0</v>
      </c>
      <c r="BT318" s="15">
        <v>0</v>
      </c>
      <c r="BU318" s="15">
        <v>0</v>
      </c>
      <c r="BV318" s="15">
        <v>0</v>
      </c>
      <c r="BW318" s="15">
        <v>0</v>
      </c>
      <c r="BX318" s="15">
        <v>0</v>
      </c>
      <c r="BY318" s="15">
        <v>0</v>
      </c>
      <c r="BZ318" s="15">
        <v>0</v>
      </c>
      <c r="CA318" s="15">
        <v>0</v>
      </c>
      <c r="CB318" s="15">
        <v>0</v>
      </c>
      <c r="CC318" s="15">
        <v>0</v>
      </c>
      <c r="CD318" s="15">
        <v>0</v>
      </c>
      <c r="CE318" s="15">
        <v>0</v>
      </c>
      <c r="CF318" s="15">
        <v>0</v>
      </c>
      <c r="CG318" s="15">
        <v>0</v>
      </c>
      <c r="CH318" s="15">
        <v>0</v>
      </c>
      <c r="CI318" s="15">
        <v>0</v>
      </c>
      <c r="CJ318" s="15">
        <v>0</v>
      </c>
      <c r="CK318" s="15">
        <v>0</v>
      </c>
      <c r="CL318" s="15">
        <v>0</v>
      </c>
      <c r="CM318" s="15">
        <v>0</v>
      </c>
      <c r="CN318" s="15">
        <v>0</v>
      </c>
      <c r="CO318" s="15">
        <v>0</v>
      </c>
      <c r="CP318" s="15">
        <v>0</v>
      </c>
      <c r="CQ318" s="15">
        <v>0</v>
      </c>
      <c r="CR318" s="15">
        <v>0</v>
      </c>
      <c r="CS318" s="15">
        <v>0</v>
      </c>
      <c r="CT318" s="15">
        <v>0</v>
      </c>
      <c r="CU318" s="15">
        <v>0</v>
      </c>
      <c r="CV318" s="15">
        <v>0</v>
      </c>
      <c r="CW318" s="15">
        <v>0</v>
      </c>
      <c r="CX318" s="15">
        <v>0</v>
      </c>
      <c r="CY318" s="15">
        <v>0</v>
      </c>
      <c r="CZ318" s="15">
        <v>0</v>
      </c>
      <c r="DA318" s="15">
        <v>0</v>
      </c>
      <c r="DB318" s="15">
        <v>0</v>
      </c>
      <c r="DC318" s="15">
        <v>0</v>
      </c>
      <c r="DD318" s="15">
        <v>0</v>
      </c>
      <c r="DE318" s="15">
        <v>0</v>
      </c>
      <c r="DF318" s="15">
        <v>0</v>
      </c>
      <c r="DG318" s="15">
        <v>0</v>
      </c>
      <c r="DH318" s="15">
        <v>0</v>
      </c>
      <c r="DI318" s="15">
        <v>0</v>
      </c>
      <c r="DJ318" s="15">
        <v>0</v>
      </c>
      <c r="DK318" s="15">
        <v>0</v>
      </c>
      <c r="DL318" s="15">
        <v>0</v>
      </c>
      <c r="DM318" s="15">
        <v>0</v>
      </c>
      <c r="DN318" s="15">
        <v>0</v>
      </c>
      <c r="DO318" s="15">
        <v>0</v>
      </c>
      <c r="DP318" s="15">
        <v>0</v>
      </c>
      <c r="DQ318" s="15">
        <v>0</v>
      </c>
      <c r="DR318" s="15">
        <v>0</v>
      </c>
      <c r="DS318" s="15">
        <v>0</v>
      </c>
      <c r="DT318" s="15">
        <v>0</v>
      </c>
      <c r="DU318" s="15">
        <v>0</v>
      </c>
      <c r="DV318" s="15">
        <v>0</v>
      </c>
      <c r="DW318" s="15">
        <v>0</v>
      </c>
      <c r="DX318" s="15">
        <v>0</v>
      </c>
      <c r="DY318" s="15">
        <v>0</v>
      </c>
      <c r="DZ318" s="15">
        <v>0</v>
      </c>
      <c r="EA318" s="15">
        <v>0</v>
      </c>
      <c r="EB318" s="15">
        <v>0</v>
      </c>
      <c r="EC318" s="15">
        <v>0</v>
      </c>
      <c r="ED318" s="15">
        <v>0</v>
      </c>
      <c r="EE318" s="15">
        <v>0</v>
      </c>
      <c r="EF318" s="15">
        <v>0</v>
      </c>
    </row>
    <row r="319" spans="1:136" ht="15" customHeight="1" x14ac:dyDescent="0.35">
      <c r="A319" s="8" t="s">
        <v>12</v>
      </c>
      <c r="B319" s="8" t="s">
        <v>15</v>
      </c>
      <c r="C319" s="8" t="s">
        <v>15</v>
      </c>
      <c r="D319" s="8" t="s">
        <v>321</v>
      </c>
      <c r="E319" s="8" t="s">
        <v>16</v>
      </c>
      <c r="F319" s="8" t="s">
        <v>100</v>
      </c>
      <c r="G319" s="15">
        <v>0</v>
      </c>
      <c r="H319" s="15">
        <v>0</v>
      </c>
      <c r="I319" s="15">
        <v>24.8</v>
      </c>
      <c r="J319" s="15">
        <v>-24.8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0.5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</v>
      </c>
      <c r="AW319" s="15">
        <v>0</v>
      </c>
      <c r="AX319" s="15">
        <v>0</v>
      </c>
      <c r="AY319" s="15">
        <v>0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5">
        <v>0</v>
      </c>
      <c r="CH319" s="15">
        <v>0</v>
      </c>
      <c r="CI319" s="15">
        <v>0</v>
      </c>
      <c r="CJ319" s="15">
        <v>0</v>
      </c>
      <c r="CK319" s="15">
        <v>0</v>
      </c>
      <c r="CL319" s="15">
        <v>0</v>
      </c>
      <c r="CM319" s="15">
        <v>0</v>
      </c>
      <c r="CN319" s="15">
        <v>0</v>
      </c>
      <c r="CO319" s="15">
        <v>0</v>
      </c>
      <c r="CP319" s="15">
        <v>0</v>
      </c>
      <c r="CQ319" s="15">
        <v>0</v>
      </c>
      <c r="CR319" s="15">
        <v>0</v>
      </c>
      <c r="CS319" s="15">
        <v>3.6</v>
      </c>
      <c r="CT319" s="15">
        <v>0</v>
      </c>
      <c r="CU319" s="15">
        <v>0</v>
      </c>
      <c r="CV319" s="15">
        <v>0</v>
      </c>
      <c r="CW319" s="15">
        <v>0</v>
      </c>
      <c r="CX319" s="15">
        <v>0</v>
      </c>
      <c r="CY319" s="15">
        <v>0</v>
      </c>
      <c r="CZ319" s="15">
        <v>0</v>
      </c>
      <c r="DA319" s="15">
        <v>0</v>
      </c>
      <c r="DB319" s="15">
        <v>1.9</v>
      </c>
      <c r="DC319" s="15">
        <v>0</v>
      </c>
      <c r="DD319" s="15">
        <v>0</v>
      </c>
      <c r="DE319" s="15">
        <v>0</v>
      </c>
      <c r="DF319" s="15">
        <v>4.5</v>
      </c>
      <c r="DG319" s="15">
        <v>0</v>
      </c>
      <c r="DH319" s="15">
        <v>0</v>
      </c>
      <c r="DI319" s="15">
        <v>0</v>
      </c>
      <c r="DJ319" s="15">
        <v>0</v>
      </c>
      <c r="DK319" s="15">
        <v>0</v>
      </c>
      <c r="DL319" s="15">
        <v>0</v>
      </c>
      <c r="DM319" s="15">
        <v>0</v>
      </c>
      <c r="DN319" s="15">
        <v>0</v>
      </c>
      <c r="DO319" s="15">
        <v>4.3</v>
      </c>
      <c r="DP319" s="15">
        <v>10</v>
      </c>
      <c r="DQ319" s="15">
        <v>0</v>
      </c>
      <c r="DR319" s="15">
        <v>0</v>
      </c>
      <c r="DS319" s="15">
        <v>0</v>
      </c>
      <c r="DT319" s="15">
        <v>0</v>
      </c>
      <c r="DU319" s="15">
        <v>0</v>
      </c>
      <c r="DV319" s="15">
        <v>0</v>
      </c>
      <c r="DW319" s="15">
        <v>0</v>
      </c>
      <c r="DX319" s="15">
        <v>0</v>
      </c>
      <c r="DY319" s="15">
        <v>0</v>
      </c>
      <c r="DZ319" s="15">
        <v>0</v>
      </c>
      <c r="EA319" s="15">
        <v>0</v>
      </c>
      <c r="EB319" s="15">
        <v>0</v>
      </c>
      <c r="EC319" s="15">
        <v>0</v>
      </c>
      <c r="ED319" s="15">
        <v>0</v>
      </c>
      <c r="EE319" s="15">
        <v>0</v>
      </c>
      <c r="EF319" s="15">
        <v>0</v>
      </c>
    </row>
    <row r="320" spans="1:136" ht="15" customHeight="1" x14ac:dyDescent="0.35">
      <c r="A320" s="8" t="s">
        <v>12</v>
      </c>
      <c r="B320" s="8" t="s">
        <v>15</v>
      </c>
      <c r="C320" s="8" t="s">
        <v>15</v>
      </c>
      <c r="D320" s="8" t="s">
        <v>320</v>
      </c>
      <c r="E320" s="8" t="s">
        <v>16</v>
      </c>
      <c r="F320" s="8" t="s">
        <v>100</v>
      </c>
      <c r="G320" s="15">
        <v>3.3</v>
      </c>
      <c r="H320" s="15">
        <v>27.6</v>
      </c>
      <c r="I320" s="15">
        <v>0.5</v>
      </c>
      <c r="J320" s="15">
        <v>27.1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0.5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  <c r="AW320" s="15">
        <v>0</v>
      </c>
      <c r="AX320" s="15">
        <v>0</v>
      </c>
      <c r="AY320" s="15">
        <v>0</v>
      </c>
      <c r="AZ320" s="15">
        <v>0</v>
      </c>
      <c r="BA320" s="15">
        <v>0</v>
      </c>
      <c r="BB320" s="15">
        <v>0</v>
      </c>
      <c r="BC320" s="15">
        <v>0</v>
      </c>
      <c r="BD320" s="15">
        <v>0</v>
      </c>
      <c r="BE320" s="15">
        <v>0</v>
      </c>
      <c r="BF320" s="15">
        <v>0</v>
      </c>
      <c r="BG320" s="15">
        <v>0</v>
      </c>
      <c r="BH320" s="15">
        <v>0</v>
      </c>
      <c r="BI320" s="15">
        <v>0</v>
      </c>
      <c r="BJ320" s="15">
        <v>0</v>
      </c>
      <c r="BK320" s="15">
        <v>0</v>
      </c>
      <c r="BL320" s="15">
        <v>0</v>
      </c>
      <c r="BM320" s="15">
        <v>0</v>
      </c>
      <c r="BN320" s="15">
        <v>0</v>
      </c>
      <c r="BO320" s="15">
        <v>0</v>
      </c>
      <c r="BP320" s="15">
        <v>0</v>
      </c>
      <c r="BQ320" s="15">
        <v>0</v>
      </c>
      <c r="BR320" s="15">
        <v>0</v>
      </c>
      <c r="BS320" s="15">
        <v>0</v>
      </c>
      <c r="BT320" s="15">
        <v>0</v>
      </c>
      <c r="BU320" s="15">
        <v>0</v>
      </c>
      <c r="BV320" s="15">
        <v>0</v>
      </c>
      <c r="BW320" s="15">
        <v>0</v>
      </c>
      <c r="BX320" s="15">
        <v>0</v>
      </c>
      <c r="BY320" s="15">
        <v>0</v>
      </c>
      <c r="BZ320" s="15">
        <v>0</v>
      </c>
      <c r="CA320" s="15">
        <v>0</v>
      </c>
      <c r="CB320" s="15">
        <v>0</v>
      </c>
      <c r="CC320" s="15">
        <v>0</v>
      </c>
      <c r="CD320" s="15">
        <v>0</v>
      </c>
      <c r="CE320" s="15">
        <v>0</v>
      </c>
      <c r="CF320" s="15">
        <v>0</v>
      </c>
      <c r="CG320" s="15">
        <v>0</v>
      </c>
      <c r="CH320" s="15">
        <v>0</v>
      </c>
      <c r="CI320" s="15">
        <v>0</v>
      </c>
      <c r="CJ320" s="15">
        <v>0</v>
      </c>
      <c r="CK320" s="15">
        <v>0</v>
      </c>
      <c r="CL320" s="15">
        <v>0</v>
      </c>
      <c r="CM320" s="15">
        <v>0</v>
      </c>
      <c r="CN320" s="15">
        <v>0</v>
      </c>
      <c r="CO320" s="15">
        <v>0</v>
      </c>
      <c r="CP320" s="15">
        <v>0</v>
      </c>
      <c r="CQ320" s="15">
        <v>0</v>
      </c>
      <c r="CR320" s="15">
        <v>0</v>
      </c>
      <c r="CS320" s="15">
        <v>0</v>
      </c>
      <c r="CT320" s="15">
        <v>0</v>
      </c>
      <c r="CU320" s="15">
        <v>0</v>
      </c>
      <c r="CV320" s="15">
        <v>0</v>
      </c>
      <c r="CW320" s="15">
        <v>0</v>
      </c>
      <c r="CX320" s="15">
        <v>0</v>
      </c>
      <c r="CY320" s="15">
        <v>0</v>
      </c>
      <c r="CZ320" s="15">
        <v>0</v>
      </c>
      <c r="DA320" s="15">
        <v>0</v>
      </c>
      <c r="DB320" s="15">
        <v>0</v>
      </c>
      <c r="DC320" s="15">
        <v>0</v>
      </c>
      <c r="DD320" s="15">
        <v>0</v>
      </c>
      <c r="DE320" s="15">
        <v>0</v>
      </c>
      <c r="DF320" s="15">
        <v>0</v>
      </c>
      <c r="DG320" s="15">
        <v>0</v>
      </c>
      <c r="DH320" s="15">
        <v>0</v>
      </c>
      <c r="DI320" s="15">
        <v>0</v>
      </c>
      <c r="DJ320" s="15">
        <v>0</v>
      </c>
      <c r="DK320" s="15">
        <v>0</v>
      </c>
      <c r="DL320" s="15">
        <v>0</v>
      </c>
      <c r="DM320" s="15">
        <v>0</v>
      </c>
      <c r="DN320" s="15">
        <v>0</v>
      </c>
      <c r="DO320" s="15">
        <v>0</v>
      </c>
      <c r="DP320" s="15">
        <v>0</v>
      </c>
      <c r="DQ320" s="15">
        <v>0</v>
      </c>
      <c r="DR320" s="15">
        <v>0</v>
      </c>
      <c r="DS320" s="15">
        <v>0</v>
      </c>
      <c r="DT320" s="15">
        <v>0</v>
      </c>
      <c r="DU320" s="15">
        <v>0</v>
      </c>
      <c r="DV320" s="15">
        <v>0</v>
      </c>
      <c r="DW320" s="15">
        <v>0</v>
      </c>
      <c r="DX320" s="15">
        <v>0</v>
      </c>
      <c r="DY320" s="15">
        <v>0</v>
      </c>
      <c r="DZ320" s="15">
        <v>0</v>
      </c>
      <c r="EA320" s="15">
        <v>0</v>
      </c>
      <c r="EB320" s="15">
        <v>0</v>
      </c>
      <c r="EC320" s="15">
        <v>0</v>
      </c>
      <c r="ED320" s="15">
        <v>0</v>
      </c>
      <c r="EE320" s="15">
        <v>0</v>
      </c>
      <c r="EF320" s="15">
        <v>0</v>
      </c>
    </row>
    <row r="321" spans="1:136" ht="15" customHeight="1" x14ac:dyDescent="0.35">
      <c r="A321" s="8" t="s">
        <v>12</v>
      </c>
      <c r="B321" s="8" t="s">
        <v>15</v>
      </c>
      <c r="C321" s="8" t="s">
        <v>15</v>
      </c>
      <c r="D321" s="8" t="s">
        <v>321</v>
      </c>
      <c r="E321" s="8" t="s">
        <v>16</v>
      </c>
      <c r="F321" s="8" t="s">
        <v>87</v>
      </c>
      <c r="G321" s="15">
        <v>0</v>
      </c>
      <c r="H321" s="15">
        <v>0</v>
      </c>
      <c r="I321" s="15">
        <v>21</v>
      </c>
      <c r="J321" s="15">
        <v>-21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14</v>
      </c>
      <c r="AO321" s="15">
        <v>7</v>
      </c>
      <c r="AP321" s="15">
        <v>0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  <c r="AW321" s="15">
        <v>0</v>
      </c>
      <c r="AX321" s="15">
        <v>0</v>
      </c>
      <c r="AY321" s="15">
        <v>0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5">
        <v>0</v>
      </c>
      <c r="CH321" s="15">
        <v>0</v>
      </c>
      <c r="CI321" s="15">
        <v>0</v>
      </c>
      <c r="CJ321" s="15">
        <v>0</v>
      </c>
      <c r="CK321" s="15">
        <v>0</v>
      </c>
      <c r="CL321" s="15">
        <v>0</v>
      </c>
      <c r="CM321" s="15">
        <v>0</v>
      </c>
      <c r="CN321" s="15">
        <v>0</v>
      </c>
      <c r="CO321" s="15">
        <v>0</v>
      </c>
      <c r="CP321" s="15">
        <v>0</v>
      </c>
      <c r="CQ321" s="15">
        <v>0</v>
      </c>
      <c r="CR321" s="15">
        <v>0</v>
      </c>
      <c r="CS321" s="15">
        <v>0</v>
      </c>
      <c r="CT321" s="15">
        <v>0</v>
      </c>
      <c r="CU321" s="15">
        <v>0</v>
      </c>
      <c r="CV321" s="15">
        <v>0</v>
      </c>
      <c r="CW321" s="15">
        <v>0</v>
      </c>
      <c r="CX321" s="15">
        <v>0</v>
      </c>
      <c r="CY321" s="15">
        <v>0</v>
      </c>
      <c r="CZ321" s="15">
        <v>0</v>
      </c>
      <c r="DA321" s="15">
        <v>0</v>
      </c>
      <c r="DB321" s="15">
        <v>0</v>
      </c>
      <c r="DC321" s="15">
        <v>0</v>
      </c>
      <c r="DD321" s="15">
        <v>0</v>
      </c>
      <c r="DE321" s="15">
        <v>0</v>
      </c>
      <c r="DF321" s="15">
        <v>0</v>
      </c>
      <c r="DG321" s="15">
        <v>0</v>
      </c>
      <c r="DH321" s="15">
        <v>0</v>
      </c>
      <c r="DI321" s="15">
        <v>0</v>
      </c>
      <c r="DJ321" s="15">
        <v>0</v>
      </c>
      <c r="DK321" s="15">
        <v>0</v>
      </c>
      <c r="DL321" s="15">
        <v>0</v>
      </c>
      <c r="DM321" s="15">
        <v>0</v>
      </c>
      <c r="DN321" s="15">
        <v>0</v>
      </c>
      <c r="DO321" s="15">
        <v>0</v>
      </c>
      <c r="DP321" s="15">
        <v>0</v>
      </c>
      <c r="DQ321" s="15">
        <v>0</v>
      </c>
      <c r="DR321" s="15">
        <v>0</v>
      </c>
      <c r="DS321" s="15">
        <v>0</v>
      </c>
      <c r="DT321" s="15">
        <v>0</v>
      </c>
      <c r="DU321" s="15">
        <v>0</v>
      </c>
      <c r="DV321" s="15">
        <v>0</v>
      </c>
      <c r="DW321" s="15">
        <v>0</v>
      </c>
      <c r="DX321" s="15">
        <v>0</v>
      </c>
      <c r="DY321" s="15">
        <v>0</v>
      </c>
      <c r="DZ321" s="15">
        <v>0</v>
      </c>
      <c r="EA321" s="15">
        <v>0</v>
      </c>
      <c r="EB321" s="15">
        <v>0</v>
      </c>
      <c r="EC321" s="15">
        <v>0</v>
      </c>
      <c r="ED321" s="15">
        <v>0</v>
      </c>
      <c r="EE321" s="15">
        <v>0</v>
      </c>
      <c r="EF321" s="15">
        <v>0</v>
      </c>
    </row>
    <row r="322" spans="1:136" ht="15" customHeight="1" x14ac:dyDescent="0.35">
      <c r="A322" s="8" t="s">
        <v>12</v>
      </c>
      <c r="B322" s="8" t="s">
        <v>15</v>
      </c>
      <c r="C322" s="8" t="s">
        <v>15</v>
      </c>
      <c r="D322" s="8" t="s">
        <v>320</v>
      </c>
      <c r="E322" s="8" t="s">
        <v>16</v>
      </c>
      <c r="F322" s="8" t="s">
        <v>87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5">
        <v>0</v>
      </c>
      <c r="AU322" s="15">
        <v>0</v>
      </c>
      <c r="AV322" s="15">
        <v>0</v>
      </c>
      <c r="AW322" s="15">
        <v>0</v>
      </c>
      <c r="AX322" s="15">
        <v>0</v>
      </c>
      <c r="AY322" s="15">
        <v>0</v>
      </c>
      <c r="AZ322" s="15">
        <v>0</v>
      </c>
      <c r="BA322" s="15">
        <v>0</v>
      </c>
      <c r="BB322" s="15">
        <v>0</v>
      </c>
      <c r="BC322" s="15">
        <v>0</v>
      </c>
      <c r="BD322" s="15">
        <v>0</v>
      </c>
      <c r="BE322" s="15">
        <v>0</v>
      </c>
      <c r="BF322" s="15">
        <v>0</v>
      </c>
      <c r="BG322" s="15">
        <v>0</v>
      </c>
      <c r="BH322" s="15">
        <v>0</v>
      </c>
      <c r="BI322" s="15">
        <v>0</v>
      </c>
      <c r="BJ322" s="15">
        <v>0</v>
      </c>
      <c r="BK322" s="15">
        <v>0</v>
      </c>
      <c r="BL322" s="15">
        <v>0</v>
      </c>
      <c r="BM322" s="15">
        <v>0</v>
      </c>
      <c r="BN322" s="15">
        <v>0</v>
      </c>
      <c r="BO322" s="15">
        <v>0</v>
      </c>
      <c r="BP322" s="15">
        <v>0</v>
      </c>
      <c r="BQ322" s="15">
        <v>0</v>
      </c>
      <c r="BR322" s="15">
        <v>0</v>
      </c>
      <c r="BS322" s="15">
        <v>0</v>
      </c>
      <c r="BT322" s="15">
        <v>0</v>
      </c>
      <c r="BU322" s="15">
        <v>0</v>
      </c>
      <c r="BV322" s="15">
        <v>0</v>
      </c>
      <c r="BW322" s="15">
        <v>0</v>
      </c>
      <c r="BX322" s="15">
        <v>0</v>
      </c>
      <c r="BY322" s="15">
        <v>0</v>
      </c>
      <c r="BZ322" s="15">
        <v>0</v>
      </c>
      <c r="CA322" s="15">
        <v>0</v>
      </c>
      <c r="CB322" s="15">
        <v>0</v>
      </c>
      <c r="CC322" s="15">
        <v>0</v>
      </c>
      <c r="CD322" s="15">
        <v>0</v>
      </c>
      <c r="CE322" s="15">
        <v>0</v>
      </c>
      <c r="CF322" s="15">
        <v>0</v>
      </c>
      <c r="CG322" s="15">
        <v>0</v>
      </c>
      <c r="CH322" s="15">
        <v>0</v>
      </c>
      <c r="CI322" s="15">
        <v>0</v>
      </c>
      <c r="CJ322" s="15">
        <v>0</v>
      </c>
      <c r="CK322" s="15">
        <v>0</v>
      </c>
      <c r="CL322" s="15">
        <v>0</v>
      </c>
      <c r="CM322" s="15">
        <v>0</v>
      </c>
      <c r="CN322" s="15">
        <v>0</v>
      </c>
      <c r="CO322" s="15">
        <v>0</v>
      </c>
      <c r="CP322" s="15">
        <v>0</v>
      </c>
      <c r="CQ322" s="15">
        <v>0</v>
      </c>
      <c r="CR322" s="15">
        <v>0</v>
      </c>
      <c r="CS322" s="15">
        <v>0</v>
      </c>
      <c r="CT322" s="15">
        <v>0</v>
      </c>
      <c r="CU322" s="15">
        <v>0</v>
      </c>
      <c r="CV322" s="15">
        <v>0</v>
      </c>
      <c r="CW322" s="15">
        <v>0</v>
      </c>
      <c r="CX322" s="15">
        <v>0</v>
      </c>
      <c r="CY322" s="15">
        <v>0</v>
      </c>
      <c r="CZ322" s="15">
        <v>0</v>
      </c>
      <c r="DA322" s="15">
        <v>0</v>
      </c>
      <c r="DB322" s="15">
        <v>0</v>
      </c>
      <c r="DC322" s="15">
        <v>0</v>
      </c>
      <c r="DD322" s="15">
        <v>0</v>
      </c>
      <c r="DE322" s="15">
        <v>0</v>
      </c>
      <c r="DF322" s="15">
        <v>0</v>
      </c>
      <c r="DG322" s="15">
        <v>0</v>
      </c>
      <c r="DH322" s="15">
        <v>0</v>
      </c>
      <c r="DI322" s="15">
        <v>0</v>
      </c>
      <c r="DJ322" s="15">
        <v>0</v>
      </c>
      <c r="DK322" s="15">
        <v>0</v>
      </c>
      <c r="DL322" s="15">
        <v>0</v>
      </c>
      <c r="DM322" s="15">
        <v>0</v>
      </c>
      <c r="DN322" s="15">
        <v>0</v>
      </c>
      <c r="DO322" s="15">
        <v>0</v>
      </c>
      <c r="DP322" s="15">
        <v>0</v>
      </c>
      <c r="DQ322" s="15">
        <v>0</v>
      </c>
      <c r="DR322" s="15">
        <v>0</v>
      </c>
      <c r="DS322" s="15">
        <v>0</v>
      </c>
      <c r="DT322" s="15">
        <v>0</v>
      </c>
      <c r="DU322" s="15">
        <v>0</v>
      </c>
      <c r="DV322" s="15">
        <v>0</v>
      </c>
      <c r="DW322" s="15">
        <v>0</v>
      </c>
      <c r="DX322" s="15">
        <v>0</v>
      </c>
      <c r="DY322" s="15">
        <v>0</v>
      </c>
      <c r="DZ322" s="15">
        <v>0</v>
      </c>
      <c r="EA322" s="15">
        <v>0</v>
      </c>
      <c r="EB322" s="15">
        <v>0</v>
      </c>
      <c r="EC322" s="15">
        <v>0</v>
      </c>
      <c r="ED322" s="15">
        <v>0</v>
      </c>
      <c r="EE322" s="15">
        <v>0</v>
      </c>
      <c r="EF322" s="15">
        <v>0</v>
      </c>
    </row>
    <row r="323" spans="1:136" ht="15" customHeight="1" x14ac:dyDescent="0.35">
      <c r="A323" s="8" t="s">
        <v>12</v>
      </c>
      <c r="B323" s="8" t="s">
        <v>124</v>
      </c>
      <c r="C323" s="8" t="s">
        <v>124</v>
      </c>
      <c r="D323" s="8" t="s">
        <v>315</v>
      </c>
      <c r="E323" s="8" t="s">
        <v>14</v>
      </c>
      <c r="F323" s="8" t="s">
        <v>79</v>
      </c>
      <c r="G323" s="15">
        <v>0</v>
      </c>
      <c r="H323" s="15">
        <v>0</v>
      </c>
      <c r="I323" s="15">
        <v>8.3000000000000007</v>
      </c>
      <c r="J323" s="15">
        <v>-8.3000000000000007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1</v>
      </c>
      <c r="AN323" s="15">
        <v>5.3</v>
      </c>
      <c r="AO323" s="15">
        <v>2</v>
      </c>
      <c r="AP323" s="15">
        <v>0</v>
      </c>
      <c r="AQ323" s="15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0</v>
      </c>
      <c r="AW323" s="15">
        <v>0</v>
      </c>
      <c r="AX323" s="15">
        <v>0</v>
      </c>
      <c r="AY323" s="15">
        <v>0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5">
        <v>0</v>
      </c>
      <c r="CH323" s="15">
        <v>0</v>
      </c>
      <c r="CI323" s="15">
        <v>0</v>
      </c>
      <c r="CJ323" s="15">
        <v>0</v>
      </c>
      <c r="CK323" s="15">
        <v>0</v>
      </c>
      <c r="CL323" s="15">
        <v>0</v>
      </c>
      <c r="CM323" s="15">
        <v>0</v>
      </c>
      <c r="CN323" s="15">
        <v>0</v>
      </c>
      <c r="CO323" s="15">
        <v>0</v>
      </c>
      <c r="CP323" s="15">
        <v>0</v>
      </c>
      <c r="CQ323" s="15">
        <v>0</v>
      </c>
      <c r="CR323" s="15">
        <v>0</v>
      </c>
      <c r="CS323" s="15">
        <v>0</v>
      </c>
      <c r="CT323" s="15">
        <v>0</v>
      </c>
      <c r="CU323" s="15">
        <v>0</v>
      </c>
      <c r="CV323" s="15">
        <v>0</v>
      </c>
      <c r="CW323" s="15">
        <v>0</v>
      </c>
      <c r="CX323" s="15">
        <v>0</v>
      </c>
      <c r="CY323" s="15">
        <v>0</v>
      </c>
      <c r="CZ323" s="15">
        <v>0</v>
      </c>
      <c r="DA323" s="15">
        <v>0</v>
      </c>
      <c r="DB323" s="15">
        <v>0</v>
      </c>
      <c r="DC323" s="15">
        <v>0</v>
      </c>
      <c r="DD323" s="15">
        <v>0</v>
      </c>
      <c r="DE323" s="15">
        <v>0</v>
      </c>
      <c r="DF323" s="15">
        <v>0</v>
      </c>
      <c r="DG323" s="15">
        <v>0</v>
      </c>
      <c r="DH323" s="15">
        <v>0</v>
      </c>
      <c r="DI323" s="15">
        <v>0</v>
      </c>
      <c r="DJ323" s="15">
        <v>0</v>
      </c>
      <c r="DK323" s="15">
        <v>0</v>
      </c>
      <c r="DL323" s="15">
        <v>0</v>
      </c>
      <c r="DM323" s="15">
        <v>0</v>
      </c>
      <c r="DN323" s="15">
        <v>0</v>
      </c>
      <c r="DO323" s="15">
        <v>0</v>
      </c>
      <c r="DP323" s="15">
        <v>0</v>
      </c>
      <c r="DQ323" s="15">
        <v>0</v>
      </c>
      <c r="DR323" s="15">
        <v>0</v>
      </c>
      <c r="DS323" s="15">
        <v>0</v>
      </c>
      <c r="DT323" s="15">
        <v>0</v>
      </c>
      <c r="DU323" s="15">
        <v>0</v>
      </c>
      <c r="DV323" s="15">
        <v>0</v>
      </c>
      <c r="DW323" s="15">
        <v>0</v>
      </c>
      <c r="DX323" s="15">
        <v>0</v>
      </c>
      <c r="DY323" s="15">
        <v>0</v>
      </c>
      <c r="DZ323" s="15">
        <v>0</v>
      </c>
      <c r="EA323" s="15">
        <v>0</v>
      </c>
      <c r="EB323" s="15">
        <v>0</v>
      </c>
      <c r="EC323" s="15">
        <v>0</v>
      </c>
      <c r="ED323" s="15">
        <v>0</v>
      </c>
      <c r="EE323" s="15">
        <v>0</v>
      </c>
      <c r="EF323" s="15">
        <v>0</v>
      </c>
    </row>
    <row r="324" spans="1:136" ht="15" customHeight="1" x14ac:dyDescent="0.35">
      <c r="A324" s="8" t="s">
        <v>12</v>
      </c>
      <c r="B324" s="8" t="s">
        <v>124</v>
      </c>
      <c r="C324" s="8" t="s">
        <v>124</v>
      </c>
      <c r="D324" s="8" t="s">
        <v>316</v>
      </c>
      <c r="E324" s="8" t="s">
        <v>14</v>
      </c>
      <c r="F324" s="8" t="s">
        <v>79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5">
        <v>0</v>
      </c>
      <c r="AS324" s="15">
        <v>0</v>
      </c>
      <c r="AT324" s="15">
        <v>0</v>
      </c>
      <c r="AU324" s="15">
        <v>0</v>
      </c>
      <c r="AV324" s="15">
        <v>0</v>
      </c>
      <c r="AW324" s="15">
        <v>0</v>
      </c>
      <c r="AX324" s="15">
        <v>0</v>
      </c>
      <c r="AY324" s="15">
        <v>0</v>
      </c>
      <c r="AZ324" s="15">
        <v>0</v>
      </c>
      <c r="BA324" s="15">
        <v>0</v>
      </c>
      <c r="BB324" s="15">
        <v>0</v>
      </c>
      <c r="BC324" s="15">
        <v>0</v>
      </c>
      <c r="BD324" s="15">
        <v>0</v>
      </c>
      <c r="BE324" s="15">
        <v>0</v>
      </c>
      <c r="BF324" s="15">
        <v>0</v>
      </c>
      <c r="BG324" s="15">
        <v>0</v>
      </c>
      <c r="BH324" s="15">
        <v>0</v>
      </c>
      <c r="BI324" s="15">
        <v>0</v>
      </c>
      <c r="BJ324" s="15">
        <v>0</v>
      </c>
      <c r="BK324" s="15">
        <v>0</v>
      </c>
      <c r="BL324" s="15">
        <v>0</v>
      </c>
      <c r="BM324" s="15">
        <v>0</v>
      </c>
      <c r="BN324" s="15">
        <v>0</v>
      </c>
      <c r="BO324" s="15">
        <v>0</v>
      </c>
      <c r="BP324" s="15">
        <v>0</v>
      </c>
      <c r="BQ324" s="15">
        <v>0</v>
      </c>
      <c r="BR324" s="15">
        <v>0</v>
      </c>
      <c r="BS324" s="15">
        <v>0</v>
      </c>
      <c r="BT324" s="15">
        <v>0</v>
      </c>
      <c r="BU324" s="15">
        <v>0</v>
      </c>
      <c r="BV324" s="15">
        <v>0</v>
      </c>
      <c r="BW324" s="15">
        <v>0</v>
      </c>
      <c r="BX324" s="15">
        <v>0</v>
      </c>
      <c r="BY324" s="15">
        <v>0</v>
      </c>
      <c r="BZ324" s="15">
        <v>0</v>
      </c>
      <c r="CA324" s="15">
        <v>0</v>
      </c>
      <c r="CB324" s="15">
        <v>0</v>
      </c>
      <c r="CC324" s="15">
        <v>0</v>
      </c>
      <c r="CD324" s="15">
        <v>0</v>
      </c>
      <c r="CE324" s="15">
        <v>0</v>
      </c>
      <c r="CF324" s="15">
        <v>0</v>
      </c>
      <c r="CG324" s="15">
        <v>0</v>
      </c>
      <c r="CH324" s="15">
        <v>0</v>
      </c>
      <c r="CI324" s="15">
        <v>0</v>
      </c>
      <c r="CJ324" s="15">
        <v>0</v>
      </c>
      <c r="CK324" s="15">
        <v>0</v>
      </c>
      <c r="CL324" s="15">
        <v>0</v>
      </c>
      <c r="CM324" s="15">
        <v>0</v>
      </c>
      <c r="CN324" s="15">
        <v>0</v>
      </c>
      <c r="CO324" s="15">
        <v>0</v>
      </c>
      <c r="CP324" s="15">
        <v>0</v>
      </c>
      <c r="CQ324" s="15">
        <v>0</v>
      </c>
      <c r="CR324" s="15">
        <v>0</v>
      </c>
      <c r="CS324" s="15">
        <v>0</v>
      </c>
      <c r="CT324" s="15">
        <v>0</v>
      </c>
      <c r="CU324" s="15">
        <v>0</v>
      </c>
      <c r="CV324" s="15">
        <v>0</v>
      </c>
      <c r="CW324" s="15">
        <v>0</v>
      </c>
      <c r="CX324" s="15">
        <v>0</v>
      </c>
      <c r="CY324" s="15">
        <v>0</v>
      </c>
      <c r="CZ324" s="15">
        <v>0</v>
      </c>
      <c r="DA324" s="15">
        <v>0</v>
      </c>
      <c r="DB324" s="15">
        <v>0</v>
      </c>
      <c r="DC324" s="15">
        <v>0</v>
      </c>
      <c r="DD324" s="15">
        <v>0</v>
      </c>
      <c r="DE324" s="15">
        <v>0</v>
      </c>
      <c r="DF324" s="15">
        <v>0</v>
      </c>
      <c r="DG324" s="15">
        <v>0</v>
      </c>
      <c r="DH324" s="15">
        <v>0</v>
      </c>
      <c r="DI324" s="15">
        <v>0</v>
      </c>
      <c r="DJ324" s="15">
        <v>0</v>
      </c>
      <c r="DK324" s="15">
        <v>0</v>
      </c>
      <c r="DL324" s="15">
        <v>0</v>
      </c>
      <c r="DM324" s="15">
        <v>0</v>
      </c>
      <c r="DN324" s="15">
        <v>0</v>
      </c>
      <c r="DO324" s="15">
        <v>0</v>
      </c>
      <c r="DP324" s="15">
        <v>0</v>
      </c>
      <c r="DQ324" s="15">
        <v>0</v>
      </c>
      <c r="DR324" s="15">
        <v>0</v>
      </c>
      <c r="DS324" s="15">
        <v>0</v>
      </c>
      <c r="DT324" s="15">
        <v>0</v>
      </c>
      <c r="DU324" s="15">
        <v>0</v>
      </c>
      <c r="DV324" s="15">
        <v>0</v>
      </c>
      <c r="DW324" s="15">
        <v>0</v>
      </c>
      <c r="DX324" s="15">
        <v>0</v>
      </c>
      <c r="DY324" s="15">
        <v>0</v>
      </c>
      <c r="DZ324" s="15">
        <v>0</v>
      </c>
      <c r="EA324" s="15">
        <v>0</v>
      </c>
      <c r="EB324" s="15">
        <v>0</v>
      </c>
      <c r="EC324" s="15">
        <v>0</v>
      </c>
      <c r="ED324" s="15">
        <v>0</v>
      </c>
      <c r="EE324" s="15">
        <v>0</v>
      </c>
      <c r="EF324" s="15">
        <v>0</v>
      </c>
    </row>
    <row r="325" spans="1:136" ht="15" customHeight="1" x14ac:dyDescent="0.35">
      <c r="A325" s="8" t="s">
        <v>12</v>
      </c>
      <c r="B325" s="8" t="s">
        <v>125</v>
      </c>
      <c r="C325" s="8" t="s">
        <v>125</v>
      </c>
      <c r="D325" s="8" t="s">
        <v>315</v>
      </c>
      <c r="E325" s="8" t="s">
        <v>14</v>
      </c>
      <c r="F325" s="8" t="s">
        <v>87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  <c r="AW325" s="15">
        <v>0</v>
      </c>
      <c r="AX325" s="15">
        <v>0</v>
      </c>
      <c r="AY325" s="15">
        <v>0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5">
        <v>0</v>
      </c>
      <c r="CH325" s="15">
        <v>0</v>
      </c>
      <c r="CI325" s="15">
        <v>0</v>
      </c>
      <c r="CJ325" s="15">
        <v>0</v>
      </c>
      <c r="CK325" s="15">
        <v>0</v>
      </c>
      <c r="CL325" s="15">
        <v>0</v>
      </c>
      <c r="CM325" s="15">
        <v>0</v>
      </c>
      <c r="CN325" s="15">
        <v>0</v>
      </c>
      <c r="CO325" s="15">
        <v>0</v>
      </c>
      <c r="CP325" s="15">
        <v>0</v>
      </c>
      <c r="CQ325" s="15">
        <v>0</v>
      </c>
      <c r="CR325" s="15">
        <v>0</v>
      </c>
      <c r="CS325" s="15">
        <v>0</v>
      </c>
      <c r="CT325" s="15">
        <v>0</v>
      </c>
      <c r="CU325" s="15">
        <v>0</v>
      </c>
      <c r="CV325" s="15">
        <v>0</v>
      </c>
      <c r="CW325" s="15">
        <v>0</v>
      </c>
      <c r="CX325" s="15">
        <v>0</v>
      </c>
      <c r="CY325" s="15">
        <v>0</v>
      </c>
      <c r="CZ325" s="15">
        <v>0</v>
      </c>
      <c r="DA325" s="15">
        <v>0</v>
      </c>
      <c r="DB325" s="15">
        <v>0</v>
      </c>
      <c r="DC325" s="15">
        <v>0</v>
      </c>
      <c r="DD325" s="15">
        <v>0</v>
      </c>
      <c r="DE325" s="15">
        <v>0</v>
      </c>
      <c r="DF325" s="15">
        <v>0</v>
      </c>
      <c r="DG325" s="15">
        <v>0</v>
      </c>
      <c r="DH325" s="15">
        <v>0</v>
      </c>
      <c r="DI325" s="15">
        <v>0</v>
      </c>
      <c r="DJ325" s="15">
        <v>0</v>
      </c>
      <c r="DK325" s="15">
        <v>0</v>
      </c>
      <c r="DL325" s="15">
        <v>0</v>
      </c>
      <c r="DM325" s="15">
        <v>0</v>
      </c>
      <c r="DN325" s="15">
        <v>0</v>
      </c>
      <c r="DO325" s="15">
        <v>0</v>
      </c>
      <c r="DP325" s="15">
        <v>0</v>
      </c>
      <c r="DQ325" s="15">
        <v>0</v>
      </c>
      <c r="DR325" s="15">
        <v>0</v>
      </c>
      <c r="DS325" s="15">
        <v>0</v>
      </c>
      <c r="DT325" s="15">
        <v>0</v>
      </c>
      <c r="DU325" s="15">
        <v>0</v>
      </c>
      <c r="DV325" s="15">
        <v>0</v>
      </c>
      <c r="DW325" s="15">
        <v>0</v>
      </c>
      <c r="DX325" s="15">
        <v>0</v>
      </c>
      <c r="DY325" s="15">
        <v>0</v>
      </c>
      <c r="DZ325" s="15">
        <v>0</v>
      </c>
      <c r="EA325" s="15">
        <v>0</v>
      </c>
      <c r="EB325" s="15">
        <v>0</v>
      </c>
      <c r="EC325" s="15">
        <v>0</v>
      </c>
      <c r="ED325" s="15">
        <v>0</v>
      </c>
      <c r="EE325" s="15">
        <v>0</v>
      </c>
      <c r="EF325" s="15">
        <v>0</v>
      </c>
    </row>
    <row r="326" spans="1:136" ht="15" customHeight="1" x14ac:dyDescent="0.35">
      <c r="A326" s="8" t="s">
        <v>12</v>
      </c>
      <c r="B326" s="8" t="s">
        <v>125</v>
      </c>
      <c r="C326" s="8" t="s">
        <v>125</v>
      </c>
      <c r="D326" s="8" t="s">
        <v>316</v>
      </c>
      <c r="E326" s="8" t="s">
        <v>14</v>
      </c>
      <c r="F326" s="8" t="s">
        <v>87</v>
      </c>
      <c r="G326" s="15">
        <v>10</v>
      </c>
      <c r="H326" s="15">
        <v>10</v>
      </c>
      <c r="I326" s="15">
        <v>0</v>
      </c>
      <c r="J326" s="15">
        <v>10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  <c r="AW326" s="15">
        <v>0</v>
      </c>
      <c r="AX326" s="15">
        <v>0</v>
      </c>
      <c r="AY326" s="15">
        <v>0</v>
      </c>
      <c r="AZ326" s="15">
        <v>0</v>
      </c>
      <c r="BA326" s="15">
        <v>0</v>
      </c>
      <c r="BB326" s="15">
        <v>0</v>
      </c>
      <c r="BC326" s="15">
        <v>0</v>
      </c>
      <c r="BD326" s="15">
        <v>0</v>
      </c>
      <c r="BE326" s="15">
        <v>0</v>
      </c>
      <c r="BF326" s="15">
        <v>0</v>
      </c>
      <c r="BG326" s="15">
        <v>0</v>
      </c>
      <c r="BH326" s="15">
        <v>0</v>
      </c>
      <c r="BI326" s="15">
        <v>0</v>
      </c>
      <c r="BJ326" s="15">
        <v>0</v>
      </c>
      <c r="BK326" s="15">
        <v>0</v>
      </c>
      <c r="BL326" s="15">
        <v>0</v>
      </c>
      <c r="BM326" s="15">
        <v>0</v>
      </c>
      <c r="BN326" s="15">
        <v>0</v>
      </c>
      <c r="BO326" s="15">
        <v>0</v>
      </c>
      <c r="BP326" s="15">
        <v>0</v>
      </c>
      <c r="BQ326" s="15">
        <v>0</v>
      </c>
      <c r="BR326" s="15">
        <v>0</v>
      </c>
      <c r="BS326" s="15">
        <v>0</v>
      </c>
      <c r="BT326" s="15">
        <v>0</v>
      </c>
      <c r="BU326" s="15">
        <v>0</v>
      </c>
      <c r="BV326" s="15">
        <v>0</v>
      </c>
      <c r="BW326" s="15">
        <v>0</v>
      </c>
      <c r="BX326" s="15">
        <v>0</v>
      </c>
      <c r="BY326" s="15">
        <v>0</v>
      </c>
      <c r="BZ326" s="15">
        <v>0</v>
      </c>
      <c r="CA326" s="15">
        <v>0</v>
      </c>
      <c r="CB326" s="15">
        <v>0</v>
      </c>
      <c r="CC326" s="15">
        <v>0</v>
      </c>
      <c r="CD326" s="15">
        <v>0</v>
      </c>
      <c r="CE326" s="15">
        <v>0</v>
      </c>
      <c r="CF326" s="15">
        <v>0</v>
      </c>
      <c r="CG326" s="15">
        <v>0</v>
      </c>
      <c r="CH326" s="15">
        <v>0</v>
      </c>
      <c r="CI326" s="15">
        <v>0</v>
      </c>
      <c r="CJ326" s="15">
        <v>0</v>
      </c>
      <c r="CK326" s="15">
        <v>0</v>
      </c>
      <c r="CL326" s="15">
        <v>0</v>
      </c>
      <c r="CM326" s="15">
        <v>0</v>
      </c>
      <c r="CN326" s="15">
        <v>0</v>
      </c>
      <c r="CO326" s="15">
        <v>0</v>
      </c>
      <c r="CP326" s="15">
        <v>0</v>
      </c>
      <c r="CQ326" s="15">
        <v>0</v>
      </c>
      <c r="CR326" s="15">
        <v>0</v>
      </c>
      <c r="CS326" s="15">
        <v>0</v>
      </c>
      <c r="CT326" s="15">
        <v>0</v>
      </c>
      <c r="CU326" s="15">
        <v>0</v>
      </c>
      <c r="CV326" s="15">
        <v>0</v>
      </c>
      <c r="CW326" s="15">
        <v>0</v>
      </c>
      <c r="CX326" s="15">
        <v>0</v>
      </c>
      <c r="CY326" s="15">
        <v>0</v>
      </c>
      <c r="CZ326" s="15">
        <v>0</v>
      </c>
      <c r="DA326" s="15">
        <v>0</v>
      </c>
      <c r="DB326" s="15">
        <v>0</v>
      </c>
      <c r="DC326" s="15">
        <v>0</v>
      </c>
      <c r="DD326" s="15">
        <v>0</v>
      </c>
      <c r="DE326" s="15">
        <v>0</v>
      </c>
      <c r="DF326" s="15">
        <v>0</v>
      </c>
      <c r="DG326" s="15">
        <v>0</v>
      </c>
      <c r="DH326" s="15">
        <v>0</v>
      </c>
      <c r="DI326" s="15">
        <v>0</v>
      </c>
      <c r="DJ326" s="15">
        <v>0</v>
      </c>
      <c r="DK326" s="15">
        <v>0</v>
      </c>
      <c r="DL326" s="15">
        <v>0</v>
      </c>
      <c r="DM326" s="15">
        <v>0</v>
      </c>
      <c r="DN326" s="15">
        <v>0</v>
      </c>
      <c r="DO326" s="15">
        <v>0</v>
      </c>
      <c r="DP326" s="15">
        <v>0</v>
      </c>
      <c r="DQ326" s="15">
        <v>0</v>
      </c>
      <c r="DR326" s="15">
        <v>0</v>
      </c>
      <c r="DS326" s="15">
        <v>0</v>
      </c>
      <c r="DT326" s="15">
        <v>0</v>
      </c>
      <c r="DU326" s="15">
        <v>0</v>
      </c>
      <c r="DV326" s="15">
        <v>0</v>
      </c>
      <c r="DW326" s="15">
        <v>0</v>
      </c>
      <c r="DX326" s="15">
        <v>0</v>
      </c>
      <c r="DY326" s="15">
        <v>0</v>
      </c>
      <c r="DZ326" s="15">
        <v>0</v>
      </c>
      <c r="EA326" s="15">
        <v>0</v>
      </c>
      <c r="EB326" s="15">
        <v>0</v>
      </c>
      <c r="EC326" s="15">
        <v>0</v>
      </c>
      <c r="ED326" s="15">
        <v>0</v>
      </c>
      <c r="EE326" s="15">
        <v>0</v>
      </c>
      <c r="EF326" s="15">
        <v>0</v>
      </c>
    </row>
    <row r="327" spans="1:136" ht="15" customHeight="1" x14ac:dyDescent="0.35">
      <c r="A327" s="8" t="s">
        <v>12</v>
      </c>
      <c r="B327" s="8" t="s">
        <v>101</v>
      </c>
      <c r="C327" s="8" t="s">
        <v>101</v>
      </c>
      <c r="D327" s="8" t="s">
        <v>321</v>
      </c>
      <c r="E327" s="8" t="s">
        <v>16</v>
      </c>
      <c r="F327" s="8" t="s">
        <v>79</v>
      </c>
      <c r="G327" s="15">
        <v>0</v>
      </c>
      <c r="H327" s="15">
        <v>0</v>
      </c>
      <c r="I327" s="15">
        <v>7</v>
      </c>
      <c r="J327" s="15">
        <v>-7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1.5</v>
      </c>
      <c r="AK327" s="15">
        <v>0</v>
      </c>
      <c r="AL327" s="15">
        <v>1</v>
      </c>
      <c r="AM327" s="15">
        <v>1</v>
      </c>
      <c r="AN327" s="15">
        <v>0</v>
      </c>
      <c r="AO327" s="15">
        <v>1</v>
      </c>
      <c r="AP327" s="15">
        <v>0</v>
      </c>
      <c r="AQ327" s="15">
        <v>1</v>
      </c>
      <c r="AR327" s="15">
        <v>0</v>
      </c>
      <c r="AS327" s="15">
        <v>1.5</v>
      </c>
      <c r="AT327" s="15">
        <v>0</v>
      </c>
      <c r="AU327" s="15">
        <v>0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5">
        <v>0</v>
      </c>
      <c r="CH327" s="15">
        <v>0</v>
      </c>
      <c r="CI327" s="15">
        <v>0</v>
      </c>
      <c r="CJ327" s="15">
        <v>0</v>
      </c>
      <c r="CK327" s="15">
        <v>0</v>
      </c>
      <c r="CL327" s="15">
        <v>0</v>
      </c>
      <c r="CM327" s="15">
        <v>0</v>
      </c>
      <c r="CN327" s="15">
        <v>0</v>
      </c>
      <c r="CO327" s="15">
        <v>0</v>
      </c>
      <c r="CP327" s="15">
        <v>0</v>
      </c>
      <c r="CQ327" s="15">
        <v>0</v>
      </c>
      <c r="CR327" s="15">
        <v>0</v>
      </c>
      <c r="CS327" s="15">
        <v>1.5</v>
      </c>
      <c r="CT327" s="15">
        <v>0</v>
      </c>
      <c r="CU327" s="15">
        <v>0</v>
      </c>
      <c r="CV327" s="15">
        <v>0</v>
      </c>
      <c r="CW327" s="15">
        <v>0</v>
      </c>
      <c r="CX327" s="15">
        <v>0</v>
      </c>
      <c r="CY327" s="15">
        <v>0</v>
      </c>
      <c r="CZ327" s="15">
        <v>0</v>
      </c>
      <c r="DA327" s="15">
        <v>0</v>
      </c>
      <c r="DB327" s="15">
        <v>0</v>
      </c>
      <c r="DC327" s="15">
        <v>0</v>
      </c>
      <c r="DD327" s="15">
        <v>0</v>
      </c>
      <c r="DE327" s="15">
        <v>0</v>
      </c>
      <c r="DF327" s="15">
        <v>0</v>
      </c>
      <c r="DG327" s="15">
        <v>0</v>
      </c>
      <c r="DH327" s="15">
        <v>0</v>
      </c>
      <c r="DI327" s="15">
        <v>0</v>
      </c>
      <c r="DJ327" s="15">
        <v>0</v>
      </c>
      <c r="DK327" s="15">
        <v>0</v>
      </c>
      <c r="DL327" s="15">
        <v>0</v>
      </c>
      <c r="DM327" s="15">
        <v>0</v>
      </c>
      <c r="DN327" s="15">
        <v>0</v>
      </c>
      <c r="DO327" s="15">
        <v>0</v>
      </c>
      <c r="DP327" s="15">
        <v>0</v>
      </c>
      <c r="DQ327" s="15">
        <v>0</v>
      </c>
      <c r="DR327" s="15">
        <v>0</v>
      </c>
      <c r="DS327" s="15">
        <v>0</v>
      </c>
      <c r="DT327" s="15">
        <v>0</v>
      </c>
      <c r="DU327" s="15">
        <v>0</v>
      </c>
      <c r="DV327" s="15">
        <v>0</v>
      </c>
      <c r="DW327" s="15">
        <v>0</v>
      </c>
      <c r="DX327" s="15">
        <v>0</v>
      </c>
      <c r="DY327" s="15">
        <v>0</v>
      </c>
      <c r="DZ327" s="15">
        <v>0</v>
      </c>
      <c r="EA327" s="15">
        <v>0</v>
      </c>
      <c r="EB327" s="15">
        <v>0</v>
      </c>
      <c r="EC327" s="15">
        <v>0</v>
      </c>
      <c r="ED327" s="15">
        <v>0</v>
      </c>
      <c r="EE327" s="15">
        <v>0</v>
      </c>
      <c r="EF327" s="15">
        <v>0</v>
      </c>
    </row>
    <row r="328" spans="1:136" ht="15" customHeight="1" x14ac:dyDescent="0.35">
      <c r="A328" s="8" t="s">
        <v>12</v>
      </c>
      <c r="B328" s="8" t="s">
        <v>101</v>
      </c>
      <c r="C328" s="8" t="s">
        <v>101</v>
      </c>
      <c r="D328" s="8" t="s">
        <v>320</v>
      </c>
      <c r="E328" s="8" t="s">
        <v>16</v>
      </c>
      <c r="F328" s="8" t="s">
        <v>79</v>
      </c>
      <c r="G328" s="15">
        <v>1.5</v>
      </c>
      <c r="H328" s="15">
        <v>1.5</v>
      </c>
      <c r="I328" s="15">
        <v>11.5</v>
      </c>
      <c r="J328" s="15">
        <v>-10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0.5</v>
      </c>
      <c r="AF328" s="15">
        <v>0.5</v>
      </c>
      <c r="AG328" s="15">
        <v>0.5</v>
      </c>
      <c r="AH328" s="15">
        <v>4.5</v>
      </c>
      <c r="AI328" s="15">
        <v>2</v>
      </c>
      <c r="AJ328" s="15">
        <v>3.5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5">
        <v>0</v>
      </c>
      <c r="AS328" s="15">
        <v>0</v>
      </c>
      <c r="AT328" s="15">
        <v>0</v>
      </c>
      <c r="AU328" s="15">
        <v>0</v>
      </c>
      <c r="AV328" s="15">
        <v>0</v>
      </c>
      <c r="AW328" s="15">
        <v>0</v>
      </c>
      <c r="AX328" s="15">
        <v>0</v>
      </c>
      <c r="AY328" s="15">
        <v>0</v>
      </c>
      <c r="AZ328" s="15">
        <v>0</v>
      </c>
      <c r="BA328" s="15">
        <v>0</v>
      </c>
      <c r="BB328" s="15">
        <v>0</v>
      </c>
      <c r="BC328" s="15">
        <v>0</v>
      </c>
      <c r="BD328" s="15">
        <v>0</v>
      </c>
      <c r="BE328" s="15">
        <v>0</v>
      </c>
      <c r="BF328" s="15">
        <v>0</v>
      </c>
      <c r="BG328" s="15">
        <v>0</v>
      </c>
      <c r="BH328" s="15">
        <v>0</v>
      </c>
      <c r="BI328" s="15">
        <v>0</v>
      </c>
      <c r="BJ328" s="15">
        <v>0</v>
      </c>
      <c r="BK328" s="15">
        <v>0</v>
      </c>
      <c r="BL328" s="15">
        <v>0</v>
      </c>
      <c r="BM328" s="15">
        <v>0</v>
      </c>
      <c r="BN328" s="15">
        <v>0</v>
      </c>
      <c r="BO328" s="15">
        <v>0</v>
      </c>
      <c r="BP328" s="15">
        <v>0</v>
      </c>
      <c r="BQ328" s="15">
        <v>0</v>
      </c>
      <c r="BR328" s="15">
        <v>0</v>
      </c>
      <c r="BS328" s="15">
        <v>0</v>
      </c>
      <c r="BT328" s="15">
        <v>0</v>
      </c>
      <c r="BU328" s="15">
        <v>0</v>
      </c>
      <c r="BV328" s="15">
        <v>0</v>
      </c>
      <c r="BW328" s="15">
        <v>0</v>
      </c>
      <c r="BX328" s="15">
        <v>0</v>
      </c>
      <c r="BY328" s="15">
        <v>0</v>
      </c>
      <c r="BZ328" s="15">
        <v>0</v>
      </c>
      <c r="CA328" s="15">
        <v>0</v>
      </c>
      <c r="CB328" s="15">
        <v>0</v>
      </c>
      <c r="CC328" s="15">
        <v>0</v>
      </c>
      <c r="CD328" s="15">
        <v>0</v>
      </c>
      <c r="CE328" s="15">
        <v>0</v>
      </c>
      <c r="CF328" s="15">
        <v>0</v>
      </c>
      <c r="CG328" s="15">
        <v>0</v>
      </c>
      <c r="CH328" s="15">
        <v>0</v>
      </c>
      <c r="CI328" s="15">
        <v>0</v>
      </c>
      <c r="CJ328" s="15">
        <v>0</v>
      </c>
      <c r="CK328" s="15">
        <v>0</v>
      </c>
      <c r="CL328" s="15">
        <v>0</v>
      </c>
      <c r="CM328" s="15">
        <v>0</v>
      </c>
      <c r="CN328" s="15">
        <v>0</v>
      </c>
      <c r="CO328" s="15">
        <v>0</v>
      </c>
      <c r="CP328" s="15">
        <v>0</v>
      </c>
      <c r="CQ328" s="15">
        <v>0</v>
      </c>
      <c r="CR328" s="15">
        <v>0</v>
      </c>
      <c r="CS328" s="15">
        <v>0</v>
      </c>
      <c r="CT328" s="15">
        <v>0</v>
      </c>
      <c r="CU328" s="15">
        <v>0</v>
      </c>
      <c r="CV328" s="15">
        <v>0</v>
      </c>
      <c r="CW328" s="15">
        <v>0</v>
      </c>
      <c r="CX328" s="15">
        <v>0</v>
      </c>
      <c r="CY328" s="15">
        <v>0</v>
      </c>
      <c r="CZ328" s="15">
        <v>0</v>
      </c>
      <c r="DA328" s="15">
        <v>0</v>
      </c>
      <c r="DB328" s="15">
        <v>0</v>
      </c>
      <c r="DC328" s="15">
        <v>0</v>
      </c>
      <c r="DD328" s="15">
        <v>0</v>
      </c>
      <c r="DE328" s="15">
        <v>0</v>
      </c>
      <c r="DF328" s="15">
        <v>0</v>
      </c>
      <c r="DG328" s="15">
        <v>0</v>
      </c>
      <c r="DH328" s="15">
        <v>0</v>
      </c>
      <c r="DI328" s="15">
        <v>0</v>
      </c>
      <c r="DJ328" s="15">
        <v>0</v>
      </c>
      <c r="DK328" s="15">
        <v>0</v>
      </c>
      <c r="DL328" s="15">
        <v>0</v>
      </c>
      <c r="DM328" s="15">
        <v>0</v>
      </c>
      <c r="DN328" s="15">
        <v>0</v>
      </c>
      <c r="DO328" s="15">
        <v>0</v>
      </c>
      <c r="DP328" s="15">
        <v>0</v>
      </c>
      <c r="DQ328" s="15">
        <v>0</v>
      </c>
      <c r="DR328" s="15">
        <v>0</v>
      </c>
      <c r="DS328" s="15">
        <v>0</v>
      </c>
      <c r="DT328" s="15">
        <v>0</v>
      </c>
      <c r="DU328" s="15">
        <v>0</v>
      </c>
      <c r="DV328" s="15">
        <v>0</v>
      </c>
      <c r="DW328" s="15">
        <v>0</v>
      </c>
      <c r="DX328" s="15">
        <v>0</v>
      </c>
      <c r="DY328" s="15">
        <v>0</v>
      </c>
      <c r="DZ328" s="15">
        <v>0</v>
      </c>
      <c r="EA328" s="15">
        <v>0</v>
      </c>
      <c r="EB328" s="15">
        <v>0</v>
      </c>
      <c r="EC328" s="15">
        <v>0</v>
      </c>
      <c r="ED328" s="15">
        <v>0</v>
      </c>
      <c r="EE328" s="15">
        <v>0</v>
      </c>
      <c r="EF328" s="15">
        <v>0</v>
      </c>
    </row>
    <row r="329" spans="1:136" ht="15" customHeight="1" x14ac:dyDescent="0.35">
      <c r="A329" s="8" t="s">
        <v>12</v>
      </c>
      <c r="B329" s="8" t="s">
        <v>101</v>
      </c>
      <c r="C329" s="8" t="s">
        <v>101</v>
      </c>
      <c r="D329" s="8" t="s">
        <v>321</v>
      </c>
      <c r="E329" s="8" t="s">
        <v>16</v>
      </c>
      <c r="F329" s="8" t="s">
        <v>102</v>
      </c>
      <c r="G329" s="15">
        <v>0</v>
      </c>
      <c r="H329" s="15">
        <v>0</v>
      </c>
      <c r="I329" s="15">
        <v>181</v>
      </c>
      <c r="J329" s="15">
        <v>-181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5">
        <v>0</v>
      </c>
      <c r="AU329" s="15">
        <v>0</v>
      </c>
      <c r="AV329" s="15">
        <v>0</v>
      </c>
      <c r="AW329" s="15">
        <v>0</v>
      </c>
      <c r="AX329" s="15">
        <v>0</v>
      </c>
      <c r="AY329" s="15">
        <v>0</v>
      </c>
      <c r="AZ329" s="15">
        <v>0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5">
        <v>0</v>
      </c>
      <c r="CH329" s="15">
        <v>0</v>
      </c>
      <c r="CI329" s="15">
        <v>0</v>
      </c>
      <c r="CJ329" s="15">
        <v>0</v>
      </c>
      <c r="CK329" s="15">
        <v>0</v>
      </c>
      <c r="CL329" s="15">
        <v>0</v>
      </c>
      <c r="CM329" s="15">
        <v>0</v>
      </c>
      <c r="CN329" s="15">
        <v>0</v>
      </c>
      <c r="CO329" s="15">
        <v>0</v>
      </c>
      <c r="CP329" s="15">
        <v>0</v>
      </c>
      <c r="CQ329" s="15">
        <v>0</v>
      </c>
      <c r="CR329" s="15">
        <v>0</v>
      </c>
      <c r="CS329" s="15">
        <v>0</v>
      </c>
      <c r="CT329" s="15">
        <v>6</v>
      </c>
      <c r="CU329" s="15">
        <v>8</v>
      </c>
      <c r="CV329" s="15">
        <v>8</v>
      </c>
      <c r="CW329" s="15">
        <v>5</v>
      </c>
      <c r="CX329" s="15">
        <v>2</v>
      </c>
      <c r="CY329" s="15">
        <v>2</v>
      </c>
      <c r="CZ329" s="15">
        <v>4</v>
      </c>
      <c r="DA329" s="15">
        <v>4</v>
      </c>
      <c r="DB329" s="15">
        <v>4</v>
      </c>
      <c r="DC329" s="15">
        <v>7</v>
      </c>
      <c r="DD329" s="15">
        <v>5</v>
      </c>
      <c r="DE329" s="15">
        <v>4</v>
      </c>
      <c r="DF329" s="15">
        <v>2</v>
      </c>
      <c r="DG329" s="15">
        <v>3</v>
      </c>
      <c r="DH329" s="15">
        <v>5</v>
      </c>
      <c r="DI329" s="15">
        <v>0</v>
      </c>
      <c r="DJ329" s="15">
        <v>0</v>
      </c>
      <c r="DK329" s="15">
        <v>10</v>
      </c>
      <c r="DL329" s="15">
        <v>10</v>
      </c>
      <c r="DM329" s="15">
        <v>12</v>
      </c>
      <c r="DN329" s="15">
        <v>15</v>
      </c>
      <c r="DO329" s="15">
        <v>20</v>
      </c>
      <c r="DP329" s="15">
        <v>20</v>
      </c>
      <c r="DQ329" s="15">
        <v>15</v>
      </c>
      <c r="DR329" s="15">
        <v>10</v>
      </c>
      <c r="DS329" s="15">
        <v>0</v>
      </c>
      <c r="DT329" s="15">
        <v>0</v>
      </c>
      <c r="DU329" s="15">
        <v>0</v>
      </c>
      <c r="DV329" s="15">
        <v>0</v>
      </c>
      <c r="DW329" s="15">
        <v>0</v>
      </c>
      <c r="DX329" s="15">
        <v>0</v>
      </c>
      <c r="DY329" s="15">
        <v>0</v>
      </c>
      <c r="DZ329" s="15">
        <v>0</v>
      </c>
      <c r="EA329" s="15">
        <v>0</v>
      </c>
      <c r="EB329" s="15">
        <v>0</v>
      </c>
      <c r="EC329" s="15">
        <v>0</v>
      </c>
      <c r="ED329" s="15">
        <v>0</v>
      </c>
      <c r="EE329" s="15">
        <v>0</v>
      </c>
      <c r="EF329" s="15">
        <v>0</v>
      </c>
    </row>
    <row r="330" spans="1:136" ht="15" customHeight="1" x14ac:dyDescent="0.35">
      <c r="A330" s="8" t="s">
        <v>12</v>
      </c>
      <c r="B330" s="8" t="s">
        <v>101</v>
      </c>
      <c r="C330" s="8" t="s">
        <v>101</v>
      </c>
      <c r="D330" s="8" t="s">
        <v>320</v>
      </c>
      <c r="E330" s="8" t="s">
        <v>16</v>
      </c>
      <c r="F330" s="8" t="s">
        <v>102</v>
      </c>
      <c r="G330" s="15">
        <v>4</v>
      </c>
      <c r="H330" s="15">
        <v>185</v>
      </c>
      <c r="I330" s="15">
        <v>0</v>
      </c>
      <c r="J330" s="15">
        <v>185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5">
        <v>0</v>
      </c>
      <c r="AX330" s="15">
        <v>0</v>
      </c>
      <c r="AY330" s="15">
        <v>0</v>
      </c>
      <c r="AZ330" s="15">
        <v>0</v>
      </c>
      <c r="BA330" s="15">
        <v>0</v>
      </c>
      <c r="BB330" s="15">
        <v>0</v>
      </c>
      <c r="BC330" s="15">
        <v>0</v>
      </c>
      <c r="BD330" s="15">
        <v>0</v>
      </c>
      <c r="BE330" s="15">
        <v>0</v>
      </c>
      <c r="BF330" s="15">
        <v>0</v>
      </c>
      <c r="BG330" s="15">
        <v>0</v>
      </c>
      <c r="BH330" s="15">
        <v>0</v>
      </c>
      <c r="BI330" s="15">
        <v>0</v>
      </c>
      <c r="BJ330" s="15">
        <v>0</v>
      </c>
      <c r="BK330" s="15">
        <v>0</v>
      </c>
      <c r="BL330" s="15">
        <v>0</v>
      </c>
      <c r="BM330" s="15">
        <v>0</v>
      </c>
      <c r="BN330" s="15">
        <v>0</v>
      </c>
      <c r="BO330" s="15">
        <v>0</v>
      </c>
      <c r="BP330" s="15">
        <v>0</v>
      </c>
      <c r="BQ330" s="15">
        <v>0</v>
      </c>
      <c r="BR330" s="15">
        <v>0</v>
      </c>
      <c r="BS330" s="15">
        <v>0</v>
      </c>
      <c r="BT330" s="15">
        <v>0</v>
      </c>
      <c r="BU330" s="15">
        <v>0</v>
      </c>
      <c r="BV330" s="15">
        <v>0</v>
      </c>
      <c r="BW330" s="15">
        <v>0</v>
      </c>
      <c r="BX330" s="15">
        <v>0</v>
      </c>
      <c r="BY330" s="15">
        <v>0</v>
      </c>
      <c r="BZ330" s="15">
        <v>0</v>
      </c>
      <c r="CA330" s="15">
        <v>0</v>
      </c>
      <c r="CB330" s="15">
        <v>0</v>
      </c>
      <c r="CC330" s="15">
        <v>0</v>
      </c>
      <c r="CD330" s="15">
        <v>0</v>
      </c>
      <c r="CE330" s="15">
        <v>0</v>
      </c>
      <c r="CF330" s="15">
        <v>0</v>
      </c>
      <c r="CG330" s="15">
        <v>0</v>
      </c>
      <c r="CH330" s="15">
        <v>0</v>
      </c>
      <c r="CI330" s="15">
        <v>0</v>
      </c>
      <c r="CJ330" s="15">
        <v>0</v>
      </c>
      <c r="CK330" s="15">
        <v>0</v>
      </c>
      <c r="CL330" s="15">
        <v>0</v>
      </c>
      <c r="CM330" s="15">
        <v>0</v>
      </c>
      <c r="CN330" s="15">
        <v>0</v>
      </c>
      <c r="CO330" s="15">
        <v>0</v>
      </c>
      <c r="CP330" s="15">
        <v>0</v>
      </c>
      <c r="CQ330" s="15">
        <v>0</v>
      </c>
      <c r="CR330" s="15">
        <v>0</v>
      </c>
      <c r="CS330" s="15">
        <v>0</v>
      </c>
      <c r="CT330" s="15">
        <v>0</v>
      </c>
      <c r="CU330" s="15">
        <v>0</v>
      </c>
      <c r="CV330" s="15">
        <v>0</v>
      </c>
      <c r="CW330" s="15">
        <v>0</v>
      </c>
      <c r="CX330" s="15">
        <v>0</v>
      </c>
      <c r="CY330" s="15">
        <v>0</v>
      </c>
      <c r="CZ330" s="15">
        <v>0</v>
      </c>
      <c r="DA330" s="15">
        <v>0</v>
      </c>
      <c r="DB330" s="15">
        <v>0</v>
      </c>
      <c r="DC330" s="15">
        <v>0</v>
      </c>
      <c r="DD330" s="15">
        <v>0</v>
      </c>
      <c r="DE330" s="15">
        <v>0</v>
      </c>
      <c r="DF330" s="15">
        <v>0</v>
      </c>
      <c r="DG330" s="15">
        <v>0</v>
      </c>
      <c r="DH330" s="15">
        <v>0</v>
      </c>
      <c r="DI330" s="15">
        <v>0</v>
      </c>
      <c r="DJ330" s="15">
        <v>0</v>
      </c>
      <c r="DK330" s="15">
        <v>0</v>
      </c>
      <c r="DL330" s="15">
        <v>0</v>
      </c>
      <c r="DM330" s="15">
        <v>0</v>
      </c>
      <c r="DN330" s="15">
        <v>0</v>
      </c>
      <c r="DO330" s="15">
        <v>0</v>
      </c>
      <c r="DP330" s="15">
        <v>0</v>
      </c>
      <c r="DQ330" s="15">
        <v>0</v>
      </c>
      <c r="DR330" s="15">
        <v>0</v>
      </c>
      <c r="DS330" s="15">
        <v>0</v>
      </c>
      <c r="DT330" s="15">
        <v>0</v>
      </c>
      <c r="DU330" s="15">
        <v>0</v>
      </c>
      <c r="DV330" s="15">
        <v>0</v>
      </c>
      <c r="DW330" s="15">
        <v>0</v>
      </c>
      <c r="DX330" s="15">
        <v>0</v>
      </c>
      <c r="DY330" s="15">
        <v>0</v>
      </c>
      <c r="DZ330" s="15">
        <v>0</v>
      </c>
      <c r="EA330" s="15">
        <v>0</v>
      </c>
      <c r="EB330" s="15">
        <v>0</v>
      </c>
      <c r="EC330" s="15">
        <v>0</v>
      </c>
      <c r="ED330" s="15">
        <v>0</v>
      </c>
      <c r="EE330" s="15">
        <v>0</v>
      </c>
      <c r="EF330" s="15">
        <v>0</v>
      </c>
    </row>
    <row r="331" spans="1:136" ht="15" customHeight="1" x14ac:dyDescent="0.35">
      <c r="A331" s="8" t="s">
        <v>12</v>
      </c>
      <c r="B331" s="8" t="s">
        <v>101</v>
      </c>
      <c r="C331" s="8" t="s">
        <v>101</v>
      </c>
      <c r="D331" s="8" t="s">
        <v>321</v>
      </c>
      <c r="E331" s="8" t="s">
        <v>16</v>
      </c>
      <c r="F331" s="8" t="s">
        <v>83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0</v>
      </c>
      <c r="AU331" s="15">
        <v>0</v>
      </c>
      <c r="AV331" s="15">
        <v>0</v>
      </c>
      <c r="AW331" s="15">
        <v>0</v>
      </c>
      <c r="AX331" s="15">
        <v>0</v>
      </c>
      <c r="AY331" s="15">
        <v>0</v>
      </c>
      <c r="AZ331" s="15">
        <v>0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5">
        <v>0</v>
      </c>
      <c r="CH331" s="15">
        <v>0</v>
      </c>
      <c r="CI331" s="15">
        <v>0</v>
      </c>
      <c r="CJ331" s="15">
        <v>0</v>
      </c>
      <c r="CK331" s="15">
        <v>0</v>
      </c>
      <c r="CL331" s="15">
        <v>0</v>
      </c>
      <c r="CM331" s="15">
        <v>0</v>
      </c>
      <c r="CN331" s="15">
        <v>0</v>
      </c>
      <c r="CO331" s="15">
        <v>0</v>
      </c>
      <c r="CP331" s="15">
        <v>0</v>
      </c>
      <c r="CQ331" s="15">
        <v>0</v>
      </c>
      <c r="CR331" s="15">
        <v>0</v>
      </c>
      <c r="CS331" s="15">
        <v>0</v>
      </c>
      <c r="CT331" s="15">
        <v>0</v>
      </c>
      <c r="CU331" s="15">
        <v>0</v>
      </c>
      <c r="CV331" s="15">
        <v>0</v>
      </c>
      <c r="CW331" s="15">
        <v>0</v>
      </c>
      <c r="CX331" s="15">
        <v>0</v>
      </c>
      <c r="CY331" s="15">
        <v>0</v>
      </c>
      <c r="CZ331" s="15">
        <v>0</v>
      </c>
      <c r="DA331" s="15">
        <v>0</v>
      </c>
      <c r="DB331" s="15">
        <v>0</v>
      </c>
      <c r="DC331" s="15">
        <v>0</v>
      </c>
      <c r="DD331" s="15">
        <v>0</v>
      </c>
      <c r="DE331" s="15">
        <v>0</v>
      </c>
      <c r="DF331" s="15">
        <v>0</v>
      </c>
      <c r="DG331" s="15">
        <v>0</v>
      </c>
      <c r="DH331" s="15">
        <v>0</v>
      </c>
      <c r="DI331" s="15">
        <v>0</v>
      </c>
      <c r="DJ331" s="15">
        <v>0</v>
      </c>
      <c r="DK331" s="15">
        <v>0</v>
      </c>
      <c r="DL331" s="15">
        <v>0</v>
      </c>
      <c r="DM331" s="15">
        <v>0</v>
      </c>
      <c r="DN331" s="15">
        <v>0</v>
      </c>
      <c r="DO331" s="15">
        <v>0</v>
      </c>
      <c r="DP331" s="15">
        <v>0</v>
      </c>
      <c r="DQ331" s="15">
        <v>0</v>
      </c>
      <c r="DR331" s="15">
        <v>0</v>
      </c>
      <c r="DS331" s="15">
        <v>0</v>
      </c>
      <c r="DT331" s="15">
        <v>0</v>
      </c>
      <c r="DU331" s="15">
        <v>0</v>
      </c>
      <c r="DV331" s="15">
        <v>0</v>
      </c>
      <c r="DW331" s="15">
        <v>0</v>
      </c>
      <c r="DX331" s="15">
        <v>0</v>
      </c>
      <c r="DY331" s="15">
        <v>0</v>
      </c>
      <c r="DZ331" s="15">
        <v>0</v>
      </c>
      <c r="EA331" s="15">
        <v>0</v>
      </c>
      <c r="EB331" s="15">
        <v>0</v>
      </c>
      <c r="EC331" s="15">
        <v>0</v>
      </c>
      <c r="ED331" s="15">
        <v>0</v>
      </c>
      <c r="EE331" s="15">
        <v>0</v>
      </c>
      <c r="EF331" s="15">
        <v>0</v>
      </c>
    </row>
    <row r="332" spans="1:136" ht="15" customHeight="1" x14ac:dyDescent="0.35">
      <c r="A332" s="8" t="s">
        <v>12</v>
      </c>
      <c r="B332" s="8" t="s">
        <v>101</v>
      </c>
      <c r="C332" s="8" t="s">
        <v>101</v>
      </c>
      <c r="D332" s="8" t="s">
        <v>320</v>
      </c>
      <c r="E332" s="8" t="s">
        <v>16</v>
      </c>
      <c r="F332" s="8" t="s">
        <v>83</v>
      </c>
      <c r="G332" s="15">
        <v>10</v>
      </c>
      <c r="H332" s="15">
        <v>10</v>
      </c>
      <c r="I332" s="15">
        <v>0</v>
      </c>
      <c r="J332" s="15">
        <v>10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5">
        <v>0</v>
      </c>
      <c r="BC332" s="15">
        <v>0</v>
      </c>
      <c r="BD332" s="15">
        <v>0</v>
      </c>
      <c r="BE332" s="15">
        <v>0</v>
      </c>
      <c r="BF332" s="15">
        <v>0</v>
      </c>
      <c r="BG332" s="15">
        <v>0</v>
      </c>
      <c r="BH332" s="15">
        <v>0</v>
      </c>
      <c r="BI332" s="15">
        <v>0</v>
      </c>
      <c r="BJ332" s="15">
        <v>0</v>
      </c>
      <c r="BK332" s="15">
        <v>0</v>
      </c>
      <c r="BL332" s="15">
        <v>0</v>
      </c>
      <c r="BM332" s="15">
        <v>0</v>
      </c>
      <c r="BN332" s="15">
        <v>0</v>
      </c>
      <c r="BO332" s="15">
        <v>0</v>
      </c>
      <c r="BP332" s="15">
        <v>0</v>
      </c>
      <c r="BQ332" s="15">
        <v>0</v>
      </c>
      <c r="BR332" s="15">
        <v>0</v>
      </c>
      <c r="BS332" s="15">
        <v>0</v>
      </c>
      <c r="BT332" s="15">
        <v>0</v>
      </c>
      <c r="BU332" s="15">
        <v>0</v>
      </c>
      <c r="BV332" s="15">
        <v>0</v>
      </c>
      <c r="BW332" s="15">
        <v>0</v>
      </c>
      <c r="BX332" s="15">
        <v>0</v>
      </c>
      <c r="BY332" s="15">
        <v>0</v>
      </c>
      <c r="BZ332" s="15">
        <v>0</v>
      </c>
      <c r="CA332" s="15">
        <v>0</v>
      </c>
      <c r="CB332" s="15">
        <v>0</v>
      </c>
      <c r="CC332" s="15">
        <v>0</v>
      </c>
      <c r="CD332" s="15">
        <v>0</v>
      </c>
      <c r="CE332" s="15">
        <v>0</v>
      </c>
      <c r="CF332" s="15">
        <v>0</v>
      </c>
      <c r="CG332" s="15">
        <v>0</v>
      </c>
      <c r="CH332" s="15">
        <v>0</v>
      </c>
      <c r="CI332" s="15">
        <v>0</v>
      </c>
      <c r="CJ332" s="15">
        <v>0</v>
      </c>
      <c r="CK332" s="15">
        <v>0</v>
      </c>
      <c r="CL332" s="15">
        <v>0</v>
      </c>
      <c r="CM332" s="15">
        <v>0</v>
      </c>
      <c r="CN332" s="15">
        <v>0</v>
      </c>
      <c r="CO332" s="15">
        <v>0</v>
      </c>
      <c r="CP332" s="15">
        <v>0</v>
      </c>
      <c r="CQ332" s="15">
        <v>0</v>
      </c>
      <c r="CR332" s="15">
        <v>0</v>
      </c>
      <c r="CS332" s="15">
        <v>0</v>
      </c>
      <c r="CT332" s="15">
        <v>0</v>
      </c>
      <c r="CU332" s="15">
        <v>0</v>
      </c>
      <c r="CV332" s="15">
        <v>0</v>
      </c>
      <c r="CW332" s="15">
        <v>0</v>
      </c>
      <c r="CX332" s="15">
        <v>0</v>
      </c>
      <c r="CY332" s="15">
        <v>0</v>
      </c>
      <c r="CZ332" s="15">
        <v>0</v>
      </c>
      <c r="DA332" s="15">
        <v>0</v>
      </c>
      <c r="DB332" s="15">
        <v>0</v>
      </c>
      <c r="DC332" s="15">
        <v>0</v>
      </c>
      <c r="DD332" s="15">
        <v>0</v>
      </c>
      <c r="DE332" s="15">
        <v>0</v>
      </c>
      <c r="DF332" s="15">
        <v>0</v>
      </c>
      <c r="DG332" s="15">
        <v>0</v>
      </c>
      <c r="DH332" s="15">
        <v>0</v>
      </c>
      <c r="DI332" s="15">
        <v>0</v>
      </c>
      <c r="DJ332" s="15">
        <v>0</v>
      </c>
      <c r="DK332" s="15">
        <v>0</v>
      </c>
      <c r="DL332" s="15">
        <v>0</v>
      </c>
      <c r="DM332" s="15">
        <v>0</v>
      </c>
      <c r="DN332" s="15">
        <v>0</v>
      </c>
      <c r="DO332" s="15">
        <v>0</v>
      </c>
      <c r="DP332" s="15">
        <v>0</v>
      </c>
      <c r="DQ332" s="15">
        <v>0</v>
      </c>
      <c r="DR332" s="15">
        <v>0</v>
      </c>
      <c r="DS332" s="15">
        <v>0</v>
      </c>
      <c r="DT332" s="15">
        <v>0</v>
      </c>
      <c r="DU332" s="15">
        <v>0</v>
      </c>
      <c r="DV332" s="15">
        <v>0</v>
      </c>
      <c r="DW332" s="15">
        <v>0</v>
      </c>
      <c r="DX332" s="15">
        <v>0</v>
      </c>
      <c r="DY332" s="15">
        <v>0</v>
      </c>
      <c r="DZ332" s="15">
        <v>0</v>
      </c>
      <c r="EA332" s="15">
        <v>0</v>
      </c>
      <c r="EB332" s="15">
        <v>0</v>
      </c>
      <c r="EC332" s="15">
        <v>0</v>
      </c>
      <c r="ED332" s="15">
        <v>0</v>
      </c>
      <c r="EE332" s="15">
        <v>0</v>
      </c>
      <c r="EF332" s="15">
        <v>0</v>
      </c>
    </row>
    <row r="333" spans="1:136" ht="15" customHeight="1" x14ac:dyDescent="0.35">
      <c r="A333" s="8" t="s">
        <v>12</v>
      </c>
      <c r="B333" s="8" t="s">
        <v>101</v>
      </c>
      <c r="C333" s="8" t="s">
        <v>101</v>
      </c>
      <c r="D333" s="8" t="s">
        <v>321</v>
      </c>
      <c r="E333" s="8" t="s">
        <v>16</v>
      </c>
      <c r="F333" s="8" t="s">
        <v>103</v>
      </c>
      <c r="G333" s="15">
        <v>0</v>
      </c>
      <c r="H333" s="15">
        <v>0</v>
      </c>
      <c r="I333" s="15">
        <v>50</v>
      </c>
      <c r="J333" s="15">
        <v>-50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</v>
      </c>
      <c r="AY333" s="15">
        <v>0</v>
      </c>
      <c r="AZ333" s="15">
        <v>0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5">
        <v>0</v>
      </c>
      <c r="CH333" s="15">
        <v>0</v>
      </c>
      <c r="CI333" s="15">
        <v>0</v>
      </c>
      <c r="CJ333" s="15">
        <v>0</v>
      </c>
      <c r="CK333" s="15">
        <v>0</v>
      </c>
      <c r="CL333" s="15">
        <v>0</v>
      </c>
      <c r="CM333" s="15">
        <v>0</v>
      </c>
      <c r="CN333" s="15">
        <v>0</v>
      </c>
      <c r="CO333" s="15">
        <v>0</v>
      </c>
      <c r="CP333" s="15">
        <v>0</v>
      </c>
      <c r="CQ333" s="15">
        <v>0</v>
      </c>
      <c r="CR333" s="15">
        <v>0</v>
      </c>
      <c r="CS333" s="15">
        <v>0</v>
      </c>
      <c r="CT333" s="15">
        <v>0</v>
      </c>
      <c r="CU333" s="15">
        <v>0</v>
      </c>
      <c r="CV333" s="15">
        <v>0</v>
      </c>
      <c r="CW333" s="15">
        <v>0</v>
      </c>
      <c r="CX333" s="15">
        <v>0</v>
      </c>
      <c r="CY333" s="15">
        <v>0</v>
      </c>
      <c r="CZ333" s="15">
        <v>0</v>
      </c>
      <c r="DA333" s="15">
        <v>0</v>
      </c>
      <c r="DB333" s="15">
        <v>0</v>
      </c>
      <c r="DC333" s="15">
        <v>0</v>
      </c>
      <c r="DD333" s="15">
        <v>0</v>
      </c>
      <c r="DE333" s="15">
        <v>0</v>
      </c>
      <c r="DF333" s="15">
        <v>0</v>
      </c>
      <c r="DG333" s="15">
        <v>0</v>
      </c>
      <c r="DH333" s="15">
        <v>0</v>
      </c>
      <c r="DI333" s="15">
        <v>0</v>
      </c>
      <c r="DJ333" s="15">
        <v>0</v>
      </c>
      <c r="DK333" s="15">
        <v>0</v>
      </c>
      <c r="DL333" s="15">
        <v>0</v>
      </c>
      <c r="DM333" s="15">
        <v>5</v>
      </c>
      <c r="DN333" s="15">
        <v>10</v>
      </c>
      <c r="DO333" s="15">
        <v>10</v>
      </c>
      <c r="DP333" s="15">
        <v>10</v>
      </c>
      <c r="DQ333" s="15">
        <v>15</v>
      </c>
      <c r="DR333" s="15">
        <v>0</v>
      </c>
      <c r="DS333" s="15">
        <v>0</v>
      </c>
      <c r="DT333" s="15">
        <v>0</v>
      </c>
      <c r="DU333" s="15">
        <v>0</v>
      </c>
      <c r="DV333" s="15">
        <v>0</v>
      </c>
      <c r="DW333" s="15">
        <v>0</v>
      </c>
      <c r="DX333" s="15">
        <v>0</v>
      </c>
      <c r="DY333" s="15">
        <v>0</v>
      </c>
      <c r="DZ333" s="15">
        <v>0</v>
      </c>
      <c r="EA333" s="15">
        <v>0</v>
      </c>
      <c r="EB333" s="15">
        <v>0</v>
      </c>
      <c r="EC333" s="15">
        <v>0</v>
      </c>
      <c r="ED333" s="15">
        <v>0</v>
      </c>
      <c r="EE333" s="15">
        <v>0</v>
      </c>
      <c r="EF333" s="15">
        <v>0</v>
      </c>
    </row>
    <row r="334" spans="1:136" ht="15" customHeight="1" x14ac:dyDescent="0.35">
      <c r="A334" s="8" t="s">
        <v>12</v>
      </c>
      <c r="B334" s="8" t="s">
        <v>116</v>
      </c>
      <c r="C334" s="8" t="s">
        <v>116</v>
      </c>
      <c r="D334" s="8" t="s">
        <v>317</v>
      </c>
      <c r="E334" s="8" t="s">
        <v>10</v>
      </c>
      <c r="F334" s="8" t="s">
        <v>81</v>
      </c>
      <c r="G334" s="15">
        <v>0</v>
      </c>
      <c r="H334" s="15">
        <v>0</v>
      </c>
      <c r="I334" s="15">
        <v>8</v>
      </c>
      <c r="J334" s="15">
        <v>-8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2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3</v>
      </c>
      <c r="AQ334" s="15">
        <v>3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  <c r="BB334" s="15">
        <v>0</v>
      </c>
      <c r="BC334" s="15">
        <v>0</v>
      </c>
      <c r="BD334" s="15">
        <v>0</v>
      </c>
      <c r="BE334" s="15">
        <v>0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0</v>
      </c>
      <c r="BP334" s="15">
        <v>0</v>
      </c>
      <c r="BQ334" s="15">
        <v>0</v>
      </c>
      <c r="BR334" s="15">
        <v>0</v>
      </c>
      <c r="BS334" s="15">
        <v>0</v>
      </c>
      <c r="BT334" s="15">
        <v>0</v>
      </c>
      <c r="BU334" s="15">
        <v>0</v>
      </c>
      <c r="BV334" s="15">
        <v>0</v>
      </c>
      <c r="BW334" s="15">
        <v>0</v>
      </c>
      <c r="BX334" s="15">
        <v>0</v>
      </c>
      <c r="BY334" s="15">
        <v>0</v>
      </c>
      <c r="BZ334" s="15">
        <v>0</v>
      </c>
      <c r="CA334" s="15">
        <v>0</v>
      </c>
      <c r="CB334" s="15">
        <v>0</v>
      </c>
      <c r="CC334" s="15">
        <v>0</v>
      </c>
      <c r="CD334" s="15">
        <v>0</v>
      </c>
      <c r="CE334" s="15">
        <v>0</v>
      </c>
      <c r="CF334" s="15">
        <v>0</v>
      </c>
      <c r="CG334" s="15">
        <v>0</v>
      </c>
      <c r="CH334" s="15">
        <v>0</v>
      </c>
      <c r="CI334" s="15">
        <v>0</v>
      </c>
      <c r="CJ334" s="15">
        <v>0</v>
      </c>
      <c r="CK334" s="15">
        <v>0</v>
      </c>
      <c r="CL334" s="15">
        <v>0</v>
      </c>
      <c r="CM334" s="15">
        <v>0</v>
      </c>
      <c r="CN334" s="15">
        <v>0</v>
      </c>
      <c r="CO334" s="15">
        <v>0</v>
      </c>
      <c r="CP334" s="15">
        <v>0</v>
      </c>
      <c r="CQ334" s="15">
        <v>0</v>
      </c>
      <c r="CR334" s="15">
        <v>0</v>
      </c>
      <c r="CS334" s="15">
        <v>0</v>
      </c>
      <c r="CT334" s="15">
        <v>0</v>
      </c>
      <c r="CU334" s="15">
        <v>0</v>
      </c>
      <c r="CV334" s="15">
        <v>0</v>
      </c>
      <c r="CW334" s="15">
        <v>0</v>
      </c>
      <c r="CX334" s="15">
        <v>0</v>
      </c>
      <c r="CY334" s="15">
        <v>0</v>
      </c>
      <c r="CZ334" s="15">
        <v>0</v>
      </c>
      <c r="DA334" s="15">
        <v>0</v>
      </c>
      <c r="DB334" s="15">
        <v>0</v>
      </c>
      <c r="DC334" s="15">
        <v>0</v>
      </c>
      <c r="DD334" s="15">
        <v>0</v>
      </c>
      <c r="DE334" s="15">
        <v>0</v>
      </c>
      <c r="DF334" s="15">
        <v>0</v>
      </c>
      <c r="DG334" s="15">
        <v>0</v>
      </c>
      <c r="DH334" s="15">
        <v>0</v>
      </c>
      <c r="DI334" s="15">
        <v>0</v>
      </c>
      <c r="DJ334" s="15">
        <v>0</v>
      </c>
      <c r="DK334" s="15">
        <v>0</v>
      </c>
      <c r="DL334" s="15">
        <v>0</v>
      </c>
      <c r="DM334" s="15">
        <v>0</v>
      </c>
      <c r="DN334" s="15">
        <v>0</v>
      </c>
      <c r="DO334" s="15">
        <v>0</v>
      </c>
      <c r="DP334" s="15">
        <v>0</v>
      </c>
      <c r="DQ334" s="15">
        <v>0</v>
      </c>
      <c r="DR334" s="15">
        <v>0</v>
      </c>
      <c r="DS334" s="15">
        <v>0</v>
      </c>
      <c r="DT334" s="15">
        <v>0</v>
      </c>
      <c r="DU334" s="15">
        <v>0</v>
      </c>
      <c r="DV334" s="15">
        <v>0</v>
      </c>
      <c r="DW334" s="15">
        <v>0</v>
      </c>
      <c r="DX334" s="15">
        <v>0</v>
      </c>
      <c r="DY334" s="15">
        <v>0</v>
      </c>
      <c r="DZ334" s="15">
        <v>0</v>
      </c>
      <c r="EA334" s="15">
        <v>0</v>
      </c>
      <c r="EB334" s="15">
        <v>0</v>
      </c>
      <c r="EC334" s="15">
        <v>0</v>
      </c>
      <c r="ED334" s="15">
        <v>0</v>
      </c>
      <c r="EE334" s="15">
        <v>0</v>
      </c>
      <c r="EF334" s="15">
        <v>0</v>
      </c>
    </row>
    <row r="335" spans="1:136" ht="15" customHeight="1" x14ac:dyDescent="0.35">
      <c r="A335" s="8" t="s">
        <v>12</v>
      </c>
      <c r="B335" s="8" t="s">
        <v>116</v>
      </c>
      <c r="C335" s="8" t="s">
        <v>116</v>
      </c>
      <c r="D335" s="8" t="s">
        <v>318</v>
      </c>
      <c r="E335" s="8" t="s">
        <v>10</v>
      </c>
      <c r="F335" s="8" t="s">
        <v>95</v>
      </c>
      <c r="G335" s="15">
        <v>0.5</v>
      </c>
      <c r="H335" s="15">
        <v>0.5</v>
      </c>
      <c r="I335" s="15">
        <v>0.5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0.5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5">
        <v>0</v>
      </c>
      <c r="AU335" s="15">
        <v>0</v>
      </c>
      <c r="AV335" s="15">
        <v>0</v>
      </c>
      <c r="AW335" s="15">
        <v>0</v>
      </c>
      <c r="AX335" s="15">
        <v>0</v>
      </c>
      <c r="AY335" s="15">
        <v>0</v>
      </c>
      <c r="AZ335" s="15">
        <v>0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5">
        <v>0</v>
      </c>
      <c r="CH335" s="15">
        <v>0</v>
      </c>
      <c r="CI335" s="15">
        <v>0</v>
      </c>
      <c r="CJ335" s="15">
        <v>0</v>
      </c>
      <c r="CK335" s="15">
        <v>0</v>
      </c>
      <c r="CL335" s="15">
        <v>0</v>
      </c>
      <c r="CM335" s="15">
        <v>0</v>
      </c>
      <c r="CN335" s="15">
        <v>0</v>
      </c>
      <c r="CO335" s="15">
        <v>0</v>
      </c>
      <c r="CP335" s="15">
        <v>0</v>
      </c>
      <c r="CQ335" s="15">
        <v>0</v>
      </c>
      <c r="CR335" s="15">
        <v>0</v>
      </c>
      <c r="CS335" s="15">
        <v>0</v>
      </c>
      <c r="CT335" s="15">
        <v>0</v>
      </c>
      <c r="CU335" s="15">
        <v>0</v>
      </c>
      <c r="CV335" s="15">
        <v>0</v>
      </c>
      <c r="CW335" s="15">
        <v>0</v>
      </c>
      <c r="CX335" s="15">
        <v>0</v>
      </c>
      <c r="CY335" s="15">
        <v>0</v>
      </c>
      <c r="CZ335" s="15">
        <v>0</v>
      </c>
      <c r="DA335" s="15">
        <v>0</v>
      </c>
      <c r="DB335" s="15">
        <v>0</v>
      </c>
      <c r="DC335" s="15">
        <v>0</v>
      </c>
      <c r="DD335" s="15">
        <v>0</v>
      </c>
      <c r="DE335" s="15">
        <v>0</v>
      </c>
      <c r="DF335" s="15">
        <v>0</v>
      </c>
      <c r="DG335" s="15">
        <v>0</v>
      </c>
      <c r="DH335" s="15">
        <v>0</v>
      </c>
      <c r="DI335" s="15">
        <v>0</v>
      </c>
      <c r="DJ335" s="15">
        <v>0</v>
      </c>
      <c r="DK335" s="15">
        <v>0</v>
      </c>
      <c r="DL335" s="15">
        <v>0</v>
      </c>
      <c r="DM335" s="15">
        <v>0</v>
      </c>
      <c r="DN335" s="15">
        <v>0</v>
      </c>
      <c r="DO335" s="15">
        <v>0</v>
      </c>
      <c r="DP335" s="15">
        <v>0</v>
      </c>
      <c r="DQ335" s="15">
        <v>0</v>
      </c>
      <c r="DR335" s="15">
        <v>0</v>
      </c>
      <c r="DS335" s="15">
        <v>0</v>
      </c>
      <c r="DT335" s="15">
        <v>0</v>
      </c>
      <c r="DU335" s="15">
        <v>0</v>
      </c>
      <c r="DV335" s="15">
        <v>0</v>
      </c>
      <c r="DW335" s="15">
        <v>0</v>
      </c>
      <c r="DX335" s="15">
        <v>0</v>
      </c>
      <c r="DY335" s="15">
        <v>0</v>
      </c>
      <c r="DZ335" s="15">
        <v>0</v>
      </c>
      <c r="EA335" s="15">
        <v>0</v>
      </c>
      <c r="EB335" s="15">
        <v>0</v>
      </c>
      <c r="EC335" s="15">
        <v>0</v>
      </c>
      <c r="ED335" s="15">
        <v>0</v>
      </c>
      <c r="EE335" s="15">
        <v>0</v>
      </c>
      <c r="EF335" s="15">
        <v>0</v>
      </c>
    </row>
    <row r="336" spans="1:136" ht="15" customHeight="1" x14ac:dyDescent="0.35">
      <c r="A336" s="8" t="s">
        <v>12</v>
      </c>
      <c r="B336" s="8" t="s">
        <v>116</v>
      </c>
      <c r="C336" s="8" t="s">
        <v>116</v>
      </c>
      <c r="D336" s="8" t="s">
        <v>317</v>
      </c>
      <c r="E336" s="8" t="s">
        <v>10</v>
      </c>
      <c r="F336" s="8" t="s">
        <v>95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5">
        <v>0</v>
      </c>
      <c r="BC336" s="15">
        <v>0</v>
      </c>
      <c r="BD336" s="15">
        <v>0</v>
      </c>
      <c r="BE336" s="15">
        <v>0</v>
      </c>
      <c r="BF336" s="15">
        <v>0</v>
      </c>
      <c r="BG336" s="15">
        <v>0</v>
      </c>
      <c r="BH336" s="15">
        <v>0</v>
      </c>
      <c r="BI336" s="15">
        <v>0</v>
      </c>
      <c r="BJ336" s="15">
        <v>0</v>
      </c>
      <c r="BK336" s="15">
        <v>0</v>
      </c>
      <c r="BL336" s="15">
        <v>0</v>
      </c>
      <c r="BM336" s="15">
        <v>0</v>
      </c>
      <c r="BN336" s="15">
        <v>0</v>
      </c>
      <c r="BO336" s="15">
        <v>0</v>
      </c>
      <c r="BP336" s="15">
        <v>0</v>
      </c>
      <c r="BQ336" s="15">
        <v>0</v>
      </c>
      <c r="BR336" s="15">
        <v>0</v>
      </c>
      <c r="BS336" s="15">
        <v>0</v>
      </c>
      <c r="BT336" s="15">
        <v>0</v>
      </c>
      <c r="BU336" s="15">
        <v>0</v>
      </c>
      <c r="BV336" s="15">
        <v>0</v>
      </c>
      <c r="BW336" s="15">
        <v>0</v>
      </c>
      <c r="BX336" s="15">
        <v>0</v>
      </c>
      <c r="BY336" s="15">
        <v>0</v>
      </c>
      <c r="BZ336" s="15">
        <v>0</v>
      </c>
      <c r="CA336" s="15">
        <v>0</v>
      </c>
      <c r="CB336" s="15">
        <v>0</v>
      </c>
      <c r="CC336" s="15">
        <v>0</v>
      </c>
      <c r="CD336" s="15">
        <v>0</v>
      </c>
      <c r="CE336" s="15">
        <v>0</v>
      </c>
      <c r="CF336" s="15">
        <v>0</v>
      </c>
      <c r="CG336" s="15">
        <v>0</v>
      </c>
      <c r="CH336" s="15">
        <v>0</v>
      </c>
      <c r="CI336" s="15">
        <v>0</v>
      </c>
      <c r="CJ336" s="15">
        <v>0</v>
      </c>
      <c r="CK336" s="15">
        <v>0</v>
      </c>
      <c r="CL336" s="15">
        <v>0</v>
      </c>
      <c r="CM336" s="15">
        <v>0</v>
      </c>
      <c r="CN336" s="15">
        <v>0</v>
      </c>
      <c r="CO336" s="15">
        <v>0</v>
      </c>
      <c r="CP336" s="15">
        <v>0</v>
      </c>
      <c r="CQ336" s="15">
        <v>0</v>
      </c>
      <c r="CR336" s="15">
        <v>0</v>
      </c>
      <c r="CS336" s="15">
        <v>0</v>
      </c>
      <c r="CT336" s="15">
        <v>0</v>
      </c>
      <c r="CU336" s="15">
        <v>0</v>
      </c>
      <c r="CV336" s="15">
        <v>0</v>
      </c>
      <c r="CW336" s="15">
        <v>0</v>
      </c>
      <c r="CX336" s="15">
        <v>0</v>
      </c>
      <c r="CY336" s="15">
        <v>0</v>
      </c>
      <c r="CZ336" s="15">
        <v>0</v>
      </c>
      <c r="DA336" s="15">
        <v>0</v>
      </c>
      <c r="DB336" s="15">
        <v>0</v>
      </c>
      <c r="DC336" s="15">
        <v>0</v>
      </c>
      <c r="DD336" s="15">
        <v>0</v>
      </c>
      <c r="DE336" s="15">
        <v>0</v>
      </c>
      <c r="DF336" s="15">
        <v>0</v>
      </c>
      <c r="DG336" s="15">
        <v>0</v>
      </c>
      <c r="DH336" s="15">
        <v>0</v>
      </c>
      <c r="DI336" s="15">
        <v>0</v>
      </c>
      <c r="DJ336" s="15">
        <v>0</v>
      </c>
      <c r="DK336" s="15">
        <v>0</v>
      </c>
      <c r="DL336" s="15">
        <v>0</v>
      </c>
      <c r="DM336" s="15">
        <v>0</v>
      </c>
      <c r="DN336" s="15">
        <v>0</v>
      </c>
      <c r="DO336" s="15">
        <v>0</v>
      </c>
      <c r="DP336" s="15">
        <v>0</v>
      </c>
      <c r="DQ336" s="15">
        <v>0</v>
      </c>
      <c r="DR336" s="15">
        <v>0</v>
      </c>
      <c r="DS336" s="15">
        <v>0</v>
      </c>
      <c r="DT336" s="15">
        <v>0</v>
      </c>
      <c r="DU336" s="15">
        <v>0</v>
      </c>
      <c r="DV336" s="15">
        <v>0</v>
      </c>
      <c r="DW336" s="15">
        <v>0</v>
      </c>
      <c r="DX336" s="15">
        <v>0</v>
      </c>
      <c r="DY336" s="15">
        <v>0</v>
      </c>
      <c r="DZ336" s="15">
        <v>0</v>
      </c>
      <c r="EA336" s="15">
        <v>0</v>
      </c>
      <c r="EB336" s="15">
        <v>0</v>
      </c>
      <c r="EC336" s="15">
        <v>0</v>
      </c>
      <c r="ED336" s="15">
        <v>0</v>
      </c>
      <c r="EE336" s="15">
        <v>0</v>
      </c>
      <c r="EF336" s="15">
        <v>0</v>
      </c>
    </row>
    <row r="337" spans="1:136" ht="15" customHeight="1" x14ac:dyDescent="0.35">
      <c r="A337" s="8" t="s">
        <v>12</v>
      </c>
      <c r="B337" s="8" t="s">
        <v>116</v>
      </c>
      <c r="C337" s="8" t="s">
        <v>116</v>
      </c>
      <c r="D337" s="8" t="s">
        <v>318</v>
      </c>
      <c r="E337" s="8" t="s">
        <v>10</v>
      </c>
      <c r="F337" s="8" t="s">
        <v>82</v>
      </c>
      <c r="G337" s="15">
        <v>11.5</v>
      </c>
      <c r="H337" s="15">
        <v>11.5</v>
      </c>
      <c r="I337" s="15">
        <v>11.5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11.5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0</v>
      </c>
      <c r="AW337" s="15">
        <v>0</v>
      </c>
      <c r="AX337" s="15">
        <v>0</v>
      </c>
      <c r="AY337" s="15">
        <v>0</v>
      </c>
      <c r="AZ337" s="15">
        <v>0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5">
        <v>0</v>
      </c>
      <c r="CH337" s="15">
        <v>0</v>
      </c>
      <c r="CI337" s="15">
        <v>0</v>
      </c>
      <c r="CJ337" s="15">
        <v>0</v>
      </c>
      <c r="CK337" s="15">
        <v>0</v>
      </c>
      <c r="CL337" s="15">
        <v>0</v>
      </c>
      <c r="CM337" s="15">
        <v>0</v>
      </c>
      <c r="CN337" s="15">
        <v>0</v>
      </c>
      <c r="CO337" s="15">
        <v>0</v>
      </c>
      <c r="CP337" s="15">
        <v>0</v>
      </c>
      <c r="CQ337" s="15">
        <v>0</v>
      </c>
      <c r="CR337" s="15">
        <v>0</v>
      </c>
      <c r="CS337" s="15">
        <v>0</v>
      </c>
      <c r="CT337" s="15">
        <v>0</v>
      </c>
      <c r="CU337" s="15">
        <v>0</v>
      </c>
      <c r="CV337" s="15">
        <v>0</v>
      </c>
      <c r="CW337" s="15">
        <v>0</v>
      </c>
      <c r="CX337" s="15">
        <v>0</v>
      </c>
      <c r="CY337" s="15">
        <v>0</v>
      </c>
      <c r="CZ337" s="15">
        <v>0</v>
      </c>
      <c r="DA337" s="15">
        <v>0</v>
      </c>
      <c r="DB337" s="15">
        <v>0</v>
      </c>
      <c r="DC337" s="15">
        <v>0</v>
      </c>
      <c r="DD337" s="15">
        <v>0</v>
      </c>
      <c r="DE337" s="15">
        <v>0</v>
      </c>
      <c r="DF337" s="15">
        <v>0</v>
      </c>
      <c r="DG337" s="15">
        <v>0</v>
      </c>
      <c r="DH337" s="15">
        <v>0</v>
      </c>
      <c r="DI337" s="15">
        <v>0</v>
      </c>
      <c r="DJ337" s="15">
        <v>0</v>
      </c>
      <c r="DK337" s="15">
        <v>0</v>
      </c>
      <c r="DL337" s="15">
        <v>0</v>
      </c>
      <c r="DM337" s="15">
        <v>0</v>
      </c>
      <c r="DN337" s="15">
        <v>0</v>
      </c>
      <c r="DO337" s="15">
        <v>0</v>
      </c>
      <c r="DP337" s="15">
        <v>0</v>
      </c>
      <c r="DQ337" s="15">
        <v>0</v>
      </c>
      <c r="DR337" s="15">
        <v>0</v>
      </c>
      <c r="DS337" s="15">
        <v>0</v>
      </c>
      <c r="DT337" s="15">
        <v>0</v>
      </c>
      <c r="DU337" s="15">
        <v>0</v>
      </c>
      <c r="DV337" s="15">
        <v>0</v>
      </c>
      <c r="DW337" s="15">
        <v>0</v>
      </c>
      <c r="DX337" s="15">
        <v>0</v>
      </c>
      <c r="DY337" s="15">
        <v>0</v>
      </c>
      <c r="DZ337" s="15">
        <v>0</v>
      </c>
      <c r="EA337" s="15">
        <v>0</v>
      </c>
      <c r="EB337" s="15">
        <v>0</v>
      </c>
      <c r="EC337" s="15">
        <v>0</v>
      </c>
      <c r="ED337" s="15">
        <v>0</v>
      </c>
      <c r="EE337" s="15">
        <v>0</v>
      </c>
      <c r="EF337" s="15">
        <v>0</v>
      </c>
    </row>
    <row r="338" spans="1:136" ht="15" customHeight="1" x14ac:dyDescent="0.35">
      <c r="A338" s="8" t="s">
        <v>12</v>
      </c>
      <c r="B338" s="8" t="s">
        <v>116</v>
      </c>
      <c r="C338" s="8" t="s">
        <v>116</v>
      </c>
      <c r="D338" s="8" t="s">
        <v>317</v>
      </c>
      <c r="E338" s="8" t="s">
        <v>10</v>
      </c>
      <c r="F338" s="8" t="s">
        <v>82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5">
        <v>0</v>
      </c>
      <c r="AZ338" s="15">
        <v>0</v>
      </c>
      <c r="BA338" s="15">
        <v>0</v>
      </c>
      <c r="BB338" s="15">
        <v>0</v>
      </c>
      <c r="BC338" s="15">
        <v>0</v>
      </c>
      <c r="BD338" s="15">
        <v>0</v>
      </c>
      <c r="BE338" s="15">
        <v>0</v>
      </c>
      <c r="BF338" s="15">
        <v>0</v>
      </c>
      <c r="BG338" s="15">
        <v>0</v>
      </c>
      <c r="BH338" s="15">
        <v>0</v>
      </c>
      <c r="BI338" s="15">
        <v>0</v>
      </c>
      <c r="BJ338" s="15">
        <v>0</v>
      </c>
      <c r="BK338" s="15">
        <v>0</v>
      </c>
      <c r="BL338" s="15">
        <v>0</v>
      </c>
      <c r="BM338" s="15">
        <v>0</v>
      </c>
      <c r="BN338" s="15">
        <v>0</v>
      </c>
      <c r="BO338" s="15">
        <v>0</v>
      </c>
      <c r="BP338" s="15">
        <v>0</v>
      </c>
      <c r="BQ338" s="15">
        <v>0</v>
      </c>
      <c r="BR338" s="15">
        <v>0</v>
      </c>
      <c r="BS338" s="15">
        <v>0</v>
      </c>
      <c r="BT338" s="15">
        <v>0</v>
      </c>
      <c r="BU338" s="15">
        <v>0</v>
      </c>
      <c r="BV338" s="15">
        <v>0</v>
      </c>
      <c r="BW338" s="15">
        <v>0</v>
      </c>
      <c r="BX338" s="15">
        <v>0</v>
      </c>
      <c r="BY338" s="15">
        <v>0</v>
      </c>
      <c r="BZ338" s="15">
        <v>0</v>
      </c>
      <c r="CA338" s="15">
        <v>0</v>
      </c>
      <c r="CB338" s="15">
        <v>0</v>
      </c>
      <c r="CC338" s="15">
        <v>0</v>
      </c>
      <c r="CD338" s="15">
        <v>0</v>
      </c>
      <c r="CE338" s="15">
        <v>0</v>
      </c>
      <c r="CF338" s="15">
        <v>0</v>
      </c>
      <c r="CG338" s="15">
        <v>0</v>
      </c>
      <c r="CH338" s="15">
        <v>0</v>
      </c>
      <c r="CI338" s="15">
        <v>0</v>
      </c>
      <c r="CJ338" s="15">
        <v>0</v>
      </c>
      <c r="CK338" s="15">
        <v>0</v>
      </c>
      <c r="CL338" s="15">
        <v>0</v>
      </c>
      <c r="CM338" s="15">
        <v>0</v>
      </c>
      <c r="CN338" s="15">
        <v>0</v>
      </c>
      <c r="CO338" s="15">
        <v>0</v>
      </c>
      <c r="CP338" s="15">
        <v>0</v>
      </c>
      <c r="CQ338" s="15">
        <v>0</v>
      </c>
      <c r="CR338" s="15">
        <v>0</v>
      </c>
      <c r="CS338" s="15">
        <v>0</v>
      </c>
      <c r="CT338" s="15">
        <v>0</v>
      </c>
      <c r="CU338" s="15">
        <v>0</v>
      </c>
      <c r="CV338" s="15">
        <v>0</v>
      </c>
      <c r="CW338" s="15">
        <v>0</v>
      </c>
      <c r="CX338" s="15">
        <v>0</v>
      </c>
      <c r="CY338" s="15">
        <v>0</v>
      </c>
      <c r="CZ338" s="15">
        <v>0</v>
      </c>
      <c r="DA338" s="15">
        <v>0</v>
      </c>
      <c r="DB338" s="15">
        <v>0</v>
      </c>
      <c r="DC338" s="15">
        <v>0</v>
      </c>
      <c r="DD338" s="15">
        <v>0</v>
      </c>
      <c r="DE338" s="15">
        <v>0</v>
      </c>
      <c r="DF338" s="15">
        <v>0</v>
      </c>
      <c r="DG338" s="15">
        <v>0</v>
      </c>
      <c r="DH338" s="15">
        <v>0</v>
      </c>
      <c r="DI338" s="15">
        <v>0</v>
      </c>
      <c r="DJ338" s="15">
        <v>0</v>
      </c>
      <c r="DK338" s="15">
        <v>0</v>
      </c>
      <c r="DL338" s="15">
        <v>0</v>
      </c>
      <c r="DM338" s="15">
        <v>0</v>
      </c>
      <c r="DN338" s="15">
        <v>0</v>
      </c>
      <c r="DO338" s="15">
        <v>0</v>
      </c>
      <c r="DP338" s="15">
        <v>0</v>
      </c>
      <c r="DQ338" s="15">
        <v>0</v>
      </c>
      <c r="DR338" s="15">
        <v>0</v>
      </c>
      <c r="DS338" s="15">
        <v>0</v>
      </c>
      <c r="DT338" s="15">
        <v>0</v>
      </c>
      <c r="DU338" s="15">
        <v>0</v>
      </c>
      <c r="DV338" s="15">
        <v>0</v>
      </c>
      <c r="DW338" s="15">
        <v>0</v>
      </c>
      <c r="DX338" s="15">
        <v>0</v>
      </c>
      <c r="DY338" s="15">
        <v>0</v>
      </c>
      <c r="DZ338" s="15">
        <v>0</v>
      </c>
      <c r="EA338" s="15">
        <v>0</v>
      </c>
      <c r="EB338" s="15">
        <v>0</v>
      </c>
      <c r="EC338" s="15">
        <v>0</v>
      </c>
      <c r="ED338" s="15">
        <v>0</v>
      </c>
      <c r="EE338" s="15">
        <v>0</v>
      </c>
      <c r="EF338" s="15">
        <v>0</v>
      </c>
    </row>
    <row r="339" spans="1:136" ht="15" customHeight="1" x14ac:dyDescent="0.35">
      <c r="A339" s="8" t="s">
        <v>12</v>
      </c>
      <c r="B339" s="8" t="s">
        <v>116</v>
      </c>
      <c r="C339" s="8" t="s">
        <v>116</v>
      </c>
      <c r="D339" s="8" t="s">
        <v>318</v>
      </c>
      <c r="E339" s="8" t="s">
        <v>10</v>
      </c>
      <c r="F339" s="8" t="s">
        <v>83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</v>
      </c>
      <c r="AW339" s="15">
        <v>0</v>
      </c>
      <c r="AX339" s="15">
        <v>0</v>
      </c>
      <c r="AY339" s="15">
        <v>0</v>
      </c>
      <c r="AZ339" s="15">
        <v>0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5">
        <v>0</v>
      </c>
      <c r="CH339" s="15">
        <v>0</v>
      </c>
      <c r="CI339" s="15">
        <v>0</v>
      </c>
      <c r="CJ339" s="15">
        <v>0</v>
      </c>
      <c r="CK339" s="15">
        <v>0</v>
      </c>
      <c r="CL339" s="15">
        <v>0</v>
      </c>
      <c r="CM339" s="15">
        <v>0</v>
      </c>
      <c r="CN339" s="15">
        <v>0</v>
      </c>
      <c r="CO339" s="15">
        <v>0</v>
      </c>
      <c r="CP339" s="15">
        <v>0</v>
      </c>
      <c r="CQ339" s="15">
        <v>0</v>
      </c>
      <c r="CR339" s="15">
        <v>0</v>
      </c>
      <c r="CS339" s="15">
        <v>0</v>
      </c>
      <c r="CT339" s="15">
        <v>0</v>
      </c>
      <c r="CU339" s="15">
        <v>0</v>
      </c>
      <c r="CV339" s="15">
        <v>0</v>
      </c>
      <c r="CW339" s="15">
        <v>0</v>
      </c>
      <c r="CX339" s="15">
        <v>0</v>
      </c>
      <c r="CY339" s="15">
        <v>0</v>
      </c>
      <c r="CZ339" s="15">
        <v>0</v>
      </c>
      <c r="DA339" s="15">
        <v>0</v>
      </c>
      <c r="DB339" s="15">
        <v>0</v>
      </c>
      <c r="DC339" s="15">
        <v>0</v>
      </c>
      <c r="DD339" s="15">
        <v>0</v>
      </c>
      <c r="DE339" s="15">
        <v>0</v>
      </c>
      <c r="DF339" s="15">
        <v>0</v>
      </c>
      <c r="DG339" s="15">
        <v>0</v>
      </c>
      <c r="DH339" s="15">
        <v>0</v>
      </c>
      <c r="DI339" s="15">
        <v>0</v>
      </c>
      <c r="DJ339" s="15">
        <v>0</v>
      </c>
      <c r="DK339" s="15">
        <v>0</v>
      </c>
      <c r="DL339" s="15">
        <v>0</v>
      </c>
      <c r="DM339" s="15">
        <v>0</v>
      </c>
      <c r="DN339" s="15">
        <v>0</v>
      </c>
      <c r="DO339" s="15">
        <v>0</v>
      </c>
      <c r="DP339" s="15">
        <v>0</v>
      </c>
      <c r="DQ339" s="15">
        <v>0</v>
      </c>
      <c r="DR339" s="15">
        <v>0</v>
      </c>
      <c r="DS339" s="15">
        <v>0</v>
      </c>
      <c r="DT339" s="15">
        <v>0</v>
      </c>
      <c r="DU339" s="15">
        <v>0</v>
      </c>
      <c r="DV339" s="15">
        <v>0</v>
      </c>
      <c r="DW339" s="15">
        <v>0</v>
      </c>
      <c r="DX339" s="15">
        <v>0</v>
      </c>
      <c r="DY339" s="15">
        <v>0</v>
      </c>
      <c r="DZ339" s="15">
        <v>0</v>
      </c>
      <c r="EA339" s="15">
        <v>0</v>
      </c>
      <c r="EB339" s="15">
        <v>0</v>
      </c>
      <c r="EC339" s="15">
        <v>0</v>
      </c>
      <c r="ED339" s="15">
        <v>0</v>
      </c>
      <c r="EE339" s="15">
        <v>0</v>
      </c>
      <c r="EF339" s="15">
        <v>0</v>
      </c>
    </row>
    <row r="340" spans="1:136" ht="15" customHeight="1" x14ac:dyDescent="0.35">
      <c r="A340" s="8" t="s">
        <v>12</v>
      </c>
      <c r="B340" s="8" t="s">
        <v>116</v>
      </c>
      <c r="C340" s="8" t="s">
        <v>116</v>
      </c>
      <c r="D340" s="8" t="s">
        <v>317</v>
      </c>
      <c r="E340" s="8" t="s">
        <v>10</v>
      </c>
      <c r="F340" s="8" t="s">
        <v>83</v>
      </c>
      <c r="G340" s="15">
        <v>0</v>
      </c>
      <c r="H340" s="15">
        <v>0</v>
      </c>
      <c r="I340" s="15">
        <v>16</v>
      </c>
      <c r="J340" s="15">
        <v>-16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10</v>
      </c>
      <c r="AN340" s="15">
        <v>2</v>
      </c>
      <c r="AO340" s="15">
        <v>4</v>
      </c>
      <c r="AP340" s="15">
        <v>0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5">
        <v>0</v>
      </c>
      <c r="AX340" s="15">
        <v>0</v>
      </c>
      <c r="AY340" s="15">
        <v>0</v>
      </c>
      <c r="AZ340" s="15">
        <v>0</v>
      </c>
      <c r="BA340" s="15">
        <v>0</v>
      </c>
      <c r="BB340" s="15">
        <v>0</v>
      </c>
      <c r="BC340" s="15">
        <v>0</v>
      </c>
      <c r="BD340" s="15">
        <v>0</v>
      </c>
      <c r="BE340" s="15">
        <v>0</v>
      </c>
      <c r="BF340" s="15">
        <v>0</v>
      </c>
      <c r="BG340" s="15">
        <v>0</v>
      </c>
      <c r="BH340" s="15">
        <v>0</v>
      </c>
      <c r="BI340" s="15">
        <v>0</v>
      </c>
      <c r="BJ340" s="15">
        <v>0</v>
      </c>
      <c r="BK340" s="15">
        <v>0</v>
      </c>
      <c r="BL340" s="15">
        <v>0</v>
      </c>
      <c r="BM340" s="15">
        <v>0</v>
      </c>
      <c r="BN340" s="15">
        <v>0</v>
      </c>
      <c r="BO340" s="15">
        <v>0</v>
      </c>
      <c r="BP340" s="15">
        <v>0</v>
      </c>
      <c r="BQ340" s="15">
        <v>0</v>
      </c>
      <c r="BR340" s="15">
        <v>0</v>
      </c>
      <c r="BS340" s="15">
        <v>0</v>
      </c>
      <c r="BT340" s="15">
        <v>0</v>
      </c>
      <c r="BU340" s="15">
        <v>0</v>
      </c>
      <c r="BV340" s="15">
        <v>0</v>
      </c>
      <c r="BW340" s="15">
        <v>0</v>
      </c>
      <c r="BX340" s="15">
        <v>0</v>
      </c>
      <c r="BY340" s="15">
        <v>0</v>
      </c>
      <c r="BZ340" s="15">
        <v>0</v>
      </c>
      <c r="CA340" s="15">
        <v>0</v>
      </c>
      <c r="CB340" s="15">
        <v>0</v>
      </c>
      <c r="CC340" s="15">
        <v>0</v>
      </c>
      <c r="CD340" s="15">
        <v>0</v>
      </c>
      <c r="CE340" s="15">
        <v>0</v>
      </c>
      <c r="CF340" s="15">
        <v>0</v>
      </c>
      <c r="CG340" s="15">
        <v>0</v>
      </c>
      <c r="CH340" s="15">
        <v>0</v>
      </c>
      <c r="CI340" s="15">
        <v>0</v>
      </c>
      <c r="CJ340" s="15">
        <v>0</v>
      </c>
      <c r="CK340" s="15">
        <v>0</v>
      </c>
      <c r="CL340" s="15">
        <v>0</v>
      </c>
      <c r="CM340" s="15">
        <v>0</v>
      </c>
      <c r="CN340" s="15">
        <v>0</v>
      </c>
      <c r="CO340" s="15">
        <v>0</v>
      </c>
      <c r="CP340" s="15">
        <v>0</v>
      </c>
      <c r="CQ340" s="15">
        <v>0</v>
      </c>
      <c r="CR340" s="15">
        <v>0</v>
      </c>
      <c r="CS340" s="15">
        <v>0</v>
      </c>
      <c r="CT340" s="15">
        <v>0</v>
      </c>
      <c r="CU340" s="15">
        <v>0</v>
      </c>
      <c r="CV340" s="15">
        <v>0</v>
      </c>
      <c r="CW340" s="15">
        <v>0</v>
      </c>
      <c r="CX340" s="15">
        <v>0</v>
      </c>
      <c r="CY340" s="15">
        <v>0</v>
      </c>
      <c r="CZ340" s="15">
        <v>0</v>
      </c>
      <c r="DA340" s="15">
        <v>0</v>
      </c>
      <c r="DB340" s="15">
        <v>0</v>
      </c>
      <c r="DC340" s="15">
        <v>0</v>
      </c>
      <c r="DD340" s="15">
        <v>0</v>
      </c>
      <c r="DE340" s="15">
        <v>0</v>
      </c>
      <c r="DF340" s="15">
        <v>0</v>
      </c>
      <c r="DG340" s="15">
        <v>0</v>
      </c>
      <c r="DH340" s="15">
        <v>0</v>
      </c>
      <c r="DI340" s="15">
        <v>0</v>
      </c>
      <c r="DJ340" s="15">
        <v>0</v>
      </c>
      <c r="DK340" s="15">
        <v>0</v>
      </c>
      <c r="DL340" s="15">
        <v>0</v>
      </c>
      <c r="DM340" s="15">
        <v>0</v>
      </c>
      <c r="DN340" s="15">
        <v>0</v>
      </c>
      <c r="DO340" s="15">
        <v>0</v>
      </c>
      <c r="DP340" s="15">
        <v>0</v>
      </c>
      <c r="DQ340" s="15">
        <v>0</v>
      </c>
      <c r="DR340" s="15">
        <v>0</v>
      </c>
      <c r="DS340" s="15">
        <v>0</v>
      </c>
      <c r="DT340" s="15">
        <v>0</v>
      </c>
      <c r="DU340" s="15">
        <v>0</v>
      </c>
      <c r="DV340" s="15">
        <v>0</v>
      </c>
      <c r="DW340" s="15">
        <v>0</v>
      </c>
      <c r="DX340" s="15">
        <v>0</v>
      </c>
      <c r="DY340" s="15">
        <v>0</v>
      </c>
      <c r="DZ340" s="15">
        <v>0</v>
      </c>
      <c r="EA340" s="15">
        <v>0</v>
      </c>
      <c r="EB340" s="15">
        <v>0</v>
      </c>
      <c r="EC340" s="15">
        <v>0</v>
      </c>
      <c r="ED340" s="15">
        <v>0</v>
      </c>
      <c r="EE340" s="15">
        <v>0</v>
      </c>
      <c r="EF340" s="15">
        <v>0</v>
      </c>
    </row>
    <row r="341" spans="1:136" ht="15" customHeight="1" x14ac:dyDescent="0.35">
      <c r="A341" s="8" t="s">
        <v>12</v>
      </c>
      <c r="B341" s="8" t="s">
        <v>116</v>
      </c>
      <c r="C341" s="8" t="s">
        <v>116</v>
      </c>
      <c r="D341" s="8" t="s">
        <v>317</v>
      </c>
      <c r="E341" s="8" t="s">
        <v>10</v>
      </c>
      <c r="F341" s="8" t="s">
        <v>40</v>
      </c>
      <c r="G341" s="15">
        <v>0</v>
      </c>
      <c r="H341" s="15">
        <v>0</v>
      </c>
      <c r="I341" s="15">
        <v>28.5</v>
      </c>
      <c r="J341" s="15">
        <v>-28.5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2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2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  <c r="AW341" s="15">
        <v>0</v>
      </c>
      <c r="AX341" s="15">
        <v>0</v>
      </c>
      <c r="AY341" s="15">
        <v>0</v>
      </c>
      <c r="AZ341" s="15">
        <v>0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5">
        <v>0</v>
      </c>
      <c r="CH341" s="15">
        <v>0</v>
      </c>
      <c r="CI341" s="15">
        <v>0</v>
      </c>
      <c r="CJ341" s="15">
        <v>0</v>
      </c>
      <c r="CK341" s="15">
        <v>0</v>
      </c>
      <c r="CL341" s="15">
        <v>0</v>
      </c>
      <c r="CM341" s="15">
        <v>0</v>
      </c>
      <c r="CN341" s="15">
        <v>0</v>
      </c>
      <c r="CO341" s="15">
        <v>0</v>
      </c>
      <c r="CP341" s="15">
        <v>0</v>
      </c>
      <c r="CQ341" s="15">
        <v>0</v>
      </c>
      <c r="CR341" s="15">
        <v>0</v>
      </c>
      <c r="CS341" s="15">
        <v>0</v>
      </c>
      <c r="CT341" s="15">
        <v>0</v>
      </c>
      <c r="CU341" s="15">
        <v>0</v>
      </c>
      <c r="CV341" s="15">
        <v>0</v>
      </c>
      <c r="CW341" s="15">
        <v>0</v>
      </c>
      <c r="CX341" s="15">
        <v>0</v>
      </c>
      <c r="CY341" s="15">
        <v>0</v>
      </c>
      <c r="CZ341" s="15">
        <v>0</v>
      </c>
      <c r="DA341" s="15">
        <v>0</v>
      </c>
      <c r="DB341" s="15">
        <v>0</v>
      </c>
      <c r="DC341" s="15">
        <v>0</v>
      </c>
      <c r="DD341" s="15">
        <v>0</v>
      </c>
      <c r="DE341" s="15">
        <v>0</v>
      </c>
      <c r="DF341" s="15">
        <v>0</v>
      </c>
      <c r="DG341" s="15">
        <v>0</v>
      </c>
      <c r="DH341" s="15">
        <v>0</v>
      </c>
      <c r="DI341" s="15">
        <v>0</v>
      </c>
      <c r="DJ341" s="15">
        <v>0</v>
      </c>
      <c r="DK341" s="15">
        <v>0</v>
      </c>
      <c r="DL341" s="15">
        <v>0</v>
      </c>
      <c r="DM341" s="15">
        <v>0</v>
      </c>
      <c r="DN341" s="15">
        <v>0</v>
      </c>
      <c r="DO341" s="15">
        <v>3</v>
      </c>
      <c r="DP341" s="15">
        <v>7.5</v>
      </c>
      <c r="DQ341" s="15">
        <v>14</v>
      </c>
      <c r="DR341" s="15">
        <v>0</v>
      </c>
      <c r="DS341" s="15">
        <v>0</v>
      </c>
      <c r="DT341" s="15">
        <v>0</v>
      </c>
      <c r="DU341" s="15">
        <v>0</v>
      </c>
      <c r="DV341" s="15">
        <v>0</v>
      </c>
      <c r="DW341" s="15">
        <v>0</v>
      </c>
      <c r="DX341" s="15">
        <v>0</v>
      </c>
      <c r="DY341" s="15">
        <v>0</v>
      </c>
      <c r="DZ341" s="15">
        <v>0</v>
      </c>
      <c r="EA341" s="15">
        <v>0</v>
      </c>
      <c r="EB341" s="15">
        <v>0</v>
      </c>
      <c r="EC341" s="15">
        <v>0</v>
      </c>
      <c r="ED341" s="15">
        <v>0</v>
      </c>
      <c r="EE341" s="15">
        <v>0</v>
      </c>
      <c r="EF341" s="15">
        <v>0</v>
      </c>
    </row>
    <row r="342" spans="1:136" ht="15" customHeight="1" x14ac:dyDescent="0.35">
      <c r="A342" s="8" t="s">
        <v>12</v>
      </c>
      <c r="B342" s="8" t="s">
        <v>116</v>
      </c>
      <c r="C342" s="8" t="s">
        <v>116</v>
      </c>
      <c r="D342" s="8" t="s">
        <v>318</v>
      </c>
      <c r="E342" s="8" t="s">
        <v>10</v>
      </c>
      <c r="F342" s="8" t="s">
        <v>96</v>
      </c>
      <c r="G342" s="15">
        <v>23</v>
      </c>
      <c r="H342" s="15">
        <v>23</v>
      </c>
      <c r="I342" s="15">
        <v>23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3</v>
      </c>
      <c r="AC342" s="15">
        <v>13</v>
      </c>
      <c r="AD342" s="15">
        <v>6</v>
      </c>
      <c r="AE342" s="15">
        <v>0</v>
      </c>
      <c r="AF342" s="15">
        <v>1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5">
        <v>0</v>
      </c>
      <c r="BC342" s="15">
        <v>0</v>
      </c>
      <c r="BD342" s="15">
        <v>0</v>
      </c>
      <c r="BE342" s="15">
        <v>0</v>
      </c>
      <c r="BF342" s="15">
        <v>0</v>
      </c>
      <c r="BG342" s="15">
        <v>0</v>
      </c>
      <c r="BH342" s="15">
        <v>0</v>
      </c>
      <c r="BI342" s="15">
        <v>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  <c r="BP342" s="15">
        <v>0</v>
      </c>
      <c r="BQ342" s="15">
        <v>0</v>
      </c>
      <c r="BR342" s="15">
        <v>0</v>
      </c>
      <c r="BS342" s="15">
        <v>0</v>
      </c>
      <c r="BT342" s="15">
        <v>0</v>
      </c>
      <c r="BU342" s="15">
        <v>0</v>
      </c>
      <c r="BV342" s="15">
        <v>0</v>
      </c>
      <c r="BW342" s="15">
        <v>0</v>
      </c>
      <c r="BX342" s="15">
        <v>0</v>
      </c>
      <c r="BY342" s="15">
        <v>0</v>
      </c>
      <c r="BZ342" s="15">
        <v>0</v>
      </c>
      <c r="CA342" s="15">
        <v>0</v>
      </c>
      <c r="CB342" s="15">
        <v>0</v>
      </c>
      <c r="CC342" s="15">
        <v>0</v>
      </c>
      <c r="CD342" s="15">
        <v>0</v>
      </c>
      <c r="CE342" s="15">
        <v>0</v>
      </c>
      <c r="CF342" s="15">
        <v>0</v>
      </c>
      <c r="CG342" s="15">
        <v>0</v>
      </c>
      <c r="CH342" s="15">
        <v>0</v>
      </c>
      <c r="CI342" s="15">
        <v>0</v>
      </c>
      <c r="CJ342" s="15">
        <v>0</v>
      </c>
      <c r="CK342" s="15">
        <v>0</v>
      </c>
      <c r="CL342" s="15">
        <v>0</v>
      </c>
      <c r="CM342" s="15">
        <v>0</v>
      </c>
      <c r="CN342" s="15">
        <v>0</v>
      </c>
      <c r="CO342" s="15">
        <v>0</v>
      </c>
      <c r="CP342" s="15">
        <v>0</v>
      </c>
      <c r="CQ342" s="15">
        <v>0</v>
      </c>
      <c r="CR342" s="15">
        <v>0</v>
      </c>
      <c r="CS342" s="15">
        <v>0</v>
      </c>
      <c r="CT342" s="15">
        <v>0</v>
      </c>
      <c r="CU342" s="15">
        <v>0</v>
      </c>
      <c r="CV342" s="15">
        <v>0</v>
      </c>
      <c r="CW342" s="15">
        <v>0</v>
      </c>
      <c r="CX342" s="15">
        <v>0</v>
      </c>
      <c r="CY342" s="15">
        <v>0</v>
      </c>
      <c r="CZ342" s="15">
        <v>0</v>
      </c>
      <c r="DA342" s="15">
        <v>0</v>
      </c>
      <c r="DB342" s="15">
        <v>0</v>
      </c>
      <c r="DC342" s="15">
        <v>0</v>
      </c>
      <c r="DD342" s="15">
        <v>0</v>
      </c>
      <c r="DE342" s="15">
        <v>0</v>
      </c>
      <c r="DF342" s="15">
        <v>0</v>
      </c>
      <c r="DG342" s="15">
        <v>0</v>
      </c>
      <c r="DH342" s="15">
        <v>0</v>
      </c>
      <c r="DI342" s="15">
        <v>0</v>
      </c>
      <c r="DJ342" s="15">
        <v>0</v>
      </c>
      <c r="DK342" s="15">
        <v>0</v>
      </c>
      <c r="DL342" s="15">
        <v>0</v>
      </c>
      <c r="DM342" s="15">
        <v>0</v>
      </c>
      <c r="DN342" s="15">
        <v>0</v>
      </c>
      <c r="DO342" s="15">
        <v>0</v>
      </c>
      <c r="DP342" s="15">
        <v>0</v>
      </c>
      <c r="DQ342" s="15">
        <v>0</v>
      </c>
      <c r="DR342" s="15">
        <v>0</v>
      </c>
      <c r="DS342" s="15">
        <v>0</v>
      </c>
      <c r="DT342" s="15">
        <v>0</v>
      </c>
      <c r="DU342" s="15">
        <v>0</v>
      </c>
      <c r="DV342" s="15">
        <v>0</v>
      </c>
      <c r="DW342" s="15">
        <v>0</v>
      </c>
      <c r="DX342" s="15">
        <v>0</v>
      </c>
      <c r="DY342" s="15">
        <v>0</v>
      </c>
      <c r="DZ342" s="15">
        <v>0</v>
      </c>
      <c r="EA342" s="15">
        <v>0</v>
      </c>
      <c r="EB342" s="15">
        <v>0</v>
      </c>
      <c r="EC342" s="15">
        <v>0</v>
      </c>
      <c r="ED342" s="15">
        <v>0</v>
      </c>
      <c r="EE342" s="15">
        <v>0</v>
      </c>
      <c r="EF342" s="15">
        <v>0</v>
      </c>
    </row>
    <row r="343" spans="1:136" ht="15" customHeight="1" x14ac:dyDescent="0.35">
      <c r="A343" s="8" t="s">
        <v>12</v>
      </c>
      <c r="B343" s="8" t="s">
        <v>116</v>
      </c>
      <c r="C343" s="8" t="s">
        <v>116</v>
      </c>
      <c r="D343" s="8" t="s">
        <v>317</v>
      </c>
      <c r="E343" s="8" t="s">
        <v>10</v>
      </c>
      <c r="F343" s="8" t="s">
        <v>96</v>
      </c>
      <c r="G343" s="15">
        <v>0</v>
      </c>
      <c r="H343" s="15">
        <v>0</v>
      </c>
      <c r="I343" s="15">
        <v>197.5</v>
      </c>
      <c r="J343" s="15">
        <v>-197.5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4.5</v>
      </c>
      <c r="AK343" s="15">
        <v>0</v>
      </c>
      <c r="AL343" s="15">
        <v>4</v>
      </c>
      <c r="AM343" s="15">
        <v>0</v>
      </c>
      <c r="AN343" s="15">
        <v>0</v>
      </c>
      <c r="AO343" s="15">
        <v>6.5</v>
      </c>
      <c r="AP343" s="15">
        <v>11.5</v>
      </c>
      <c r="AQ343" s="15">
        <v>20</v>
      </c>
      <c r="AR343" s="15">
        <v>3</v>
      </c>
      <c r="AS343" s="15">
        <v>0</v>
      </c>
      <c r="AT343" s="15">
        <v>0</v>
      </c>
      <c r="AU343" s="15">
        <v>0</v>
      </c>
      <c r="AV343" s="15">
        <v>0</v>
      </c>
      <c r="AW343" s="15">
        <v>0</v>
      </c>
      <c r="AX343" s="15">
        <v>0</v>
      </c>
      <c r="AY343" s="15">
        <v>0</v>
      </c>
      <c r="AZ343" s="15">
        <v>0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5">
        <v>0</v>
      </c>
      <c r="CH343" s="15">
        <v>0</v>
      </c>
      <c r="CI343" s="15">
        <v>0</v>
      </c>
      <c r="CJ343" s="15">
        <v>0</v>
      </c>
      <c r="CK343" s="15">
        <v>0</v>
      </c>
      <c r="CL343" s="15">
        <v>0</v>
      </c>
      <c r="CM343" s="15">
        <v>0</v>
      </c>
      <c r="CN343" s="15">
        <v>0</v>
      </c>
      <c r="CO343" s="15">
        <v>0</v>
      </c>
      <c r="CP343" s="15">
        <v>0</v>
      </c>
      <c r="CQ343" s="15">
        <v>0</v>
      </c>
      <c r="CR343" s="15">
        <v>0</v>
      </c>
      <c r="CS343" s="15">
        <v>6</v>
      </c>
      <c r="CT343" s="15">
        <v>0</v>
      </c>
      <c r="CU343" s="15">
        <v>0</v>
      </c>
      <c r="CV343" s="15">
        <v>6</v>
      </c>
      <c r="CW343" s="15">
        <v>6</v>
      </c>
      <c r="CX343" s="15">
        <v>0</v>
      </c>
      <c r="CY343" s="15">
        <v>0</v>
      </c>
      <c r="CZ343" s="15">
        <v>6</v>
      </c>
      <c r="DA343" s="15">
        <v>6</v>
      </c>
      <c r="DB343" s="15">
        <v>6</v>
      </c>
      <c r="DC343" s="15">
        <v>6</v>
      </c>
      <c r="DD343" s="15">
        <v>8</v>
      </c>
      <c r="DE343" s="15">
        <v>0</v>
      </c>
      <c r="DF343" s="15">
        <v>8</v>
      </c>
      <c r="DG343" s="15">
        <v>8</v>
      </c>
      <c r="DH343" s="15">
        <v>8</v>
      </c>
      <c r="DI343" s="15">
        <v>0</v>
      </c>
      <c r="DJ343" s="15">
        <v>0</v>
      </c>
      <c r="DK343" s="15">
        <v>12</v>
      </c>
      <c r="DL343" s="15">
        <v>12</v>
      </c>
      <c r="DM343" s="15">
        <v>12</v>
      </c>
      <c r="DN343" s="15">
        <v>12</v>
      </c>
      <c r="DO343" s="15">
        <v>10</v>
      </c>
      <c r="DP343" s="15">
        <v>8</v>
      </c>
      <c r="DQ343" s="15">
        <v>8</v>
      </c>
      <c r="DR343" s="15">
        <v>0</v>
      </c>
      <c r="DS343" s="15">
        <v>0</v>
      </c>
      <c r="DT343" s="15">
        <v>0</v>
      </c>
      <c r="DU343" s="15">
        <v>0</v>
      </c>
      <c r="DV343" s="15">
        <v>0</v>
      </c>
      <c r="DW343" s="15">
        <v>0</v>
      </c>
      <c r="DX343" s="15">
        <v>0</v>
      </c>
      <c r="DY343" s="15">
        <v>0</v>
      </c>
      <c r="DZ343" s="15">
        <v>0</v>
      </c>
      <c r="EA343" s="15">
        <v>0</v>
      </c>
      <c r="EB343" s="15">
        <v>0</v>
      </c>
      <c r="EC343" s="15">
        <v>0</v>
      </c>
      <c r="ED343" s="15">
        <v>0</v>
      </c>
      <c r="EE343" s="15">
        <v>0</v>
      </c>
      <c r="EF343" s="15">
        <v>0</v>
      </c>
    </row>
    <row r="344" spans="1:136" ht="15" customHeight="1" x14ac:dyDescent="0.35">
      <c r="A344" s="8" t="s">
        <v>12</v>
      </c>
      <c r="B344" s="8" t="s">
        <v>116</v>
      </c>
      <c r="C344" s="8" t="s">
        <v>116</v>
      </c>
      <c r="D344" s="8" t="s">
        <v>317</v>
      </c>
      <c r="E344" s="8" t="s">
        <v>10</v>
      </c>
      <c r="F344" s="8" t="s">
        <v>85</v>
      </c>
      <c r="G344" s="15">
        <v>64</v>
      </c>
      <c r="H344" s="15">
        <v>312</v>
      </c>
      <c r="I344" s="15">
        <v>288</v>
      </c>
      <c r="J344" s="15">
        <v>24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5">
        <v>3</v>
      </c>
      <c r="AS344" s="15">
        <v>0</v>
      </c>
      <c r="AT344" s="15">
        <v>0</v>
      </c>
      <c r="AU344" s="15">
        <v>0</v>
      </c>
      <c r="AV344" s="15">
        <v>0</v>
      </c>
      <c r="AW344" s="15">
        <v>0</v>
      </c>
      <c r="AX344" s="15">
        <v>0</v>
      </c>
      <c r="AY344" s="15">
        <v>0</v>
      </c>
      <c r="AZ344" s="15">
        <v>0</v>
      </c>
      <c r="BA344" s="15">
        <v>0</v>
      </c>
      <c r="BB344" s="15">
        <v>0</v>
      </c>
      <c r="BC344" s="15">
        <v>0</v>
      </c>
      <c r="BD344" s="15">
        <v>0</v>
      </c>
      <c r="BE344" s="15">
        <v>0</v>
      </c>
      <c r="BF344" s="15">
        <v>0</v>
      </c>
      <c r="BG344" s="15">
        <v>0</v>
      </c>
      <c r="BH344" s="15">
        <v>0</v>
      </c>
      <c r="BI344" s="15">
        <v>0</v>
      </c>
      <c r="BJ344" s="15">
        <v>0</v>
      </c>
      <c r="BK344" s="15">
        <v>0</v>
      </c>
      <c r="BL344" s="15">
        <v>0</v>
      </c>
      <c r="BM344" s="15">
        <v>0</v>
      </c>
      <c r="BN344" s="15">
        <v>0</v>
      </c>
      <c r="BO344" s="15">
        <v>0</v>
      </c>
      <c r="BP344" s="15">
        <v>0</v>
      </c>
      <c r="BQ344" s="15">
        <v>0</v>
      </c>
      <c r="BR344" s="15">
        <v>0</v>
      </c>
      <c r="BS344" s="15">
        <v>0</v>
      </c>
      <c r="BT344" s="15">
        <v>0</v>
      </c>
      <c r="BU344" s="15">
        <v>0</v>
      </c>
      <c r="BV344" s="15">
        <v>0</v>
      </c>
      <c r="BW344" s="15">
        <v>0</v>
      </c>
      <c r="BX344" s="15">
        <v>0</v>
      </c>
      <c r="BY344" s="15">
        <v>0</v>
      </c>
      <c r="BZ344" s="15">
        <v>0</v>
      </c>
      <c r="CA344" s="15">
        <v>0</v>
      </c>
      <c r="CB344" s="15">
        <v>0</v>
      </c>
      <c r="CC344" s="15">
        <v>0</v>
      </c>
      <c r="CD344" s="15">
        <v>0</v>
      </c>
      <c r="CE344" s="15">
        <v>0</v>
      </c>
      <c r="CF344" s="15">
        <v>0</v>
      </c>
      <c r="CG344" s="15">
        <v>0</v>
      </c>
      <c r="CH344" s="15">
        <v>0</v>
      </c>
      <c r="CI344" s="15">
        <v>0</v>
      </c>
      <c r="CJ344" s="15">
        <v>0</v>
      </c>
      <c r="CK344" s="15">
        <v>0</v>
      </c>
      <c r="CL344" s="15">
        <v>0</v>
      </c>
      <c r="CM344" s="15">
        <v>0</v>
      </c>
      <c r="CN344" s="15">
        <v>0</v>
      </c>
      <c r="CO344" s="15">
        <v>0</v>
      </c>
      <c r="CP344" s="15">
        <v>0</v>
      </c>
      <c r="CQ344" s="15">
        <v>0</v>
      </c>
      <c r="CR344" s="15">
        <v>0</v>
      </c>
      <c r="CS344" s="15">
        <v>10</v>
      </c>
      <c r="CT344" s="15">
        <v>20</v>
      </c>
      <c r="CU344" s="15">
        <v>20</v>
      </c>
      <c r="CV344" s="15">
        <v>10</v>
      </c>
      <c r="CW344" s="15">
        <v>5</v>
      </c>
      <c r="CX344" s="15">
        <v>5</v>
      </c>
      <c r="CY344" s="15">
        <v>5</v>
      </c>
      <c r="CZ344" s="15">
        <v>5</v>
      </c>
      <c r="DA344" s="15">
        <v>20</v>
      </c>
      <c r="DB344" s="15">
        <v>20</v>
      </c>
      <c r="DC344" s="15">
        <v>20</v>
      </c>
      <c r="DD344" s="15">
        <v>20</v>
      </c>
      <c r="DE344" s="15">
        <v>10</v>
      </c>
      <c r="DF344" s="15">
        <v>10</v>
      </c>
      <c r="DG344" s="15">
        <v>10</v>
      </c>
      <c r="DH344" s="15">
        <v>10</v>
      </c>
      <c r="DI344" s="15">
        <v>0</v>
      </c>
      <c r="DJ344" s="15">
        <v>0</v>
      </c>
      <c r="DK344" s="15">
        <v>20</v>
      </c>
      <c r="DL344" s="15">
        <v>20</v>
      </c>
      <c r="DM344" s="15">
        <v>15</v>
      </c>
      <c r="DN344" s="15">
        <v>15</v>
      </c>
      <c r="DO344" s="15">
        <v>15</v>
      </c>
      <c r="DP344" s="15">
        <v>0</v>
      </c>
      <c r="DQ344" s="15">
        <v>0</v>
      </c>
      <c r="DR344" s="15">
        <v>0</v>
      </c>
      <c r="DS344" s="15">
        <v>0</v>
      </c>
      <c r="DT344" s="15">
        <v>0</v>
      </c>
      <c r="DU344" s="15">
        <v>0</v>
      </c>
      <c r="DV344" s="15">
        <v>0</v>
      </c>
      <c r="DW344" s="15">
        <v>0</v>
      </c>
      <c r="DX344" s="15">
        <v>0</v>
      </c>
      <c r="DY344" s="15">
        <v>0</v>
      </c>
      <c r="DZ344" s="15">
        <v>0</v>
      </c>
      <c r="EA344" s="15">
        <v>0</v>
      </c>
      <c r="EB344" s="15">
        <v>0</v>
      </c>
      <c r="EC344" s="15">
        <v>0</v>
      </c>
      <c r="ED344" s="15">
        <v>0</v>
      </c>
      <c r="EE344" s="15">
        <v>0</v>
      </c>
      <c r="EF344" s="15">
        <v>0</v>
      </c>
    </row>
    <row r="345" spans="1:136" ht="15" customHeight="1" x14ac:dyDescent="0.35">
      <c r="A345" s="8" t="s">
        <v>12</v>
      </c>
      <c r="B345" s="8" t="s">
        <v>116</v>
      </c>
      <c r="C345" s="8" t="s">
        <v>116</v>
      </c>
      <c r="D345" s="8" t="s">
        <v>318</v>
      </c>
      <c r="E345" s="8" t="s">
        <v>10</v>
      </c>
      <c r="F345" s="8" t="s">
        <v>99</v>
      </c>
      <c r="G345" s="15">
        <v>13</v>
      </c>
      <c r="H345" s="15">
        <v>26</v>
      </c>
      <c r="I345" s="15">
        <v>0</v>
      </c>
      <c r="J345" s="15">
        <v>26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  <c r="AW345" s="15">
        <v>0</v>
      </c>
      <c r="AX345" s="15">
        <v>0</v>
      </c>
      <c r="AY345" s="15">
        <v>0</v>
      </c>
      <c r="AZ345" s="15">
        <v>0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5">
        <v>0</v>
      </c>
      <c r="CH345" s="15">
        <v>0</v>
      </c>
      <c r="CI345" s="15">
        <v>0</v>
      </c>
      <c r="CJ345" s="15">
        <v>0</v>
      </c>
      <c r="CK345" s="15">
        <v>0</v>
      </c>
      <c r="CL345" s="15">
        <v>0</v>
      </c>
      <c r="CM345" s="15">
        <v>0</v>
      </c>
      <c r="CN345" s="15">
        <v>0</v>
      </c>
      <c r="CO345" s="15">
        <v>0</v>
      </c>
      <c r="CP345" s="15">
        <v>0</v>
      </c>
      <c r="CQ345" s="15">
        <v>0</v>
      </c>
      <c r="CR345" s="15">
        <v>0</v>
      </c>
      <c r="CS345" s="15">
        <v>0</v>
      </c>
      <c r="CT345" s="15">
        <v>0</v>
      </c>
      <c r="CU345" s="15">
        <v>0</v>
      </c>
      <c r="CV345" s="15">
        <v>0</v>
      </c>
      <c r="CW345" s="15">
        <v>0</v>
      </c>
      <c r="CX345" s="15">
        <v>0</v>
      </c>
      <c r="CY345" s="15">
        <v>0</v>
      </c>
      <c r="CZ345" s="15">
        <v>0</v>
      </c>
      <c r="DA345" s="15">
        <v>0</v>
      </c>
      <c r="DB345" s="15">
        <v>0</v>
      </c>
      <c r="DC345" s="15">
        <v>0</v>
      </c>
      <c r="DD345" s="15">
        <v>0</v>
      </c>
      <c r="DE345" s="15">
        <v>0</v>
      </c>
      <c r="DF345" s="15">
        <v>0</v>
      </c>
      <c r="DG345" s="15">
        <v>0</v>
      </c>
      <c r="DH345" s="15">
        <v>0</v>
      </c>
      <c r="DI345" s="15">
        <v>0</v>
      </c>
      <c r="DJ345" s="15">
        <v>0</v>
      </c>
      <c r="DK345" s="15">
        <v>0</v>
      </c>
      <c r="DL345" s="15">
        <v>0</v>
      </c>
      <c r="DM345" s="15">
        <v>0</v>
      </c>
      <c r="DN345" s="15">
        <v>0</v>
      </c>
      <c r="DO345" s="15">
        <v>0</v>
      </c>
      <c r="DP345" s="15">
        <v>0</v>
      </c>
      <c r="DQ345" s="15">
        <v>0</v>
      </c>
      <c r="DR345" s="15">
        <v>0</v>
      </c>
      <c r="DS345" s="15">
        <v>0</v>
      </c>
      <c r="DT345" s="15">
        <v>0</v>
      </c>
      <c r="DU345" s="15">
        <v>0</v>
      </c>
      <c r="DV345" s="15">
        <v>0</v>
      </c>
      <c r="DW345" s="15">
        <v>0</v>
      </c>
      <c r="DX345" s="15">
        <v>0</v>
      </c>
      <c r="DY345" s="15">
        <v>0</v>
      </c>
      <c r="DZ345" s="15">
        <v>0</v>
      </c>
      <c r="EA345" s="15">
        <v>0</v>
      </c>
      <c r="EB345" s="15">
        <v>0</v>
      </c>
      <c r="EC345" s="15">
        <v>0</v>
      </c>
      <c r="ED345" s="15">
        <v>0</v>
      </c>
      <c r="EE345" s="15">
        <v>0</v>
      </c>
      <c r="EF345" s="15">
        <v>0</v>
      </c>
    </row>
    <row r="346" spans="1:136" ht="15" customHeight="1" x14ac:dyDescent="0.35">
      <c r="A346" s="8" t="s">
        <v>12</v>
      </c>
      <c r="B346" s="8" t="s">
        <v>116</v>
      </c>
      <c r="C346" s="8" t="s">
        <v>116</v>
      </c>
      <c r="D346" s="8" t="s">
        <v>317</v>
      </c>
      <c r="E346" s="8" t="s">
        <v>10</v>
      </c>
      <c r="F346" s="8" t="s">
        <v>99</v>
      </c>
      <c r="G346" s="15">
        <v>0</v>
      </c>
      <c r="H346" s="15">
        <v>0</v>
      </c>
      <c r="I346" s="15">
        <v>13</v>
      </c>
      <c r="J346" s="15">
        <v>-13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0</v>
      </c>
      <c r="BD346" s="15">
        <v>0</v>
      </c>
      <c r="BE346" s="15">
        <v>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0</v>
      </c>
      <c r="BP346" s="15">
        <v>0</v>
      </c>
      <c r="BQ346" s="15">
        <v>0</v>
      </c>
      <c r="BR346" s="15">
        <v>0</v>
      </c>
      <c r="BS346" s="15">
        <v>0</v>
      </c>
      <c r="BT346" s="15">
        <v>0</v>
      </c>
      <c r="BU346" s="15">
        <v>0</v>
      </c>
      <c r="BV346" s="15">
        <v>0</v>
      </c>
      <c r="BW346" s="15">
        <v>0</v>
      </c>
      <c r="BX346" s="15">
        <v>0</v>
      </c>
      <c r="BY346" s="15">
        <v>0</v>
      </c>
      <c r="BZ346" s="15">
        <v>0</v>
      </c>
      <c r="CA346" s="15">
        <v>0</v>
      </c>
      <c r="CB346" s="15">
        <v>0</v>
      </c>
      <c r="CC346" s="15">
        <v>0</v>
      </c>
      <c r="CD346" s="15">
        <v>0</v>
      </c>
      <c r="CE346" s="15">
        <v>0</v>
      </c>
      <c r="CF346" s="15">
        <v>0</v>
      </c>
      <c r="CG346" s="15">
        <v>0</v>
      </c>
      <c r="CH346" s="15">
        <v>0</v>
      </c>
      <c r="CI346" s="15">
        <v>0</v>
      </c>
      <c r="CJ346" s="15">
        <v>0</v>
      </c>
      <c r="CK346" s="15">
        <v>0</v>
      </c>
      <c r="CL346" s="15">
        <v>0</v>
      </c>
      <c r="CM346" s="15">
        <v>0</v>
      </c>
      <c r="CN346" s="15">
        <v>0</v>
      </c>
      <c r="CO346" s="15">
        <v>0</v>
      </c>
      <c r="CP346" s="15">
        <v>0</v>
      </c>
      <c r="CQ346" s="15">
        <v>0</v>
      </c>
      <c r="CR346" s="15">
        <v>0</v>
      </c>
      <c r="CS346" s="15">
        <v>0</v>
      </c>
      <c r="CT346" s="15">
        <v>0</v>
      </c>
      <c r="CU346" s="15">
        <v>0</v>
      </c>
      <c r="CV346" s="15">
        <v>0</v>
      </c>
      <c r="CW346" s="15">
        <v>0</v>
      </c>
      <c r="CX346" s="15">
        <v>0</v>
      </c>
      <c r="CY346" s="15">
        <v>0</v>
      </c>
      <c r="CZ346" s="15">
        <v>0</v>
      </c>
      <c r="DA346" s="15">
        <v>0</v>
      </c>
      <c r="DB346" s="15">
        <v>1.5</v>
      </c>
      <c r="DC346" s="15">
        <v>1.5</v>
      </c>
      <c r="DD346" s="15">
        <v>3</v>
      </c>
      <c r="DE346" s="15">
        <v>0</v>
      </c>
      <c r="DF346" s="15">
        <v>0</v>
      </c>
      <c r="DG346" s="15">
        <v>0</v>
      </c>
      <c r="DH346" s="15">
        <v>0</v>
      </c>
      <c r="DI346" s="15">
        <v>0</v>
      </c>
      <c r="DJ346" s="15">
        <v>0</v>
      </c>
      <c r="DK346" s="15">
        <v>0</v>
      </c>
      <c r="DL346" s="15">
        <v>0</v>
      </c>
      <c r="DM346" s="15">
        <v>0</v>
      </c>
      <c r="DN346" s="15">
        <v>0</v>
      </c>
      <c r="DO346" s="15">
        <v>1.5</v>
      </c>
      <c r="DP346" s="15">
        <v>1.5</v>
      </c>
      <c r="DQ346" s="15">
        <v>4</v>
      </c>
      <c r="DR346" s="15">
        <v>0</v>
      </c>
      <c r="DS346" s="15">
        <v>0</v>
      </c>
      <c r="DT346" s="15">
        <v>0</v>
      </c>
      <c r="DU346" s="15">
        <v>0</v>
      </c>
      <c r="DV346" s="15">
        <v>0</v>
      </c>
      <c r="DW346" s="15">
        <v>0</v>
      </c>
      <c r="DX346" s="15">
        <v>0</v>
      </c>
      <c r="DY346" s="15">
        <v>0</v>
      </c>
      <c r="DZ346" s="15">
        <v>0</v>
      </c>
      <c r="EA346" s="15">
        <v>0</v>
      </c>
      <c r="EB346" s="15">
        <v>0</v>
      </c>
      <c r="EC346" s="15">
        <v>0</v>
      </c>
      <c r="ED346" s="15">
        <v>0</v>
      </c>
      <c r="EE346" s="15">
        <v>0</v>
      </c>
      <c r="EF346" s="15">
        <v>0</v>
      </c>
    </row>
    <row r="347" spans="1:136" ht="15" customHeight="1" x14ac:dyDescent="0.35">
      <c r="A347" s="8" t="s">
        <v>12</v>
      </c>
      <c r="B347" s="8" t="s">
        <v>116</v>
      </c>
      <c r="C347" s="8" t="s">
        <v>116</v>
      </c>
      <c r="D347" s="8" t="s">
        <v>317</v>
      </c>
      <c r="E347" s="8" t="s">
        <v>10</v>
      </c>
      <c r="F347" s="8" t="s">
        <v>43</v>
      </c>
      <c r="G347" s="15">
        <v>0</v>
      </c>
      <c r="H347" s="15">
        <v>0</v>
      </c>
      <c r="I347" s="15">
        <v>23</v>
      </c>
      <c r="J347" s="15">
        <v>-23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2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0</v>
      </c>
      <c r="AS347" s="15">
        <v>0</v>
      </c>
      <c r="AT347" s="15">
        <v>0</v>
      </c>
      <c r="AU347" s="15">
        <v>0</v>
      </c>
      <c r="AV347" s="15">
        <v>0</v>
      </c>
      <c r="AW347" s="15">
        <v>0</v>
      </c>
      <c r="AX347" s="15">
        <v>0</v>
      </c>
      <c r="AY347" s="15">
        <v>0</v>
      </c>
      <c r="AZ347" s="15">
        <v>0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5">
        <v>0</v>
      </c>
      <c r="CH347" s="15">
        <v>0</v>
      </c>
      <c r="CI347" s="15">
        <v>0</v>
      </c>
      <c r="CJ347" s="15">
        <v>0</v>
      </c>
      <c r="CK347" s="15">
        <v>0</v>
      </c>
      <c r="CL347" s="15">
        <v>0</v>
      </c>
      <c r="CM347" s="15">
        <v>0</v>
      </c>
      <c r="CN347" s="15">
        <v>0</v>
      </c>
      <c r="CO347" s="15">
        <v>0</v>
      </c>
      <c r="CP347" s="15">
        <v>0</v>
      </c>
      <c r="CQ347" s="15">
        <v>0</v>
      </c>
      <c r="CR347" s="15">
        <v>0</v>
      </c>
      <c r="CS347" s="15">
        <v>4</v>
      </c>
      <c r="CT347" s="15">
        <v>1</v>
      </c>
      <c r="CU347" s="15">
        <v>0</v>
      </c>
      <c r="CV347" s="15">
        <v>0</v>
      </c>
      <c r="CW347" s="15">
        <v>0</v>
      </c>
      <c r="CX347" s="15">
        <v>0</v>
      </c>
      <c r="CY347" s="15">
        <v>0</v>
      </c>
      <c r="CZ347" s="15">
        <v>0</v>
      </c>
      <c r="DA347" s="15">
        <v>0</v>
      </c>
      <c r="DB347" s="15">
        <v>0</v>
      </c>
      <c r="DC347" s="15">
        <v>1.5</v>
      </c>
      <c r="DD347" s="15">
        <v>1.5</v>
      </c>
      <c r="DE347" s="15">
        <v>3</v>
      </c>
      <c r="DF347" s="15">
        <v>1</v>
      </c>
      <c r="DG347" s="15">
        <v>0</v>
      </c>
      <c r="DH347" s="15">
        <v>0</v>
      </c>
      <c r="DI347" s="15">
        <v>0</v>
      </c>
      <c r="DJ347" s="15">
        <v>0</v>
      </c>
      <c r="DK347" s="15">
        <v>0</v>
      </c>
      <c r="DL347" s="15">
        <v>0</v>
      </c>
      <c r="DM347" s="15">
        <v>0</v>
      </c>
      <c r="DN347" s="15">
        <v>0</v>
      </c>
      <c r="DO347" s="15">
        <v>0</v>
      </c>
      <c r="DP347" s="15">
        <v>1.5</v>
      </c>
      <c r="DQ347" s="15">
        <v>1.5</v>
      </c>
      <c r="DR347" s="15">
        <v>6</v>
      </c>
      <c r="DS347" s="15">
        <v>0</v>
      </c>
      <c r="DT347" s="15">
        <v>0</v>
      </c>
      <c r="DU347" s="15">
        <v>0</v>
      </c>
      <c r="DV347" s="15">
        <v>0</v>
      </c>
      <c r="DW347" s="15">
        <v>0</v>
      </c>
      <c r="DX347" s="15">
        <v>0</v>
      </c>
      <c r="DY347" s="15">
        <v>0</v>
      </c>
      <c r="DZ347" s="15">
        <v>0</v>
      </c>
      <c r="EA347" s="15">
        <v>0</v>
      </c>
      <c r="EB347" s="15">
        <v>0</v>
      </c>
      <c r="EC347" s="15">
        <v>0</v>
      </c>
      <c r="ED347" s="15">
        <v>0</v>
      </c>
      <c r="EE347" s="15">
        <v>0</v>
      </c>
      <c r="EF347" s="15">
        <v>0</v>
      </c>
    </row>
    <row r="348" spans="1:136" ht="15" customHeight="1" x14ac:dyDescent="0.35">
      <c r="A348" s="8" t="s">
        <v>12</v>
      </c>
      <c r="B348" s="8" t="s">
        <v>116</v>
      </c>
      <c r="C348" s="8" t="s">
        <v>116</v>
      </c>
      <c r="D348" s="8" t="s">
        <v>317</v>
      </c>
      <c r="E348" s="8" t="s">
        <v>10</v>
      </c>
      <c r="F348" s="8" t="s">
        <v>100</v>
      </c>
      <c r="G348" s="15">
        <v>0</v>
      </c>
      <c r="H348" s="15">
        <v>0</v>
      </c>
      <c r="I348" s="15">
        <v>2</v>
      </c>
      <c r="J348" s="15">
        <v>-2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1</v>
      </c>
      <c r="AQ348" s="15">
        <v>1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5">
        <v>0</v>
      </c>
      <c r="BC348" s="15">
        <v>0</v>
      </c>
      <c r="BD348" s="15">
        <v>0</v>
      </c>
      <c r="BE348" s="15">
        <v>0</v>
      </c>
      <c r="BF348" s="15">
        <v>0</v>
      </c>
      <c r="BG348" s="15">
        <v>0</v>
      </c>
      <c r="BH348" s="15">
        <v>0</v>
      </c>
      <c r="BI348" s="15">
        <v>0</v>
      </c>
      <c r="BJ348" s="15">
        <v>0</v>
      </c>
      <c r="BK348" s="15">
        <v>0</v>
      </c>
      <c r="BL348" s="15">
        <v>0</v>
      </c>
      <c r="BM348" s="15">
        <v>0</v>
      </c>
      <c r="BN348" s="15">
        <v>0</v>
      </c>
      <c r="BO348" s="15">
        <v>0</v>
      </c>
      <c r="BP348" s="15">
        <v>0</v>
      </c>
      <c r="BQ348" s="15">
        <v>0</v>
      </c>
      <c r="BR348" s="15">
        <v>0</v>
      </c>
      <c r="BS348" s="15">
        <v>0</v>
      </c>
      <c r="BT348" s="15">
        <v>0</v>
      </c>
      <c r="BU348" s="15">
        <v>0</v>
      </c>
      <c r="BV348" s="15">
        <v>0</v>
      </c>
      <c r="BW348" s="15">
        <v>0</v>
      </c>
      <c r="BX348" s="15">
        <v>0</v>
      </c>
      <c r="BY348" s="15">
        <v>0</v>
      </c>
      <c r="BZ348" s="15">
        <v>0</v>
      </c>
      <c r="CA348" s="15">
        <v>0</v>
      </c>
      <c r="CB348" s="15">
        <v>0</v>
      </c>
      <c r="CC348" s="15">
        <v>0</v>
      </c>
      <c r="CD348" s="15">
        <v>0</v>
      </c>
      <c r="CE348" s="15">
        <v>0</v>
      </c>
      <c r="CF348" s="15">
        <v>0</v>
      </c>
      <c r="CG348" s="15">
        <v>0</v>
      </c>
      <c r="CH348" s="15">
        <v>0</v>
      </c>
      <c r="CI348" s="15">
        <v>0</v>
      </c>
      <c r="CJ348" s="15">
        <v>0</v>
      </c>
      <c r="CK348" s="15">
        <v>0</v>
      </c>
      <c r="CL348" s="15">
        <v>0</v>
      </c>
      <c r="CM348" s="15">
        <v>0</v>
      </c>
      <c r="CN348" s="15">
        <v>0</v>
      </c>
      <c r="CO348" s="15">
        <v>0</v>
      </c>
      <c r="CP348" s="15">
        <v>0</v>
      </c>
      <c r="CQ348" s="15">
        <v>0</v>
      </c>
      <c r="CR348" s="15">
        <v>0</v>
      </c>
      <c r="CS348" s="15">
        <v>0</v>
      </c>
      <c r="CT348" s="15">
        <v>0</v>
      </c>
      <c r="CU348" s="15">
        <v>0</v>
      </c>
      <c r="CV348" s="15">
        <v>0</v>
      </c>
      <c r="CW348" s="15">
        <v>0</v>
      </c>
      <c r="CX348" s="15">
        <v>0</v>
      </c>
      <c r="CY348" s="15">
        <v>0</v>
      </c>
      <c r="CZ348" s="15">
        <v>0</v>
      </c>
      <c r="DA348" s="15">
        <v>0</v>
      </c>
      <c r="DB348" s="15">
        <v>0</v>
      </c>
      <c r="DC348" s="15">
        <v>0</v>
      </c>
      <c r="DD348" s="15">
        <v>0</v>
      </c>
      <c r="DE348" s="15">
        <v>0</v>
      </c>
      <c r="DF348" s="15">
        <v>0</v>
      </c>
      <c r="DG348" s="15">
        <v>0</v>
      </c>
      <c r="DH348" s="15">
        <v>0</v>
      </c>
      <c r="DI348" s="15">
        <v>0</v>
      </c>
      <c r="DJ348" s="15">
        <v>0</v>
      </c>
      <c r="DK348" s="15">
        <v>0</v>
      </c>
      <c r="DL348" s="15">
        <v>0</v>
      </c>
      <c r="DM348" s="15">
        <v>0</v>
      </c>
      <c r="DN348" s="15">
        <v>0</v>
      </c>
      <c r="DO348" s="15">
        <v>0</v>
      </c>
      <c r="DP348" s="15">
        <v>0</v>
      </c>
      <c r="DQ348" s="15">
        <v>0</v>
      </c>
      <c r="DR348" s="15">
        <v>0</v>
      </c>
      <c r="DS348" s="15">
        <v>0</v>
      </c>
      <c r="DT348" s="15">
        <v>0</v>
      </c>
      <c r="DU348" s="15">
        <v>0</v>
      </c>
      <c r="DV348" s="15">
        <v>0</v>
      </c>
      <c r="DW348" s="15">
        <v>0</v>
      </c>
      <c r="DX348" s="15">
        <v>0</v>
      </c>
      <c r="DY348" s="15">
        <v>0</v>
      </c>
      <c r="DZ348" s="15">
        <v>0</v>
      </c>
      <c r="EA348" s="15">
        <v>0</v>
      </c>
      <c r="EB348" s="15">
        <v>0</v>
      </c>
      <c r="EC348" s="15">
        <v>0</v>
      </c>
      <c r="ED348" s="15">
        <v>0</v>
      </c>
      <c r="EE348" s="15">
        <v>0</v>
      </c>
      <c r="EF348" s="15">
        <v>0</v>
      </c>
    </row>
    <row r="349" spans="1:136" ht="15" customHeight="1" x14ac:dyDescent="0.35">
      <c r="A349" s="8" t="s">
        <v>12</v>
      </c>
      <c r="B349" s="8" t="s">
        <v>116</v>
      </c>
      <c r="C349" s="8" t="s">
        <v>116</v>
      </c>
      <c r="D349" s="8" t="s">
        <v>318</v>
      </c>
      <c r="E349" s="8" t="s">
        <v>10</v>
      </c>
      <c r="F349" s="8" t="s">
        <v>87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0</v>
      </c>
      <c r="AW349" s="15">
        <v>0</v>
      </c>
      <c r="AX349" s="15">
        <v>0</v>
      </c>
      <c r="AY349" s="15">
        <v>0</v>
      </c>
      <c r="AZ349" s="15">
        <v>0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5">
        <v>0</v>
      </c>
      <c r="CH349" s="15">
        <v>0</v>
      </c>
      <c r="CI349" s="15">
        <v>0</v>
      </c>
      <c r="CJ349" s="15">
        <v>0</v>
      </c>
      <c r="CK349" s="15">
        <v>0</v>
      </c>
      <c r="CL349" s="15">
        <v>0</v>
      </c>
      <c r="CM349" s="15">
        <v>0</v>
      </c>
      <c r="CN349" s="15">
        <v>0</v>
      </c>
      <c r="CO349" s="15">
        <v>0</v>
      </c>
      <c r="CP349" s="15">
        <v>0</v>
      </c>
      <c r="CQ349" s="15">
        <v>0</v>
      </c>
      <c r="CR349" s="15">
        <v>0</v>
      </c>
      <c r="CS349" s="15">
        <v>0</v>
      </c>
      <c r="CT349" s="15">
        <v>0</v>
      </c>
      <c r="CU349" s="15">
        <v>0</v>
      </c>
      <c r="CV349" s="15">
        <v>0</v>
      </c>
      <c r="CW349" s="15">
        <v>0</v>
      </c>
      <c r="CX349" s="15">
        <v>0</v>
      </c>
      <c r="CY349" s="15">
        <v>0</v>
      </c>
      <c r="CZ349" s="15">
        <v>0</v>
      </c>
      <c r="DA349" s="15">
        <v>0</v>
      </c>
      <c r="DB349" s="15">
        <v>0</v>
      </c>
      <c r="DC349" s="15">
        <v>0</v>
      </c>
      <c r="DD349" s="15">
        <v>0</v>
      </c>
      <c r="DE349" s="15">
        <v>0</v>
      </c>
      <c r="DF349" s="15">
        <v>0</v>
      </c>
      <c r="DG349" s="15">
        <v>0</v>
      </c>
      <c r="DH349" s="15">
        <v>0</v>
      </c>
      <c r="DI349" s="15">
        <v>0</v>
      </c>
      <c r="DJ349" s="15">
        <v>0</v>
      </c>
      <c r="DK349" s="15">
        <v>0</v>
      </c>
      <c r="DL349" s="15">
        <v>0</v>
      </c>
      <c r="DM349" s="15">
        <v>0</v>
      </c>
      <c r="DN349" s="15">
        <v>0</v>
      </c>
      <c r="DO349" s="15">
        <v>0</v>
      </c>
      <c r="DP349" s="15">
        <v>0</v>
      </c>
      <c r="DQ349" s="15">
        <v>0</v>
      </c>
      <c r="DR349" s="15">
        <v>0</v>
      </c>
      <c r="DS349" s="15">
        <v>0</v>
      </c>
      <c r="DT349" s="15">
        <v>0</v>
      </c>
      <c r="DU349" s="15">
        <v>0</v>
      </c>
      <c r="DV349" s="15">
        <v>0</v>
      </c>
      <c r="DW349" s="15">
        <v>0</v>
      </c>
      <c r="DX349" s="15">
        <v>0</v>
      </c>
      <c r="DY349" s="15">
        <v>0</v>
      </c>
      <c r="DZ349" s="15">
        <v>0</v>
      </c>
      <c r="EA349" s="15">
        <v>0</v>
      </c>
      <c r="EB349" s="15">
        <v>0</v>
      </c>
      <c r="EC349" s="15">
        <v>0</v>
      </c>
      <c r="ED349" s="15">
        <v>0</v>
      </c>
      <c r="EE349" s="15">
        <v>0</v>
      </c>
      <c r="EF349" s="15">
        <v>0</v>
      </c>
    </row>
    <row r="350" spans="1:136" ht="15" customHeight="1" x14ac:dyDescent="0.35">
      <c r="A350" s="8" t="s">
        <v>12</v>
      </c>
      <c r="B350" s="8" t="s">
        <v>116</v>
      </c>
      <c r="C350" s="8" t="s">
        <v>116</v>
      </c>
      <c r="D350" s="8" t="s">
        <v>317</v>
      </c>
      <c r="E350" s="8" t="s">
        <v>10</v>
      </c>
      <c r="F350" s="8" t="s">
        <v>87</v>
      </c>
      <c r="G350" s="15">
        <v>0</v>
      </c>
      <c r="H350" s="15">
        <v>0</v>
      </c>
      <c r="I350" s="15">
        <v>23</v>
      </c>
      <c r="J350" s="15">
        <v>-23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14</v>
      </c>
      <c r="AN350" s="15">
        <v>9</v>
      </c>
      <c r="AO350" s="15">
        <v>0</v>
      </c>
      <c r="AP350" s="15">
        <v>0</v>
      </c>
      <c r="AQ350" s="15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0</v>
      </c>
      <c r="AW350" s="15">
        <v>0</v>
      </c>
      <c r="AX350" s="15">
        <v>0</v>
      </c>
      <c r="AY350" s="15">
        <v>0</v>
      </c>
      <c r="AZ350" s="15">
        <v>0</v>
      </c>
      <c r="BA350" s="15">
        <v>0</v>
      </c>
      <c r="BB350" s="15">
        <v>0</v>
      </c>
      <c r="BC350" s="15">
        <v>0</v>
      </c>
      <c r="BD350" s="15">
        <v>0</v>
      </c>
      <c r="BE350" s="15">
        <v>0</v>
      </c>
      <c r="BF350" s="15">
        <v>0</v>
      </c>
      <c r="BG350" s="15">
        <v>0</v>
      </c>
      <c r="BH350" s="15">
        <v>0</v>
      </c>
      <c r="BI350" s="15">
        <v>0</v>
      </c>
      <c r="BJ350" s="15">
        <v>0</v>
      </c>
      <c r="BK350" s="15">
        <v>0</v>
      </c>
      <c r="BL350" s="15">
        <v>0</v>
      </c>
      <c r="BM350" s="15">
        <v>0</v>
      </c>
      <c r="BN350" s="15">
        <v>0</v>
      </c>
      <c r="BO350" s="15">
        <v>0</v>
      </c>
      <c r="BP350" s="15">
        <v>0</v>
      </c>
      <c r="BQ350" s="15">
        <v>0</v>
      </c>
      <c r="BR350" s="15">
        <v>0</v>
      </c>
      <c r="BS350" s="15">
        <v>0</v>
      </c>
      <c r="BT350" s="15">
        <v>0</v>
      </c>
      <c r="BU350" s="15">
        <v>0</v>
      </c>
      <c r="BV350" s="15">
        <v>0</v>
      </c>
      <c r="BW350" s="15">
        <v>0</v>
      </c>
      <c r="BX350" s="15">
        <v>0</v>
      </c>
      <c r="BY350" s="15">
        <v>0</v>
      </c>
      <c r="BZ350" s="15">
        <v>0</v>
      </c>
      <c r="CA350" s="15">
        <v>0</v>
      </c>
      <c r="CB350" s="15">
        <v>0</v>
      </c>
      <c r="CC350" s="15">
        <v>0</v>
      </c>
      <c r="CD350" s="15">
        <v>0</v>
      </c>
      <c r="CE350" s="15">
        <v>0</v>
      </c>
      <c r="CF350" s="15">
        <v>0</v>
      </c>
      <c r="CG350" s="15">
        <v>0</v>
      </c>
      <c r="CH350" s="15">
        <v>0</v>
      </c>
      <c r="CI350" s="15">
        <v>0</v>
      </c>
      <c r="CJ350" s="15">
        <v>0</v>
      </c>
      <c r="CK350" s="15">
        <v>0</v>
      </c>
      <c r="CL350" s="15">
        <v>0</v>
      </c>
      <c r="CM350" s="15">
        <v>0</v>
      </c>
      <c r="CN350" s="15">
        <v>0</v>
      </c>
      <c r="CO350" s="15">
        <v>0</v>
      </c>
      <c r="CP350" s="15">
        <v>0</v>
      </c>
      <c r="CQ350" s="15">
        <v>0</v>
      </c>
      <c r="CR350" s="15">
        <v>0</v>
      </c>
      <c r="CS350" s="15">
        <v>0</v>
      </c>
      <c r="CT350" s="15">
        <v>0</v>
      </c>
      <c r="CU350" s="15">
        <v>0</v>
      </c>
      <c r="CV350" s="15">
        <v>0</v>
      </c>
      <c r="CW350" s="15">
        <v>0</v>
      </c>
      <c r="CX350" s="15">
        <v>0</v>
      </c>
      <c r="CY350" s="15">
        <v>0</v>
      </c>
      <c r="CZ350" s="15">
        <v>0</v>
      </c>
      <c r="DA350" s="15">
        <v>0</v>
      </c>
      <c r="DB350" s="15">
        <v>0</v>
      </c>
      <c r="DC350" s="15">
        <v>0</v>
      </c>
      <c r="DD350" s="15">
        <v>0</v>
      </c>
      <c r="DE350" s="15">
        <v>0</v>
      </c>
      <c r="DF350" s="15">
        <v>0</v>
      </c>
      <c r="DG350" s="15">
        <v>0</v>
      </c>
      <c r="DH350" s="15">
        <v>0</v>
      </c>
      <c r="DI350" s="15">
        <v>0</v>
      </c>
      <c r="DJ350" s="15">
        <v>0</v>
      </c>
      <c r="DK350" s="15">
        <v>0</v>
      </c>
      <c r="DL350" s="15">
        <v>0</v>
      </c>
      <c r="DM350" s="15">
        <v>0</v>
      </c>
      <c r="DN350" s="15">
        <v>0</v>
      </c>
      <c r="DO350" s="15">
        <v>0</v>
      </c>
      <c r="DP350" s="15">
        <v>0</v>
      </c>
      <c r="DQ350" s="15">
        <v>0</v>
      </c>
      <c r="DR350" s="15">
        <v>0</v>
      </c>
      <c r="DS350" s="15">
        <v>0</v>
      </c>
      <c r="DT350" s="15">
        <v>0</v>
      </c>
      <c r="DU350" s="15">
        <v>0</v>
      </c>
      <c r="DV350" s="15">
        <v>0</v>
      </c>
      <c r="DW350" s="15">
        <v>0</v>
      </c>
      <c r="DX350" s="15">
        <v>0</v>
      </c>
      <c r="DY350" s="15">
        <v>0</v>
      </c>
      <c r="DZ350" s="15">
        <v>0</v>
      </c>
      <c r="EA350" s="15">
        <v>0</v>
      </c>
      <c r="EB350" s="15">
        <v>0</v>
      </c>
      <c r="EC350" s="15">
        <v>0</v>
      </c>
      <c r="ED350" s="15">
        <v>0</v>
      </c>
      <c r="EE350" s="15">
        <v>0</v>
      </c>
      <c r="EF350" s="15">
        <v>0</v>
      </c>
    </row>
    <row r="351" spans="1:136" ht="15" customHeight="1" x14ac:dyDescent="0.35">
      <c r="A351" s="8" t="s">
        <v>12</v>
      </c>
      <c r="B351" s="8" t="s">
        <v>117</v>
      </c>
      <c r="C351" s="8" t="s">
        <v>117</v>
      </c>
      <c r="D351" s="8" t="s">
        <v>318</v>
      </c>
      <c r="E351" s="8" t="s">
        <v>10</v>
      </c>
      <c r="F351" s="8" t="s">
        <v>82</v>
      </c>
      <c r="G351" s="15">
        <v>0</v>
      </c>
      <c r="H351" s="15">
        <v>0</v>
      </c>
      <c r="I351" s="15">
        <v>18</v>
      </c>
      <c r="J351" s="15">
        <v>-18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9</v>
      </c>
      <c r="AA351" s="15">
        <v>9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5">
        <v>0</v>
      </c>
      <c r="AX351" s="15">
        <v>0</v>
      </c>
      <c r="AY351" s="15">
        <v>0</v>
      </c>
      <c r="AZ351" s="15">
        <v>0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5">
        <v>0</v>
      </c>
      <c r="CH351" s="15">
        <v>0</v>
      </c>
      <c r="CI351" s="15">
        <v>0</v>
      </c>
      <c r="CJ351" s="15">
        <v>0</v>
      </c>
      <c r="CK351" s="15">
        <v>0</v>
      </c>
      <c r="CL351" s="15">
        <v>0</v>
      </c>
      <c r="CM351" s="15">
        <v>0</v>
      </c>
      <c r="CN351" s="15">
        <v>0</v>
      </c>
      <c r="CO351" s="15">
        <v>0</v>
      </c>
      <c r="CP351" s="15">
        <v>0</v>
      </c>
      <c r="CQ351" s="15">
        <v>0</v>
      </c>
      <c r="CR351" s="15">
        <v>0</v>
      </c>
      <c r="CS351" s="15">
        <v>0</v>
      </c>
      <c r="CT351" s="15">
        <v>0</v>
      </c>
      <c r="CU351" s="15">
        <v>0</v>
      </c>
      <c r="CV351" s="15">
        <v>0</v>
      </c>
      <c r="CW351" s="15">
        <v>0</v>
      </c>
      <c r="CX351" s="15">
        <v>0</v>
      </c>
      <c r="CY351" s="15">
        <v>0</v>
      </c>
      <c r="CZ351" s="15">
        <v>0</v>
      </c>
      <c r="DA351" s="15">
        <v>0</v>
      </c>
      <c r="DB351" s="15">
        <v>0</v>
      </c>
      <c r="DC351" s="15">
        <v>0</v>
      </c>
      <c r="DD351" s="15">
        <v>0</v>
      </c>
      <c r="DE351" s="15">
        <v>0</v>
      </c>
      <c r="DF351" s="15">
        <v>0</v>
      </c>
      <c r="DG351" s="15">
        <v>0</v>
      </c>
      <c r="DH351" s="15">
        <v>0</v>
      </c>
      <c r="DI351" s="15">
        <v>0</v>
      </c>
      <c r="DJ351" s="15">
        <v>0</v>
      </c>
      <c r="DK351" s="15">
        <v>0</v>
      </c>
      <c r="DL351" s="15">
        <v>0</v>
      </c>
      <c r="DM351" s="15">
        <v>0</v>
      </c>
      <c r="DN351" s="15">
        <v>0</v>
      </c>
      <c r="DO351" s="15">
        <v>0</v>
      </c>
      <c r="DP351" s="15">
        <v>0</v>
      </c>
      <c r="DQ351" s="15">
        <v>0</v>
      </c>
      <c r="DR351" s="15">
        <v>0</v>
      </c>
      <c r="DS351" s="15">
        <v>0</v>
      </c>
      <c r="DT351" s="15">
        <v>0</v>
      </c>
      <c r="DU351" s="15">
        <v>0</v>
      </c>
      <c r="DV351" s="15">
        <v>0</v>
      </c>
      <c r="DW351" s="15">
        <v>0</v>
      </c>
      <c r="DX351" s="15">
        <v>0</v>
      </c>
      <c r="DY351" s="15">
        <v>0</v>
      </c>
      <c r="DZ351" s="15">
        <v>0</v>
      </c>
      <c r="EA351" s="15">
        <v>0</v>
      </c>
      <c r="EB351" s="15">
        <v>0</v>
      </c>
      <c r="EC351" s="15">
        <v>0</v>
      </c>
      <c r="ED351" s="15">
        <v>0</v>
      </c>
      <c r="EE351" s="15">
        <v>0</v>
      </c>
      <c r="EF351" s="15">
        <v>0</v>
      </c>
    </row>
    <row r="352" spans="1:136" ht="15" customHeight="1" x14ac:dyDescent="0.35">
      <c r="A352" s="8" t="s">
        <v>12</v>
      </c>
      <c r="B352" s="8" t="s">
        <v>117</v>
      </c>
      <c r="C352" s="8" t="s">
        <v>117</v>
      </c>
      <c r="D352" s="8" t="s">
        <v>318</v>
      </c>
      <c r="E352" s="8" t="s">
        <v>10</v>
      </c>
      <c r="F352" s="8" t="s">
        <v>86</v>
      </c>
      <c r="G352" s="15">
        <v>0</v>
      </c>
      <c r="H352" s="15">
        <v>0</v>
      </c>
      <c r="I352" s="15">
        <v>18</v>
      </c>
      <c r="J352" s="15">
        <v>-18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3</v>
      </c>
      <c r="Z352" s="15">
        <v>10</v>
      </c>
      <c r="AA352" s="15">
        <v>5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5">
        <v>0</v>
      </c>
      <c r="BC352" s="15">
        <v>0</v>
      </c>
      <c r="BD352" s="15">
        <v>0</v>
      </c>
      <c r="BE352" s="15">
        <v>0</v>
      </c>
      <c r="BF352" s="15">
        <v>0</v>
      </c>
      <c r="BG352" s="15">
        <v>0</v>
      </c>
      <c r="BH352" s="15">
        <v>0</v>
      </c>
      <c r="BI352" s="15">
        <v>0</v>
      </c>
      <c r="BJ352" s="15">
        <v>0</v>
      </c>
      <c r="BK352" s="15">
        <v>0</v>
      </c>
      <c r="BL352" s="15">
        <v>0</v>
      </c>
      <c r="BM352" s="15">
        <v>0</v>
      </c>
      <c r="BN352" s="15">
        <v>0</v>
      </c>
      <c r="BO352" s="15">
        <v>0</v>
      </c>
      <c r="BP352" s="15">
        <v>0</v>
      </c>
      <c r="BQ352" s="15">
        <v>0</v>
      </c>
      <c r="BR352" s="15">
        <v>0</v>
      </c>
      <c r="BS352" s="15">
        <v>0</v>
      </c>
      <c r="BT352" s="15">
        <v>0</v>
      </c>
      <c r="BU352" s="15">
        <v>0</v>
      </c>
      <c r="BV352" s="15">
        <v>0</v>
      </c>
      <c r="BW352" s="15">
        <v>0</v>
      </c>
      <c r="BX352" s="15">
        <v>0</v>
      </c>
      <c r="BY352" s="15">
        <v>0</v>
      </c>
      <c r="BZ352" s="15">
        <v>0</v>
      </c>
      <c r="CA352" s="15">
        <v>0</v>
      </c>
      <c r="CB352" s="15">
        <v>0</v>
      </c>
      <c r="CC352" s="15">
        <v>0</v>
      </c>
      <c r="CD352" s="15">
        <v>0</v>
      </c>
      <c r="CE352" s="15">
        <v>0</v>
      </c>
      <c r="CF352" s="15">
        <v>0</v>
      </c>
      <c r="CG352" s="15">
        <v>0</v>
      </c>
      <c r="CH352" s="15">
        <v>0</v>
      </c>
      <c r="CI352" s="15">
        <v>0</v>
      </c>
      <c r="CJ352" s="15">
        <v>0</v>
      </c>
      <c r="CK352" s="15">
        <v>0</v>
      </c>
      <c r="CL352" s="15">
        <v>0</v>
      </c>
      <c r="CM352" s="15">
        <v>0</v>
      </c>
      <c r="CN352" s="15">
        <v>0</v>
      </c>
      <c r="CO352" s="15">
        <v>0</v>
      </c>
      <c r="CP352" s="15">
        <v>0</v>
      </c>
      <c r="CQ352" s="15">
        <v>0</v>
      </c>
      <c r="CR352" s="15">
        <v>0</v>
      </c>
      <c r="CS352" s="15">
        <v>0</v>
      </c>
      <c r="CT352" s="15">
        <v>0</v>
      </c>
      <c r="CU352" s="15">
        <v>0</v>
      </c>
      <c r="CV352" s="15">
        <v>0</v>
      </c>
      <c r="CW352" s="15">
        <v>0</v>
      </c>
      <c r="CX352" s="15">
        <v>0</v>
      </c>
      <c r="CY352" s="15">
        <v>0</v>
      </c>
      <c r="CZ352" s="15">
        <v>0</v>
      </c>
      <c r="DA352" s="15">
        <v>0</v>
      </c>
      <c r="DB352" s="15">
        <v>0</v>
      </c>
      <c r="DC352" s="15">
        <v>0</v>
      </c>
      <c r="DD352" s="15">
        <v>0</v>
      </c>
      <c r="DE352" s="15">
        <v>0</v>
      </c>
      <c r="DF352" s="15">
        <v>0</v>
      </c>
      <c r="DG352" s="15">
        <v>0</v>
      </c>
      <c r="DH352" s="15">
        <v>0</v>
      </c>
      <c r="DI352" s="15">
        <v>0</v>
      </c>
      <c r="DJ352" s="15">
        <v>0</v>
      </c>
      <c r="DK352" s="15">
        <v>0</v>
      </c>
      <c r="DL352" s="15">
        <v>0</v>
      </c>
      <c r="DM352" s="15">
        <v>0</v>
      </c>
      <c r="DN352" s="15">
        <v>0</v>
      </c>
      <c r="DO352" s="15">
        <v>0</v>
      </c>
      <c r="DP352" s="15">
        <v>0</v>
      </c>
      <c r="DQ352" s="15">
        <v>0</v>
      </c>
      <c r="DR352" s="15">
        <v>0</v>
      </c>
      <c r="DS352" s="15">
        <v>0</v>
      </c>
      <c r="DT352" s="15">
        <v>0</v>
      </c>
      <c r="DU352" s="15">
        <v>0</v>
      </c>
      <c r="DV352" s="15">
        <v>0</v>
      </c>
      <c r="DW352" s="15">
        <v>0</v>
      </c>
      <c r="DX352" s="15">
        <v>0</v>
      </c>
      <c r="DY352" s="15">
        <v>0</v>
      </c>
      <c r="DZ352" s="15">
        <v>0</v>
      </c>
      <c r="EA352" s="15">
        <v>0</v>
      </c>
      <c r="EB352" s="15">
        <v>0</v>
      </c>
      <c r="EC352" s="15">
        <v>0</v>
      </c>
      <c r="ED352" s="15">
        <v>0</v>
      </c>
      <c r="EE352" s="15">
        <v>0</v>
      </c>
      <c r="EF352" s="15">
        <v>0</v>
      </c>
    </row>
    <row r="353" spans="1:136" ht="15" customHeight="1" x14ac:dyDescent="0.35">
      <c r="A353" s="8" t="s">
        <v>12</v>
      </c>
      <c r="B353" s="8" t="s">
        <v>27</v>
      </c>
      <c r="C353" s="8" t="s">
        <v>27</v>
      </c>
      <c r="D353" s="8" t="s">
        <v>315</v>
      </c>
      <c r="E353" s="8" t="s">
        <v>14</v>
      </c>
      <c r="F353" s="8" t="s">
        <v>81</v>
      </c>
      <c r="G353" s="15">
        <v>0</v>
      </c>
      <c r="H353" s="15">
        <v>0</v>
      </c>
      <c r="I353" s="15">
        <v>8</v>
      </c>
      <c r="J353" s="15">
        <v>-8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7</v>
      </c>
      <c r="AQ353" s="15">
        <v>0</v>
      </c>
      <c r="AR353" s="15">
        <v>0</v>
      </c>
      <c r="AS353" s="15">
        <v>0</v>
      </c>
      <c r="AT353" s="15">
        <v>0</v>
      </c>
      <c r="AU353" s="15">
        <v>0</v>
      </c>
      <c r="AV353" s="15">
        <v>0</v>
      </c>
      <c r="AW353" s="15">
        <v>0</v>
      </c>
      <c r="AX353" s="15">
        <v>0</v>
      </c>
      <c r="AY353" s="15">
        <v>0</v>
      </c>
      <c r="AZ353" s="15">
        <v>0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5">
        <v>0</v>
      </c>
      <c r="CH353" s="15">
        <v>0</v>
      </c>
      <c r="CI353" s="15">
        <v>0</v>
      </c>
      <c r="CJ353" s="15">
        <v>0</v>
      </c>
      <c r="CK353" s="15">
        <v>0</v>
      </c>
      <c r="CL353" s="15">
        <v>0</v>
      </c>
      <c r="CM353" s="15">
        <v>0</v>
      </c>
      <c r="CN353" s="15">
        <v>0</v>
      </c>
      <c r="CO353" s="15">
        <v>0</v>
      </c>
      <c r="CP353" s="15">
        <v>0</v>
      </c>
      <c r="CQ353" s="15">
        <v>0</v>
      </c>
      <c r="CR353" s="15">
        <v>0</v>
      </c>
      <c r="CS353" s="15">
        <v>0</v>
      </c>
      <c r="CT353" s="15">
        <v>1</v>
      </c>
      <c r="CU353" s="15">
        <v>0</v>
      </c>
      <c r="CV353" s="15">
        <v>0</v>
      </c>
      <c r="CW353" s="15">
        <v>0</v>
      </c>
      <c r="CX353" s="15">
        <v>0</v>
      </c>
      <c r="CY353" s="15">
        <v>0</v>
      </c>
      <c r="CZ353" s="15">
        <v>0</v>
      </c>
      <c r="DA353" s="15">
        <v>0</v>
      </c>
      <c r="DB353" s="15">
        <v>0</v>
      </c>
      <c r="DC353" s="15">
        <v>0</v>
      </c>
      <c r="DD353" s="15">
        <v>0</v>
      </c>
      <c r="DE353" s="15">
        <v>0</v>
      </c>
      <c r="DF353" s="15">
        <v>0</v>
      </c>
      <c r="DG353" s="15">
        <v>0</v>
      </c>
      <c r="DH353" s="15">
        <v>0</v>
      </c>
      <c r="DI353" s="15">
        <v>0</v>
      </c>
      <c r="DJ353" s="15">
        <v>0</v>
      </c>
      <c r="DK353" s="15">
        <v>0</v>
      </c>
      <c r="DL353" s="15">
        <v>0</v>
      </c>
      <c r="DM353" s="15">
        <v>0</v>
      </c>
      <c r="DN353" s="15">
        <v>0</v>
      </c>
      <c r="DO353" s="15">
        <v>0</v>
      </c>
      <c r="DP353" s="15">
        <v>0</v>
      </c>
      <c r="DQ353" s="15">
        <v>0</v>
      </c>
      <c r="DR353" s="15">
        <v>0</v>
      </c>
      <c r="DS353" s="15">
        <v>0</v>
      </c>
      <c r="DT353" s="15">
        <v>0</v>
      </c>
      <c r="DU353" s="15">
        <v>0</v>
      </c>
      <c r="DV353" s="15">
        <v>0</v>
      </c>
      <c r="DW353" s="15">
        <v>0</v>
      </c>
      <c r="DX353" s="15">
        <v>0</v>
      </c>
      <c r="DY353" s="15">
        <v>0</v>
      </c>
      <c r="DZ353" s="15">
        <v>0</v>
      </c>
      <c r="EA353" s="15">
        <v>0</v>
      </c>
      <c r="EB353" s="15">
        <v>0</v>
      </c>
      <c r="EC353" s="15">
        <v>0</v>
      </c>
      <c r="ED353" s="15">
        <v>0</v>
      </c>
      <c r="EE353" s="15">
        <v>0</v>
      </c>
      <c r="EF353" s="15">
        <v>0</v>
      </c>
    </row>
    <row r="354" spans="1:136" ht="15" customHeight="1" x14ac:dyDescent="0.35">
      <c r="A354" s="8" t="s">
        <v>12</v>
      </c>
      <c r="B354" s="8" t="s">
        <v>27</v>
      </c>
      <c r="C354" s="8" t="s">
        <v>27</v>
      </c>
      <c r="D354" s="8" t="s">
        <v>316</v>
      </c>
      <c r="E354" s="8" t="s">
        <v>14</v>
      </c>
      <c r="F354" s="8" t="s">
        <v>81</v>
      </c>
      <c r="G354" s="15">
        <v>18.5</v>
      </c>
      <c r="H354" s="15">
        <v>19.5</v>
      </c>
      <c r="I354" s="15">
        <v>0</v>
      </c>
      <c r="J354" s="15">
        <v>19.5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5">
        <v>0</v>
      </c>
      <c r="AX354" s="15">
        <v>0</v>
      </c>
      <c r="AY354" s="15">
        <v>0</v>
      </c>
      <c r="AZ354" s="15">
        <v>0</v>
      </c>
      <c r="BA354" s="15">
        <v>0</v>
      </c>
      <c r="BB354" s="15">
        <v>0</v>
      </c>
      <c r="BC354" s="15">
        <v>0</v>
      </c>
      <c r="BD354" s="15">
        <v>0</v>
      </c>
      <c r="BE354" s="15">
        <v>0</v>
      </c>
      <c r="BF354" s="15">
        <v>0</v>
      </c>
      <c r="BG354" s="15">
        <v>0</v>
      </c>
      <c r="BH354" s="15">
        <v>0</v>
      </c>
      <c r="BI354" s="15">
        <v>0</v>
      </c>
      <c r="BJ354" s="15">
        <v>0</v>
      </c>
      <c r="BK354" s="15">
        <v>0</v>
      </c>
      <c r="BL354" s="15">
        <v>0</v>
      </c>
      <c r="BM354" s="15">
        <v>0</v>
      </c>
      <c r="BN354" s="15">
        <v>0</v>
      </c>
      <c r="BO354" s="15">
        <v>0</v>
      </c>
      <c r="BP354" s="15">
        <v>0</v>
      </c>
      <c r="BQ354" s="15">
        <v>0</v>
      </c>
      <c r="BR354" s="15">
        <v>0</v>
      </c>
      <c r="BS354" s="15">
        <v>0</v>
      </c>
      <c r="BT354" s="15">
        <v>0</v>
      </c>
      <c r="BU354" s="15">
        <v>0</v>
      </c>
      <c r="BV354" s="15">
        <v>0</v>
      </c>
      <c r="BW354" s="15">
        <v>0</v>
      </c>
      <c r="BX354" s="15">
        <v>0</v>
      </c>
      <c r="BY354" s="15">
        <v>0</v>
      </c>
      <c r="BZ354" s="15">
        <v>0</v>
      </c>
      <c r="CA354" s="15">
        <v>0</v>
      </c>
      <c r="CB354" s="15">
        <v>0</v>
      </c>
      <c r="CC354" s="15">
        <v>0</v>
      </c>
      <c r="CD354" s="15">
        <v>0</v>
      </c>
      <c r="CE354" s="15">
        <v>0</v>
      </c>
      <c r="CF354" s="15">
        <v>0</v>
      </c>
      <c r="CG354" s="15">
        <v>0</v>
      </c>
      <c r="CH354" s="15">
        <v>0</v>
      </c>
      <c r="CI354" s="15">
        <v>0</v>
      </c>
      <c r="CJ354" s="15">
        <v>0</v>
      </c>
      <c r="CK354" s="15">
        <v>0</v>
      </c>
      <c r="CL354" s="15">
        <v>0</v>
      </c>
      <c r="CM354" s="15">
        <v>0</v>
      </c>
      <c r="CN354" s="15">
        <v>0</v>
      </c>
      <c r="CO354" s="15">
        <v>0</v>
      </c>
      <c r="CP354" s="15">
        <v>0</v>
      </c>
      <c r="CQ354" s="15">
        <v>0</v>
      </c>
      <c r="CR354" s="15">
        <v>0</v>
      </c>
      <c r="CS354" s="15">
        <v>0</v>
      </c>
      <c r="CT354" s="15">
        <v>0</v>
      </c>
      <c r="CU354" s="15">
        <v>0</v>
      </c>
      <c r="CV354" s="15">
        <v>0</v>
      </c>
      <c r="CW354" s="15">
        <v>0</v>
      </c>
      <c r="CX354" s="15">
        <v>0</v>
      </c>
      <c r="CY354" s="15">
        <v>0</v>
      </c>
      <c r="CZ354" s="15">
        <v>0</v>
      </c>
      <c r="DA354" s="15">
        <v>0</v>
      </c>
      <c r="DB354" s="15">
        <v>0</v>
      </c>
      <c r="DC354" s="15">
        <v>0</v>
      </c>
      <c r="DD354" s="15">
        <v>0</v>
      </c>
      <c r="DE354" s="15">
        <v>0</v>
      </c>
      <c r="DF354" s="15">
        <v>0</v>
      </c>
      <c r="DG354" s="15">
        <v>0</v>
      </c>
      <c r="DH354" s="15">
        <v>0</v>
      </c>
      <c r="DI354" s="15">
        <v>0</v>
      </c>
      <c r="DJ354" s="15">
        <v>0</v>
      </c>
      <c r="DK354" s="15">
        <v>0</v>
      </c>
      <c r="DL354" s="15">
        <v>0</v>
      </c>
      <c r="DM354" s="15">
        <v>0</v>
      </c>
      <c r="DN354" s="15">
        <v>0</v>
      </c>
      <c r="DO354" s="15">
        <v>0</v>
      </c>
      <c r="DP354" s="15">
        <v>0</v>
      </c>
      <c r="DQ354" s="15">
        <v>0</v>
      </c>
      <c r="DR354" s="15">
        <v>0</v>
      </c>
      <c r="DS354" s="15">
        <v>0</v>
      </c>
      <c r="DT354" s="15">
        <v>0</v>
      </c>
      <c r="DU354" s="15">
        <v>0</v>
      </c>
      <c r="DV354" s="15">
        <v>0</v>
      </c>
      <c r="DW354" s="15">
        <v>0</v>
      </c>
      <c r="DX354" s="15">
        <v>0</v>
      </c>
      <c r="DY354" s="15">
        <v>0</v>
      </c>
      <c r="DZ354" s="15">
        <v>0</v>
      </c>
      <c r="EA354" s="15">
        <v>0</v>
      </c>
      <c r="EB354" s="15">
        <v>0</v>
      </c>
      <c r="EC354" s="15">
        <v>0</v>
      </c>
      <c r="ED354" s="15">
        <v>0</v>
      </c>
      <c r="EE354" s="15">
        <v>0</v>
      </c>
      <c r="EF354" s="15">
        <v>0</v>
      </c>
    </row>
    <row r="355" spans="1:136" ht="15" customHeight="1" x14ac:dyDescent="0.35">
      <c r="A355" s="8" t="s">
        <v>12</v>
      </c>
      <c r="B355" s="8" t="s">
        <v>27</v>
      </c>
      <c r="C355" s="8" t="s">
        <v>27</v>
      </c>
      <c r="D355" s="8" t="s">
        <v>315</v>
      </c>
      <c r="E355" s="8" t="s">
        <v>14</v>
      </c>
      <c r="F355" s="8" t="s">
        <v>94</v>
      </c>
      <c r="G355" s="15">
        <v>0</v>
      </c>
      <c r="H355" s="15">
        <v>0</v>
      </c>
      <c r="I355" s="15">
        <v>209.1</v>
      </c>
      <c r="J355" s="15">
        <v>-209.1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14</v>
      </c>
      <c r="AN355" s="15">
        <v>0</v>
      </c>
      <c r="AO355" s="15">
        <v>24</v>
      </c>
      <c r="AP355" s="15">
        <v>5</v>
      </c>
      <c r="AQ355" s="15">
        <v>0</v>
      </c>
      <c r="AR355" s="15">
        <v>0</v>
      </c>
      <c r="AS355" s="15">
        <v>0</v>
      </c>
      <c r="AT355" s="15">
        <v>0</v>
      </c>
      <c r="AU355" s="15">
        <v>0</v>
      </c>
      <c r="AV355" s="15">
        <v>0</v>
      </c>
      <c r="AW355" s="15">
        <v>0</v>
      </c>
      <c r="AX355" s="15">
        <v>0</v>
      </c>
      <c r="AY355" s="15">
        <v>0</v>
      </c>
      <c r="AZ355" s="15">
        <v>0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5">
        <v>0</v>
      </c>
      <c r="CH355" s="15">
        <v>0</v>
      </c>
      <c r="CI355" s="15">
        <v>0</v>
      </c>
      <c r="CJ355" s="15">
        <v>0</v>
      </c>
      <c r="CK355" s="15">
        <v>0</v>
      </c>
      <c r="CL355" s="15">
        <v>0</v>
      </c>
      <c r="CM355" s="15">
        <v>0</v>
      </c>
      <c r="CN355" s="15">
        <v>0</v>
      </c>
      <c r="CO355" s="15">
        <v>0</v>
      </c>
      <c r="CP355" s="15">
        <v>0</v>
      </c>
      <c r="CQ355" s="15">
        <v>0</v>
      </c>
      <c r="CR355" s="15">
        <v>0</v>
      </c>
      <c r="CS355" s="15">
        <v>4.8214290000000002</v>
      </c>
      <c r="CT355" s="15">
        <v>4.8214290000000002</v>
      </c>
      <c r="CU355" s="15">
        <v>4.8214290000000002</v>
      </c>
      <c r="CV355" s="15">
        <v>6</v>
      </c>
      <c r="CW355" s="15">
        <v>6</v>
      </c>
      <c r="CX355" s="15">
        <v>6</v>
      </c>
      <c r="CY355" s="15">
        <v>6</v>
      </c>
      <c r="CZ355" s="15">
        <v>6</v>
      </c>
      <c r="DA355" s="15">
        <v>6</v>
      </c>
      <c r="DB355" s="15">
        <v>6</v>
      </c>
      <c r="DC355" s="15">
        <v>6</v>
      </c>
      <c r="DD355" s="15">
        <v>6</v>
      </c>
      <c r="DE355" s="15">
        <v>6</v>
      </c>
      <c r="DF355" s="15">
        <v>6</v>
      </c>
      <c r="DG355" s="15">
        <v>6</v>
      </c>
      <c r="DH355" s="15">
        <v>6</v>
      </c>
      <c r="DI355" s="15">
        <v>4.8214290000000002</v>
      </c>
      <c r="DJ355" s="15">
        <v>4.8214290000000002</v>
      </c>
      <c r="DK355" s="15">
        <v>8</v>
      </c>
      <c r="DL355" s="15">
        <v>8</v>
      </c>
      <c r="DM355" s="15">
        <v>8</v>
      </c>
      <c r="DN355" s="15">
        <v>8</v>
      </c>
      <c r="DO355" s="15">
        <v>8</v>
      </c>
      <c r="DP355" s="15">
        <v>8</v>
      </c>
      <c r="DQ355" s="15">
        <v>8</v>
      </c>
      <c r="DR355" s="15">
        <v>8</v>
      </c>
      <c r="DS355" s="15">
        <v>0</v>
      </c>
      <c r="DT355" s="15">
        <v>0</v>
      </c>
      <c r="DU355" s="15">
        <v>0</v>
      </c>
      <c r="DV355" s="15">
        <v>0</v>
      </c>
      <c r="DW355" s="15">
        <v>0</v>
      </c>
      <c r="DX355" s="15">
        <v>0</v>
      </c>
      <c r="DY355" s="15">
        <v>0</v>
      </c>
      <c r="DZ355" s="15">
        <v>0</v>
      </c>
      <c r="EA355" s="15">
        <v>0</v>
      </c>
      <c r="EB355" s="15">
        <v>0</v>
      </c>
      <c r="EC355" s="15">
        <v>0</v>
      </c>
      <c r="ED355" s="15">
        <v>0</v>
      </c>
      <c r="EE355" s="15">
        <v>0</v>
      </c>
      <c r="EF355" s="15">
        <v>0</v>
      </c>
    </row>
    <row r="356" spans="1:136" ht="15" customHeight="1" x14ac:dyDescent="0.35">
      <c r="A356" s="8" t="s">
        <v>12</v>
      </c>
      <c r="B356" s="8" t="s">
        <v>27</v>
      </c>
      <c r="C356" s="8" t="s">
        <v>27</v>
      </c>
      <c r="D356" s="8" t="s">
        <v>316</v>
      </c>
      <c r="E356" s="8" t="s">
        <v>14</v>
      </c>
      <c r="F356" s="8" t="s">
        <v>94</v>
      </c>
      <c r="G356" s="15">
        <v>85.3</v>
      </c>
      <c r="H356" s="15">
        <v>251.4</v>
      </c>
      <c r="I356" s="15">
        <v>20</v>
      </c>
      <c r="J356" s="15">
        <v>231.4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5</v>
      </c>
      <c r="AF356" s="15">
        <v>15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5">
        <v>0</v>
      </c>
      <c r="AS356" s="15">
        <v>0</v>
      </c>
      <c r="AT356" s="15">
        <v>0</v>
      </c>
      <c r="AU356" s="15">
        <v>0</v>
      </c>
      <c r="AV356" s="15">
        <v>0</v>
      </c>
      <c r="AW356" s="15">
        <v>0</v>
      </c>
      <c r="AX356" s="15">
        <v>0</v>
      </c>
      <c r="AY356" s="15">
        <v>0</v>
      </c>
      <c r="AZ356" s="15">
        <v>0</v>
      </c>
      <c r="BA356" s="15">
        <v>0</v>
      </c>
      <c r="BB356" s="15">
        <v>0</v>
      </c>
      <c r="BC356" s="15">
        <v>0</v>
      </c>
      <c r="BD356" s="15">
        <v>0</v>
      </c>
      <c r="BE356" s="15">
        <v>0</v>
      </c>
      <c r="BF356" s="15">
        <v>0</v>
      </c>
      <c r="BG356" s="15">
        <v>0</v>
      </c>
      <c r="BH356" s="15">
        <v>0</v>
      </c>
      <c r="BI356" s="15">
        <v>0</v>
      </c>
      <c r="BJ356" s="15">
        <v>0</v>
      </c>
      <c r="BK356" s="15">
        <v>0</v>
      </c>
      <c r="BL356" s="15">
        <v>0</v>
      </c>
      <c r="BM356" s="15">
        <v>0</v>
      </c>
      <c r="BN356" s="15">
        <v>0</v>
      </c>
      <c r="BO356" s="15">
        <v>0</v>
      </c>
      <c r="BP356" s="15">
        <v>0</v>
      </c>
      <c r="BQ356" s="15">
        <v>0</v>
      </c>
      <c r="BR356" s="15">
        <v>0</v>
      </c>
      <c r="BS356" s="15">
        <v>0</v>
      </c>
      <c r="BT356" s="15">
        <v>0</v>
      </c>
      <c r="BU356" s="15">
        <v>0</v>
      </c>
      <c r="BV356" s="15">
        <v>0</v>
      </c>
      <c r="BW356" s="15">
        <v>0</v>
      </c>
      <c r="BX356" s="15">
        <v>0</v>
      </c>
      <c r="BY356" s="15">
        <v>0</v>
      </c>
      <c r="BZ356" s="15">
        <v>0</v>
      </c>
      <c r="CA356" s="15">
        <v>0</v>
      </c>
      <c r="CB356" s="15">
        <v>0</v>
      </c>
      <c r="CC356" s="15">
        <v>0</v>
      </c>
      <c r="CD356" s="15">
        <v>0</v>
      </c>
      <c r="CE356" s="15">
        <v>0</v>
      </c>
      <c r="CF356" s="15">
        <v>0</v>
      </c>
      <c r="CG356" s="15">
        <v>0</v>
      </c>
      <c r="CH356" s="15">
        <v>0</v>
      </c>
      <c r="CI356" s="15">
        <v>0</v>
      </c>
      <c r="CJ356" s="15">
        <v>0</v>
      </c>
      <c r="CK356" s="15">
        <v>0</v>
      </c>
      <c r="CL356" s="15">
        <v>0</v>
      </c>
      <c r="CM356" s="15">
        <v>0</v>
      </c>
      <c r="CN356" s="15">
        <v>0</v>
      </c>
      <c r="CO356" s="15">
        <v>0</v>
      </c>
      <c r="CP356" s="15">
        <v>0</v>
      </c>
      <c r="CQ356" s="15">
        <v>0</v>
      </c>
      <c r="CR356" s="15">
        <v>0</v>
      </c>
      <c r="CS356" s="15">
        <v>0</v>
      </c>
      <c r="CT356" s="15">
        <v>0</v>
      </c>
      <c r="CU356" s="15">
        <v>0</v>
      </c>
      <c r="CV356" s="15">
        <v>0</v>
      </c>
      <c r="CW356" s="15">
        <v>0</v>
      </c>
      <c r="CX356" s="15">
        <v>0</v>
      </c>
      <c r="CY356" s="15">
        <v>0</v>
      </c>
      <c r="CZ356" s="15">
        <v>0</v>
      </c>
      <c r="DA356" s="15">
        <v>0</v>
      </c>
      <c r="DB356" s="15">
        <v>0</v>
      </c>
      <c r="DC356" s="15">
        <v>0</v>
      </c>
      <c r="DD356" s="15">
        <v>0</v>
      </c>
      <c r="DE356" s="15">
        <v>0</v>
      </c>
      <c r="DF356" s="15">
        <v>0</v>
      </c>
      <c r="DG356" s="15">
        <v>0</v>
      </c>
      <c r="DH356" s="15">
        <v>0</v>
      </c>
      <c r="DI356" s="15">
        <v>0</v>
      </c>
      <c r="DJ356" s="15">
        <v>0</v>
      </c>
      <c r="DK356" s="15">
        <v>0</v>
      </c>
      <c r="DL356" s="15">
        <v>0</v>
      </c>
      <c r="DM356" s="15">
        <v>0</v>
      </c>
      <c r="DN356" s="15">
        <v>0</v>
      </c>
      <c r="DO356" s="15">
        <v>0</v>
      </c>
      <c r="DP356" s="15">
        <v>0</v>
      </c>
      <c r="DQ356" s="15">
        <v>0</v>
      </c>
      <c r="DR356" s="15">
        <v>0</v>
      </c>
      <c r="DS356" s="15">
        <v>0</v>
      </c>
      <c r="DT356" s="15">
        <v>0</v>
      </c>
      <c r="DU356" s="15">
        <v>0</v>
      </c>
      <c r="DV356" s="15">
        <v>0</v>
      </c>
      <c r="DW356" s="15">
        <v>0</v>
      </c>
      <c r="DX356" s="15">
        <v>0</v>
      </c>
      <c r="DY356" s="15">
        <v>0</v>
      </c>
      <c r="DZ356" s="15">
        <v>0</v>
      </c>
      <c r="EA356" s="15">
        <v>0</v>
      </c>
      <c r="EB356" s="15">
        <v>0</v>
      </c>
      <c r="EC356" s="15">
        <v>0</v>
      </c>
      <c r="ED356" s="15">
        <v>0</v>
      </c>
      <c r="EE356" s="15">
        <v>0</v>
      </c>
      <c r="EF356" s="15">
        <v>0</v>
      </c>
    </row>
    <row r="357" spans="1:136" ht="15" customHeight="1" x14ac:dyDescent="0.35">
      <c r="A357" s="8" t="s">
        <v>12</v>
      </c>
      <c r="B357" s="8" t="s">
        <v>27</v>
      </c>
      <c r="C357" s="8" t="s">
        <v>27</v>
      </c>
      <c r="D357" s="8" t="s">
        <v>315</v>
      </c>
      <c r="E357" s="8" t="s">
        <v>14</v>
      </c>
      <c r="F357" s="8" t="s">
        <v>95</v>
      </c>
      <c r="G357" s="15">
        <v>0</v>
      </c>
      <c r="H357" s="15">
        <v>0</v>
      </c>
      <c r="I357" s="15">
        <v>534</v>
      </c>
      <c r="J357" s="15">
        <v>-534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20</v>
      </c>
      <c r="AK357" s="15">
        <v>21</v>
      </c>
      <c r="AL357" s="15">
        <v>37</v>
      </c>
      <c r="AM357" s="15">
        <v>15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</v>
      </c>
      <c r="AW357" s="15">
        <v>0</v>
      </c>
      <c r="AX357" s="15">
        <v>0</v>
      </c>
      <c r="AY357" s="15">
        <v>0</v>
      </c>
      <c r="AZ357" s="15">
        <v>0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5">
        <v>0</v>
      </c>
      <c r="CH357" s="15">
        <v>0</v>
      </c>
      <c r="CI357" s="15">
        <v>0</v>
      </c>
      <c r="CJ357" s="15">
        <v>0</v>
      </c>
      <c r="CK357" s="15">
        <v>0</v>
      </c>
      <c r="CL357" s="15">
        <v>0</v>
      </c>
      <c r="CM357" s="15">
        <v>0</v>
      </c>
      <c r="CN357" s="15">
        <v>0</v>
      </c>
      <c r="CO357" s="15">
        <v>0</v>
      </c>
      <c r="CP357" s="15">
        <v>0</v>
      </c>
      <c r="CQ357" s="15">
        <v>0</v>
      </c>
      <c r="CR357" s="15">
        <v>0</v>
      </c>
      <c r="CS357" s="15">
        <v>0</v>
      </c>
      <c r="CT357" s="15">
        <v>0</v>
      </c>
      <c r="CU357" s="15">
        <v>0</v>
      </c>
      <c r="CV357" s="15">
        <v>5</v>
      </c>
      <c r="CW357" s="15">
        <v>7</v>
      </c>
      <c r="CX357" s="15">
        <v>14</v>
      </c>
      <c r="CY357" s="15">
        <v>5</v>
      </c>
      <c r="CZ357" s="15">
        <v>0</v>
      </c>
      <c r="DA357" s="15">
        <v>0</v>
      </c>
      <c r="DB357" s="15">
        <v>4</v>
      </c>
      <c r="DC357" s="15">
        <v>29</v>
      </c>
      <c r="DD357" s="15">
        <v>40</v>
      </c>
      <c r="DE357" s="15">
        <v>40</v>
      </c>
      <c r="DF357" s="15">
        <v>24</v>
      </c>
      <c r="DG357" s="15">
        <v>25</v>
      </c>
      <c r="DH357" s="15">
        <v>5</v>
      </c>
      <c r="DI357" s="15">
        <v>5</v>
      </c>
      <c r="DJ357" s="15">
        <v>0</v>
      </c>
      <c r="DK357" s="15">
        <v>22</v>
      </c>
      <c r="DL357" s="15">
        <v>30</v>
      </c>
      <c r="DM357" s="15">
        <v>43</v>
      </c>
      <c r="DN357" s="15">
        <v>52</v>
      </c>
      <c r="DO357" s="15">
        <v>45</v>
      </c>
      <c r="DP357" s="15">
        <v>27</v>
      </c>
      <c r="DQ357" s="15">
        <v>19</v>
      </c>
      <c r="DR357" s="15">
        <v>0</v>
      </c>
      <c r="DS357" s="15">
        <v>0</v>
      </c>
      <c r="DT357" s="15">
        <v>0</v>
      </c>
      <c r="DU357" s="15">
        <v>0</v>
      </c>
      <c r="DV357" s="15">
        <v>0</v>
      </c>
      <c r="DW357" s="15">
        <v>0</v>
      </c>
      <c r="DX357" s="15">
        <v>0</v>
      </c>
      <c r="DY357" s="15">
        <v>0</v>
      </c>
      <c r="DZ357" s="15">
        <v>0</v>
      </c>
      <c r="EA357" s="15">
        <v>0</v>
      </c>
      <c r="EB357" s="15">
        <v>0</v>
      </c>
      <c r="EC357" s="15">
        <v>0</v>
      </c>
      <c r="ED357" s="15">
        <v>0</v>
      </c>
      <c r="EE357" s="15">
        <v>0</v>
      </c>
      <c r="EF357" s="15">
        <v>0</v>
      </c>
    </row>
    <row r="358" spans="1:136" ht="15" customHeight="1" x14ac:dyDescent="0.35">
      <c r="A358" s="8" t="s">
        <v>12</v>
      </c>
      <c r="B358" s="8" t="s">
        <v>27</v>
      </c>
      <c r="C358" s="8" t="s">
        <v>27</v>
      </c>
      <c r="D358" s="8" t="s">
        <v>316</v>
      </c>
      <c r="E358" s="8" t="s">
        <v>14</v>
      </c>
      <c r="F358" s="8" t="s">
        <v>95</v>
      </c>
      <c r="G358" s="15">
        <v>230</v>
      </c>
      <c r="H358" s="15">
        <v>671</v>
      </c>
      <c r="I358" s="15">
        <v>171</v>
      </c>
      <c r="J358" s="15">
        <v>500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11</v>
      </c>
      <c r="AC358" s="15">
        <v>11</v>
      </c>
      <c r="AD358" s="15">
        <v>27</v>
      </c>
      <c r="AE358" s="15">
        <v>20.5</v>
      </c>
      <c r="AF358" s="15">
        <v>17</v>
      </c>
      <c r="AG358" s="15">
        <v>29</v>
      </c>
      <c r="AH358" s="15">
        <v>18.5</v>
      </c>
      <c r="AI358" s="15">
        <v>26</v>
      </c>
      <c r="AJ358" s="15">
        <v>11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5">
        <v>0</v>
      </c>
      <c r="AX358" s="15">
        <v>0</v>
      </c>
      <c r="AY358" s="15">
        <v>0</v>
      </c>
      <c r="AZ358" s="15">
        <v>0</v>
      </c>
      <c r="BA358" s="15">
        <v>0</v>
      </c>
      <c r="BB358" s="15">
        <v>0</v>
      </c>
      <c r="BC358" s="15">
        <v>0</v>
      </c>
      <c r="BD358" s="15">
        <v>0</v>
      </c>
      <c r="BE358" s="15">
        <v>0</v>
      </c>
      <c r="BF358" s="15">
        <v>0</v>
      </c>
      <c r="BG358" s="15">
        <v>0</v>
      </c>
      <c r="BH358" s="15">
        <v>0</v>
      </c>
      <c r="BI358" s="15">
        <v>0</v>
      </c>
      <c r="BJ358" s="15">
        <v>0</v>
      </c>
      <c r="BK358" s="15">
        <v>0</v>
      </c>
      <c r="BL358" s="15">
        <v>0</v>
      </c>
      <c r="BM358" s="15">
        <v>0</v>
      </c>
      <c r="BN358" s="15">
        <v>0</v>
      </c>
      <c r="BO358" s="15">
        <v>0</v>
      </c>
      <c r="BP358" s="15">
        <v>0</v>
      </c>
      <c r="BQ358" s="15">
        <v>0</v>
      </c>
      <c r="BR358" s="15">
        <v>0</v>
      </c>
      <c r="BS358" s="15">
        <v>0</v>
      </c>
      <c r="BT358" s="15">
        <v>0</v>
      </c>
      <c r="BU358" s="15">
        <v>0</v>
      </c>
      <c r="BV358" s="15">
        <v>0</v>
      </c>
      <c r="BW358" s="15">
        <v>0</v>
      </c>
      <c r="BX358" s="15">
        <v>0</v>
      </c>
      <c r="BY358" s="15">
        <v>0</v>
      </c>
      <c r="BZ358" s="15">
        <v>0</v>
      </c>
      <c r="CA358" s="15">
        <v>0</v>
      </c>
      <c r="CB358" s="15">
        <v>0</v>
      </c>
      <c r="CC358" s="15">
        <v>0</v>
      </c>
      <c r="CD358" s="15">
        <v>0</v>
      </c>
      <c r="CE358" s="15">
        <v>0</v>
      </c>
      <c r="CF358" s="15">
        <v>0</v>
      </c>
      <c r="CG358" s="15">
        <v>0</v>
      </c>
      <c r="CH358" s="15">
        <v>0</v>
      </c>
      <c r="CI358" s="15">
        <v>0</v>
      </c>
      <c r="CJ358" s="15">
        <v>0</v>
      </c>
      <c r="CK358" s="15">
        <v>0</v>
      </c>
      <c r="CL358" s="15">
        <v>0</v>
      </c>
      <c r="CM358" s="15">
        <v>0</v>
      </c>
      <c r="CN358" s="15">
        <v>0</v>
      </c>
      <c r="CO358" s="15">
        <v>0</v>
      </c>
      <c r="CP358" s="15">
        <v>0</v>
      </c>
      <c r="CQ358" s="15">
        <v>0</v>
      </c>
      <c r="CR358" s="15">
        <v>0</v>
      </c>
      <c r="CS358" s="15">
        <v>0</v>
      </c>
      <c r="CT358" s="15">
        <v>0</v>
      </c>
      <c r="CU358" s="15">
        <v>0</v>
      </c>
      <c r="CV358" s="15">
        <v>0</v>
      </c>
      <c r="CW358" s="15">
        <v>0</v>
      </c>
      <c r="CX358" s="15">
        <v>0</v>
      </c>
      <c r="CY358" s="15">
        <v>0</v>
      </c>
      <c r="CZ358" s="15">
        <v>0</v>
      </c>
      <c r="DA358" s="15">
        <v>0</v>
      </c>
      <c r="DB358" s="15">
        <v>0</v>
      </c>
      <c r="DC358" s="15">
        <v>0</v>
      </c>
      <c r="DD358" s="15">
        <v>0</v>
      </c>
      <c r="DE358" s="15">
        <v>0</v>
      </c>
      <c r="DF358" s="15">
        <v>0</v>
      </c>
      <c r="DG358" s="15">
        <v>0</v>
      </c>
      <c r="DH358" s="15">
        <v>0</v>
      </c>
      <c r="DI358" s="15">
        <v>0</v>
      </c>
      <c r="DJ358" s="15">
        <v>0</v>
      </c>
      <c r="DK358" s="15">
        <v>0</v>
      </c>
      <c r="DL358" s="15">
        <v>0</v>
      </c>
      <c r="DM358" s="15">
        <v>0</v>
      </c>
      <c r="DN358" s="15">
        <v>0</v>
      </c>
      <c r="DO358" s="15">
        <v>0</v>
      </c>
      <c r="DP358" s="15">
        <v>0</v>
      </c>
      <c r="DQ358" s="15">
        <v>0</v>
      </c>
      <c r="DR358" s="15">
        <v>0</v>
      </c>
      <c r="DS358" s="15">
        <v>0</v>
      </c>
      <c r="DT358" s="15">
        <v>0</v>
      </c>
      <c r="DU358" s="15">
        <v>0</v>
      </c>
      <c r="DV358" s="15">
        <v>0</v>
      </c>
      <c r="DW358" s="15">
        <v>0</v>
      </c>
      <c r="DX358" s="15">
        <v>0</v>
      </c>
      <c r="DY358" s="15">
        <v>0</v>
      </c>
      <c r="DZ358" s="15">
        <v>0</v>
      </c>
      <c r="EA358" s="15">
        <v>0</v>
      </c>
      <c r="EB358" s="15">
        <v>0</v>
      </c>
      <c r="EC358" s="15">
        <v>0</v>
      </c>
      <c r="ED358" s="15">
        <v>0</v>
      </c>
      <c r="EE358" s="15">
        <v>0</v>
      </c>
      <c r="EF358" s="15">
        <v>0</v>
      </c>
    </row>
    <row r="359" spans="1:136" ht="15" customHeight="1" x14ac:dyDescent="0.35">
      <c r="A359" s="8" t="s">
        <v>12</v>
      </c>
      <c r="B359" s="8" t="s">
        <v>27</v>
      </c>
      <c r="C359" s="8" t="s">
        <v>27</v>
      </c>
      <c r="D359" s="8" t="s">
        <v>316</v>
      </c>
      <c r="E359" s="8" t="s">
        <v>14</v>
      </c>
      <c r="F359" s="8" t="s">
        <v>82</v>
      </c>
      <c r="G359" s="15">
        <v>0</v>
      </c>
      <c r="H359" s="15">
        <v>0</v>
      </c>
      <c r="I359" s="15">
        <v>8</v>
      </c>
      <c r="J359" s="15">
        <v>-8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8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5">
        <v>0</v>
      </c>
      <c r="AX359" s="15">
        <v>0</v>
      </c>
      <c r="AY359" s="15">
        <v>0</v>
      </c>
      <c r="AZ359" s="15">
        <v>0</v>
      </c>
      <c r="BA359" s="15">
        <v>0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5">
        <v>0</v>
      </c>
      <c r="CH359" s="15">
        <v>0</v>
      </c>
      <c r="CI359" s="15">
        <v>0</v>
      </c>
      <c r="CJ359" s="15">
        <v>0</v>
      </c>
      <c r="CK359" s="15">
        <v>0</v>
      </c>
      <c r="CL359" s="15">
        <v>0</v>
      </c>
      <c r="CM359" s="15">
        <v>0</v>
      </c>
      <c r="CN359" s="15">
        <v>0</v>
      </c>
      <c r="CO359" s="15">
        <v>0</v>
      </c>
      <c r="CP359" s="15">
        <v>0</v>
      </c>
      <c r="CQ359" s="15">
        <v>0</v>
      </c>
      <c r="CR359" s="15">
        <v>0</v>
      </c>
      <c r="CS359" s="15">
        <v>0</v>
      </c>
      <c r="CT359" s="15">
        <v>0</v>
      </c>
      <c r="CU359" s="15">
        <v>0</v>
      </c>
      <c r="CV359" s="15">
        <v>0</v>
      </c>
      <c r="CW359" s="15">
        <v>0</v>
      </c>
      <c r="CX359" s="15">
        <v>0</v>
      </c>
      <c r="CY359" s="15">
        <v>0</v>
      </c>
      <c r="CZ359" s="15">
        <v>0</v>
      </c>
      <c r="DA359" s="15">
        <v>0</v>
      </c>
      <c r="DB359" s="15">
        <v>0</v>
      </c>
      <c r="DC359" s="15">
        <v>0</v>
      </c>
      <c r="DD359" s="15">
        <v>0</v>
      </c>
      <c r="DE359" s="15">
        <v>0</v>
      </c>
      <c r="DF359" s="15">
        <v>0</v>
      </c>
      <c r="DG359" s="15">
        <v>0</v>
      </c>
      <c r="DH359" s="15">
        <v>0</v>
      </c>
      <c r="DI359" s="15">
        <v>0</v>
      </c>
      <c r="DJ359" s="15">
        <v>0</v>
      </c>
      <c r="DK359" s="15">
        <v>0</v>
      </c>
      <c r="DL359" s="15">
        <v>0</v>
      </c>
      <c r="DM359" s="15">
        <v>0</v>
      </c>
      <c r="DN359" s="15">
        <v>0</v>
      </c>
      <c r="DO359" s="15">
        <v>0</v>
      </c>
      <c r="DP359" s="15">
        <v>0</v>
      </c>
      <c r="DQ359" s="15">
        <v>0</v>
      </c>
      <c r="DR359" s="15">
        <v>0</v>
      </c>
      <c r="DS359" s="15">
        <v>0</v>
      </c>
      <c r="DT359" s="15">
        <v>0</v>
      </c>
      <c r="DU359" s="15">
        <v>0</v>
      </c>
      <c r="DV359" s="15">
        <v>0</v>
      </c>
      <c r="DW359" s="15">
        <v>0</v>
      </c>
      <c r="DX359" s="15">
        <v>0</v>
      </c>
      <c r="DY359" s="15">
        <v>0</v>
      </c>
      <c r="DZ359" s="15">
        <v>0</v>
      </c>
      <c r="EA359" s="15">
        <v>0</v>
      </c>
      <c r="EB359" s="15">
        <v>0</v>
      </c>
      <c r="EC359" s="15">
        <v>0</v>
      </c>
      <c r="ED359" s="15">
        <v>0</v>
      </c>
      <c r="EE359" s="15">
        <v>0</v>
      </c>
      <c r="EF359" s="15">
        <v>0</v>
      </c>
    </row>
    <row r="360" spans="1:136" ht="15" customHeight="1" x14ac:dyDescent="0.35">
      <c r="A360" s="8" t="s">
        <v>12</v>
      </c>
      <c r="B360" s="8" t="s">
        <v>27</v>
      </c>
      <c r="C360" s="8" t="s">
        <v>27</v>
      </c>
      <c r="D360" s="8" t="s">
        <v>315</v>
      </c>
      <c r="E360" s="8" t="s">
        <v>14</v>
      </c>
      <c r="F360" s="8" t="s">
        <v>83</v>
      </c>
      <c r="G360" s="15">
        <v>0</v>
      </c>
      <c r="H360" s="15">
        <v>0</v>
      </c>
      <c r="I360" s="15">
        <v>22</v>
      </c>
      <c r="J360" s="15">
        <v>-22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15</v>
      </c>
      <c r="AO360" s="15">
        <v>7</v>
      </c>
      <c r="AP360" s="15">
        <v>0</v>
      </c>
      <c r="AQ360" s="15">
        <v>0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5">
        <v>0</v>
      </c>
      <c r="AX360" s="15">
        <v>0</v>
      </c>
      <c r="AY360" s="15">
        <v>0</v>
      </c>
      <c r="AZ360" s="15">
        <v>0</v>
      </c>
      <c r="BA360" s="15">
        <v>0</v>
      </c>
      <c r="BB360" s="15">
        <v>0</v>
      </c>
      <c r="BC360" s="15">
        <v>0</v>
      </c>
      <c r="BD360" s="15">
        <v>0</v>
      </c>
      <c r="BE360" s="15">
        <v>0</v>
      </c>
      <c r="BF360" s="15">
        <v>0</v>
      </c>
      <c r="BG360" s="15">
        <v>0</v>
      </c>
      <c r="BH360" s="15">
        <v>0</v>
      </c>
      <c r="BI360" s="15">
        <v>0</v>
      </c>
      <c r="BJ360" s="15">
        <v>0</v>
      </c>
      <c r="BK360" s="15">
        <v>0</v>
      </c>
      <c r="BL360" s="15">
        <v>0</v>
      </c>
      <c r="BM360" s="15">
        <v>0</v>
      </c>
      <c r="BN360" s="15">
        <v>0</v>
      </c>
      <c r="BO360" s="15">
        <v>0</v>
      </c>
      <c r="BP360" s="15">
        <v>0</v>
      </c>
      <c r="BQ360" s="15">
        <v>0</v>
      </c>
      <c r="BR360" s="15">
        <v>0</v>
      </c>
      <c r="BS360" s="15">
        <v>0</v>
      </c>
      <c r="BT360" s="15">
        <v>0</v>
      </c>
      <c r="BU360" s="15">
        <v>0</v>
      </c>
      <c r="BV360" s="15">
        <v>0</v>
      </c>
      <c r="BW360" s="15">
        <v>0</v>
      </c>
      <c r="BX360" s="15">
        <v>0</v>
      </c>
      <c r="BY360" s="15">
        <v>0</v>
      </c>
      <c r="BZ360" s="15">
        <v>0</v>
      </c>
      <c r="CA360" s="15">
        <v>0</v>
      </c>
      <c r="CB360" s="15">
        <v>0</v>
      </c>
      <c r="CC360" s="15">
        <v>0</v>
      </c>
      <c r="CD360" s="15">
        <v>0</v>
      </c>
      <c r="CE360" s="15">
        <v>0</v>
      </c>
      <c r="CF360" s="15">
        <v>0</v>
      </c>
      <c r="CG360" s="15">
        <v>0</v>
      </c>
      <c r="CH360" s="15">
        <v>0</v>
      </c>
      <c r="CI360" s="15">
        <v>0</v>
      </c>
      <c r="CJ360" s="15">
        <v>0</v>
      </c>
      <c r="CK360" s="15">
        <v>0</v>
      </c>
      <c r="CL360" s="15">
        <v>0</v>
      </c>
      <c r="CM360" s="15">
        <v>0</v>
      </c>
      <c r="CN360" s="15">
        <v>0</v>
      </c>
      <c r="CO360" s="15">
        <v>0</v>
      </c>
      <c r="CP360" s="15">
        <v>0</v>
      </c>
      <c r="CQ360" s="15">
        <v>0</v>
      </c>
      <c r="CR360" s="15">
        <v>0</v>
      </c>
      <c r="CS360" s="15">
        <v>0</v>
      </c>
      <c r="CT360" s="15">
        <v>0</v>
      </c>
      <c r="CU360" s="15">
        <v>0</v>
      </c>
      <c r="CV360" s="15">
        <v>0</v>
      </c>
      <c r="CW360" s="15">
        <v>0</v>
      </c>
      <c r="CX360" s="15">
        <v>0</v>
      </c>
      <c r="CY360" s="15">
        <v>0</v>
      </c>
      <c r="CZ360" s="15">
        <v>0</v>
      </c>
      <c r="DA360" s="15">
        <v>0</v>
      </c>
      <c r="DB360" s="15">
        <v>0</v>
      </c>
      <c r="DC360" s="15">
        <v>0</v>
      </c>
      <c r="DD360" s="15">
        <v>0</v>
      </c>
      <c r="DE360" s="15">
        <v>0</v>
      </c>
      <c r="DF360" s="15">
        <v>0</v>
      </c>
      <c r="DG360" s="15">
        <v>0</v>
      </c>
      <c r="DH360" s="15">
        <v>0</v>
      </c>
      <c r="DI360" s="15">
        <v>0</v>
      </c>
      <c r="DJ360" s="15">
        <v>0</v>
      </c>
      <c r="DK360" s="15">
        <v>0</v>
      </c>
      <c r="DL360" s="15">
        <v>0</v>
      </c>
      <c r="DM360" s="15">
        <v>0</v>
      </c>
      <c r="DN360" s="15">
        <v>0</v>
      </c>
      <c r="DO360" s="15">
        <v>0</v>
      </c>
      <c r="DP360" s="15">
        <v>0</v>
      </c>
      <c r="DQ360" s="15">
        <v>0</v>
      </c>
      <c r="DR360" s="15">
        <v>0</v>
      </c>
      <c r="DS360" s="15">
        <v>0</v>
      </c>
      <c r="DT360" s="15">
        <v>0</v>
      </c>
      <c r="DU360" s="15">
        <v>0</v>
      </c>
      <c r="DV360" s="15">
        <v>0</v>
      </c>
      <c r="DW360" s="15">
        <v>0</v>
      </c>
      <c r="DX360" s="15">
        <v>0</v>
      </c>
      <c r="DY360" s="15">
        <v>0</v>
      </c>
      <c r="DZ360" s="15">
        <v>0</v>
      </c>
      <c r="EA360" s="15">
        <v>0</v>
      </c>
      <c r="EB360" s="15">
        <v>0</v>
      </c>
      <c r="EC360" s="15">
        <v>0</v>
      </c>
      <c r="ED360" s="15">
        <v>0</v>
      </c>
      <c r="EE360" s="15">
        <v>0</v>
      </c>
      <c r="EF360" s="15">
        <v>0</v>
      </c>
    </row>
    <row r="361" spans="1:136" ht="15" customHeight="1" x14ac:dyDescent="0.35">
      <c r="A361" s="8" t="s">
        <v>12</v>
      </c>
      <c r="B361" s="8" t="s">
        <v>27</v>
      </c>
      <c r="C361" s="8" t="s">
        <v>27</v>
      </c>
      <c r="D361" s="8" t="s">
        <v>316</v>
      </c>
      <c r="E361" s="8" t="s">
        <v>14</v>
      </c>
      <c r="F361" s="8" t="s">
        <v>83</v>
      </c>
      <c r="G361" s="15">
        <v>5</v>
      </c>
      <c r="H361" s="15">
        <v>5</v>
      </c>
      <c r="I361" s="15">
        <v>0</v>
      </c>
      <c r="J361" s="15">
        <v>5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  <c r="AW361" s="15">
        <v>0</v>
      </c>
      <c r="AX361" s="15">
        <v>0</v>
      </c>
      <c r="AY361" s="15">
        <v>0</v>
      </c>
      <c r="AZ361" s="15">
        <v>0</v>
      </c>
      <c r="BA361" s="15">
        <v>0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5">
        <v>0</v>
      </c>
      <c r="CH361" s="15">
        <v>0</v>
      </c>
      <c r="CI361" s="15">
        <v>0</v>
      </c>
      <c r="CJ361" s="15">
        <v>0</v>
      </c>
      <c r="CK361" s="15">
        <v>0</v>
      </c>
      <c r="CL361" s="15">
        <v>0</v>
      </c>
      <c r="CM361" s="15">
        <v>0</v>
      </c>
      <c r="CN361" s="15">
        <v>0</v>
      </c>
      <c r="CO361" s="15">
        <v>0</v>
      </c>
      <c r="CP361" s="15">
        <v>0</v>
      </c>
      <c r="CQ361" s="15">
        <v>0</v>
      </c>
      <c r="CR361" s="15">
        <v>0</v>
      </c>
      <c r="CS361" s="15">
        <v>0</v>
      </c>
      <c r="CT361" s="15">
        <v>0</v>
      </c>
      <c r="CU361" s="15">
        <v>0</v>
      </c>
      <c r="CV361" s="15">
        <v>0</v>
      </c>
      <c r="CW361" s="15">
        <v>0</v>
      </c>
      <c r="CX361" s="15">
        <v>0</v>
      </c>
      <c r="CY361" s="15">
        <v>0</v>
      </c>
      <c r="CZ361" s="15">
        <v>0</v>
      </c>
      <c r="DA361" s="15">
        <v>0</v>
      </c>
      <c r="DB361" s="15">
        <v>0</v>
      </c>
      <c r="DC361" s="15">
        <v>0</v>
      </c>
      <c r="DD361" s="15">
        <v>0</v>
      </c>
      <c r="DE361" s="15">
        <v>0</v>
      </c>
      <c r="DF361" s="15">
        <v>0</v>
      </c>
      <c r="DG361" s="15">
        <v>0</v>
      </c>
      <c r="DH361" s="15">
        <v>0</v>
      </c>
      <c r="DI361" s="15">
        <v>0</v>
      </c>
      <c r="DJ361" s="15">
        <v>0</v>
      </c>
      <c r="DK361" s="15">
        <v>0</v>
      </c>
      <c r="DL361" s="15">
        <v>0</v>
      </c>
      <c r="DM361" s="15">
        <v>0</v>
      </c>
      <c r="DN361" s="15">
        <v>0</v>
      </c>
      <c r="DO361" s="15">
        <v>0</v>
      </c>
      <c r="DP361" s="15">
        <v>0</v>
      </c>
      <c r="DQ361" s="15">
        <v>0</v>
      </c>
      <c r="DR361" s="15">
        <v>0</v>
      </c>
      <c r="DS361" s="15">
        <v>0</v>
      </c>
      <c r="DT361" s="15">
        <v>0</v>
      </c>
      <c r="DU361" s="15">
        <v>0</v>
      </c>
      <c r="DV361" s="15">
        <v>0</v>
      </c>
      <c r="DW361" s="15">
        <v>0</v>
      </c>
      <c r="DX361" s="15">
        <v>0</v>
      </c>
      <c r="DY361" s="15">
        <v>0</v>
      </c>
      <c r="DZ361" s="15">
        <v>0</v>
      </c>
      <c r="EA361" s="15">
        <v>0</v>
      </c>
      <c r="EB361" s="15">
        <v>0</v>
      </c>
      <c r="EC361" s="15">
        <v>0</v>
      </c>
      <c r="ED361" s="15">
        <v>0</v>
      </c>
      <c r="EE361" s="15">
        <v>0</v>
      </c>
      <c r="EF361" s="15">
        <v>0</v>
      </c>
    </row>
    <row r="362" spans="1:136" ht="15" customHeight="1" x14ac:dyDescent="0.35">
      <c r="A362" s="8" t="s">
        <v>12</v>
      </c>
      <c r="B362" s="8" t="s">
        <v>27</v>
      </c>
      <c r="C362" s="8" t="s">
        <v>27</v>
      </c>
      <c r="D362" s="8" t="s">
        <v>315</v>
      </c>
      <c r="E362" s="8" t="s">
        <v>14</v>
      </c>
      <c r="F362" s="8" t="s">
        <v>84</v>
      </c>
      <c r="G362" s="15">
        <v>0</v>
      </c>
      <c r="H362" s="15">
        <v>0</v>
      </c>
      <c r="I362" s="15">
        <v>15</v>
      </c>
      <c r="J362" s="15">
        <v>-15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  <c r="AW362" s="15">
        <v>0</v>
      </c>
      <c r="AX362" s="15">
        <v>0</v>
      </c>
      <c r="AY362" s="15">
        <v>0</v>
      </c>
      <c r="AZ362" s="15">
        <v>0</v>
      </c>
      <c r="BA362" s="15">
        <v>0</v>
      </c>
      <c r="BB362" s="15">
        <v>0</v>
      </c>
      <c r="BC362" s="15">
        <v>0</v>
      </c>
      <c r="BD362" s="15">
        <v>0</v>
      </c>
      <c r="BE362" s="15">
        <v>0</v>
      </c>
      <c r="BF362" s="15">
        <v>0</v>
      </c>
      <c r="BG362" s="15">
        <v>0</v>
      </c>
      <c r="BH362" s="15">
        <v>0</v>
      </c>
      <c r="BI362" s="15">
        <v>0</v>
      </c>
      <c r="BJ362" s="15">
        <v>0</v>
      </c>
      <c r="BK362" s="15">
        <v>0</v>
      </c>
      <c r="BL362" s="15">
        <v>0</v>
      </c>
      <c r="BM362" s="15">
        <v>0</v>
      </c>
      <c r="BN362" s="15">
        <v>0</v>
      </c>
      <c r="BO362" s="15">
        <v>0</v>
      </c>
      <c r="BP362" s="15">
        <v>0</v>
      </c>
      <c r="BQ362" s="15">
        <v>0</v>
      </c>
      <c r="BR362" s="15">
        <v>0</v>
      </c>
      <c r="BS362" s="15">
        <v>0</v>
      </c>
      <c r="BT362" s="15">
        <v>0</v>
      </c>
      <c r="BU362" s="15">
        <v>0</v>
      </c>
      <c r="BV362" s="15">
        <v>0</v>
      </c>
      <c r="BW362" s="15">
        <v>0</v>
      </c>
      <c r="BX362" s="15">
        <v>0</v>
      </c>
      <c r="BY362" s="15">
        <v>0</v>
      </c>
      <c r="BZ362" s="15">
        <v>0</v>
      </c>
      <c r="CA362" s="15">
        <v>0</v>
      </c>
      <c r="CB362" s="15">
        <v>0</v>
      </c>
      <c r="CC362" s="15">
        <v>0</v>
      </c>
      <c r="CD362" s="15">
        <v>0</v>
      </c>
      <c r="CE362" s="15">
        <v>0</v>
      </c>
      <c r="CF362" s="15">
        <v>0</v>
      </c>
      <c r="CG362" s="15">
        <v>0</v>
      </c>
      <c r="CH362" s="15">
        <v>0</v>
      </c>
      <c r="CI362" s="15">
        <v>0</v>
      </c>
      <c r="CJ362" s="15">
        <v>0</v>
      </c>
      <c r="CK362" s="15">
        <v>0</v>
      </c>
      <c r="CL362" s="15">
        <v>0</v>
      </c>
      <c r="CM362" s="15">
        <v>0</v>
      </c>
      <c r="CN362" s="15">
        <v>0</v>
      </c>
      <c r="CO362" s="15">
        <v>0</v>
      </c>
      <c r="CP362" s="15">
        <v>0</v>
      </c>
      <c r="CQ362" s="15">
        <v>0</v>
      </c>
      <c r="CR362" s="15">
        <v>0</v>
      </c>
      <c r="CS362" s="15">
        <v>0</v>
      </c>
      <c r="CT362" s="15">
        <v>0</v>
      </c>
      <c r="CU362" s="15">
        <v>0</v>
      </c>
      <c r="CV362" s="15">
        <v>0</v>
      </c>
      <c r="CW362" s="15">
        <v>0</v>
      </c>
      <c r="CX362" s="15">
        <v>0</v>
      </c>
      <c r="CY362" s="15">
        <v>0</v>
      </c>
      <c r="CZ362" s="15">
        <v>10</v>
      </c>
      <c r="DA362" s="15">
        <v>5</v>
      </c>
      <c r="DB362" s="15">
        <v>0</v>
      </c>
      <c r="DC362" s="15">
        <v>0</v>
      </c>
      <c r="DD362" s="15">
        <v>0</v>
      </c>
      <c r="DE362" s="15">
        <v>0</v>
      </c>
      <c r="DF362" s="15">
        <v>0</v>
      </c>
      <c r="DG362" s="15">
        <v>0</v>
      </c>
      <c r="DH362" s="15">
        <v>0</v>
      </c>
      <c r="DI362" s="15">
        <v>0</v>
      </c>
      <c r="DJ362" s="15">
        <v>0</v>
      </c>
      <c r="DK362" s="15">
        <v>0</v>
      </c>
      <c r="DL362" s="15">
        <v>0</v>
      </c>
      <c r="DM362" s="15">
        <v>0</v>
      </c>
      <c r="DN362" s="15">
        <v>0</v>
      </c>
      <c r="DO362" s="15">
        <v>0</v>
      </c>
      <c r="DP362" s="15">
        <v>0</v>
      </c>
      <c r="DQ362" s="15">
        <v>0</v>
      </c>
      <c r="DR362" s="15">
        <v>0</v>
      </c>
      <c r="DS362" s="15">
        <v>0</v>
      </c>
      <c r="DT362" s="15">
        <v>0</v>
      </c>
      <c r="DU362" s="15">
        <v>0</v>
      </c>
      <c r="DV362" s="15">
        <v>0</v>
      </c>
      <c r="DW362" s="15">
        <v>0</v>
      </c>
      <c r="DX362" s="15">
        <v>0</v>
      </c>
      <c r="DY362" s="15">
        <v>0</v>
      </c>
      <c r="DZ362" s="15">
        <v>0</v>
      </c>
      <c r="EA362" s="15">
        <v>0</v>
      </c>
      <c r="EB362" s="15">
        <v>0</v>
      </c>
      <c r="EC362" s="15">
        <v>0</v>
      </c>
      <c r="ED362" s="15">
        <v>0</v>
      </c>
      <c r="EE362" s="15">
        <v>0</v>
      </c>
      <c r="EF362" s="15">
        <v>0</v>
      </c>
    </row>
    <row r="363" spans="1:136" ht="15" customHeight="1" x14ac:dyDescent="0.35">
      <c r="A363" s="8" t="s">
        <v>12</v>
      </c>
      <c r="B363" s="8" t="s">
        <v>27</v>
      </c>
      <c r="C363" s="8" t="s">
        <v>27</v>
      </c>
      <c r="D363" s="8" t="s">
        <v>316</v>
      </c>
      <c r="E363" s="8" t="s">
        <v>14</v>
      </c>
      <c r="F363" s="8" t="s">
        <v>84</v>
      </c>
      <c r="G363" s="15">
        <v>0</v>
      </c>
      <c r="H363" s="15">
        <v>5</v>
      </c>
      <c r="I363" s="15">
        <v>0</v>
      </c>
      <c r="J363" s="15">
        <v>5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5">
        <v>0</v>
      </c>
      <c r="AP363" s="15">
        <v>0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5">
        <v>0</v>
      </c>
      <c r="AX363" s="15">
        <v>0</v>
      </c>
      <c r="AY363" s="15">
        <v>0</v>
      </c>
      <c r="AZ363" s="15">
        <v>0</v>
      </c>
      <c r="BA363" s="15">
        <v>0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5">
        <v>0</v>
      </c>
      <c r="CH363" s="15">
        <v>0</v>
      </c>
      <c r="CI363" s="15">
        <v>0</v>
      </c>
      <c r="CJ363" s="15">
        <v>0</v>
      </c>
      <c r="CK363" s="15">
        <v>0</v>
      </c>
      <c r="CL363" s="15">
        <v>0</v>
      </c>
      <c r="CM363" s="15">
        <v>0</v>
      </c>
      <c r="CN363" s="15">
        <v>0</v>
      </c>
      <c r="CO363" s="15">
        <v>0</v>
      </c>
      <c r="CP363" s="15">
        <v>0</v>
      </c>
      <c r="CQ363" s="15">
        <v>0</v>
      </c>
      <c r="CR363" s="15">
        <v>0</v>
      </c>
      <c r="CS363" s="15">
        <v>0</v>
      </c>
      <c r="CT363" s="15">
        <v>0</v>
      </c>
      <c r="CU363" s="15">
        <v>0</v>
      </c>
      <c r="CV363" s="15">
        <v>0</v>
      </c>
      <c r="CW363" s="15">
        <v>0</v>
      </c>
      <c r="CX363" s="15">
        <v>0</v>
      </c>
      <c r="CY363" s="15">
        <v>0</v>
      </c>
      <c r="CZ363" s="15">
        <v>0</v>
      </c>
      <c r="DA363" s="15">
        <v>0</v>
      </c>
      <c r="DB363" s="15">
        <v>0</v>
      </c>
      <c r="DC363" s="15">
        <v>0</v>
      </c>
      <c r="DD363" s="15">
        <v>0</v>
      </c>
      <c r="DE363" s="15">
        <v>0</v>
      </c>
      <c r="DF363" s="15">
        <v>0</v>
      </c>
      <c r="DG363" s="15">
        <v>0</v>
      </c>
      <c r="DH363" s="15">
        <v>0</v>
      </c>
      <c r="DI363" s="15">
        <v>0</v>
      </c>
      <c r="DJ363" s="15">
        <v>0</v>
      </c>
      <c r="DK363" s="15">
        <v>0</v>
      </c>
      <c r="DL363" s="15">
        <v>0</v>
      </c>
      <c r="DM363" s="15">
        <v>0</v>
      </c>
      <c r="DN363" s="15">
        <v>0</v>
      </c>
      <c r="DO363" s="15">
        <v>0</v>
      </c>
      <c r="DP363" s="15">
        <v>0</v>
      </c>
      <c r="DQ363" s="15">
        <v>0</v>
      </c>
      <c r="DR363" s="15">
        <v>0</v>
      </c>
      <c r="DS363" s="15">
        <v>0</v>
      </c>
      <c r="DT363" s="15">
        <v>0</v>
      </c>
      <c r="DU363" s="15">
        <v>0</v>
      </c>
      <c r="DV363" s="15">
        <v>0</v>
      </c>
      <c r="DW363" s="15">
        <v>0</v>
      </c>
      <c r="DX363" s="15">
        <v>0</v>
      </c>
      <c r="DY363" s="15">
        <v>0</v>
      </c>
      <c r="DZ363" s="15">
        <v>0</v>
      </c>
      <c r="EA363" s="15">
        <v>0</v>
      </c>
      <c r="EB363" s="15">
        <v>0</v>
      </c>
      <c r="EC363" s="15">
        <v>0</v>
      </c>
      <c r="ED363" s="15">
        <v>0</v>
      </c>
      <c r="EE363" s="15">
        <v>0</v>
      </c>
      <c r="EF363" s="15">
        <v>0</v>
      </c>
    </row>
    <row r="364" spans="1:136" ht="15" customHeight="1" x14ac:dyDescent="0.35">
      <c r="A364" s="8" t="s">
        <v>12</v>
      </c>
      <c r="B364" s="8" t="s">
        <v>27</v>
      </c>
      <c r="C364" s="8" t="s">
        <v>27</v>
      </c>
      <c r="D364" s="8" t="s">
        <v>315</v>
      </c>
      <c r="E364" s="8" t="s">
        <v>14</v>
      </c>
      <c r="F364" s="8" t="s">
        <v>40</v>
      </c>
      <c r="G364" s="15">
        <v>0</v>
      </c>
      <c r="H364" s="15">
        <v>0</v>
      </c>
      <c r="I364" s="15">
        <v>35</v>
      </c>
      <c r="J364" s="15">
        <v>-35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  <c r="AW364" s="15">
        <v>0</v>
      </c>
      <c r="AX364" s="15">
        <v>0</v>
      </c>
      <c r="AY364" s="15">
        <v>0</v>
      </c>
      <c r="AZ364" s="15">
        <v>0</v>
      </c>
      <c r="BA364" s="15">
        <v>0</v>
      </c>
      <c r="BB364" s="15">
        <v>0</v>
      </c>
      <c r="BC364" s="15">
        <v>0</v>
      </c>
      <c r="BD364" s="15">
        <v>0</v>
      </c>
      <c r="BE364" s="15">
        <v>0</v>
      </c>
      <c r="BF364" s="15">
        <v>0</v>
      </c>
      <c r="BG364" s="15">
        <v>0</v>
      </c>
      <c r="BH364" s="15">
        <v>0</v>
      </c>
      <c r="BI364" s="15">
        <v>0</v>
      </c>
      <c r="BJ364" s="15">
        <v>0</v>
      </c>
      <c r="BK364" s="15">
        <v>0</v>
      </c>
      <c r="BL364" s="15">
        <v>0</v>
      </c>
      <c r="BM364" s="15">
        <v>0</v>
      </c>
      <c r="BN364" s="15">
        <v>0</v>
      </c>
      <c r="BO364" s="15">
        <v>0</v>
      </c>
      <c r="BP364" s="15">
        <v>0</v>
      </c>
      <c r="BQ364" s="15">
        <v>0</v>
      </c>
      <c r="BR364" s="15">
        <v>0</v>
      </c>
      <c r="BS364" s="15">
        <v>0</v>
      </c>
      <c r="BT364" s="15">
        <v>0</v>
      </c>
      <c r="BU364" s="15">
        <v>0</v>
      </c>
      <c r="BV364" s="15">
        <v>0</v>
      </c>
      <c r="BW364" s="15">
        <v>0</v>
      </c>
      <c r="BX364" s="15">
        <v>0</v>
      </c>
      <c r="BY364" s="15">
        <v>0</v>
      </c>
      <c r="BZ364" s="15">
        <v>0</v>
      </c>
      <c r="CA364" s="15">
        <v>0</v>
      </c>
      <c r="CB364" s="15">
        <v>0</v>
      </c>
      <c r="CC364" s="15">
        <v>0</v>
      </c>
      <c r="CD364" s="15">
        <v>0</v>
      </c>
      <c r="CE364" s="15">
        <v>0</v>
      </c>
      <c r="CF364" s="15">
        <v>0</v>
      </c>
      <c r="CG364" s="15">
        <v>0</v>
      </c>
      <c r="CH364" s="15">
        <v>0</v>
      </c>
      <c r="CI364" s="15">
        <v>0</v>
      </c>
      <c r="CJ364" s="15">
        <v>0</v>
      </c>
      <c r="CK364" s="15">
        <v>0</v>
      </c>
      <c r="CL364" s="15">
        <v>0</v>
      </c>
      <c r="CM364" s="15">
        <v>0</v>
      </c>
      <c r="CN364" s="15">
        <v>0</v>
      </c>
      <c r="CO364" s="15">
        <v>0</v>
      </c>
      <c r="CP364" s="15">
        <v>0</v>
      </c>
      <c r="CQ364" s="15">
        <v>0</v>
      </c>
      <c r="CR364" s="15">
        <v>0</v>
      </c>
      <c r="CS364" s="15">
        <v>0</v>
      </c>
      <c r="CT364" s="15">
        <v>0</v>
      </c>
      <c r="CU364" s="15">
        <v>0</v>
      </c>
      <c r="CV364" s="15">
        <v>0</v>
      </c>
      <c r="CW364" s="15">
        <v>0</v>
      </c>
      <c r="CX364" s="15">
        <v>0</v>
      </c>
      <c r="CY364" s="15">
        <v>0</v>
      </c>
      <c r="CZ364" s="15">
        <v>0</v>
      </c>
      <c r="DA364" s="15">
        <v>0</v>
      </c>
      <c r="DB364" s="15">
        <v>0</v>
      </c>
      <c r="DC364" s="15">
        <v>0</v>
      </c>
      <c r="DD364" s="15">
        <v>0</v>
      </c>
      <c r="DE364" s="15">
        <v>0</v>
      </c>
      <c r="DF364" s="15">
        <v>15</v>
      </c>
      <c r="DG364" s="15">
        <v>0</v>
      </c>
      <c r="DH364" s="15">
        <v>0</v>
      </c>
      <c r="DI364" s="15">
        <v>0</v>
      </c>
      <c r="DJ364" s="15">
        <v>0</v>
      </c>
      <c r="DK364" s="15">
        <v>0</v>
      </c>
      <c r="DL364" s="15">
        <v>0</v>
      </c>
      <c r="DM364" s="15">
        <v>0</v>
      </c>
      <c r="DN364" s="15">
        <v>0</v>
      </c>
      <c r="DO364" s="15">
        <v>7</v>
      </c>
      <c r="DP364" s="15">
        <v>13</v>
      </c>
      <c r="DQ364" s="15">
        <v>0</v>
      </c>
      <c r="DR364" s="15">
        <v>0</v>
      </c>
      <c r="DS364" s="15">
        <v>0</v>
      </c>
      <c r="DT364" s="15">
        <v>0</v>
      </c>
      <c r="DU364" s="15">
        <v>0</v>
      </c>
      <c r="DV364" s="15">
        <v>0</v>
      </c>
      <c r="DW364" s="15">
        <v>0</v>
      </c>
      <c r="DX364" s="15">
        <v>0</v>
      </c>
      <c r="DY364" s="15">
        <v>0</v>
      </c>
      <c r="DZ364" s="15">
        <v>0</v>
      </c>
      <c r="EA364" s="15">
        <v>0</v>
      </c>
      <c r="EB364" s="15">
        <v>0</v>
      </c>
      <c r="EC364" s="15">
        <v>0</v>
      </c>
      <c r="ED364" s="15">
        <v>0</v>
      </c>
      <c r="EE364" s="15">
        <v>0</v>
      </c>
      <c r="EF364" s="15">
        <v>0</v>
      </c>
    </row>
    <row r="365" spans="1:136" ht="15" customHeight="1" x14ac:dyDescent="0.35">
      <c r="A365" s="8" t="s">
        <v>12</v>
      </c>
      <c r="B365" s="8" t="s">
        <v>27</v>
      </c>
      <c r="C365" s="8" t="s">
        <v>27</v>
      </c>
      <c r="D365" s="8" t="s">
        <v>316</v>
      </c>
      <c r="E365" s="8" t="s">
        <v>14</v>
      </c>
      <c r="F365" s="8" t="s">
        <v>40</v>
      </c>
      <c r="G365" s="15">
        <v>0</v>
      </c>
      <c r="H365" s="15">
        <v>35</v>
      </c>
      <c r="I365" s="15">
        <v>0</v>
      </c>
      <c r="J365" s="15">
        <v>35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5">
        <v>0</v>
      </c>
      <c r="CH365" s="15">
        <v>0</v>
      </c>
      <c r="CI365" s="15">
        <v>0</v>
      </c>
      <c r="CJ365" s="15">
        <v>0</v>
      </c>
      <c r="CK365" s="15">
        <v>0</v>
      </c>
      <c r="CL365" s="15">
        <v>0</v>
      </c>
      <c r="CM365" s="15">
        <v>0</v>
      </c>
      <c r="CN365" s="15">
        <v>0</v>
      </c>
      <c r="CO365" s="15">
        <v>0</v>
      </c>
      <c r="CP365" s="15">
        <v>0</v>
      </c>
      <c r="CQ365" s="15">
        <v>0</v>
      </c>
      <c r="CR365" s="15">
        <v>0</v>
      </c>
      <c r="CS365" s="15">
        <v>0</v>
      </c>
      <c r="CT365" s="15">
        <v>0</v>
      </c>
      <c r="CU365" s="15">
        <v>0</v>
      </c>
      <c r="CV365" s="15">
        <v>0</v>
      </c>
      <c r="CW365" s="15">
        <v>0</v>
      </c>
      <c r="CX365" s="15">
        <v>0</v>
      </c>
      <c r="CY365" s="15">
        <v>0</v>
      </c>
      <c r="CZ365" s="15">
        <v>0</v>
      </c>
      <c r="DA365" s="15">
        <v>0</v>
      </c>
      <c r="DB365" s="15">
        <v>0</v>
      </c>
      <c r="DC365" s="15">
        <v>0</v>
      </c>
      <c r="DD365" s="15">
        <v>0</v>
      </c>
      <c r="DE365" s="15">
        <v>0</v>
      </c>
      <c r="DF365" s="15">
        <v>0</v>
      </c>
      <c r="DG365" s="15">
        <v>0</v>
      </c>
      <c r="DH365" s="15">
        <v>0</v>
      </c>
      <c r="DI365" s="15">
        <v>0</v>
      </c>
      <c r="DJ365" s="15">
        <v>0</v>
      </c>
      <c r="DK365" s="15">
        <v>0</v>
      </c>
      <c r="DL365" s="15">
        <v>0</v>
      </c>
      <c r="DM365" s="15">
        <v>0</v>
      </c>
      <c r="DN365" s="15">
        <v>0</v>
      </c>
      <c r="DO365" s="15">
        <v>0</v>
      </c>
      <c r="DP365" s="15">
        <v>0</v>
      </c>
      <c r="DQ365" s="15">
        <v>0</v>
      </c>
      <c r="DR365" s="15">
        <v>0</v>
      </c>
      <c r="DS365" s="15">
        <v>0</v>
      </c>
      <c r="DT365" s="15">
        <v>0</v>
      </c>
      <c r="DU365" s="15">
        <v>0</v>
      </c>
      <c r="DV365" s="15">
        <v>0</v>
      </c>
      <c r="DW365" s="15">
        <v>0</v>
      </c>
      <c r="DX365" s="15">
        <v>0</v>
      </c>
      <c r="DY365" s="15">
        <v>0</v>
      </c>
      <c r="DZ365" s="15">
        <v>0</v>
      </c>
      <c r="EA365" s="15">
        <v>0</v>
      </c>
      <c r="EB365" s="15">
        <v>0</v>
      </c>
      <c r="EC365" s="15">
        <v>0</v>
      </c>
      <c r="ED365" s="15">
        <v>0</v>
      </c>
      <c r="EE365" s="15">
        <v>0</v>
      </c>
      <c r="EF365" s="15">
        <v>0</v>
      </c>
    </row>
    <row r="366" spans="1:136" ht="15" customHeight="1" x14ac:dyDescent="0.35">
      <c r="A366" s="8" t="s">
        <v>12</v>
      </c>
      <c r="B366" s="8" t="s">
        <v>27</v>
      </c>
      <c r="C366" s="8" t="s">
        <v>27</v>
      </c>
      <c r="D366" s="8" t="s">
        <v>316</v>
      </c>
      <c r="E366" s="8" t="s">
        <v>14</v>
      </c>
      <c r="F366" s="8" t="s">
        <v>86</v>
      </c>
      <c r="G366" s="15">
        <v>0</v>
      </c>
      <c r="H366" s="15">
        <v>0</v>
      </c>
      <c r="I366" s="15">
        <v>25</v>
      </c>
      <c r="J366" s="15">
        <v>-25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3</v>
      </c>
      <c r="Z366" s="15">
        <v>4</v>
      </c>
      <c r="AA366" s="15">
        <v>18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</v>
      </c>
      <c r="AY366" s="15">
        <v>0</v>
      </c>
      <c r="AZ366" s="15">
        <v>0</v>
      </c>
      <c r="BA366" s="15">
        <v>0</v>
      </c>
      <c r="BB366" s="15">
        <v>0</v>
      </c>
      <c r="BC366" s="15">
        <v>0</v>
      </c>
      <c r="BD366" s="15">
        <v>0</v>
      </c>
      <c r="BE366" s="15">
        <v>0</v>
      </c>
      <c r="BF366" s="15">
        <v>0</v>
      </c>
      <c r="BG366" s="15">
        <v>0</v>
      </c>
      <c r="BH366" s="15">
        <v>0</v>
      </c>
      <c r="BI366" s="15">
        <v>0</v>
      </c>
      <c r="BJ366" s="15">
        <v>0</v>
      </c>
      <c r="BK366" s="15">
        <v>0</v>
      </c>
      <c r="BL366" s="15">
        <v>0</v>
      </c>
      <c r="BM366" s="15">
        <v>0</v>
      </c>
      <c r="BN366" s="15">
        <v>0</v>
      </c>
      <c r="BO366" s="15">
        <v>0</v>
      </c>
      <c r="BP366" s="15">
        <v>0</v>
      </c>
      <c r="BQ366" s="15">
        <v>0</v>
      </c>
      <c r="BR366" s="15">
        <v>0</v>
      </c>
      <c r="BS366" s="15">
        <v>0</v>
      </c>
      <c r="BT366" s="15">
        <v>0</v>
      </c>
      <c r="BU366" s="15">
        <v>0</v>
      </c>
      <c r="BV366" s="15">
        <v>0</v>
      </c>
      <c r="BW366" s="15">
        <v>0</v>
      </c>
      <c r="BX366" s="15">
        <v>0</v>
      </c>
      <c r="BY366" s="15">
        <v>0</v>
      </c>
      <c r="BZ366" s="15">
        <v>0</v>
      </c>
      <c r="CA366" s="15">
        <v>0</v>
      </c>
      <c r="CB366" s="15">
        <v>0</v>
      </c>
      <c r="CC366" s="15">
        <v>0</v>
      </c>
      <c r="CD366" s="15">
        <v>0</v>
      </c>
      <c r="CE366" s="15">
        <v>0</v>
      </c>
      <c r="CF366" s="15">
        <v>0</v>
      </c>
      <c r="CG366" s="15">
        <v>0</v>
      </c>
      <c r="CH366" s="15">
        <v>0</v>
      </c>
      <c r="CI366" s="15">
        <v>0</v>
      </c>
      <c r="CJ366" s="15">
        <v>0</v>
      </c>
      <c r="CK366" s="15">
        <v>0</v>
      </c>
      <c r="CL366" s="15">
        <v>0</v>
      </c>
      <c r="CM366" s="15">
        <v>0</v>
      </c>
      <c r="CN366" s="15">
        <v>0</v>
      </c>
      <c r="CO366" s="15">
        <v>0</v>
      </c>
      <c r="CP366" s="15">
        <v>0</v>
      </c>
      <c r="CQ366" s="15">
        <v>0</v>
      </c>
      <c r="CR366" s="15">
        <v>0</v>
      </c>
      <c r="CS366" s="15">
        <v>0</v>
      </c>
      <c r="CT366" s="15">
        <v>0</v>
      </c>
      <c r="CU366" s="15">
        <v>0</v>
      </c>
      <c r="CV366" s="15">
        <v>0</v>
      </c>
      <c r="CW366" s="15">
        <v>0</v>
      </c>
      <c r="CX366" s="15">
        <v>0</v>
      </c>
      <c r="CY366" s="15">
        <v>0</v>
      </c>
      <c r="CZ366" s="15">
        <v>0</v>
      </c>
      <c r="DA366" s="15">
        <v>0</v>
      </c>
      <c r="DB366" s="15">
        <v>0</v>
      </c>
      <c r="DC366" s="15">
        <v>0</v>
      </c>
      <c r="DD366" s="15">
        <v>0</v>
      </c>
      <c r="DE366" s="15">
        <v>0</v>
      </c>
      <c r="DF366" s="15">
        <v>0</v>
      </c>
      <c r="DG366" s="15">
        <v>0</v>
      </c>
      <c r="DH366" s="15">
        <v>0</v>
      </c>
      <c r="DI366" s="15">
        <v>0</v>
      </c>
      <c r="DJ366" s="15">
        <v>0</v>
      </c>
      <c r="DK366" s="15">
        <v>0</v>
      </c>
      <c r="DL366" s="15">
        <v>0</v>
      </c>
      <c r="DM366" s="15">
        <v>0</v>
      </c>
      <c r="DN366" s="15">
        <v>0</v>
      </c>
      <c r="DO366" s="15">
        <v>0</v>
      </c>
      <c r="DP366" s="15">
        <v>0</v>
      </c>
      <c r="DQ366" s="15">
        <v>0</v>
      </c>
      <c r="DR366" s="15">
        <v>0</v>
      </c>
      <c r="DS366" s="15">
        <v>0</v>
      </c>
      <c r="DT366" s="15">
        <v>0</v>
      </c>
      <c r="DU366" s="15">
        <v>0</v>
      </c>
      <c r="DV366" s="15">
        <v>0</v>
      </c>
      <c r="DW366" s="15">
        <v>0</v>
      </c>
      <c r="DX366" s="15">
        <v>0</v>
      </c>
      <c r="DY366" s="15">
        <v>0</v>
      </c>
      <c r="DZ366" s="15">
        <v>0</v>
      </c>
      <c r="EA366" s="15">
        <v>0</v>
      </c>
      <c r="EB366" s="15">
        <v>0</v>
      </c>
      <c r="EC366" s="15">
        <v>0</v>
      </c>
      <c r="ED366" s="15">
        <v>0</v>
      </c>
      <c r="EE366" s="15">
        <v>0</v>
      </c>
      <c r="EF366" s="15">
        <v>0</v>
      </c>
    </row>
    <row r="367" spans="1:136" ht="15" customHeight="1" x14ac:dyDescent="0.35">
      <c r="A367" s="8" t="s">
        <v>12</v>
      </c>
      <c r="B367" s="8" t="s">
        <v>27</v>
      </c>
      <c r="C367" s="8" t="s">
        <v>27</v>
      </c>
      <c r="D367" s="8" t="s">
        <v>315</v>
      </c>
      <c r="E367" s="8" t="s">
        <v>14</v>
      </c>
      <c r="F367" s="8" t="s">
        <v>99</v>
      </c>
      <c r="G367" s="15">
        <v>0</v>
      </c>
      <c r="H367" s="15">
        <v>0</v>
      </c>
      <c r="I367" s="15">
        <v>33</v>
      </c>
      <c r="J367" s="15">
        <v>-33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22</v>
      </c>
      <c r="AQ367" s="15">
        <v>0</v>
      </c>
      <c r="AR367" s="15">
        <v>0</v>
      </c>
      <c r="AS367" s="15">
        <v>11</v>
      </c>
      <c r="AT367" s="15">
        <v>0</v>
      </c>
      <c r="AU367" s="15">
        <v>0</v>
      </c>
      <c r="AV367" s="15">
        <v>0</v>
      </c>
      <c r="AW367" s="15">
        <v>0</v>
      </c>
      <c r="AX367" s="15">
        <v>0</v>
      </c>
      <c r="AY367" s="15">
        <v>0</v>
      </c>
      <c r="AZ367" s="15">
        <v>0</v>
      </c>
      <c r="BA367" s="15">
        <v>0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5">
        <v>0</v>
      </c>
      <c r="CH367" s="15">
        <v>0</v>
      </c>
      <c r="CI367" s="15">
        <v>0</v>
      </c>
      <c r="CJ367" s="15">
        <v>0</v>
      </c>
      <c r="CK367" s="15">
        <v>0</v>
      </c>
      <c r="CL367" s="15">
        <v>0</v>
      </c>
      <c r="CM367" s="15">
        <v>0</v>
      </c>
      <c r="CN367" s="15">
        <v>0</v>
      </c>
      <c r="CO367" s="15">
        <v>0</v>
      </c>
      <c r="CP367" s="15">
        <v>0</v>
      </c>
      <c r="CQ367" s="15">
        <v>0</v>
      </c>
      <c r="CR367" s="15">
        <v>0</v>
      </c>
      <c r="CS367" s="15">
        <v>11</v>
      </c>
      <c r="CT367" s="15">
        <v>0</v>
      </c>
      <c r="CU367" s="15">
        <v>0</v>
      </c>
      <c r="CV367" s="15">
        <v>0</v>
      </c>
      <c r="CW367" s="15">
        <v>0</v>
      </c>
      <c r="CX367" s="15">
        <v>0</v>
      </c>
      <c r="CY367" s="15">
        <v>0</v>
      </c>
      <c r="CZ367" s="15">
        <v>0</v>
      </c>
      <c r="DA367" s="15">
        <v>0</v>
      </c>
      <c r="DB367" s="15">
        <v>0</v>
      </c>
      <c r="DC367" s="15">
        <v>0</v>
      </c>
      <c r="DD367" s="15">
        <v>0</v>
      </c>
      <c r="DE367" s="15">
        <v>0</v>
      </c>
      <c r="DF367" s="15">
        <v>0</v>
      </c>
      <c r="DG367" s="15">
        <v>0</v>
      </c>
      <c r="DH367" s="15">
        <v>0</v>
      </c>
      <c r="DI367" s="15">
        <v>0</v>
      </c>
      <c r="DJ367" s="15">
        <v>0</v>
      </c>
      <c r="DK367" s="15">
        <v>0</v>
      </c>
      <c r="DL367" s="15">
        <v>0</v>
      </c>
      <c r="DM367" s="15">
        <v>0</v>
      </c>
      <c r="DN367" s="15">
        <v>0</v>
      </c>
      <c r="DO367" s="15">
        <v>0</v>
      </c>
      <c r="DP367" s="15">
        <v>0</v>
      </c>
      <c r="DQ367" s="15">
        <v>0</v>
      </c>
      <c r="DR367" s="15">
        <v>0</v>
      </c>
      <c r="DS367" s="15">
        <v>0</v>
      </c>
      <c r="DT367" s="15">
        <v>0</v>
      </c>
      <c r="DU367" s="15">
        <v>0</v>
      </c>
      <c r="DV367" s="15">
        <v>0</v>
      </c>
      <c r="DW367" s="15">
        <v>0</v>
      </c>
      <c r="DX367" s="15">
        <v>0</v>
      </c>
      <c r="DY367" s="15">
        <v>0</v>
      </c>
      <c r="DZ367" s="15">
        <v>0</v>
      </c>
      <c r="EA367" s="15">
        <v>0</v>
      </c>
      <c r="EB367" s="15">
        <v>0</v>
      </c>
      <c r="EC367" s="15">
        <v>0</v>
      </c>
      <c r="ED367" s="15">
        <v>0</v>
      </c>
      <c r="EE367" s="15">
        <v>0</v>
      </c>
      <c r="EF367" s="15">
        <v>0</v>
      </c>
    </row>
    <row r="368" spans="1:136" ht="15" customHeight="1" x14ac:dyDescent="0.35">
      <c r="A368" s="8" t="s">
        <v>12</v>
      </c>
      <c r="B368" s="8" t="s">
        <v>27</v>
      </c>
      <c r="C368" s="8" t="s">
        <v>27</v>
      </c>
      <c r="D368" s="8" t="s">
        <v>316</v>
      </c>
      <c r="E368" s="8" t="s">
        <v>14</v>
      </c>
      <c r="F368" s="8" t="s">
        <v>99</v>
      </c>
      <c r="G368" s="15">
        <v>41</v>
      </c>
      <c r="H368" s="15">
        <v>41</v>
      </c>
      <c r="I368" s="15">
        <v>0</v>
      </c>
      <c r="J368" s="15">
        <v>41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  <c r="BB368" s="15">
        <v>0</v>
      </c>
      <c r="BC368" s="15">
        <v>0</v>
      </c>
      <c r="BD368" s="15">
        <v>0</v>
      </c>
      <c r="BE368" s="15">
        <v>0</v>
      </c>
      <c r="BF368" s="15">
        <v>0</v>
      </c>
      <c r="BG368" s="15">
        <v>0</v>
      </c>
      <c r="BH368" s="15">
        <v>0</v>
      </c>
      <c r="BI368" s="15">
        <v>0</v>
      </c>
      <c r="BJ368" s="15">
        <v>0</v>
      </c>
      <c r="BK368" s="15">
        <v>0</v>
      </c>
      <c r="BL368" s="15">
        <v>0</v>
      </c>
      <c r="BM368" s="15">
        <v>0</v>
      </c>
      <c r="BN368" s="15">
        <v>0</v>
      </c>
      <c r="BO368" s="15">
        <v>0</v>
      </c>
      <c r="BP368" s="15">
        <v>0</v>
      </c>
      <c r="BQ368" s="15">
        <v>0</v>
      </c>
      <c r="BR368" s="15">
        <v>0</v>
      </c>
      <c r="BS368" s="15">
        <v>0</v>
      </c>
      <c r="BT368" s="15">
        <v>0</v>
      </c>
      <c r="BU368" s="15">
        <v>0</v>
      </c>
      <c r="BV368" s="15">
        <v>0</v>
      </c>
      <c r="BW368" s="15">
        <v>0</v>
      </c>
      <c r="BX368" s="15">
        <v>0</v>
      </c>
      <c r="BY368" s="15">
        <v>0</v>
      </c>
      <c r="BZ368" s="15">
        <v>0</v>
      </c>
      <c r="CA368" s="15">
        <v>0</v>
      </c>
      <c r="CB368" s="15">
        <v>0</v>
      </c>
      <c r="CC368" s="15">
        <v>0</v>
      </c>
      <c r="CD368" s="15">
        <v>0</v>
      </c>
      <c r="CE368" s="15">
        <v>0</v>
      </c>
      <c r="CF368" s="15">
        <v>0</v>
      </c>
      <c r="CG368" s="15">
        <v>0</v>
      </c>
      <c r="CH368" s="15">
        <v>0</v>
      </c>
      <c r="CI368" s="15">
        <v>0</v>
      </c>
      <c r="CJ368" s="15">
        <v>0</v>
      </c>
      <c r="CK368" s="15">
        <v>0</v>
      </c>
      <c r="CL368" s="15">
        <v>0</v>
      </c>
      <c r="CM368" s="15">
        <v>0</v>
      </c>
      <c r="CN368" s="15">
        <v>0</v>
      </c>
      <c r="CO368" s="15">
        <v>0</v>
      </c>
      <c r="CP368" s="15">
        <v>0</v>
      </c>
      <c r="CQ368" s="15">
        <v>0</v>
      </c>
      <c r="CR368" s="15">
        <v>0</v>
      </c>
      <c r="CS368" s="15">
        <v>0</v>
      </c>
      <c r="CT368" s="15">
        <v>0</v>
      </c>
      <c r="CU368" s="15">
        <v>0</v>
      </c>
      <c r="CV368" s="15">
        <v>0</v>
      </c>
      <c r="CW368" s="15">
        <v>0</v>
      </c>
      <c r="CX368" s="15">
        <v>0</v>
      </c>
      <c r="CY368" s="15">
        <v>0</v>
      </c>
      <c r="CZ368" s="15">
        <v>0</v>
      </c>
      <c r="DA368" s="15">
        <v>0</v>
      </c>
      <c r="DB368" s="15">
        <v>0</v>
      </c>
      <c r="DC368" s="15">
        <v>0</v>
      </c>
      <c r="DD368" s="15">
        <v>0</v>
      </c>
      <c r="DE368" s="15">
        <v>0</v>
      </c>
      <c r="DF368" s="15">
        <v>0</v>
      </c>
      <c r="DG368" s="15">
        <v>0</v>
      </c>
      <c r="DH368" s="15">
        <v>0</v>
      </c>
      <c r="DI368" s="15">
        <v>0</v>
      </c>
      <c r="DJ368" s="15">
        <v>0</v>
      </c>
      <c r="DK368" s="15">
        <v>0</v>
      </c>
      <c r="DL368" s="15">
        <v>0</v>
      </c>
      <c r="DM368" s="15">
        <v>0</v>
      </c>
      <c r="DN368" s="15">
        <v>0</v>
      </c>
      <c r="DO368" s="15">
        <v>0</v>
      </c>
      <c r="DP368" s="15">
        <v>0</v>
      </c>
      <c r="DQ368" s="15">
        <v>0</v>
      </c>
      <c r="DR368" s="15">
        <v>0</v>
      </c>
      <c r="DS368" s="15">
        <v>0</v>
      </c>
      <c r="DT368" s="15">
        <v>0</v>
      </c>
      <c r="DU368" s="15">
        <v>0</v>
      </c>
      <c r="DV368" s="15">
        <v>0</v>
      </c>
      <c r="DW368" s="15">
        <v>0</v>
      </c>
      <c r="DX368" s="15">
        <v>0</v>
      </c>
      <c r="DY368" s="15">
        <v>0</v>
      </c>
      <c r="DZ368" s="15">
        <v>0</v>
      </c>
      <c r="EA368" s="15">
        <v>0</v>
      </c>
      <c r="EB368" s="15">
        <v>0</v>
      </c>
      <c r="EC368" s="15">
        <v>0</v>
      </c>
      <c r="ED368" s="15">
        <v>0</v>
      </c>
      <c r="EE368" s="15">
        <v>0</v>
      </c>
      <c r="EF368" s="15">
        <v>0</v>
      </c>
    </row>
    <row r="369" spans="1:136" ht="15" customHeight="1" x14ac:dyDescent="0.35">
      <c r="A369" s="8" t="s">
        <v>12</v>
      </c>
      <c r="B369" s="8" t="s">
        <v>27</v>
      </c>
      <c r="C369" s="8" t="s">
        <v>27</v>
      </c>
      <c r="D369" s="8" t="s">
        <v>316</v>
      </c>
      <c r="E369" s="8" t="s">
        <v>14</v>
      </c>
      <c r="F369" s="8" t="s">
        <v>100</v>
      </c>
      <c r="G369" s="15">
        <v>0</v>
      </c>
      <c r="H369" s="15">
        <v>0</v>
      </c>
      <c r="I369" s="15">
        <v>2</v>
      </c>
      <c r="J369" s="15">
        <v>-2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2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0</v>
      </c>
      <c r="AN369" s="15">
        <v>0</v>
      </c>
      <c r="AO369" s="15">
        <v>0</v>
      </c>
      <c r="AP369" s="15">
        <v>0</v>
      </c>
      <c r="AQ369" s="15">
        <v>0</v>
      </c>
      <c r="AR369" s="15">
        <v>0</v>
      </c>
      <c r="AS369" s="15">
        <v>0</v>
      </c>
      <c r="AT369" s="15">
        <v>0</v>
      </c>
      <c r="AU369" s="15">
        <v>0</v>
      </c>
      <c r="AV369" s="15">
        <v>0</v>
      </c>
      <c r="AW369" s="15">
        <v>0</v>
      </c>
      <c r="AX369" s="15">
        <v>0</v>
      </c>
      <c r="AY369" s="15">
        <v>0</v>
      </c>
      <c r="AZ369" s="15">
        <v>0</v>
      </c>
      <c r="BA369" s="15">
        <v>0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0</v>
      </c>
      <c r="BX369" s="15">
        <v>0</v>
      </c>
      <c r="BY369" s="15">
        <v>0</v>
      </c>
      <c r="BZ369" s="15">
        <v>0</v>
      </c>
      <c r="CA369" s="15">
        <v>0</v>
      </c>
      <c r="CB369" s="15">
        <v>0</v>
      </c>
      <c r="CC369" s="15">
        <v>0</v>
      </c>
      <c r="CD369" s="15">
        <v>0</v>
      </c>
      <c r="CE369" s="15">
        <v>0</v>
      </c>
      <c r="CF369" s="15">
        <v>0</v>
      </c>
      <c r="CG369" s="15">
        <v>0</v>
      </c>
      <c r="CH369" s="15">
        <v>0</v>
      </c>
      <c r="CI369" s="15">
        <v>0</v>
      </c>
      <c r="CJ369" s="15">
        <v>0</v>
      </c>
      <c r="CK369" s="15">
        <v>0</v>
      </c>
      <c r="CL369" s="15">
        <v>0</v>
      </c>
      <c r="CM369" s="15">
        <v>0</v>
      </c>
      <c r="CN369" s="15">
        <v>0</v>
      </c>
      <c r="CO369" s="15">
        <v>0</v>
      </c>
      <c r="CP369" s="15">
        <v>0</v>
      </c>
      <c r="CQ369" s="15">
        <v>0</v>
      </c>
      <c r="CR369" s="15">
        <v>0</v>
      </c>
      <c r="CS369" s="15">
        <v>0</v>
      </c>
      <c r="CT369" s="15">
        <v>0</v>
      </c>
      <c r="CU369" s="15">
        <v>0</v>
      </c>
      <c r="CV369" s="15">
        <v>0</v>
      </c>
      <c r="CW369" s="15">
        <v>0</v>
      </c>
      <c r="CX369" s="15">
        <v>0</v>
      </c>
      <c r="CY369" s="15">
        <v>0</v>
      </c>
      <c r="CZ369" s="15">
        <v>0</v>
      </c>
      <c r="DA369" s="15">
        <v>0</v>
      </c>
      <c r="DB369" s="15">
        <v>0</v>
      </c>
      <c r="DC369" s="15">
        <v>0</v>
      </c>
      <c r="DD369" s="15">
        <v>0</v>
      </c>
      <c r="DE369" s="15">
        <v>0</v>
      </c>
      <c r="DF369" s="15">
        <v>0</v>
      </c>
      <c r="DG369" s="15">
        <v>0</v>
      </c>
      <c r="DH369" s="15">
        <v>0</v>
      </c>
      <c r="DI369" s="15">
        <v>0</v>
      </c>
      <c r="DJ369" s="15">
        <v>0</v>
      </c>
      <c r="DK369" s="15">
        <v>0</v>
      </c>
      <c r="DL369" s="15">
        <v>0</v>
      </c>
      <c r="DM369" s="15">
        <v>0</v>
      </c>
      <c r="DN369" s="15">
        <v>0</v>
      </c>
      <c r="DO369" s="15">
        <v>0</v>
      </c>
      <c r="DP369" s="15">
        <v>0</v>
      </c>
      <c r="DQ369" s="15">
        <v>0</v>
      </c>
      <c r="DR369" s="15">
        <v>0</v>
      </c>
      <c r="DS369" s="15">
        <v>0</v>
      </c>
      <c r="DT369" s="15">
        <v>0</v>
      </c>
      <c r="DU369" s="15">
        <v>0</v>
      </c>
      <c r="DV369" s="15">
        <v>0</v>
      </c>
      <c r="DW369" s="15">
        <v>0</v>
      </c>
      <c r="DX369" s="15">
        <v>0</v>
      </c>
      <c r="DY369" s="15">
        <v>0</v>
      </c>
      <c r="DZ369" s="15">
        <v>0</v>
      </c>
      <c r="EA369" s="15">
        <v>0</v>
      </c>
      <c r="EB369" s="15">
        <v>0</v>
      </c>
      <c r="EC369" s="15">
        <v>0</v>
      </c>
      <c r="ED369" s="15">
        <v>0</v>
      </c>
      <c r="EE369" s="15">
        <v>0</v>
      </c>
      <c r="EF369" s="15">
        <v>0</v>
      </c>
    </row>
    <row r="370" spans="1:136" ht="15" customHeight="1" x14ac:dyDescent="0.35">
      <c r="A370" s="8" t="s">
        <v>12</v>
      </c>
      <c r="B370" s="8" t="s">
        <v>27</v>
      </c>
      <c r="C370" s="8" t="s">
        <v>27</v>
      </c>
      <c r="D370" s="8" t="s">
        <v>315</v>
      </c>
      <c r="E370" s="8" t="s">
        <v>14</v>
      </c>
      <c r="F370" s="8" t="s">
        <v>87</v>
      </c>
      <c r="G370" s="15">
        <v>0</v>
      </c>
      <c r="H370" s="15">
        <v>0</v>
      </c>
      <c r="I370" s="15">
        <v>33</v>
      </c>
      <c r="J370" s="15">
        <v>-33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2</v>
      </c>
      <c r="AM370" s="15">
        <v>8</v>
      </c>
      <c r="AN370" s="15">
        <v>23</v>
      </c>
      <c r="AO370" s="15">
        <v>0</v>
      </c>
      <c r="AP370" s="15">
        <v>0</v>
      </c>
      <c r="AQ370" s="15">
        <v>0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5">
        <v>0</v>
      </c>
      <c r="AX370" s="15">
        <v>0</v>
      </c>
      <c r="AY370" s="15">
        <v>0</v>
      </c>
      <c r="AZ370" s="15">
        <v>0</v>
      </c>
      <c r="BA370" s="15">
        <v>0</v>
      </c>
      <c r="BB370" s="15">
        <v>0</v>
      </c>
      <c r="BC370" s="15">
        <v>0</v>
      </c>
      <c r="BD370" s="15">
        <v>0</v>
      </c>
      <c r="BE370" s="15">
        <v>0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0</v>
      </c>
      <c r="BP370" s="15">
        <v>0</v>
      </c>
      <c r="BQ370" s="15">
        <v>0</v>
      </c>
      <c r="BR370" s="15">
        <v>0</v>
      </c>
      <c r="BS370" s="15">
        <v>0</v>
      </c>
      <c r="BT370" s="15">
        <v>0</v>
      </c>
      <c r="BU370" s="15">
        <v>0</v>
      </c>
      <c r="BV370" s="15">
        <v>0</v>
      </c>
      <c r="BW370" s="15">
        <v>0</v>
      </c>
      <c r="BX370" s="15">
        <v>0</v>
      </c>
      <c r="BY370" s="15">
        <v>0</v>
      </c>
      <c r="BZ370" s="15">
        <v>0</v>
      </c>
      <c r="CA370" s="15">
        <v>0</v>
      </c>
      <c r="CB370" s="15">
        <v>0</v>
      </c>
      <c r="CC370" s="15">
        <v>0</v>
      </c>
      <c r="CD370" s="15">
        <v>0</v>
      </c>
      <c r="CE370" s="15">
        <v>0</v>
      </c>
      <c r="CF370" s="15">
        <v>0</v>
      </c>
      <c r="CG370" s="15">
        <v>0</v>
      </c>
      <c r="CH370" s="15">
        <v>0</v>
      </c>
      <c r="CI370" s="15">
        <v>0</v>
      </c>
      <c r="CJ370" s="15">
        <v>0</v>
      </c>
      <c r="CK370" s="15">
        <v>0</v>
      </c>
      <c r="CL370" s="15">
        <v>0</v>
      </c>
      <c r="CM370" s="15">
        <v>0</v>
      </c>
      <c r="CN370" s="15">
        <v>0</v>
      </c>
      <c r="CO370" s="15">
        <v>0</v>
      </c>
      <c r="CP370" s="15">
        <v>0</v>
      </c>
      <c r="CQ370" s="15">
        <v>0</v>
      </c>
      <c r="CR370" s="15">
        <v>0</v>
      </c>
      <c r="CS370" s="15">
        <v>0</v>
      </c>
      <c r="CT370" s="15">
        <v>0</v>
      </c>
      <c r="CU370" s="15">
        <v>0</v>
      </c>
      <c r="CV370" s="15">
        <v>0</v>
      </c>
      <c r="CW370" s="15">
        <v>0</v>
      </c>
      <c r="CX370" s="15">
        <v>0</v>
      </c>
      <c r="CY370" s="15">
        <v>0</v>
      </c>
      <c r="CZ370" s="15">
        <v>0</v>
      </c>
      <c r="DA370" s="15">
        <v>0</v>
      </c>
      <c r="DB370" s="15">
        <v>0</v>
      </c>
      <c r="DC370" s="15">
        <v>0</v>
      </c>
      <c r="DD370" s="15">
        <v>0</v>
      </c>
      <c r="DE370" s="15">
        <v>0</v>
      </c>
      <c r="DF370" s="15">
        <v>0</v>
      </c>
      <c r="DG370" s="15">
        <v>0</v>
      </c>
      <c r="DH370" s="15">
        <v>0</v>
      </c>
      <c r="DI370" s="15">
        <v>0</v>
      </c>
      <c r="DJ370" s="15">
        <v>0</v>
      </c>
      <c r="DK370" s="15">
        <v>0</v>
      </c>
      <c r="DL370" s="15">
        <v>0</v>
      </c>
      <c r="DM370" s="15">
        <v>0</v>
      </c>
      <c r="DN370" s="15">
        <v>0</v>
      </c>
      <c r="DO370" s="15">
        <v>0</v>
      </c>
      <c r="DP370" s="15">
        <v>0</v>
      </c>
      <c r="DQ370" s="15">
        <v>0</v>
      </c>
      <c r="DR370" s="15">
        <v>0</v>
      </c>
      <c r="DS370" s="15">
        <v>0</v>
      </c>
      <c r="DT370" s="15">
        <v>0</v>
      </c>
      <c r="DU370" s="15">
        <v>0</v>
      </c>
      <c r="DV370" s="15">
        <v>0</v>
      </c>
      <c r="DW370" s="15">
        <v>0</v>
      </c>
      <c r="DX370" s="15">
        <v>0</v>
      </c>
      <c r="DY370" s="15">
        <v>0</v>
      </c>
      <c r="DZ370" s="15">
        <v>0</v>
      </c>
      <c r="EA370" s="15">
        <v>0</v>
      </c>
      <c r="EB370" s="15">
        <v>0</v>
      </c>
      <c r="EC370" s="15">
        <v>0</v>
      </c>
      <c r="ED370" s="15">
        <v>0</v>
      </c>
      <c r="EE370" s="15">
        <v>0</v>
      </c>
      <c r="EF370" s="15">
        <v>0</v>
      </c>
    </row>
    <row r="371" spans="1:136" ht="15" customHeight="1" x14ac:dyDescent="0.35">
      <c r="A371" s="8" t="s">
        <v>12</v>
      </c>
      <c r="B371" s="8" t="s">
        <v>27</v>
      </c>
      <c r="C371" s="8" t="s">
        <v>27</v>
      </c>
      <c r="D371" s="8" t="s">
        <v>316</v>
      </c>
      <c r="E371" s="8" t="s">
        <v>14</v>
      </c>
      <c r="F371" s="8" t="s">
        <v>87</v>
      </c>
      <c r="G371" s="15">
        <v>30</v>
      </c>
      <c r="H371" s="15">
        <v>30</v>
      </c>
      <c r="I371" s="15">
        <v>0</v>
      </c>
      <c r="J371" s="15">
        <v>30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0</v>
      </c>
      <c r="AW371" s="15">
        <v>0</v>
      </c>
      <c r="AX371" s="15">
        <v>0</v>
      </c>
      <c r="AY371" s="15">
        <v>0</v>
      </c>
      <c r="AZ371" s="15">
        <v>0</v>
      </c>
      <c r="BA371" s="15">
        <v>0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0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  <c r="CC371" s="15">
        <v>0</v>
      </c>
      <c r="CD371" s="15">
        <v>0</v>
      </c>
      <c r="CE371" s="15">
        <v>0</v>
      </c>
      <c r="CF371" s="15">
        <v>0</v>
      </c>
      <c r="CG371" s="15">
        <v>0</v>
      </c>
      <c r="CH371" s="15">
        <v>0</v>
      </c>
      <c r="CI371" s="15">
        <v>0</v>
      </c>
      <c r="CJ371" s="15">
        <v>0</v>
      </c>
      <c r="CK371" s="15">
        <v>0</v>
      </c>
      <c r="CL371" s="15">
        <v>0</v>
      </c>
      <c r="CM371" s="15">
        <v>0</v>
      </c>
      <c r="CN371" s="15">
        <v>0</v>
      </c>
      <c r="CO371" s="15">
        <v>0</v>
      </c>
      <c r="CP371" s="15">
        <v>0</v>
      </c>
      <c r="CQ371" s="15">
        <v>0</v>
      </c>
      <c r="CR371" s="15">
        <v>0</v>
      </c>
      <c r="CS371" s="15">
        <v>0</v>
      </c>
      <c r="CT371" s="15">
        <v>0</v>
      </c>
      <c r="CU371" s="15">
        <v>0</v>
      </c>
      <c r="CV371" s="15">
        <v>0</v>
      </c>
      <c r="CW371" s="15">
        <v>0</v>
      </c>
      <c r="CX371" s="15">
        <v>0</v>
      </c>
      <c r="CY371" s="15">
        <v>0</v>
      </c>
      <c r="CZ371" s="15">
        <v>0</v>
      </c>
      <c r="DA371" s="15">
        <v>0</v>
      </c>
      <c r="DB371" s="15">
        <v>0</v>
      </c>
      <c r="DC371" s="15">
        <v>0</v>
      </c>
      <c r="DD371" s="15">
        <v>0</v>
      </c>
      <c r="DE371" s="15">
        <v>0</v>
      </c>
      <c r="DF371" s="15">
        <v>0</v>
      </c>
      <c r="DG371" s="15">
        <v>0</v>
      </c>
      <c r="DH371" s="15">
        <v>0</v>
      </c>
      <c r="DI371" s="15">
        <v>0</v>
      </c>
      <c r="DJ371" s="15">
        <v>0</v>
      </c>
      <c r="DK371" s="15">
        <v>0</v>
      </c>
      <c r="DL371" s="15">
        <v>0</v>
      </c>
      <c r="DM371" s="15">
        <v>0</v>
      </c>
      <c r="DN371" s="15">
        <v>0</v>
      </c>
      <c r="DO371" s="15">
        <v>0</v>
      </c>
      <c r="DP371" s="15">
        <v>0</v>
      </c>
      <c r="DQ371" s="15">
        <v>0</v>
      </c>
      <c r="DR371" s="15">
        <v>0</v>
      </c>
      <c r="DS371" s="15">
        <v>0</v>
      </c>
      <c r="DT371" s="15">
        <v>0</v>
      </c>
      <c r="DU371" s="15">
        <v>0</v>
      </c>
      <c r="DV371" s="15">
        <v>0</v>
      </c>
      <c r="DW371" s="15">
        <v>0</v>
      </c>
      <c r="DX371" s="15">
        <v>0</v>
      </c>
      <c r="DY371" s="15">
        <v>0</v>
      </c>
      <c r="DZ371" s="15">
        <v>0</v>
      </c>
      <c r="EA371" s="15">
        <v>0</v>
      </c>
      <c r="EB371" s="15">
        <v>0</v>
      </c>
      <c r="EC371" s="15">
        <v>0</v>
      </c>
      <c r="ED371" s="15">
        <v>0</v>
      </c>
      <c r="EE371" s="15">
        <v>0</v>
      </c>
      <c r="EF371" s="15">
        <v>0</v>
      </c>
    </row>
    <row r="372" spans="1:136" ht="15" customHeight="1" x14ac:dyDescent="0.35">
      <c r="A372" s="8" t="s">
        <v>12</v>
      </c>
      <c r="B372" s="8" t="s">
        <v>21</v>
      </c>
      <c r="C372" s="8" t="s">
        <v>21</v>
      </c>
      <c r="D372" s="8" t="s">
        <v>315</v>
      </c>
      <c r="E372" s="8" t="s">
        <v>14</v>
      </c>
      <c r="F372" s="8" t="s">
        <v>110</v>
      </c>
      <c r="G372" s="15">
        <v>0</v>
      </c>
      <c r="H372" s="15">
        <v>0</v>
      </c>
      <c r="I372" s="15">
        <v>1.5</v>
      </c>
      <c r="J372" s="15">
        <v>-1.5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1.5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</v>
      </c>
      <c r="AW372" s="15">
        <v>0</v>
      </c>
      <c r="AX372" s="15">
        <v>0</v>
      </c>
      <c r="AY372" s="15">
        <v>0</v>
      </c>
      <c r="AZ372" s="15">
        <v>0</v>
      </c>
      <c r="BA372" s="15">
        <v>0</v>
      </c>
      <c r="BB372" s="15">
        <v>0</v>
      </c>
      <c r="BC372" s="15">
        <v>0</v>
      </c>
      <c r="BD372" s="15">
        <v>0</v>
      </c>
      <c r="BE372" s="15">
        <v>0</v>
      </c>
      <c r="BF372" s="15">
        <v>0</v>
      </c>
      <c r="BG372" s="15">
        <v>0</v>
      </c>
      <c r="BH372" s="15">
        <v>0</v>
      </c>
      <c r="BI372" s="15">
        <v>0</v>
      </c>
      <c r="BJ372" s="15">
        <v>0</v>
      </c>
      <c r="BK372" s="15">
        <v>0</v>
      </c>
      <c r="BL372" s="15">
        <v>0</v>
      </c>
      <c r="BM372" s="15">
        <v>0</v>
      </c>
      <c r="BN372" s="15">
        <v>0</v>
      </c>
      <c r="BO372" s="15">
        <v>0</v>
      </c>
      <c r="BP372" s="15">
        <v>0</v>
      </c>
      <c r="BQ372" s="15">
        <v>0</v>
      </c>
      <c r="BR372" s="15">
        <v>0</v>
      </c>
      <c r="BS372" s="15">
        <v>0</v>
      </c>
      <c r="BT372" s="15">
        <v>0</v>
      </c>
      <c r="BU372" s="15">
        <v>0</v>
      </c>
      <c r="BV372" s="15">
        <v>0</v>
      </c>
      <c r="BW372" s="15">
        <v>0</v>
      </c>
      <c r="BX372" s="15">
        <v>0</v>
      </c>
      <c r="BY372" s="15">
        <v>0</v>
      </c>
      <c r="BZ372" s="15">
        <v>0</v>
      </c>
      <c r="CA372" s="15">
        <v>0</v>
      </c>
      <c r="CB372" s="15">
        <v>0</v>
      </c>
      <c r="CC372" s="15">
        <v>0</v>
      </c>
      <c r="CD372" s="15">
        <v>0</v>
      </c>
      <c r="CE372" s="15">
        <v>0</v>
      </c>
      <c r="CF372" s="15">
        <v>0</v>
      </c>
      <c r="CG372" s="15">
        <v>0</v>
      </c>
      <c r="CH372" s="15">
        <v>0</v>
      </c>
      <c r="CI372" s="15">
        <v>0</v>
      </c>
      <c r="CJ372" s="15">
        <v>0</v>
      </c>
      <c r="CK372" s="15">
        <v>0</v>
      </c>
      <c r="CL372" s="15">
        <v>0</v>
      </c>
      <c r="CM372" s="15">
        <v>0</v>
      </c>
      <c r="CN372" s="15">
        <v>0</v>
      </c>
      <c r="CO372" s="15">
        <v>0</v>
      </c>
      <c r="CP372" s="15">
        <v>0</v>
      </c>
      <c r="CQ372" s="15">
        <v>0</v>
      </c>
      <c r="CR372" s="15">
        <v>0</v>
      </c>
      <c r="CS372" s="15">
        <v>0</v>
      </c>
      <c r="CT372" s="15">
        <v>0</v>
      </c>
      <c r="CU372" s="15">
        <v>0</v>
      </c>
      <c r="CV372" s="15">
        <v>0</v>
      </c>
      <c r="CW372" s="15">
        <v>0</v>
      </c>
      <c r="CX372" s="15">
        <v>0</v>
      </c>
      <c r="CY372" s="15">
        <v>0</v>
      </c>
      <c r="CZ372" s="15">
        <v>0</v>
      </c>
      <c r="DA372" s="15">
        <v>0</v>
      </c>
      <c r="DB372" s="15">
        <v>0</v>
      </c>
      <c r="DC372" s="15">
        <v>0</v>
      </c>
      <c r="DD372" s="15">
        <v>0</v>
      </c>
      <c r="DE372" s="15">
        <v>0</v>
      </c>
      <c r="DF372" s="15">
        <v>0</v>
      </c>
      <c r="DG372" s="15">
        <v>0</v>
      </c>
      <c r="DH372" s="15">
        <v>0</v>
      </c>
      <c r="DI372" s="15">
        <v>0</v>
      </c>
      <c r="DJ372" s="15">
        <v>0</v>
      </c>
      <c r="DK372" s="15">
        <v>0</v>
      </c>
      <c r="DL372" s="15">
        <v>0</v>
      </c>
      <c r="DM372" s="15">
        <v>0</v>
      </c>
      <c r="DN372" s="15">
        <v>0</v>
      </c>
      <c r="DO372" s="15">
        <v>0</v>
      </c>
      <c r="DP372" s="15">
        <v>0</v>
      </c>
      <c r="DQ372" s="15">
        <v>0</v>
      </c>
      <c r="DR372" s="15">
        <v>0</v>
      </c>
      <c r="DS372" s="15">
        <v>0</v>
      </c>
      <c r="DT372" s="15">
        <v>0</v>
      </c>
      <c r="DU372" s="15">
        <v>0</v>
      </c>
      <c r="DV372" s="15">
        <v>0</v>
      </c>
      <c r="DW372" s="15">
        <v>0</v>
      </c>
      <c r="DX372" s="15">
        <v>0</v>
      </c>
      <c r="DY372" s="15">
        <v>0</v>
      </c>
      <c r="DZ372" s="15">
        <v>0</v>
      </c>
      <c r="EA372" s="15">
        <v>0</v>
      </c>
      <c r="EB372" s="15">
        <v>0</v>
      </c>
      <c r="EC372" s="15">
        <v>0</v>
      </c>
      <c r="ED372" s="15">
        <v>0</v>
      </c>
      <c r="EE372" s="15">
        <v>0</v>
      </c>
      <c r="EF372" s="15">
        <v>0</v>
      </c>
    </row>
    <row r="373" spans="1:136" ht="15" customHeight="1" x14ac:dyDescent="0.35">
      <c r="A373" s="8" t="s">
        <v>12</v>
      </c>
      <c r="B373" s="8" t="s">
        <v>21</v>
      </c>
      <c r="C373" s="8" t="s">
        <v>21</v>
      </c>
      <c r="D373" s="8" t="s">
        <v>316</v>
      </c>
      <c r="E373" s="8" t="s">
        <v>14</v>
      </c>
      <c r="F373" s="8" t="s">
        <v>110</v>
      </c>
      <c r="G373" s="15">
        <v>0</v>
      </c>
      <c r="H373" s="15">
        <v>0</v>
      </c>
      <c r="I373" s="15">
        <v>3.5</v>
      </c>
      <c r="J373" s="15">
        <v>-3.5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1.5</v>
      </c>
      <c r="AI373" s="15">
        <v>0</v>
      </c>
      <c r="AJ373" s="15">
        <v>2</v>
      </c>
      <c r="AK373" s="15">
        <v>0</v>
      </c>
      <c r="AL373" s="15">
        <v>0</v>
      </c>
      <c r="AM373" s="15">
        <v>0</v>
      </c>
      <c r="AN373" s="15">
        <v>0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5">
        <v>0</v>
      </c>
      <c r="CH373" s="15">
        <v>0</v>
      </c>
      <c r="CI373" s="15">
        <v>0</v>
      </c>
      <c r="CJ373" s="15">
        <v>0</v>
      </c>
      <c r="CK373" s="15">
        <v>0</v>
      </c>
      <c r="CL373" s="15">
        <v>0</v>
      </c>
      <c r="CM373" s="15">
        <v>0</v>
      </c>
      <c r="CN373" s="15">
        <v>0</v>
      </c>
      <c r="CO373" s="15">
        <v>0</v>
      </c>
      <c r="CP373" s="15">
        <v>0</v>
      </c>
      <c r="CQ373" s="15">
        <v>0</v>
      </c>
      <c r="CR373" s="15">
        <v>0</v>
      </c>
      <c r="CS373" s="15">
        <v>0</v>
      </c>
      <c r="CT373" s="15">
        <v>0</v>
      </c>
      <c r="CU373" s="15">
        <v>0</v>
      </c>
      <c r="CV373" s="15">
        <v>0</v>
      </c>
      <c r="CW373" s="15">
        <v>0</v>
      </c>
      <c r="CX373" s="15">
        <v>0</v>
      </c>
      <c r="CY373" s="15">
        <v>0</v>
      </c>
      <c r="CZ373" s="15">
        <v>0</v>
      </c>
      <c r="DA373" s="15">
        <v>0</v>
      </c>
      <c r="DB373" s="15">
        <v>0</v>
      </c>
      <c r="DC373" s="15">
        <v>0</v>
      </c>
      <c r="DD373" s="15">
        <v>0</v>
      </c>
      <c r="DE373" s="15">
        <v>0</v>
      </c>
      <c r="DF373" s="15">
        <v>0</v>
      </c>
      <c r="DG373" s="15">
        <v>0</v>
      </c>
      <c r="DH373" s="15">
        <v>0</v>
      </c>
      <c r="DI373" s="15">
        <v>0</v>
      </c>
      <c r="DJ373" s="15">
        <v>0</v>
      </c>
      <c r="DK373" s="15">
        <v>0</v>
      </c>
      <c r="DL373" s="15">
        <v>0</v>
      </c>
      <c r="DM373" s="15">
        <v>0</v>
      </c>
      <c r="DN373" s="15">
        <v>0</v>
      </c>
      <c r="DO373" s="15">
        <v>0</v>
      </c>
      <c r="DP373" s="15">
        <v>0</v>
      </c>
      <c r="DQ373" s="15">
        <v>0</v>
      </c>
      <c r="DR373" s="15">
        <v>0</v>
      </c>
      <c r="DS373" s="15">
        <v>0</v>
      </c>
      <c r="DT373" s="15">
        <v>0</v>
      </c>
      <c r="DU373" s="15">
        <v>0</v>
      </c>
      <c r="DV373" s="15">
        <v>0</v>
      </c>
      <c r="DW373" s="15">
        <v>0</v>
      </c>
      <c r="DX373" s="15">
        <v>0</v>
      </c>
      <c r="DY373" s="15">
        <v>0</v>
      </c>
      <c r="DZ373" s="15">
        <v>0</v>
      </c>
      <c r="EA373" s="15">
        <v>0</v>
      </c>
      <c r="EB373" s="15">
        <v>0</v>
      </c>
      <c r="EC373" s="15">
        <v>0</v>
      </c>
      <c r="ED373" s="15">
        <v>0</v>
      </c>
      <c r="EE373" s="15">
        <v>0</v>
      </c>
      <c r="EF373" s="15">
        <v>0</v>
      </c>
    </row>
    <row r="374" spans="1:136" ht="15" customHeight="1" x14ac:dyDescent="0.35">
      <c r="A374" s="8" t="s">
        <v>12</v>
      </c>
      <c r="B374" s="8" t="s">
        <v>21</v>
      </c>
      <c r="C374" s="8" t="s">
        <v>21</v>
      </c>
      <c r="D374" s="8" t="s">
        <v>315</v>
      </c>
      <c r="E374" s="8" t="s">
        <v>14</v>
      </c>
      <c r="F374" s="8" t="s">
        <v>82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</v>
      </c>
      <c r="AY374" s="15">
        <v>0</v>
      </c>
      <c r="AZ374" s="15">
        <v>0</v>
      </c>
      <c r="BA374" s="15">
        <v>0</v>
      </c>
      <c r="BB374" s="15">
        <v>0</v>
      </c>
      <c r="BC374" s="15">
        <v>0</v>
      </c>
      <c r="BD374" s="15">
        <v>0</v>
      </c>
      <c r="BE374" s="15">
        <v>0</v>
      </c>
      <c r="BF374" s="15">
        <v>0</v>
      </c>
      <c r="BG374" s="15">
        <v>0</v>
      </c>
      <c r="BH374" s="15">
        <v>0</v>
      </c>
      <c r="BI374" s="15">
        <v>0</v>
      </c>
      <c r="BJ374" s="15">
        <v>0</v>
      </c>
      <c r="BK374" s="15">
        <v>0</v>
      </c>
      <c r="BL374" s="15">
        <v>0</v>
      </c>
      <c r="BM374" s="15">
        <v>0</v>
      </c>
      <c r="BN374" s="15">
        <v>0</v>
      </c>
      <c r="BO374" s="15">
        <v>0</v>
      </c>
      <c r="BP374" s="15">
        <v>0</v>
      </c>
      <c r="BQ374" s="15">
        <v>0</v>
      </c>
      <c r="BR374" s="15">
        <v>0</v>
      </c>
      <c r="BS374" s="15">
        <v>0</v>
      </c>
      <c r="BT374" s="15">
        <v>0</v>
      </c>
      <c r="BU374" s="15">
        <v>0</v>
      </c>
      <c r="BV374" s="15">
        <v>0</v>
      </c>
      <c r="BW374" s="15">
        <v>0</v>
      </c>
      <c r="BX374" s="15">
        <v>0</v>
      </c>
      <c r="BY374" s="15">
        <v>0</v>
      </c>
      <c r="BZ374" s="15">
        <v>0</v>
      </c>
      <c r="CA374" s="15">
        <v>0</v>
      </c>
      <c r="CB374" s="15">
        <v>0</v>
      </c>
      <c r="CC374" s="15">
        <v>0</v>
      </c>
      <c r="CD374" s="15">
        <v>0</v>
      </c>
      <c r="CE374" s="15">
        <v>0</v>
      </c>
      <c r="CF374" s="15">
        <v>0</v>
      </c>
      <c r="CG374" s="15">
        <v>0</v>
      </c>
      <c r="CH374" s="15">
        <v>0</v>
      </c>
      <c r="CI374" s="15">
        <v>0</v>
      </c>
      <c r="CJ374" s="15">
        <v>0</v>
      </c>
      <c r="CK374" s="15">
        <v>0</v>
      </c>
      <c r="CL374" s="15">
        <v>0</v>
      </c>
      <c r="CM374" s="15">
        <v>0</v>
      </c>
      <c r="CN374" s="15">
        <v>0</v>
      </c>
      <c r="CO374" s="15">
        <v>0</v>
      </c>
      <c r="CP374" s="15">
        <v>0</v>
      </c>
      <c r="CQ374" s="15">
        <v>0</v>
      </c>
      <c r="CR374" s="15">
        <v>0</v>
      </c>
      <c r="CS374" s="15">
        <v>0</v>
      </c>
      <c r="CT374" s="15">
        <v>0</v>
      </c>
      <c r="CU374" s="15">
        <v>0</v>
      </c>
      <c r="CV374" s="15">
        <v>0</v>
      </c>
      <c r="CW374" s="15">
        <v>0</v>
      </c>
      <c r="CX374" s="15">
        <v>0</v>
      </c>
      <c r="CY374" s="15">
        <v>0</v>
      </c>
      <c r="CZ374" s="15">
        <v>0</v>
      </c>
      <c r="DA374" s="15">
        <v>0</v>
      </c>
      <c r="DB374" s="15">
        <v>0</v>
      </c>
      <c r="DC374" s="15">
        <v>0</v>
      </c>
      <c r="DD374" s="15">
        <v>0</v>
      </c>
      <c r="DE374" s="15">
        <v>0</v>
      </c>
      <c r="DF374" s="15">
        <v>0</v>
      </c>
      <c r="DG374" s="15">
        <v>0</v>
      </c>
      <c r="DH374" s="15">
        <v>0</v>
      </c>
      <c r="DI374" s="15">
        <v>0</v>
      </c>
      <c r="DJ374" s="15">
        <v>0</v>
      </c>
      <c r="DK374" s="15">
        <v>0</v>
      </c>
      <c r="DL374" s="15">
        <v>0</v>
      </c>
      <c r="DM374" s="15">
        <v>0</v>
      </c>
      <c r="DN374" s="15">
        <v>0</v>
      </c>
      <c r="DO374" s="15">
        <v>0</v>
      </c>
      <c r="DP374" s="15">
        <v>0</v>
      </c>
      <c r="DQ374" s="15">
        <v>0</v>
      </c>
      <c r="DR374" s="15">
        <v>0</v>
      </c>
      <c r="DS374" s="15">
        <v>0</v>
      </c>
      <c r="DT374" s="15">
        <v>0</v>
      </c>
      <c r="DU374" s="15">
        <v>0</v>
      </c>
      <c r="DV374" s="15">
        <v>0</v>
      </c>
      <c r="DW374" s="15">
        <v>0</v>
      </c>
      <c r="DX374" s="15">
        <v>0</v>
      </c>
      <c r="DY374" s="15">
        <v>0</v>
      </c>
      <c r="DZ374" s="15">
        <v>0</v>
      </c>
      <c r="EA374" s="15">
        <v>0</v>
      </c>
      <c r="EB374" s="15">
        <v>0</v>
      </c>
      <c r="EC374" s="15">
        <v>0</v>
      </c>
      <c r="ED374" s="15">
        <v>0</v>
      </c>
      <c r="EE374" s="15">
        <v>0</v>
      </c>
      <c r="EF374" s="15">
        <v>0</v>
      </c>
    </row>
    <row r="375" spans="1:136" ht="15" customHeight="1" x14ac:dyDescent="0.35">
      <c r="A375" s="8" t="s">
        <v>12</v>
      </c>
      <c r="B375" s="8" t="s">
        <v>21</v>
      </c>
      <c r="C375" s="8" t="s">
        <v>21</v>
      </c>
      <c r="D375" s="8" t="s">
        <v>316</v>
      </c>
      <c r="E375" s="8" t="s">
        <v>14</v>
      </c>
      <c r="F375" s="8" t="s">
        <v>82</v>
      </c>
      <c r="G375" s="15">
        <v>16</v>
      </c>
      <c r="H375" s="15">
        <v>16</v>
      </c>
      <c r="I375" s="15">
        <v>16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16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0</v>
      </c>
      <c r="BX375" s="15">
        <v>0</v>
      </c>
      <c r="BY375" s="15">
        <v>0</v>
      </c>
      <c r="BZ375" s="15">
        <v>0</v>
      </c>
      <c r="CA375" s="15">
        <v>0</v>
      </c>
      <c r="CB375" s="15">
        <v>0</v>
      </c>
      <c r="CC375" s="15">
        <v>0</v>
      </c>
      <c r="CD375" s="15">
        <v>0</v>
      </c>
      <c r="CE375" s="15">
        <v>0</v>
      </c>
      <c r="CF375" s="15">
        <v>0</v>
      </c>
      <c r="CG375" s="15">
        <v>0</v>
      </c>
      <c r="CH375" s="15">
        <v>0</v>
      </c>
      <c r="CI375" s="15">
        <v>0</v>
      </c>
      <c r="CJ375" s="15">
        <v>0</v>
      </c>
      <c r="CK375" s="15">
        <v>0</v>
      </c>
      <c r="CL375" s="15">
        <v>0</v>
      </c>
      <c r="CM375" s="15">
        <v>0</v>
      </c>
      <c r="CN375" s="15">
        <v>0</v>
      </c>
      <c r="CO375" s="15">
        <v>0</v>
      </c>
      <c r="CP375" s="15">
        <v>0</v>
      </c>
      <c r="CQ375" s="15">
        <v>0</v>
      </c>
      <c r="CR375" s="15">
        <v>0</v>
      </c>
      <c r="CS375" s="15">
        <v>0</v>
      </c>
      <c r="CT375" s="15">
        <v>0</v>
      </c>
      <c r="CU375" s="15">
        <v>0</v>
      </c>
      <c r="CV375" s="15">
        <v>0</v>
      </c>
      <c r="CW375" s="15">
        <v>0</v>
      </c>
      <c r="CX375" s="15">
        <v>0</v>
      </c>
      <c r="CY375" s="15">
        <v>0</v>
      </c>
      <c r="CZ375" s="15">
        <v>0</v>
      </c>
      <c r="DA375" s="15">
        <v>0</v>
      </c>
      <c r="DB375" s="15">
        <v>0</v>
      </c>
      <c r="DC375" s="15">
        <v>0</v>
      </c>
      <c r="DD375" s="15">
        <v>0</v>
      </c>
      <c r="DE375" s="15">
        <v>0</v>
      </c>
      <c r="DF375" s="15">
        <v>0</v>
      </c>
      <c r="DG375" s="15">
        <v>0</v>
      </c>
      <c r="DH375" s="15">
        <v>0</v>
      </c>
      <c r="DI375" s="15">
        <v>0</v>
      </c>
      <c r="DJ375" s="15">
        <v>0</v>
      </c>
      <c r="DK375" s="15">
        <v>0</v>
      </c>
      <c r="DL375" s="15">
        <v>0</v>
      </c>
      <c r="DM375" s="15">
        <v>0</v>
      </c>
      <c r="DN375" s="15">
        <v>0</v>
      </c>
      <c r="DO375" s="15">
        <v>0</v>
      </c>
      <c r="DP375" s="15">
        <v>0</v>
      </c>
      <c r="DQ375" s="15">
        <v>0</v>
      </c>
      <c r="DR375" s="15">
        <v>0</v>
      </c>
      <c r="DS375" s="15">
        <v>0</v>
      </c>
      <c r="DT375" s="15">
        <v>0</v>
      </c>
      <c r="DU375" s="15">
        <v>0</v>
      </c>
      <c r="DV375" s="15">
        <v>0</v>
      </c>
      <c r="DW375" s="15">
        <v>0</v>
      </c>
      <c r="DX375" s="15">
        <v>0</v>
      </c>
      <c r="DY375" s="15">
        <v>0</v>
      </c>
      <c r="DZ375" s="15">
        <v>0</v>
      </c>
      <c r="EA375" s="15">
        <v>0</v>
      </c>
      <c r="EB375" s="15">
        <v>0</v>
      </c>
      <c r="EC375" s="15">
        <v>0</v>
      </c>
      <c r="ED375" s="15">
        <v>0</v>
      </c>
      <c r="EE375" s="15">
        <v>0</v>
      </c>
      <c r="EF375" s="15">
        <v>0</v>
      </c>
    </row>
    <row r="376" spans="1:136" ht="15" customHeight="1" x14ac:dyDescent="0.35">
      <c r="A376" s="8" t="s">
        <v>12</v>
      </c>
      <c r="B376" s="8" t="s">
        <v>21</v>
      </c>
      <c r="C376" s="8" t="s">
        <v>21</v>
      </c>
      <c r="D376" s="8" t="s">
        <v>316</v>
      </c>
      <c r="E376" s="8" t="s">
        <v>14</v>
      </c>
      <c r="F376" s="8" t="s">
        <v>82</v>
      </c>
      <c r="G376" s="15">
        <v>0</v>
      </c>
      <c r="H376" s="15">
        <v>0</v>
      </c>
      <c r="I376" s="15">
        <v>3</v>
      </c>
      <c r="J376" s="15">
        <v>-3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3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5">
        <v>0</v>
      </c>
      <c r="AX376" s="15">
        <v>0</v>
      </c>
      <c r="AY376" s="15">
        <v>0</v>
      </c>
      <c r="AZ376" s="15">
        <v>0</v>
      </c>
      <c r="BA376" s="15">
        <v>0</v>
      </c>
      <c r="BB376" s="15">
        <v>0</v>
      </c>
      <c r="BC376" s="15">
        <v>0</v>
      </c>
      <c r="BD376" s="15">
        <v>0</v>
      </c>
      <c r="BE376" s="15">
        <v>0</v>
      </c>
      <c r="BF376" s="15">
        <v>0</v>
      </c>
      <c r="BG376" s="15">
        <v>0</v>
      </c>
      <c r="BH376" s="15">
        <v>0</v>
      </c>
      <c r="BI376" s="15">
        <v>0</v>
      </c>
      <c r="BJ376" s="15">
        <v>0</v>
      </c>
      <c r="BK376" s="15">
        <v>0</v>
      </c>
      <c r="BL376" s="15">
        <v>0</v>
      </c>
      <c r="BM376" s="15">
        <v>0</v>
      </c>
      <c r="BN376" s="15">
        <v>0</v>
      </c>
      <c r="BO376" s="15">
        <v>0</v>
      </c>
      <c r="BP376" s="15">
        <v>0</v>
      </c>
      <c r="BQ376" s="15">
        <v>0</v>
      </c>
      <c r="BR376" s="15">
        <v>0</v>
      </c>
      <c r="BS376" s="15">
        <v>0</v>
      </c>
      <c r="BT376" s="15">
        <v>0</v>
      </c>
      <c r="BU376" s="15">
        <v>0</v>
      </c>
      <c r="BV376" s="15">
        <v>0</v>
      </c>
      <c r="BW376" s="15">
        <v>0</v>
      </c>
      <c r="BX376" s="15">
        <v>0</v>
      </c>
      <c r="BY376" s="15">
        <v>0</v>
      </c>
      <c r="BZ376" s="15">
        <v>0</v>
      </c>
      <c r="CA376" s="15">
        <v>0</v>
      </c>
      <c r="CB376" s="15">
        <v>0</v>
      </c>
      <c r="CC376" s="15">
        <v>0</v>
      </c>
      <c r="CD376" s="15">
        <v>0</v>
      </c>
      <c r="CE376" s="15">
        <v>0</v>
      </c>
      <c r="CF376" s="15">
        <v>0</v>
      </c>
      <c r="CG376" s="15">
        <v>0</v>
      </c>
      <c r="CH376" s="15">
        <v>0</v>
      </c>
      <c r="CI376" s="15">
        <v>0</v>
      </c>
      <c r="CJ376" s="15">
        <v>0</v>
      </c>
      <c r="CK376" s="15">
        <v>0</v>
      </c>
      <c r="CL376" s="15">
        <v>0</v>
      </c>
      <c r="CM376" s="15">
        <v>0</v>
      </c>
      <c r="CN376" s="15">
        <v>0</v>
      </c>
      <c r="CO376" s="15">
        <v>0</v>
      </c>
      <c r="CP376" s="15">
        <v>0</v>
      </c>
      <c r="CQ376" s="15">
        <v>0</v>
      </c>
      <c r="CR376" s="15">
        <v>0</v>
      </c>
      <c r="CS376" s="15">
        <v>0</v>
      </c>
      <c r="CT376" s="15">
        <v>0</v>
      </c>
      <c r="CU376" s="15">
        <v>0</v>
      </c>
      <c r="CV376" s="15">
        <v>0</v>
      </c>
      <c r="CW376" s="15">
        <v>0</v>
      </c>
      <c r="CX376" s="15">
        <v>0</v>
      </c>
      <c r="CY376" s="15">
        <v>0</v>
      </c>
      <c r="CZ376" s="15">
        <v>0</v>
      </c>
      <c r="DA376" s="15">
        <v>0</v>
      </c>
      <c r="DB376" s="15">
        <v>0</v>
      </c>
      <c r="DC376" s="15">
        <v>0</v>
      </c>
      <c r="DD376" s="15">
        <v>0</v>
      </c>
      <c r="DE376" s="15">
        <v>0</v>
      </c>
      <c r="DF376" s="15">
        <v>0</v>
      </c>
      <c r="DG376" s="15">
        <v>0</v>
      </c>
      <c r="DH376" s="15">
        <v>0</v>
      </c>
      <c r="DI376" s="15">
        <v>0</v>
      </c>
      <c r="DJ376" s="15">
        <v>0</v>
      </c>
      <c r="DK376" s="15">
        <v>0</v>
      </c>
      <c r="DL376" s="15">
        <v>0</v>
      </c>
      <c r="DM376" s="15">
        <v>0</v>
      </c>
      <c r="DN376" s="15">
        <v>0</v>
      </c>
      <c r="DO376" s="15">
        <v>0</v>
      </c>
      <c r="DP376" s="15">
        <v>0</v>
      </c>
      <c r="DQ376" s="15">
        <v>0</v>
      </c>
      <c r="DR376" s="15">
        <v>0</v>
      </c>
      <c r="DS376" s="15">
        <v>0</v>
      </c>
      <c r="DT376" s="15">
        <v>0</v>
      </c>
      <c r="DU376" s="15">
        <v>0</v>
      </c>
      <c r="DV376" s="15">
        <v>0</v>
      </c>
      <c r="DW376" s="15">
        <v>0</v>
      </c>
      <c r="DX376" s="15">
        <v>0</v>
      </c>
      <c r="DY376" s="15">
        <v>0</v>
      </c>
      <c r="DZ376" s="15">
        <v>0</v>
      </c>
      <c r="EA376" s="15">
        <v>0</v>
      </c>
      <c r="EB376" s="15">
        <v>0</v>
      </c>
      <c r="EC376" s="15">
        <v>0</v>
      </c>
      <c r="ED376" s="15">
        <v>0</v>
      </c>
      <c r="EE376" s="15">
        <v>0</v>
      </c>
      <c r="EF376" s="15">
        <v>0</v>
      </c>
    </row>
    <row r="377" spans="1:136" ht="15" customHeight="1" x14ac:dyDescent="0.35">
      <c r="A377" s="8" t="s">
        <v>12</v>
      </c>
      <c r="B377" s="8" t="s">
        <v>21</v>
      </c>
      <c r="C377" s="8" t="s">
        <v>21</v>
      </c>
      <c r="D377" s="8" t="s">
        <v>315</v>
      </c>
      <c r="E377" s="8" t="s">
        <v>14</v>
      </c>
      <c r="F377" s="8" t="s">
        <v>83</v>
      </c>
      <c r="G377" s="15">
        <v>0</v>
      </c>
      <c r="H377" s="15">
        <v>0</v>
      </c>
      <c r="I377" s="15">
        <v>26.5</v>
      </c>
      <c r="J377" s="15">
        <v>-26.5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3</v>
      </c>
      <c r="AN377" s="15">
        <v>13.5</v>
      </c>
      <c r="AO377" s="15">
        <v>10</v>
      </c>
      <c r="AP377" s="15">
        <v>0</v>
      </c>
      <c r="AQ377" s="15">
        <v>0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5">
        <v>0</v>
      </c>
      <c r="CH377" s="15">
        <v>0</v>
      </c>
      <c r="CI377" s="15">
        <v>0</v>
      </c>
      <c r="CJ377" s="15">
        <v>0</v>
      </c>
      <c r="CK377" s="15">
        <v>0</v>
      </c>
      <c r="CL377" s="15">
        <v>0</v>
      </c>
      <c r="CM377" s="15">
        <v>0</v>
      </c>
      <c r="CN377" s="15">
        <v>0</v>
      </c>
      <c r="CO377" s="15">
        <v>0</v>
      </c>
      <c r="CP377" s="15">
        <v>0</v>
      </c>
      <c r="CQ377" s="15">
        <v>0</v>
      </c>
      <c r="CR377" s="15">
        <v>0</v>
      </c>
      <c r="CS377" s="15">
        <v>0</v>
      </c>
      <c r="CT377" s="15">
        <v>0</v>
      </c>
      <c r="CU377" s="15">
        <v>0</v>
      </c>
      <c r="CV377" s="15">
        <v>0</v>
      </c>
      <c r="CW377" s="15">
        <v>0</v>
      </c>
      <c r="CX377" s="15">
        <v>0</v>
      </c>
      <c r="CY377" s="15">
        <v>0</v>
      </c>
      <c r="CZ377" s="15">
        <v>0</v>
      </c>
      <c r="DA377" s="15">
        <v>0</v>
      </c>
      <c r="DB377" s="15">
        <v>0</v>
      </c>
      <c r="DC377" s="15">
        <v>0</v>
      </c>
      <c r="DD377" s="15">
        <v>0</v>
      </c>
      <c r="DE377" s="15">
        <v>0</v>
      </c>
      <c r="DF377" s="15">
        <v>0</v>
      </c>
      <c r="DG377" s="15">
        <v>0</v>
      </c>
      <c r="DH377" s="15">
        <v>0</v>
      </c>
      <c r="DI377" s="15">
        <v>0</v>
      </c>
      <c r="DJ377" s="15">
        <v>0</v>
      </c>
      <c r="DK377" s="15">
        <v>0</v>
      </c>
      <c r="DL377" s="15">
        <v>0</v>
      </c>
      <c r="DM377" s="15">
        <v>0</v>
      </c>
      <c r="DN377" s="15">
        <v>0</v>
      </c>
      <c r="DO377" s="15">
        <v>0</v>
      </c>
      <c r="DP377" s="15">
        <v>0</v>
      </c>
      <c r="DQ377" s="15">
        <v>0</v>
      </c>
      <c r="DR377" s="15">
        <v>0</v>
      </c>
      <c r="DS377" s="15">
        <v>0</v>
      </c>
      <c r="DT377" s="15">
        <v>0</v>
      </c>
      <c r="DU377" s="15">
        <v>0</v>
      </c>
      <c r="DV377" s="15">
        <v>0</v>
      </c>
      <c r="DW377" s="15">
        <v>0</v>
      </c>
      <c r="DX377" s="15">
        <v>0</v>
      </c>
      <c r="DY377" s="15">
        <v>0</v>
      </c>
      <c r="DZ377" s="15">
        <v>0</v>
      </c>
      <c r="EA377" s="15">
        <v>0</v>
      </c>
      <c r="EB377" s="15">
        <v>0</v>
      </c>
      <c r="EC377" s="15">
        <v>0</v>
      </c>
      <c r="ED377" s="15">
        <v>0</v>
      </c>
      <c r="EE377" s="15">
        <v>0</v>
      </c>
      <c r="EF377" s="15">
        <v>0</v>
      </c>
    </row>
    <row r="378" spans="1:136" ht="15" customHeight="1" x14ac:dyDescent="0.35">
      <c r="A378" s="8" t="s">
        <v>12</v>
      </c>
      <c r="B378" s="8" t="s">
        <v>21</v>
      </c>
      <c r="C378" s="8" t="s">
        <v>21</v>
      </c>
      <c r="D378" s="8" t="s">
        <v>316</v>
      </c>
      <c r="E378" s="8" t="s">
        <v>14</v>
      </c>
      <c r="F378" s="8" t="s">
        <v>83</v>
      </c>
      <c r="G378" s="15">
        <v>10</v>
      </c>
      <c r="H378" s="15">
        <v>10</v>
      </c>
      <c r="I378" s="15">
        <v>0</v>
      </c>
      <c r="J378" s="15">
        <v>10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5">
        <v>0</v>
      </c>
      <c r="AS378" s="15">
        <v>0</v>
      </c>
      <c r="AT378" s="15">
        <v>0</v>
      </c>
      <c r="AU378" s="15">
        <v>0</v>
      </c>
      <c r="AV378" s="15">
        <v>0</v>
      </c>
      <c r="AW378" s="15">
        <v>0</v>
      </c>
      <c r="AX378" s="15">
        <v>0</v>
      </c>
      <c r="AY378" s="15">
        <v>0</v>
      </c>
      <c r="AZ378" s="15">
        <v>0</v>
      </c>
      <c r="BA378" s="15">
        <v>0</v>
      </c>
      <c r="BB378" s="15">
        <v>0</v>
      </c>
      <c r="BC378" s="15">
        <v>0</v>
      </c>
      <c r="BD378" s="15">
        <v>0</v>
      </c>
      <c r="BE378" s="15">
        <v>0</v>
      </c>
      <c r="BF378" s="15">
        <v>0</v>
      </c>
      <c r="BG378" s="15">
        <v>0</v>
      </c>
      <c r="BH378" s="15">
        <v>0</v>
      </c>
      <c r="BI378" s="15">
        <v>0</v>
      </c>
      <c r="BJ378" s="15">
        <v>0</v>
      </c>
      <c r="BK378" s="15">
        <v>0</v>
      </c>
      <c r="BL378" s="15">
        <v>0</v>
      </c>
      <c r="BM378" s="15">
        <v>0</v>
      </c>
      <c r="BN378" s="15">
        <v>0</v>
      </c>
      <c r="BO378" s="15">
        <v>0</v>
      </c>
      <c r="BP378" s="15">
        <v>0</v>
      </c>
      <c r="BQ378" s="15">
        <v>0</v>
      </c>
      <c r="BR378" s="15">
        <v>0</v>
      </c>
      <c r="BS378" s="15">
        <v>0</v>
      </c>
      <c r="BT378" s="15">
        <v>0</v>
      </c>
      <c r="BU378" s="15">
        <v>0</v>
      </c>
      <c r="BV378" s="15">
        <v>0</v>
      </c>
      <c r="BW378" s="15">
        <v>0</v>
      </c>
      <c r="BX378" s="15">
        <v>0</v>
      </c>
      <c r="BY378" s="15">
        <v>0</v>
      </c>
      <c r="BZ378" s="15">
        <v>0</v>
      </c>
      <c r="CA378" s="15">
        <v>0</v>
      </c>
      <c r="CB378" s="15">
        <v>0</v>
      </c>
      <c r="CC378" s="15">
        <v>0</v>
      </c>
      <c r="CD378" s="15">
        <v>0</v>
      </c>
      <c r="CE378" s="15">
        <v>0</v>
      </c>
      <c r="CF378" s="15">
        <v>0</v>
      </c>
      <c r="CG378" s="15">
        <v>0</v>
      </c>
      <c r="CH378" s="15">
        <v>0</v>
      </c>
      <c r="CI378" s="15">
        <v>0</v>
      </c>
      <c r="CJ378" s="15">
        <v>0</v>
      </c>
      <c r="CK378" s="15">
        <v>0</v>
      </c>
      <c r="CL378" s="15">
        <v>0</v>
      </c>
      <c r="CM378" s="15">
        <v>0</v>
      </c>
      <c r="CN378" s="15">
        <v>0</v>
      </c>
      <c r="CO378" s="15">
        <v>0</v>
      </c>
      <c r="CP378" s="15">
        <v>0</v>
      </c>
      <c r="CQ378" s="15">
        <v>0</v>
      </c>
      <c r="CR378" s="15">
        <v>0</v>
      </c>
      <c r="CS378" s="15">
        <v>0</v>
      </c>
      <c r="CT378" s="15">
        <v>0</v>
      </c>
      <c r="CU378" s="15">
        <v>0</v>
      </c>
      <c r="CV378" s="15">
        <v>0</v>
      </c>
      <c r="CW378" s="15">
        <v>0</v>
      </c>
      <c r="CX378" s="15">
        <v>0</v>
      </c>
      <c r="CY378" s="15">
        <v>0</v>
      </c>
      <c r="CZ378" s="15">
        <v>0</v>
      </c>
      <c r="DA378" s="15">
        <v>0</v>
      </c>
      <c r="DB378" s="15">
        <v>0</v>
      </c>
      <c r="DC378" s="15">
        <v>0</v>
      </c>
      <c r="DD378" s="15">
        <v>0</v>
      </c>
      <c r="DE378" s="15">
        <v>0</v>
      </c>
      <c r="DF378" s="15">
        <v>0</v>
      </c>
      <c r="DG378" s="15">
        <v>0</v>
      </c>
      <c r="DH378" s="15">
        <v>0</v>
      </c>
      <c r="DI378" s="15">
        <v>0</v>
      </c>
      <c r="DJ378" s="15">
        <v>0</v>
      </c>
      <c r="DK378" s="15">
        <v>0</v>
      </c>
      <c r="DL378" s="15">
        <v>0</v>
      </c>
      <c r="DM378" s="15">
        <v>0</v>
      </c>
      <c r="DN378" s="15">
        <v>0</v>
      </c>
      <c r="DO378" s="15">
        <v>0</v>
      </c>
      <c r="DP378" s="15">
        <v>0</v>
      </c>
      <c r="DQ378" s="15">
        <v>0</v>
      </c>
      <c r="DR378" s="15">
        <v>0</v>
      </c>
      <c r="DS378" s="15">
        <v>0</v>
      </c>
      <c r="DT378" s="15">
        <v>0</v>
      </c>
      <c r="DU378" s="15">
        <v>0</v>
      </c>
      <c r="DV378" s="15">
        <v>0</v>
      </c>
      <c r="DW378" s="15">
        <v>0</v>
      </c>
      <c r="DX378" s="15">
        <v>0</v>
      </c>
      <c r="DY378" s="15">
        <v>0</v>
      </c>
      <c r="DZ378" s="15">
        <v>0</v>
      </c>
      <c r="EA378" s="15">
        <v>0</v>
      </c>
      <c r="EB378" s="15">
        <v>0</v>
      </c>
      <c r="EC378" s="15">
        <v>0</v>
      </c>
      <c r="ED378" s="15">
        <v>0</v>
      </c>
      <c r="EE378" s="15">
        <v>0</v>
      </c>
      <c r="EF378" s="15">
        <v>0</v>
      </c>
    </row>
    <row r="379" spans="1:136" ht="15" customHeight="1" x14ac:dyDescent="0.35">
      <c r="A379" s="8" t="s">
        <v>12</v>
      </c>
      <c r="B379" s="8" t="s">
        <v>21</v>
      </c>
      <c r="C379" s="8" t="s">
        <v>21</v>
      </c>
      <c r="D379" s="8" t="s">
        <v>315</v>
      </c>
      <c r="E379" s="8" t="s">
        <v>14</v>
      </c>
      <c r="F379" s="8" t="s">
        <v>84</v>
      </c>
      <c r="G379" s="15">
        <v>0</v>
      </c>
      <c r="H379" s="15">
        <v>0</v>
      </c>
      <c r="I379" s="15">
        <v>10</v>
      </c>
      <c r="J379" s="15">
        <v>-10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5">
        <v>0</v>
      </c>
      <c r="CH379" s="15">
        <v>0</v>
      </c>
      <c r="CI379" s="15">
        <v>0</v>
      </c>
      <c r="CJ379" s="15">
        <v>0</v>
      </c>
      <c r="CK379" s="15">
        <v>0</v>
      </c>
      <c r="CL379" s="15">
        <v>0</v>
      </c>
      <c r="CM379" s="15">
        <v>0</v>
      </c>
      <c r="CN379" s="15">
        <v>0</v>
      </c>
      <c r="CO379" s="15">
        <v>0</v>
      </c>
      <c r="CP379" s="15">
        <v>0</v>
      </c>
      <c r="CQ379" s="15">
        <v>0</v>
      </c>
      <c r="CR379" s="15">
        <v>0</v>
      </c>
      <c r="CS379" s="15">
        <v>0</v>
      </c>
      <c r="CT379" s="15">
        <v>0</v>
      </c>
      <c r="CU379" s="15">
        <v>0</v>
      </c>
      <c r="CV379" s="15">
        <v>0</v>
      </c>
      <c r="CW379" s="15">
        <v>0</v>
      </c>
      <c r="CX379" s="15">
        <v>0</v>
      </c>
      <c r="CY379" s="15">
        <v>0</v>
      </c>
      <c r="CZ379" s="15">
        <v>5</v>
      </c>
      <c r="DA379" s="15">
        <v>5</v>
      </c>
      <c r="DB379" s="15">
        <v>0</v>
      </c>
      <c r="DC379" s="15">
        <v>0</v>
      </c>
      <c r="DD379" s="15">
        <v>0</v>
      </c>
      <c r="DE379" s="15">
        <v>0</v>
      </c>
      <c r="DF379" s="15">
        <v>0</v>
      </c>
      <c r="DG379" s="15">
        <v>0</v>
      </c>
      <c r="DH379" s="15">
        <v>0</v>
      </c>
      <c r="DI379" s="15">
        <v>0</v>
      </c>
      <c r="DJ379" s="15">
        <v>0</v>
      </c>
      <c r="DK379" s="15">
        <v>0</v>
      </c>
      <c r="DL379" s="15">
        <v>0</v>
      </c>
      <c r="DM379" s="15">
        <v>0</v>
      </c>
      <c r="DN379" s="15">
        <v>0</v>
      </c>
      <c r="DO379" s="15">
        <v>0</v>
      </c>
      <c r="DP379" s="15">
        <v>0</v>
      </c>
      <c r="DQ379" s="15">
        <v>0</v>
      </c>
      <c r="DR379" s="15">
        <v>0</v>
      </c>
      <c r="DS379" s="15">
        <v>0</v>
      </c>
      <c r="DT379" s="15">
        <v>0</v>
      </c>
      <c r="DU379" s="15">
        <v>0</v>
      </c>
      <c r="DV379" s="15">
        <v>0</v>
      </c>
      <c r="DW379" s="15">
        <v>0</v>
      </c>
      <c r="DX379" s="15">
        <v>0</v>
      </c>
      <c r="DY379" s="15">
        <v>0</v>
      </c>
      <c r="DZ379" s="15">
        <v>0</v>
      </c>
      <c r="EA379" s="15">
        <v>0</v>
      </c>
      <c r="EB379" s="15">
        <v>0</v>
      </c>
      <c r="EC379" s="15">
        <v>0</v>
      </c>
      <c r="ED379" s="15">
        <v>0</v>
      </c>
      <c r="EE379" s="15">
        <v>0</v>
      </c>
      <c r="EF379" s="15">
        <v>0</v>
      </c>
    </row>
    <row r="380" spans="1:136" ht="15" customHeight="1" x14ac:dyDescent="0.35">
      <c r="A380" s="8" t="s">
        <v>12</v>
      </c>
      <c r="B380" s="8" t="s">
        <v>21</v>
      </c>
      <c r="C380" s="8" t="s">
        <v>21</v>
      </c>
      <c r="D380" s="8" t="s">
        <v>316</v>
      </c>
      <c r="E380" s="8" t="s">
        <v>14</v>
      </c>
      <c r="F380" s="8" t="s">
        <v>84</v>
      </c>
      <c r="G380" s="15">
        <v>0</v>
      </c>
      <c r="H380" s="15">
        <v>10</v>
      </c>
      <c r="I380" s="15">
        <v>0</v>
      </c>
      <c r="J380" s="15">
        <v>10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5">
        <v>0</v>
      </c>
      <c r="AX380" s="15">
        <v>0</v>
      </c>
      <c r="AY380" s="15">
        <v>0</v>
      </c>
      <c r="AZ380" s="15">
        <v>0</v>
      </c>
      <c r="BA380" s="15">
        <v>0</v>
      </c>
      <c r="BB380" s="15">
        <v>0</v>
      </c>
      <c r="BC380" s="15">
        <v>0</v>
      </c>
      <c r="BD380" s="15">
        <v>0</v>
      </c>
      <c r="BE380" s="15">
        <v>0</v>
      </c>
      <c r="BF380" s="15">
        <v>0</v>
      </c>
      <c r="BG380" s="15">
        <v>0</v>
      </c>
      <c r="BH380" s="15">
        <v>0</v>
      </c>
      <c r="BI380" s="15">
        <v>0</v>
      </c>
      <c r="BJ380" s="15">
        <v>0</v>
      </c>
      <c r="BK380" s="15">
        <v>0</v>
      </c>
      <c r="BL380" s="15">
        <v>0</v>
      </c>
      <c r="BM380" s="15">
        <v>0</v>
      </c>
      <c r="BN380" s="15">
        <v>0</v>
      </c>
      <c r="BO380" s="15">
        <v>0</v>
      </c>
      <c r="BP380" s="15">
        <v>0</v>
      </c>
      <c r="BQ380" s="15">
        <v>0</v>
      </c>
      <c r="BR380" s="15">
        <v>0</v>
      </c>
      <c r="BS380" s="15">
        <v>0</v>
      </c>
      <c r="BT380" s="15">
        <v>0</v>
      </c>
      <c r="BU380" s="15">
        <v>0</v>
      </c>
      <c r="BV380" s="15">
        <v>0</v>
      </c>
      <c r="BW380" s="15">
        <v>0</v>
      </c>
      <c r="BX380" s="15">
        <v>0</v>
      </c>
      <c r="BY380" s="15">
        <v>0</v>
      </c>
      <c r="BZ380" s="15">
        <v>0</v>
      </c>
      <c r="CA380" s="15">
        <v>0</v>
      </c>
      <c r="CB380" s="15">
        <v>0</v>
      </c>
      <c r="CC380" s="15">
        <v>0</v>
      </c>
      <c r="CD380" s="15">
        <v>0</v>
      </c>
      <c r="CE380" s="15">
        <v>0</v>
      </c>
      <c r="CF380" s="15">
        <v>0</v>
      </c>
      <c r="CG380" s="15">
        <v>0</v>
      </c>
      <c r="CH380" s="15">
        <v>0</v>
      </c>
      <c r="CI380" s="15">
        <v>0</v>
      </c>
      <c r="CJ380" s="15">
        <v>0</v>
      </c>
      <c r="CK380" s="15">
        <v>0</v>
      </c>
      <c r="CL380" s="15">
        <v>0</v>
      </c>
      <c r="CM380" s="15">
        <v>0</v>
      </c>
      <c r="CN380" s="15">
        <v>0</v>
      </c>
      <c r="CO380" s="15">
        <v>0</v>
      </c>
      <c r="CP380" s="15">
        <v>0</v>
      </c>
      <c r="CQ380" s="15">
        <v>0</v>
      </c>
      <c r="CR380" s="15">
        <v>0</v>
      </c>
      <c r="CS380" s="15">
        <v>0</v>
      </c>
      <c r="CT380" s="15">
        <v>0</v>
      </c>
      <c r="CU380" s="15">
        <v>0</v>
      </c>
      <c r="CV380" s="15">
        <v>0</v>
      </c>
      <c r="CW380" s="15">
        <v>0</v>
      </c>
      <c r="CX380" s="15">
        <v>0</v>
      </c>
      <c r="CY380" s="15">
        <v>0</v>
      </c>
      <c r="CZ380" s="15">
        <v>0</v>
      </c>
      <c r="DA380" s="15">
        <v>0</v>
      </c>
      <c r="DB380" s="15">
        <v>0</v>
      </c>
      <c r="DC380" s="15">
        <v>0</v>
      </c>
      <c r="DD380" s="15">
        <v>0</v>
      </c>
      <c r="DE380" s="15">
        <v>0</v>
      </c>
      <c r="DF380" s="15">
        <v>0</v>
      </c>
      <c r="DG380" s="15">
        <v>0</v>
      </c>
      <c r="DH380" s="15">
        <v>0</v>
      </c>
      <c r="DI380" s="15">
        <v>0</v>
      </c>
      <c r="DJ380" s="15">
        <v>0</v>
      </c>
      <c r="DK380" s="15">
        <v>0</v>
      </c>
      <c r="DL380" s="15">
        <v>0</v>
      </c>
      <c r="DM380" s="15">
        <v>0</v>
      </c>
      <c r="DN380" s="15">
        <v>0</v>
      </c>
      <c r="DO380" s="15">
        <v>0</v>
      </c>
      <c r="DP380" s="15">
        <v>0</v>
      </c>
      <c r="DQ380" s="15">
        <v>0</v>
      </c>
      <c r="DR380" s="15">
        <v>0</v>
      </c>
      <c r="DS380" s="15">
        <v>0</v>
      </c>
      <c r="DT380" s="15">
        <v>0</v>
      </c>
      <c r="DU380" s="15">
        <v>0</v>
      </c>
      <c r="DV380" s="15">
        <v>0</v>
      </c>
      <c r="DW380" s="15">
        <v>0</v>
      </c>
      <c r="DX380" s="15">
        <v>0</v>
      </c>
      <c r="DY380" s="15">
        <v>0</v>
      </c>
      <c r="DZ380" s="15">
        <v>0</v>
      </c>
      <c r="EA380" s="15">
        <v>0</v>
      </c>
      <c r="EB380" s="15">
        <v>0</v>
      </c>
      <c r="EC380" s="15">
        <v>0</v>
      </c>
      <c r="ED380" s="15">
        <v>0</v>
      </c>
      <c r="EE380" s="15">
        <v>0</v>
      </c>
      <c r="EF380" s="15">
        <v>0</v>
      </c>
    </row>
    <row r="381" spans="1:136" ht="15" customHeight="1" x14ac:dyDescent="0.35">
      <c r="A381" s="8" t="s">
        <v>12</v>
      </c>
      <c r="B381" s="8" t="s">
        <v>21</v>
      </c>
      <c r="C381" s="8" t="s">
        <v>21</v>
      </c>
      <c r="D381" s="8" t="s">
        <v>315</v>
      </c>
      <c r="E381" s="8" t="s">
        <v>14</v>
      </c>
      <c r="F381" s="8" t="s">
        <v>40</v>
      </c>
      <c r="G381" s="15">
        <v>0</v>
      </c>
      <c r="H381" s="15">
        <v>0</v>
      </c>
      <c r="I381" s="15">
        <v>50</v>
      </c>
      <c r="J381" s="15">
        <v>-50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0</v>
      </c>
      <c r="BV381" s="15">
        <v>0</v>
      </c>
      <c r="BW381" s="15">
        <v>0</v>
      </c>
      <c r="BX381" s="15">
        <v>0</v>
      </c>
      <c r="BY381" s="15">
        <v>0</v>
      </c>
      <c r="BZ381" s="15">
        <v>0</v>
      </c>
      <c r="CA381" s="15">
        <v>0</v>
      </c>
      <c r="CB381" s="15">
        <v>0</v>
      </c>
      <c r="CC381" s="15">
        <v>0</v>
      </c>
      <c r="CD381" s="15">
        <v>0</v>
      </c>
      <c r="CE381" s="15">
        <v>0</v>
      </c>
      <c r="CF381" s="15">
        <v>0</v>
      </c>
      <c r="CG381" s="15">
        <v>0</v>
      </c>
      <c r="CH381" s="15">
        <v>0</v>
      </c>
      <c r="CI381" s="15">
        <v>0</v>
      </c>
      <c r="CJ381" s="15">
        <v>0</v>
      </c>
      <c r="CK381" s="15">
        <v>0</v>
      </c>
      <c r="CL381" s="15">
        <v>0</v>
      </c>
      <c r="CM381" s="15">
        <v>0</v>
      </c>
      <c r="CN381" s="15">
        <v>0</v>
      </c>
      <c r="CO381" s="15">
        <v>0</v>
      </c>
      <c r="CP381" s="15">
        <v>0</v>
      </c>
      <c r="CQ381" s="15">
        <v>0</v>
      </c>
      <c r="CR381" s="15">
        <v>0</v>
      </c>
      <c r="CS381" s="15">
        <v>0</v>
      </c>
      <c r="CT381" s="15">
        <v>0</v>
      </c>
      <c r="CU381" s="15">
        <v>0</v>
      </c>
      <c r="CV381" s="15">
        <v>0</v>
      </c>
      <c r="CW381" s="15">
        <v>0</v>
      </c>
      <c r="CX381" s="15">
        <v>0</v>
      </c>
      <c r="CY381" s="15">
        <v>0</v>
      </c>
      <c r="CZ381" s="15">
        <v>0</v>
      </c>
      <c r="DA381" s="15">
        <v>0</v>
      </c>
      <c r="DB381" s="15">
        <v>0</v>
      </c>
      <c r="DC381" s="15">
        <v>0</v>
      </c>
      <c r="DD381" s="15">
        <v>0</v>
      </c>
      <c r="DE381" s="15">
        <v>0</v>
      </c>
      <c r="DF381" s="15">
        <v>0</v>
      </c>
      <c r="DG381" s="15">
        <v>0</v>
      </c>
      <c r="DH381" s="15">
        <v>0</v>
      </c>
      <c r="DI381" s="15">
        <v>0</v>
      </c>
      <c r="DJ381" s="15">
        <v>0</v>
      </c>
      <c r="DK381" s="15">
        <v>0</v>
      </c>
      <c r="DL381" s="15">
        <v>0</v>
      </c>
      <c r="DM381" s="15">
        <v>0</v>
      </c>
      <c r="DN381" s="15">
        <v>0</v>
      </c>
      <c r="DO381" s="15">
        <v>10</v>
      </c>
      <c r="DP381" s="15">
        <v>15</v>
      </c>
      <c r="DQ381" s="15">
        <v>25</v>
      </c>
      <c r="DR381" s="15">
        <v>0</v>
      </c>
      <c r="DS381" s="15">
        <v>0</v>
      </c>
      <c r="DT381" s="15">
        <v>0</v>
      </c>
      <c r="DU381" s="15">
        <v>0</v>
      </c>
      <c r="DV381" s="15">
        <v>0</v>
      </c>
      <c r="DW381" s="15">
        <v>0</v>
      </c>
      <c r="DX381" s="15">
        <v>0</v>
      </c>
      <c r="DY381" s="15">
        <v>0</v>
      </c>
      <c r="DZ381" s="15">
        <v>0</v>
      </c>
      <c r="EA381" s="15">
        <v>0</v>
      </c>
      <c r="EB381" s="15">
        <v>0</v>
      </c>
      <c r="EC381" s="15">
        <v>0</v>
      </c>
      <c r="ED381" s="15">
        <v>0</v>
      </c>
      <c r="EE381" s="15">
        <v>0</v>
      </c>
      <c r="EF381" s="15">
        <v>0</v>
      </c>
    </row>
    <row r="382" spans="1:136" ht="15" customHeight="1" x14ac:dyDescent="0.35">
      <c r="A382" s="8" t="s">
        <v>12</v>
      </c>
      <c r="B382" s="8" t="s">
        <v>21</v>
      </c>
      <c r="C382" s="8" t="s">
        <v>21</v>
      </c>
      <c r="D382" s="8" t="s">
        <v>316</v>
      </c>
      <c r="E382" s="8" t="s">
        <v>14</v>
      </c>
      <c r="F382" s="8" t="s">
        <v>40</v>
      </c>
      <c r="G382" s="15">
        <v>0</v>
      </c>
      <c r="H382" s="15">
        <v>28</v>
      </c>
      <c r="I382" s="15">
        <v>0</v>
      </c>
      <c r="J382" s="15">
        <v>28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  <c r="AW382" s="15">
        <v>0</v>
      </c>
      <c r="AX382" s="15">
        <v>0</v>
      </c>
      <c r="AY382" s="15">
        <v>0</v>
      </c>
      <c r="AZ382" s="15">
        <v>0</v>
      </c>
      <c r="BA382" s="15">
        <v>0</v>
      </c>
      <c r="BB382" s="15">
        <v>0</v>
      </c>
      <c r="BC382" s="15">
        <v>0</v>
      </c>
      <c r="BD382" s="15">
        <v>0</v>
      </c>
      <c r="BE382" s="15">
        <v>0</v>
      </c>
      <c r="BF382" s="15">
        <v>0</v>
      </c>
      <c r="BG382" s="15">
        <v>0</v>
      </c>
      <c r="BH382" s="15">
        <v>0</v>
      </c>
      <c r="BI382" s="15">
        <v>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  <c r="BP382" s="15">
        <v>0</v>
      </c>
      <c r="BQ382" s="15">
        <v>0</v>
      </c>
      <c r="BR382" s="15">
        <v>0</v>
      </c>
      <c r="BS382" s="15">
        <v>0</v>
      </c>
      <c r="BT382" s="15">
        <v>0</v>
      </c>
      <c r="BU382" s="15">
        <v>0</v>
      </c>
      <c r="BV382" s="15">
        <v>0</v>
      </c>
      <c r="BW382" s="15">
        <v>0</v>
      </c>
      <c r="BX382" s="15">
        <v>0</v>
      </c>
      <c r="BY382" s="15">
        <v>0</v>
      </c>
      <c r="BZ382" s="15">
        <v>0</v>
      </c>
      <c r="CA382" s="15">
        <v>0</v>
      </c>
      <c r="CB382" s="15">
        <v>0</v>
      </c>
      <c r="CC382" s="15">
        <v>0</v>
      </c>
      <c r="CD382" s="15">
        <v>0</v>
      </c>
      <c r="CE382" s="15">
        <v>0</v>
      </c>
      <c r="CF382" s="15">
        <v>0</v>
      </c>
      <c r="CG382" s="15">
        <v>0</v>
      </c>
      <c r="CH382" s="15">
        <v>0</v>
      </c>
      <c r="CI382" s="15">
        <v>0</v>
      </c>
      <c r="CJ382" s="15">
        <v>0</v>
      </c>
      <c r="CK382" s="15">
        <v>0</v>
      </c>
      <c r="CL382" s="15">
        <v>0</v>
      </c>
      <c r="CM382" s="15">
        <v>0</v>
      </c>
      <c r="CN382" s="15">
        <v>0</v>
      </c>
      <c r="CO382" s="15">
        <v>0</v>
      </c>
      <c r="CP382" s="15">
        <v>0</v>
      </c>
      <c r="CQ382" s="15">
        <v>0</v>
      </c>
      <c r="CR382" s="15">
        <v>0</v>
      </c>
      <c r="CS382" s="15">
        <v>0</v>
      </c>
      <c r="CT382" s="15">
        <v>0</v>
      </c>
      <c r="CU382" s="15">
        <v>0</v>
      </c>
      <c r="CV382" s="15">
        <v>0</v>
      </c>
      <c r="CW382" s="15">
        <v>0</v>
      </c>
      <c r="CX382" s="15">
        <v>0</v>
      </c>
      <c r="CY382" s="15">
        <v>0</v>
      </c>
      <c r="CZ382" s="15">
        <v>0</v>
      </c>
      <c r="DA382" s="15">
        <v>0</v>
      </c>
      <c r="DB382" s="15">
        <v>0</v>
      </c>
      <c r="DC382" s="15">
        <v>0</v>
      </c>
      <c r="DD382" s="15">
        <v>0</v>
      </c>
      <c r="DE382" s="15">
        <v>0</v>
      </c>
      <c r="DF382" s="15">
        <v>0</v>
      </c>
      <c r="DG382" s="15">
        <v>0</v>
      </c>
      <c r="DH382" s="15">
        <v>0</v>
      </c>
      <c r="DI382" s="15">
        <v>0</v>
      </c>
      <c r="DJ382" s="15">
        <v>0</v>
      </c>
      <c r="DK382" s="15">
        <v>0</v>
      </c>
      <c r="DL382" s="15">
        <v>0</v>
      </c>
      <c r="DM382" s="15">
        <v>0</v>
      </c>
      <c r="DN382" s="15">
        <v>0</v>
      </c>
      <c r="DO382" s="15">
        <v>0</v>
      </c>
      <c r="DP382" s="15">
        <v>0</v>
      </c>
      <c r="DQ382" s="15">
        <v>0</v>
      </c>
      <c r="DR382" s="15">
        <v>0</v>
      </c>
      <c r="DS382" s="15">
        <v>0</v>
      </c>
      <c r="DT382" s="15">
        <v>0</v>
      </c>
      <c r="DU382" s="15">
        <v>0</v>
      </c>
      <c r="DV382" s="15">
        <v>0</v>
      </c>
      <c r="DW382" s="15">
        <v>0</v>
      </c>
      <c r="DX382" s="15">
        <v>0</v>
      </c>
      <c r="DY382" s="15">
        <v>0</v>
      </c>
      <c r="DZ382" s="15">
        <v>0</v>
      </c>
      <c r="EA382" s="15">
        <v>0</v>
      </c>
      <c r="EB382" s="15">
        <v>0</v>
      </c>
      <c r="EC382" s="15">
        <v>0</v>
      </c>
      <c r="ED382" s="15">
        <v>0</v>
      </c>
      <c r="EE382" s="15">
        <v>0</v>
      </c>
      <c r="EF382" s="15">
        <v>0</v>
      </c>
    </row>
    <row r="383" spans="1:136" ht="15" customHeight="1" x14ac:dyDescent="0.35">
      <c r="A383" s="8" t="s">
        <v>12</v>
      </c>
      <c r="B383" s="8" t="s">
        <v>21</v>
      </c>
      <c r="C383" s="8" t="s">
        <v>21</v>
      </c>
      <c r="D383" s="8" t="s">
        <v>315</v>
      </c>
      <c r="E383" s="8" t="s">
        <v>14</v>
      </c>
      <c r="F383" s="8" t="s">
        <v>85</v>
      </c>
      <c r="G383" s="15">
        <v>0</v>
      </c>
      <c r="H383" s="15">
        <v>0</v>
      </c>
      <c r="I383" s="15">
        <v>705</v>
      </c>
      <c r="J383" s="15">
        <v>-705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6</v>
      </c>
      <c r="AK383" s="15">
        <v>7.5</v>
      </c>
      <c r="AL383" s="15">
        <v>16</v>
      </c>
      <c r="AM383" s="15">
        <v>5.5</v>
      </c>
      <c r="AN383" s="15">
        <v>3</v>
      </c>
      <c r="AO383" s="15">
        <v>7</v>
      </c>
      <c r="AP383" s="15">
        <v>26</v>
      </c>
      <c r="AQ383" s="15">
        <v>24</v>
      </c>
      <c r="AR383" s="15">
        <v>29</v>
      </c>
      <c r="AS383" s="15">
        <v>5</v>
      </c>
      <c r="AT383" s="15">
        <v>0</v>
      </c>
      <c r="AU383" s="15">
        <v>0</v>
      </c>
      <c r="AV383" s="15">
        <v>0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5">
        <v>0</v>
      </c>
      <c r="CH383" s="15">
        <v>0</v>
      </c>
      <c r="CI383" s="15">
        <v>0</v>
      </c>
      <c r="CJ383" s="15">
        <v>0</v>
      </c>
      <c r="CK383" s="15">
        <v>0</v>
      </c>
      <c r="CL383" s="15">
        <v>0</v>
      </c>
      <c r="CM383" s="15">
        <v>0</v>
      </c>
      <c r="CN383" s="15">
        <v>0</v>
      </c>
      <c r="CO383" s="15">
        <v>0</v>
      </c>
      <c r="CP383" s="15">
        <v>0</v>
      </c>
      <c r="CQ383" s="15">
        <v>0</v>
      </c>
      <c r="CR383" s="15">
        <v>0</v>
      </c>
      <c r="CS383" s="15">
        <v>45</v>
      </c>
      <c r="CT383" s="15">
        <v>49</v>
      </c>
      <c r="CU383" s="15">
        <v>50</v>
      </c>
      <c r="CV383" s="15">
        <v>8</v>
      </c>
      <c r="CW383" s="15">
        <v>2</v>
      </c>
      <c r="CX383" s="15">
        <v>6</v>
      </c>
      <c r="CY383" s="15">
        <v>32</v>
      </c>
      <c r="CZ383" s="15">
        <v>14</v>
      </c>
      <c r="DA383" s="15">
        <v>32</v>
      </c>
      <c r="DB383" s="15">
        <v>12</v>
      </c>
      <c r="DC383" s="15">
        <v>2</v>
      </c>
      <c r="DD383" s="15">
        <v>47</v>
      </c>
      <c r="DE383" s="15">
        <v>44</v>
      </c>
      <c r="DF383" s="15">
        <v>47</v>
      </c>
      <c r="DG383" s="15">
        <v>2</v>
      </c>
      <c r="DH383" s="15">
        <v>17</v>
      </c>
      <c r="DI383" s="15">
        <v>2</v>
      </c>
      <c r="DJ383" s="15">
        <v>0</v>
      </c>
      <c r="DK383" s="15">
        <v>25.5</v>
      </c>
      <c r="DL383" s="15">
        <v>32.5</v>
      </c>
      <c r="DM383" s="15">
        <v>22.5</v>
      </c>
      <c r="DN383" s="15">
        <v>35.5</v>
      </c>
      <c r="DO383" s="15">
        <v>19.5</v>
      </c>
      <c r="DP383" s="15">
        <v>16.5</v>
      </c>
      <c r="DQ383" s="15">
        <v>15.5</v>
      </c>
      <c r="DR383" s="15">
        <v>2.5</v>
      </c>
      <c r="DS383" s="15">
        <v>0</v>
      </c>
      <c r="DT383" s="15">
        <v>0</v>
      </c>
      <c r="DU383" s="15">
        <v>0</v>
      </c>
      <c r="DV383" s="15">
        <v>0</v>
      </c>
      <c r="DW383" s="15">
        <v>0</v>
      </c>
      <c r="DX383" s="15">
        <v>0</v>
      </c>
      <c r="DY383" s="15">
        <v>0</v>
      </c>
      <c r="DZ383" s="15">
        <v>0</v>
      </c>
      <c r="EA383" s="15">
        <v>0</v>
      </c>
      <c r="EB383" s="15">
        <v>0</v>
      </c>
      <c r="EC383" s="15">
        <v>0</v>
      </c>
      <c r="ED383" s="15">
        <v>0</v>
      </c>
      <c r="EE383" s="15">
        <v>0</v>
      </c>
      <c r="EF383" s="15">
        <v>0</v>
      </c>
    </row>
    <row r="384" spans="1:136" ht="15" customHeight="1" x14ac:dyDescent="0.35">
      <c r="A384" s="8" t="s">
        <v>12</v>
      </c>
      <c r="B384" s="8" t="s">
        <v>21</v>
      </c>
      <c r="C384" s="8" t="s">
        <v>21</v>
      </c>
      <c r="D384" s="8" t="s">
        <v>316</v>
      </c>
      <c r="E384" s="8" t="s">
        <v>14</v>
      </c>
      <c r="F384" s="8" t="s">
        <v>85</v>
      </c>
      <c r="G384" s="15">
        <v>166.5</v>
      </c>
      <c r="H384" s="15">
        <v>534.5</v>
      </c>
      <c r="I384" s="15">
        <v>54.5</v>
      </c>
      <c r="J384" s="15">
        <v>480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4</v>
      </c>
      <c r="AE384" s="15">
        <v>8</v>
      </c>
      <c r="AF384" s="15">
        <v>14.5</v>
      </c>
      <c r="AG384" s="15">
        <v>0</v>
      </c>
      <c r="AH384" s="15">
        <v>6.5</v>
      </c>
      <c r="AI384" s="15">
        <v>16.5</v>
      </c>
      <c r="AJ384" s="15">
        <v>5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5">
        <v>0</v>
      </c>
      <c r="AX384" s="15">
        <v>0</v>
      </c>
      <c r="AY384" s="15">
        <v>0</v>
      </c>
      <c r="AZ384" s="15">
        <v>0</v>
      </c>
      <c r="BA384" s="15">
        <v>0</v>
      </c>
      <c r="BB384" s="15">
        <v>0</v>
      </c>
      <c r="BC384" s="15">
        <v>0</v>
      </c>
      <c r="BD384" s="15">
        <v>0</v>
      </c>
      <c r="BE384" s="15">
        <v>0</v>
      </c>
      <c r="BF384" s="15">
        <v>0</v>
      </c>
      <c r="BG384" s="15">
        <v>0</v>
      </c>
      <c r="BH384" s="15">
        <v>0</v>
      </c>
      <c r="BI384" s="15">
        <v>0</v>
      </c>
      <c r="BJ384" s="15">
        <v>0</v>
      </c>
      <c r="BK384" s="15">
        <v>0</v>
      </c>
      <c r="BL384" s="15">
        <v>0</v>
      </c>
      <c r="BM384" s="15">
        <v>0</v>
      </c>
      <c r="BN384" s="15">
        <v>0</v>
      </c>
      <c r="BO384" s="15">
        <v>0</v>
      </c>
      <c r="BP384" s="15">
        <v>0</v>
      </c>
      <c r="BQ384" s="15">
        <v>0</v>
      </c>
      <c r="BR384" s="15">
        <v>0</v>
      </c>
      <c r="BS384" s="15">
        <v>0</v>
      </c>
      <c r="BT384" s="15">
        <v>0</v>
      </c>
      <c r="BU384" s="15">
        <v>0</v>
      </c>
      <c r="BV384" s="15">
        <v>0</v>
      </c>
      <c r="BW384" s="15">
        <v>0</v>
      </c>
      <c r="BX384" s="15">
        <v>0</v>
      </c>
      <c r="BY384" s="15">
        <v>0</v>
      </c>
      <c r="BZ384" s="15">
        <v>0</v>
      </c>
      <c r="CA384" s="15">
        <v>0</v>
      </c>
      <c r="CB384" s="15">
        <v>0</v>
      </c>
      <c r="CC384" s="15">
        <v>0</v>
      </c>
      <c r="CD384" s="15">
        <v>0</v>
      </c>
      <c r="CE384" s="15">
        <v>0</v>
      </c>
      <c r="CF384" s="15">
        <v>0</v>
      </c>
      <c r="CG384" s="15">
        <v>0</v>
      </c>
      <c r="CH384" s="15">
        <v>0</v>
      </c>
      <c r="CI384" s="15">
        <v>0</v>
      </c>
      <c r="CJ384" s="15">
        <v>0</v>
      </c>
      <c r="CK384" s="15">
        <v>0</v>
      </c>
      <c r="CL384" s="15">
        <v>0</v>
      </c>
      <c r="CM384" s="15">
        <v>0</v>
      </c>
      <c r="CN384" s="15">
        <v>0</v>
      </c>
      <c r="CO384" s="15">
        <v>0</v>
      </c>
      <c r="CP384" s="15">
        <v>0</v>
      </c>
      <c r="CQ384" s="15">
        <v>0</v>
      </c>
      <c r="CR384" s="15">
        <v>0</v>
      </c>
      <c r="CS384" s="15">
        <v>0</v>
      </c>
      <c r="CT384" s="15">
        <v>0</v>
      </c>
      <c r="CU384" s="15">
        <v>0</v>
      </c>
      <c r="CV384" s="15">
        <v>0</v>
      </c>
      <c r="CW384" s="15">
        <v>0</v>
      </c>
      <c r="CX384" s="15">
        <v>0</v>
      </c>
      <c r="CY384" s="15">
        <v>0</v>
      </c>
      <c r="CZ384" s="15">
        <v>0</v>
      </c>
      <c r="DA384" s="15">
        <v>0</v>
      </c>
      <c r="DB384" s="15">
        <v>0</v>
      </c>
      <c r="DC384" s="15">
        <v>0</v>
      </c>
      <c r="DD384" s="15">
        <v>0</v>
      </c>
      <c r="DE384" s="15">
        <v>0</v>
      </c>
      <c r="DF384" s="15">
        <v>0</v>
      </c>
      <c r="DG384" s="15">
        <v>0</v>
      </c>
      <c r="DH384" s="15">
        <v>0</v>
      </c>
      <c r="DI384" s="15">
        <v>0</v>
      </c>
      <c r="DJ384" s="15">
        <v>0</v>
      </c>
      <c r="DK384" s="15">
        <v>0</v>
      </c>
      <c r="DL384" s="15">
        <v>0</v>
      </c>
      <c r="DM384" s="15">
        <v>0</v>
      </c>
      <c r="DN384" s="15">
        <v>0</v>
      </c>
      <c r="DO384" s="15">
        <v>0</v>
      </c>
      <c r="DP384" s="15">
        <v>0</v>
      </c>
      <c r="DQ384" s="15">
        <v>0</v>
      </c>
      <c r="DR384" s="15">
        <v>0</v>
      </c>
      <c r="DS384" s="15">
        <v>0</v>
      </c>
      <c r="DT384" s="15">
        <v>0</v>
      </c>
      <c r="DU384" s="15">
        <v>0</v>
      </c>
      <c r="DV384" s="15">
        <v>0</v>
      </c>
      <c r="DW384" s="15">
        <v>0</v>
      </c>
      <c r="DX384" s="15">
        <v>0</v>
      </c>
      <c r="DY384" s="15">
        <v>0</v>
      </c>
      <c r="DZ384" s="15">
        <v>0</v>
      </c>
      <c r="EA384" s="15">
        <v>0</v>
      </c>
      <c r="EB384" s="15">
        <v>0</v>
      </c>
      <c r="EC384" s="15">
        <v>0</v>
      </c>
      <c r="ED384" s="15">
        <v>0</v>
      </c>
      <c r="EE384" s="15">
        <v>0</v>
      </c>
      <c r="EF384" s="15">
        <v>0</v>
      </c>
    </row>
    <row r="385" spans="1:136" ht="15" customHeight="1" x14ac:dyDescent="0.35">
      <c r="A385" s="8" t="s">
        <v>12</v>
      </c>
      <c r="B385" s="8" t="s">
        <v>21</v>
      </c>
      <c r="C385" s="8" t="s">
        <v>21</v>
      </c>
      <c r="D385" s="8" t="s">
        <v>316</v>
      </c>
      <c r="E385" s="8" t="s">
        <v>14</v>
      </c>
      <c r="F385" s="8" t="s">
        <v>85</v>
      </c>
      <c r="G385" s="15">
        <v>0</v>
      </c>
      <c r="H385" s="15">
        <v>0</v>
      </c>
      <c r="I385" s="15">
        <v>9</v>
      </c>
      <c r="J385" s="15">
        <v>-9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3</v>
      </c>
      <c r="AA385" s="15">
        <v>6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5">
        <v>0</v>
      </c>
      <c r="CH385" s="15">
        <v>0</v>
      </c>
      <c r="CI385" s="15">
        <v>0</v>
      </c>
      <c r="CJ385" s="15">
        <v>0</v>
      </c>
      <c r="CK385" s="15">
        <v>0</v>
      </c>
      <c r="CL385" s="15">
        <v>0</v>
      </c>
      <c r="CM385" s="15">
        <v>0</v>
      </c>
      <c r="CN385" s="15">
        <v>0</v>
      </c>
      <c r="CO385" s="15">
        <v>0</v>
      </c>
      <c r="CP385" s="15">
        <v>0</v>
      </c>
      <c r="CQ385" s="15">
        <v>0</v>
      </c>
      <c r="CR385" s="15">
        <v>0</v>
      </c>
      <c r="CS385" s="15">
        <v>0</v>
      </c>
      <c r="CT385" s="15">
        <v>0</v>
      </c>
      <c r="CU385" s="15">
        <v>0</v>
      </c>
      <c r="CV385" s="15">
        <v>0</v>
      </c>
      <c r="CW385" s="15">
        <v>0</v>
      </c>
      <c r="CX385" s="15">
        <v>0</v>
      </c>
      <c r="CY385" s="15">
        <v>0</v>
      </c>
      <c r="CZ385" s="15">
        <v>0</v>
      </c>
      <c r="DA385" s="15">
        <v>0</v>
      </c>
      <c r="DB385" s="15">
        <v>0</v>
      </c>
      <c r="DC385" s="15">
        <v>0</v>
      </c>
      <c r="DD385" s="15">
        <v>0</v>
      </c>
      <c r="DE385" s="15">
        <v>0</v>
      </c>
      <c r="DF385" s="15">
        <v>0</v>
      </c>
      <c r="DG385" s="15">
        <v>0</v>
      </c>
      <c r="DH385" s="15">
        <v>0</v>
      </c>
      <c r="DI385" s="15">
        <v>0</v>
      </c>
      <c r="DJ385" s="15">
        <v>0</v>
      </c>
      <c r="DK385" s="15">
        <v>0</v>
      </c>
      <c r="DL385" s="15">
        <v>0</v>
      </c>
      <c r="DM385" s="15">
        <v>0</v>
      </c>
      <c r="DN385" s="15">
        <v>0</v>
      </c>
      <c r="DO385" s="15">
        <v>0</v>
      </c>
      <c r="DP385" s="15">
        <v>0</v>
      </c>
      <c r="DQ385" s="15">
        <v>0</v>
      </c>
      <c r="DR385" s="15">
        <v>0</v>
      </c>
      <c r="DS385" s="15">
        <v>0</v>
      </c>
      <c r="DT385" s="15">
        <v>0</v>
      </c>
      <c r="DU385" s="15">
        <v>0</v>
      </c>
      <c r="DV385" s="15">
        <v>0</v>
      </c>
      <c r="DW385" s="15">
        <v>0</v>
      </c>
      <c r="DX385" s="15">
        <v>0</v>
      </c>
      <c r="DY385" s="15">
        <v>0</v>
      </c>
      <c r="DZ385" s="15">
        <v>0</v>
      </c>
      <c r="EA385" s="15">
        <v>0</v>
      </c>
      <c r="EB385" s="15">
        <v>0</v>
      </c>
      <c r="EC385" s="15">
        <v>0</v>
      </c>
      <c r="ED385" s="15">
        <v>0</v>
      </c>
      <c r="EE385" s="15">
        <v>0</v>
      </c>
      <c r="EF385" s="15">
        <v>0</v>
      </c>
    </row>
    <row r="386" spans="1:136" ht="15" customHeight="1" x14ac:dyDescent="0.35">
      <c r="A386" s="8" t="s">
        <v>12</v>
      </c>
      <c r="B386" s="8" t="s">
        <v>21</v>
      </c>
      <c r="C386" s="8" t="s">
        <v>21</v>
      </c>
      <c r="D386" s="8" t="s">
        <v>316</v>
      </c>
      <c r="E386" s="8" t="s">
        <v>14</v>
      </c>
      <c r="F386" s="8" t="s">
        <v>86</v>
      </c>
      <c r="G386" s="15">
        <v>0</v>
      </c>
      <c r="H386" s="15">
        <v>0</v>
      </c>
      <c r="I386" s="15">
        <v>38.5</v>
      </c>
      <c r="J386" s="15">
        <v>-38.5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4</v>
      </c>
      <c r="Z386" s="15">
        <v>15.5</v>
      </c>
      <c r="AA386" s="15">
        <v>19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5">
        <v>0</v>
      </c>
      <c r="AX386" s="15">
        <v>0</v>
      </c>
      <c r="AY386" s="15">
        <v>0</v>
      </c>
      <c r="AZ386" s="15">
        <v>0</v>
      </c>
      <c r="BA386" s="15">
        <v>0</v>
      </c>
      <c r="BB386" s="15">
        <v>0</v>
      </c>
      <c r="BC386" s="15">
        <v>0</v>
      </c>
      <c r="BD386" s="15">
        <v>0</v>
      </c>
      <c r="BE386" s="15">
        <v>0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0</v>
      </c>
      <c r="BP386" s="15">
        <v>0</v>
      </c>
      <c r="BQ386" s="15">
        <v>0</v>
      </c>
      <c r="BR386" s="15">
        <v>0</v>
      </c>
      <c r="BS386" s="15">
        <v>0</v>
      </c>
      <c r="BT386" s="15">
        <v>0</v>
      </c>
      <c r="BU386" s="15">
        <v>0</v>
      </c>
      <c r="BV386" s="15">
        <v>0</v>
      </c>
      <c r="BW386" s="15">
        <v>0</v>
      </c>
      <c r="BX386" s="15">
        <v>0</v>
      </c>
      <c r="BY386" s="15">
        <v>0</v>
      </c>
      <c r="BZ386" s="15">
        <v>0</v>
      </c>
      <c r="CA386" s="15">
        <v>0</v>
      </c>
      <c r="CB386" s="15">
        <v>0</v>
      </c>
      <c r="CC386" s="15">
        <v>0</v>
      </c>
      <c r="CD386" s="15">
        <v>0</v>
      </c>
      <c r="CE386" s="15">
        <v>0</v>
      </c>
      <c r="CF386" s="15">
        <v>0</v>
      </c>
      <c r="CG386" s="15">
        <v>0</v>
      </c>
      <c r="CH386" s="15">
        <v>0</v>
      </c>
      <c r="CI386" s="15">
        <v>0</v>
      </c>
      <c r="CJ386" s="15">
        <v>0</v>
      </c>
      <c r="CK386" s="15">
        <v>0</v>
      </c>
      <c r="CL386" s="15">
        <v>0</v>
      </c>
      <c r="CM386" s="15">
        <v>0</v>
      </c>
      <c r="CN386" s="15">
        <v>0</v>
      </c>
      <c r="CO386" s="15">
        <v>0</v>
      </c>
      <c r="CP386" s="15">
        <v>0</v>
      </c>
      <c r="CQ386" s="15">
        <v>0</v>
      </c>
      <c r="CR386" s="15">
        <v>0</v>
      </c>
      <c r="CS386" s="15">
        <v>0</v>
      </c>
      <c r="CT386" s="15">
        <v>0</v>
      </c>
      <c r="CU386" s="15">
        <v>0</v>
      </c>
      <c r="CV386" s="15">
        <v>0</v>
      </c>
      <c r="CW386" s="15">
        <v>0</v>
      </c>
      <c r="CX386" s="15">
        <v>0</v>
      </c>
      <c r="CY386" s="15">
        <v>0</v>
      </c>
      <c r="CZ386" s="15">
        <v>0</v>
      </c>
      <c r="DA386" s="15">
        <v>0</v>
      </c>
      <c r="DB386" s="15">
        <v>0</v>
      </c>
      <c r="DC386" s="15">
        <v>0</v>
      </c>
      <c r="DD386" s="15">
        <v>0</v>
      </c>
      <c r="DE386" s="15">
        <v>0</v>
      </c>
      <c r="DF386" s="15">
        <v>0</v>
      </c>
      <c r="DG386" s="15">
        <v>0</v>
      </c>
      <c r="DH386" s="15">
        <v>0</v>
      </c>
      <c r="DI386" s="15">
        <v>0</v>
      </c>
      <c r="DJ386" s="15">
        <v>0</v>
      </c>
      <c r="DK386" s="15">
        <v>0</v>
      </c>
      <c r="DL386" s="15">
        <v>0</v>
      </c>
      <c r="DM386" s="15">
        <v>0</v>
      </c>
      <c r="DN386" s="15">
        <v>0</v>
      </c>
      <c r="DO386" s="15">
        <v>0</v>
      </c>
      <c r="DP386" s="15">
        <v>0</v>
      </c>
      <c r="DQ386" s="15">
        <v>0</v>
      </c>
      <c r="DR386" s="15">
        <v>0</v>
      </c>
      <c r="DS386" s="15">
        <v>0</v>
      </c>
      <c r="DT386" s="15">
        <v>0</v>
      </c>
      <c r="DU386" s="15">
        <v>0</v>
      </c>
      <c r="DV386" s="15">
        <v>0</v>
      </c>
      <c r="DW386" s="15">
        <v>0</v>
      </c>
      <c r="DX386" s="15">
        <v>0</v>
      </c>
      <c r="DY386" s="15">
        <v>0</v>
      </c>
      <c r="DZ386" s="15">
        <v>0</v>
      </c>
      <c r="EA386" s="15">
        <v>0</v>
      </c>
      <c r="EB386" s="15">
        <v>0</v>
      </c>
      <c r="EC386" s="15">
        <v>0</v>
      </c>
      <c r="ED386" s="15">
        <v>0</v>
      </c>
      <c r="EE386" s="15">
        <v>0</v>
      </c>
      <c r="EF386" s="15">
        <v>0</v>
      </c>
    </row>
    <row r="387" spans="1:136" ht="15" customHeight="1" x14ac:dyDescent="0.35">
      <c r="A387" s="8" t="s">
        <v>12</v>
      </c>
      <c r="B387" s="8" t="s">
        <v>21</v>
      </c>
      <c r="C387" s="8" t="s">
        <v>21</v>
      </c>
      <c r="D387" s="8" t="s">
        <v>315</v>
      </c>
      <c r="E387" s="8" t="s">
        <v>14</v>
      </c>
      <c r="F387" s="8" t="s">
        <v>43</v>
      </c>
      <c r="G387" s="15">
        <v>0</v>
      </c>
      <c r="H387" s="15">
        <v>0</v>
      </c>
      <c r="I387" s="15">
        <v>290.5</v>
      </c>
      <c r="J387" s="15">
        <v>-290.5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1</v>
      </c>
      <c r="AK387" s="15">
        <v>0</v>
      </c>
      <c r="AL387" s="15">
        <v>8</v>
      </c>
      <c r="AM387" s="15">
        <v>11.5</v>
      </c>
      <c r="AN387" s="15">
        <v>3.5</v>
      </c>
      <c r="AO387" s="15">
        <v>0</v>
      </c>
      <c r="AP387" s="15">
        <v>8</v>
      </c>
      <c r="AQ387" s="15">
        <v>0.5</v>
      </c>
      <c r="AR387" s="15">
        <v>3</v>
      </c>
      <c r="AS387" s="15">
        <v>1</v>
      </c>
      <c r="AT387" s="15">
        <v>0</v>
      </c>
      <c r="AU387" s="15">
        <v>0</v>
      </c>
      <c r="AV387" s="15">
        <v>0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5">
        <v>0</v>
      </c>
      <c r="CH387" s="15">
        <v>0</v>
      </c>
      <c r="CI387" s="15">
        <v>0</v>
      </c>
      <c r="CJ387" s="15">
        <v>0</v>
      </c>
      <c r="CK387" s="15">
        <v>0</v>
      </c>
      <c r="CL387" s="15">
        <v>0</v>
      </c>
      <c r="CM387" s="15">
        <v>0</v>
      </c>
      <c r="CN387" s="15">
        <v>0</v>
      </c>
      <c r="CO387" s="15">
        <v>0</v>
      </c>
      <c r="CP387" s="15">
        <v>0</v>
      </c>
      <c r="CQ387" s="15">
        <v>0</v>
      </c>
      <c r="CR387" s="15">
        <v>0</v>
      </c>
      <c r="CS387" s="15">
        <v>20</v>
      </c>
      <c r="CT387" s="15">
        <v>15</v>
      </c>
      <c r="CU387" s="15">
        <v>15</v>
      </c>
      <c r="CV387" s="15">
        <v>10</v>
      </c>
      <c r="CW387" s="15">
        <v>10</v>
      </c>
      <c r="CX387" s="15">
        <v>10</v>
      </c>
      <c r="CY387" s="15">
        <v>5</v>
      </c>
      <c r="CZ387" s="15">
        <v>5</v>
      </c>
      <c r="DA387" s="15">
        <v>5</v>
      </c>
      <c r="DB387" s="15">
        <v>10</v>
      </c>
      <c r="DC387" s="15">
        <v>20</v>
      </c>
      <c r="DD387" s="15">
        <v>20</v>
      </c>
      <c r="DE387" s="15">
        <v>20</v>
      </c>
      <c r="DF387" s="15">
        <v>20</v>
      </c>
      <c r="DG387" s="15">
        <v>20</v>
      </c>
      <c r="DH387" s="15">
        <v>20</v>
      </c>
      <c r="DI387" s="15">
        <v>15</v>
      </c>
      <c r="DJ387" s="15">
        <v>15</v>
      </c>
      <c r="DK387" s="15">
        <v>0</v>
      </c>
      <c r="DL387" s="15">
        <v>0</v>
      </c>
      <c r="DM387" s="15">
        <v>0</v>
      </c>
      <c r="DN387" s="15">
        <v>0</v>
      </c>
      <c r="DO387" s="15">
        <v>0</v>
      </c>
      <c r="DP387" s="15">
        <v>0</v>
      </c>
      <c r="DQ387" s="15">
        <v>0</v>
      </c>
      <c r="DR387" s="15">
        <v>0</v>
      </c>
      <c r="DS387" s="15">
        <v>0</v>
      </c>
      <c r="DT387" s="15">
        <v>0</v>
      </c>
      <c r="DU387" s="15">
        <v>0</v>
      </c>
      <c r="DV387" s="15">
        <v>0</v>
      </c>
      <c r="DW387" s="15">
        <v>0</v>
      </c>
      <c r="DX387" s="15">
        <v>0</v>
      </c>
      <c r="DY387" s="15">
        <v>0</v>
      </c>
      <c r="DZ387" s="15">
        <v>0</v>
      </c>
      <c r="EA387" s="15">
        <v>0</v>
      </c>
      <c r="EB387" s="15">
        <v>0</v>
      </c>
      <c r="EC387" s="15">
        <v>0</v>
      </c>
      <c r="ED387" s="15">
        <v>0</v>
      </c>
      <c r="EE387" s="15">
        <v>0</v>
      </c>
      <c r="EF387" s="15">
        <v>0</v>
      </c>
    </row>
    <row r="388" spans="1:136" ht="15" customHeight="1" x14ac:dyDescent="0.35">
      <c r="A388" s="8" t="s">
        <v>12</v>
      </c>
      <c r="B388" s="8" t="s">
        <v>21</v>
      </c>
      <c r="C388" s="8" t="s">
        <v>21</v>
      </c>
      <c r="D388" s="8" t="s">
        <v>316</v>
      </c>
      <c r="E388" s="8" t="s">
        <v>14</v>
      </c>
      <c r="F388" s="8" t="s">
        <v>43</v>
      </c>
      <c r="G388" s="15">
        <v>40</v>
      </c>
      <c r="H388" s="15">
        <v>394</v>
      </c>
      <c r="I388" s="15">
        <v>14</v>
      </c>
      <c r="J388" s="15">
        <v>380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8</v>
      </c>
      <c r="AH388" s="15">
        <v>3</v>
      </c>
      <c r="AI388" s="15">
        <v>1</v>
      </c>
      <c r="AJ388" s="15">
        <v>2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5">
        <v>0</v>
      </c>
      <c r="AX388" s="15">
        <v>0</v>
      </c>
      <c r="AY388" s="15">
        <v>0</v>
      </c>
      <c r="AZ388" s="15">
        <v>0</v>
      </c>
      <c r="BA388" s="15">
        <v>0</v>
      </c>
      <c r="BB388" s="15">
        <v>0</v>
      </c>
      <c r="BC388" s="15">
        <v>0</v>
      </c>
      <c r="BD388" s="15">
        <v>0</v>
      </c>
      <c r="BE388" s="15">
        <v>0</v>
      </c>
      <c r="BF388" s="15">
        <v>0</v>
      </c>
      <c r="BG388" s="15">
        <v>0</v>
      </c>
      <c r="BH388" s="15">
        <v>0</v>
      </c>
      <c r="BI388" s="15">
        <v>0</v>
      </c>
      <c r="BJ388" s="15">
        <v>0</v>
      </c>
      <c r="BK388" s="15">
        <v>0</v>
      </c>
      <c r="BL388" s="15">
        <v>0</v>
      </c>
      <c r="BM388" s="15">
        <v>0</v>
      </c>
      <c r="BN388" s="15">
        <v>0</v>
      </c>
      <c r="BO388" s="15">
        <v>0</v>
      </c>
      <c r="BP388" s="15">
        <v>0</v>
      </c>
      <c r="BQ388" s="15">
        <v>0</v>
      </c>
      <c r="BR388" s="15">
        <v>0</v>
      </c>
      <c r="BS388" s="15">
        <v>0</v>
      </c>
      <c r="BT388" s="15">
        <v>0</v>
      </c>
      <c r="BU388" s="15">
        <v>0</v>
      </c>
      <c r="BV388" s="15">
        <v>0</v>
      </c>
      <c r="BW388" s="15">
        <v>0</v>
      </c>
      <c r="BX388" s="15">
        <v>0</v>
      </c>
      <c r="BY388" s="15">
        <v>0</v>
      </c>
      <c r="BZ388" s="15">
        <v>0</v>
      </c>
      <c r="CA388" s="15">
        <v>0</v>
      </c>
      <c r="CB388" s="15">
        <v>0</v>
      </c>
      <c r="CC388" s="15">
        <v>0</v>
      </c>
      <c r="CD388" s="15">
        <v>0</v>
      </c>
      <c r="CE388" s="15">
        <v>0</v>
      </c>
      <c r="CF388" s="15">
        <v>0</v>
      </c>
      <c r="CG388" s="15">
        <v>0</v>
      </c>
      <c r="CH388" s="15">
        <v>0</v>
      </c>
      <c r="CI388" s="15">
        <v>0</v>
      </c>
      <c r="CJ388" s="15">
        <v>0</v>
      </c>
      <c r="CK388" s="15">
        <v>0</v>
      </c>
      <c r="CL388" s="15">
        <v>0</v>
      </c>
      <c r="CM388" s="15">
        <v>0</v>
      </c>
      <c r="CN388" s="15">
        <v>0</v>
      </c>
      <c r="CO388" s="15">
        <v>0</v>
      </c>
      <c r="CP388" s="15">
        <v>0</v>
      </c>
      <c r="CQ388" s="15">
        <v>0</v>
      </c>
      <c r="CR388" s="15">
        <v>0</v>
      </c>
      <c r="CS388" s="15">
        <v>0</v>
      </c>
      <c r="CT388" s="15">
        <v>0</v>
      </c>
      <c r="CU388" s="15">
        <v>0</v>
      </c>
      <c r="CV388" s="15">
        <v>0</v>
      </c>
      <c r="CW388" s="15">
        <v>0</v>
      </c>
      <c r="CX388" s="15">
        <v>0</v>
      </c>
      <c r="CY388" s="15">
        <v>0</v>
      </c>
      <c r="CZ388" s="15">
        <v>0</v>
      </c>
      <c r="DA388" s="15">
        <v>0</v>
      </c>
      <c r="DB388" s="15">
        <v>0</v>
      </c>
      <c r="DC388" s="15">
        <v>0</v>
      </c>
      <c r="DD388" s="15">
        <v>0</v>
      </c>
      <c r="DE388" s="15">
        <v>0</v>
      </c>
      <c r="DF388" s="15">
        <v>0</v>
      </c>
      <c r="DG388" s="15">
        <v>0</v>
      </c>
      <c r="DH388" s="15">
        <v>0</v>
      </c>
      <c r="DI388" s="15">
        <v>0</v>
      </c>
      <c r="DJ388" s="15">
        <v>0</v>
      </c>
      <c r="DK388" s="15">
        <v>0</v>
      </c>
      <c r="DL388" s="15">
        <v>0</v>
      </c>
      <c r="DM388" s="15">
        <v>0</v>
      </c>
      <c r="DN388" s="15">
        <v>0</v>
      </c>
      <c r="DO388" s="15">
        <v>0</v>
      </c>
      <c r="DP388" s="15">
        <v>0</v>
      </c>
      <c r="DQ388" s="15">
        <v>0</v>
      </c>
      <c r="DR388" s="15">
        <v>0</v>
      </c>
      <c r="DS388" s="15">
        <v>0</v>
      </c>
      <c r="DT388" s="15">
        <v>0</v>
      </c>
      <c r="DU388" s="15">
        <v>0</v>
      </c>
      <c r="DV388" s="15">
        <v>0</v>
      </c>
      <c r="DW388" s="15">
        <v>0</v>
      </c>
      <c r="DX388" s="15">
        <v>0</v>
      </c>
      <c r="DY388" s="15">
        <v>0</v>
      </c>
      <c r="DZ388" s="15">
        <v>0</v>
      </c>
      <c r="EA388" s="15">
        <v>0</v>
      </c>
      <c r="EB388" s="15">
        <v>0</v>
      </c>
      <c r="EC388" s="15">
        <v>0</v>
      </c>
      <c r="ED388" s="15">
        <v>0</v>
      </c>
      <c r="EE388" s="15">
        <v>0</v>
      </c>
      <c r="EF388" s="15">
        <v>0</v>
      </c>
    </row>
    <row r="389" spans="1:136" ht="15" customHeight="1" x14ac:dyDescent="0.35">
      <c r="A389" s="8" t="s">
        <v>12</v>
      </c>
      <c r="B389" s="8" t="s">
        <v>21</v>
      </c>
      <c r="C389" s="8" t="s">
        <v>21</v>
      </c>
      <c r="D389" s="8" t="s">
        <v>315</v>
      </c>
      <c r="E389" s="8" t="s">
        <v>14</v>
      </c>
      <c r="F389" s="8" t="s">
        <v>93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0</v>
      </c>
      <c r="AT389" s="15">
        <v>0</v>
      </c>
      <c r="AU389" s="15">
        <v>0</v>
      </c>
      <c r="AV389" s="15">
        <v>0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5">
        <v>0</v>
      </c>
      <c r="CH389" s="15">
        <v>0</v>
      </c>
      <c r="CI389" s="15">
        <v>0</v>
      </c>
      <c r="CJ389" s="15">
        <v>0</v>
      </c>
      <c r="CK389" s="15">
        <v>0</v>
      </c>
      <c r="CL389" s="15">
        <v>0</v>
      </c>
      <c r="CM389" s="15">
        <v>0</v>
      </c>
      <c r="CN389" s="15">
        <v>0</v>
      </c>
      <c r="CO389" s="15">
        <v>0</v>
      </c>
      <c r="CP389" s="15">
        <v>0</v>
      </c>
      <c r="CQ389" s="15">
        <v>0</v>
      </c>
      <c r="CR389" s="15">
        <v>0</v>
      </c>
      <c r="CS389" s="15">
        <v>0</v>
      </c>
      <c r="CT389" s="15">
        <v>0</v>
      </c>
      <c r="CU389" s="15">
        <v>0</v>
      </c>
      <c r="CV389" s="15">
        <v>0</v>
      </c>
      <c r="CW389" s="15">
        <v>0</v>
      </c>
      <c r="CX389" s="15">
        <v>0</v>
      </c>
      <c r="CY389" s="15">
        <v>0</v>
      </c>
      <c r="CZ389" s="15">
        <v>0</v>
      </c>
      <c r="DA389" s="15">
        <v>0</v>
      </c>
      <c r="DB389" s="15">
        <v>0</v>
      </c>
      <c r="DC389" s="15">
        <v>0</v>
      </c>
      <c r="DD389" s="15">
        <v>0</v>
      </c>
      <c r="DE389" s="15">
        <v>0</v>
      </c>
      <c r="DF389" s="15">
        <v>0</v>
      </c>
      <c r="DG389" s="15">
        <v>0</v>
      </c>
      <c r="DH389" s="15">
        <v>0</v>
      </c>
      <c r="DI389" s="15">
        <v>0</v>
      </c>
      <c r="DJ389" s="15">
        <v>0</v>
      </c>
      <c r="DK389" s="15">
        <v>0</v>
      </c>
      <c r="DL389" s="15">
        <v>0</v>
      </c>
      <c r="DM389" s="15">
        <v>0</v>
      </c>
      <c r="DN389" s="15">
        <v>0</v>
      </c>
      <c r="DO389" s="15">
        <v>0</v>
      </c>
      <c r="DP389" s="15">
        <v>0</v>
      </c>
      <c r="DQ389" s="15">
        <v>0</v>
      </c>
      <c r="DR389" s="15">
        <v>0</v>
      </c>
      <c r="DS389" s="15">
        <v>0</v>
      </c>
      <c r="DT389" s="15">
        <v>0</v>
      </c>
      <c r="DU389" s="15">
        <v>0</v>
      </c>
      <c r="DV389" s="15">
        <v>0</v>
      </c>
      <c r="DW389" s="15">
        <v>0</v>
      </c>
      <c r="DX389" s="15">
        <v>0</v>
      </c>
      <c r="DY389" s="15">
        <v>0</v>
      </c>
      <c r="DZ389" s="15">
        <v>0</v>
      </c>
      <c r="EA389" s="15">
        <v>0</v>
      </c>
      <c r="EB389" s="15">
        <v>0</v>
      </c>
      <c r="EC389" s="15">
        <v>0</v>
      </c>
      <c r="ED389" s="15">
        <v>0</v>
      </c>
      <c r="EE389" s="15">
        <v>0</v>
      </c>
      <c r="EF389" s="15">
        <v>0</v>
      </c>
    </row>
    <row r="390" spans="1:136" ht="15" customHeight="1" x14ac:dyDescent="0.35">
      <c r="A390" s="8" t="s">
        <v>12</v>
      </c>
      <c r="B390" s="8" t="s">
        <v>21</v>
      </c>
      <c r="C390" s="8" t="s">
        <v>21</v>
      </c>
      <c r="D390" s="8" t="s">
        <v>316</v>
      </c>
      <c r="E390" s="8" t="s">
        <v>14</v>
      </c>
      <c r="F390" s="8" t="s">
        <v>93</v>
      </c>
      <c r="G390" s="15">
        <v>16</v>
      </c>
      <c r="H390" s="15">
        <v>16</v>
      </c>
      <c r="I390" s="15">
        <v>16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7</v>
      </c>
      <c r="AD390" s="15">
        <v>9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5">
        <v>0</v>
      </c>
      <c r="AX390" s="15">
        <v>0</v>
      </c>
      <c r="AY390" s="15">
        <v>0</v>
      </c>
      <c r="AZ390" s="15">
        <v>0</v>
      </c>
      <c r="BA390" s="15">
        <v>0</v>
      </c>
      <c r="BB390" s="15">
        <v>0</v>
      </c>
      <c r="BC390" s="15">
        <v>0</v>
      </c>
      <c r="BD390" s="15">
        <v>0</v>
      </c>
      <c r="BE390" s="15">
        <v>0</v>
      </c>
      <c r="BF390" s="15">
        <v>0</v>
      </c>
      <c r="BG390" s="15">
        <v>0</v>
      </c>
      <c r="BH390" s="15">
        <v>0</v>
      </c>
      <c r="BI390" s="15">
        <v>0</v>
      </c>
      <c r="BJ390" s="15">
        <v>0</v>
      </c>
      <c r="BK390" s="15">
        <v>0</v>
      </c>
      <c r="BL390" s="15">
        <v>0</v>
      </c>
      <c r="BM390" s="15">
        <v>0</v>
      </c>
      <c r="BN390" s="15">
        <v>0</v>
      </c>
      <c r="BO390" s="15">
        <v>0</v>
      </c>
      <c r="BP390" s="15">
        <v>0</v>
      </c>
      <c r="BQ390" s="15">
        <v>0</v>
      </c>
      <c r="BR390" s="15">
        <v>0</v>
      </c>
      <c r="BS390" s="15">
        <v>0</v>
      </c>
      <c r="BT390" s="15">
        <v>0</v>
      </c>
      <c r="BU390" s="15">
        <v>0</v>
      </c>
      <c r="BV390" s="15">
        <v>0</v>
      </c>
      <c r="BW390" s="15">
        <v>0</v>
      </c>
      <c r="BX390" s="15">
        <v>0</v>
      </c>
      <c r="BY390" s="15">
        <v>0</v>
      </c>
      <c r="BZ390" s="15">
        <v>0</v>
      </c>
      <c r="CA390" s="15">
        <v>0</v>
      </c>
      <c r="CB390" s="15">
        <v>0</v>
      </c>
      <c r="CC390" s="15">
        <v>0</v>
      </c>
      <c r="CD390" s="15">
        <v>0</v>
      </c>
      <c r="CE390" s="15">
        <v>0</v>
      </c>
      <c r="CF390" s="15">
        <v>0</v>
      </c>
      <c r="CG390" s="15">
        <v>0</v>
      </c>
      <c r="CH390" s="15">
        <v>0</v>
      </c>
      <c r="CI390" s="15">
        <v>0</v>
      </c>
      <c r="CJ390" s="15">
        <v>0</v>
      </c>
      <c r="CK390" s="15">
        <v>0</v>
      </c>
      <c r="CL390" s="15">
        <v>0</v>
      </c>
      <c r="CM390" s="15">
        <v>0</v>
      </c>
      <c r="CN390" s="15">
        <v>0</v>
      </c>
      <c r="CO390" s="15">
        <v>0</v>
      </c>
      <c r="CP390" s="15">
        <v>0</v>
      </c>
      <c r="CQ390" s="15">
        <v>0</v>
      </c>
      <c r="CR390" s="15">
        <v>0</v>
      </c>
      <c r="CS390" s="15">
        <v>0</v>
      </c>
      <c r="CT390" s="15">
        <v>0</v>
      </c>
      <c r="CU390" s="15">
        <v>0</v>
      </c>
      <c r="CV390" s="15">
        <v>0</v>
      </c>
      <c r="CW390" s="15">
        <v>0</v>
      </c>
      <c r="CX390" s="15">
        <v>0</v>
      </c>
      <c r="CY390" s="15">
        <v>0</v>
      </c>
      <c r="CZ390" s="15">
        <v>0</v>
      </c>
      <c r="DA390" s="15">
        <v>0</v>
      </c>
      <c r="DB390" s="15">
        <v>0</v>
      </c>
      <c r="DC390" s="15">
        <v>0</v>
      </c>
      <c r="DD390" s="15">
        <v>0</v>
      </c>
      <c r="DE390" s="15">
        <v>0</v>
      </c>
      <c r="DF390" s="15">
        <v>0</v>
      </c>
      <c r="DG390" s="15">
        <v>0</v>
      </c>
      <c r="DH390" s="15">
        <v>0</v>
      </c>
      <c r="DI390" s="15">
        <v>0</v>
      </c>
      <c r="DJ390" s="15">
        <v>0</v>
      </c>
      <c r="DK390" s="15">
        <v>0</v>
      </c>
      <c r="DL390" s="15">
        <v>0</v>
      </c>
      <c r="DM390" s="15">
        <v>0</v>
      </c>
      <c r="DN390" s="15">
        <v>0</v>
      </c>
      <c r="DO390" s="15">
        <v>0</v>
      </c>
      <c r="DP390" s="15">
        <v>0</v>
      </c>
      <c r="DQ390" s="15">
        <v>0</v>
      </c>
      <c r="DR390" s="15">
        <v>0</v>
      </c>
      <c r="DS390" s="15">
        <v>0</v>
      </c>
      <c r="DT390" s="15">
        <v>0</v>
      </c>
      <c r="DU390" s="15">
        <v>0</v>
      </c>
      <c r="DV390" s="15">
        <v>0</v>
      </c>
      <c r="DW390" s="15">
        <v>0</v>
      </c>
      <c r="DX390" s="15">
        <v>0</v>
      </c>
      <c r="DY390" s="15">
        <v>0</v>
      </c>
      <c r="DZ390" s="15">
        <v>0</v>
      </c>
      <c r="EA390" s="15">
        <v>0</v>
      </c>
      <c r="EB390" s="15">
        <v>0</v>
      </c>
      <c r="EC390" s="15">
        <v>0</v>
      </c>
      <c r="ED390" s="15">
        <v>0</v>
      </c>
      <c r="EE390" s="15">
        <v>0</v>
      </c>
      <c r="EF390" s="15">
        <v>0</v>
      </c>
    </row>
    <row r="391" spans="1:136" ht="15" customHeight="1" x14ac:dyDescent="0.35">
      <c r="A391" s="8" t="s">
        <v>12</v>
      </c>
      <c r="B391" s="8" t="s">
        <v>21</v>
      </c>
      <c r="C391" s="8" t="s">
        <v>21</v>
      </c>
      <c r="D391" s="8" t="s">
        <v>315</v>
      </c>
      <c r="E391" s="8" t="s">
        <v>14</v>
      </c>
      <c r="F391" s="8" t="s">
        <v>87</v>
      </c>
      <c r="G391" s="15">
        <v>0</v>
      </c>
      <c r="H391" s="15">
        <v>0</v>
      </c>
      <c r="I391" s="15">
        <v>29.5</v>
      </c>
      <c r="J391" s="15">
        <v>-29.5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2</v>
      </c>
      <c r="AL391" s="15">
        <v>1</v>
      </c>
      <c r="AM391" s="15">
        <v>12</v>
      </c>
      <c r="AN391" s="15">
        <v>12</v>
      </c>
      <c r="AO391" s="15">
        <v>2.5</v>
      </c>
      <c r="AP391" s="15">
        <v>0</v>
      </c>
      <c r="AQ391" s="15">
        <v>0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5">
        <v>0</v>
      </c>
      <c r="CH391" s="15">
        <v>0</v>
      </c>
      <c r="CI391" s="15">
        <v>0</v>
      </c>
      <c r="CJ391" s="15">
        <v>0</v>
      </c>
      <c r="CK391" s="15">
        <v>0</v>
      </c>
      <c r="CL391" s="15">
        <v>0</v>
      </c>
      <c r="CM391" s="15">
        <v>0</v>
      </c>
      <c r="CN391" s="15">
        <v>0</v>
      </c>
      <c r="CO391" s="15">
        <v>0</v>
      </c>
      <c r="CP391" s="15">
        <v>0</v>
      </c>
      <c r="CQ391" s="15">
        <v>0</v>
      </c>
      <c r="CR391" s="15">
        <v>0</v>
      </c>
      <c r="CS391" s="15">
        <v>0</v>
      </c>
      <c r="CT391" s="15">
        <v>0</v>
      </c>
      <c r="CU391" s="15">
        <v>0</v>
      </c>
      <c r="CV391" s="15">
        <v>0</v>
      </c>
      <c r="CW391" s="15">
        <v>0</v>
      </c>
      <c r="CX391" s="15">
        <v>0</v>
      </c>
      <c r="CY391" s="15">
        <v>0</v>
      </c>
      <c r="CZ391" s="15">
        <v>0</v>
      </c>
      <c r="DA391" s="15">
        <v>0</v>
      </c>
      <c r="DB391" s="15">
        <v>0</v>
      </c>
      <c r="DC391" s="15">
        <v>0</v>
      </c>
      <c r="DD391" s="15">
        <v>0</v>
      </c>
      <c r="DE391" s="15">
        <v>0</v>
      </c>
      <c r="DF391" s="15">
        <v>0</v>
      </c>
      <c r="DG391" s="15">
        <v>0</v>
      </c>
      <c r="DH391" s="15">
        <v>0</v>
      </c>
      <c r="DI391" s="15">
        <v>0</v>
      </c>
      <c r="DJ391" s="15">
        <v>0</v>
      </c>
      <c r="DK391" s="15">
        <v>0</v>
      </c>
      <c r="DL391" s="15">
        <v>0</v>
      </c>
      <c r="DM391" s="15">
        <v>0</v>
      </c>
      <c r="DN391" s="15">
        <v>0</v>
      </c>
      <c r="DO391" s="15">
        <v>0</v>
      </c>
      <c r="DP391" s="15">
        <v>0</v>
      </c>
      <c r="DQ391" s="15">
        <v>0</v>
      </c>
      <c r="DR391" s="15">
        <v>0</v>
      </c>
      <c r="DS391" s="15">
        <v>0</v>
      </c>
      <c r="DT391" s="15">
        <v>0</v>
      </c>
      <c r="DU391" s="15">
        <v>0</v>
      </c>
      <c r="DV391" s="15">
        <v>0</v>
      </c>
      <c r="DW391" s="15">
        <v>0</v>
      </c>
      <c r="DX391" s="15">
        <v>0</v>
      </c>
      <c r="DY391" s="15">
        <v>0</v>
      </c>
      <c r="DZ391" s="15">
        <v>0</v>
      </c>
      <c r="EA391" s="15">
        <v>0</v>
      </c>
      <c r="EB391" s="15">
        <v>0</v>
      </c>
      <c r="EC391" s="15">
        <v>0</v>
      </c>
      <c r="ED391" s="15">
        <v>0</v>
      </c>
      <c r="EE391" s="15">
        <v>0</v>
      </c>
      <c r="EF391" s="15">
        <v>0</v>
      </c>
    </row>
    <row r="392" spans="1:136" ht="15" customHeight="1" x14ac:dyDescent="0.35">
      <c r="A392" s="8" t="s">
        <v>12</v>
      </c>
      <c r="B392" s="8" t="s">
        <v>21</v>
      </c>
      <c r="C392" s="8" t="s">
        <v>21</v>
      </c>
      <c r="D392" s="8" t="s">
        <v>316</v>
      </c>
      <c r="E392" s="8" t="s">
        <v>14</v>
      </c>
      <c r="F392" s="8" t="s">
        <v>87</v>
      </c>
      <c r="G392" s="15">
        <v>16</v>
      </c>
      <c r="H392" s="15">
        <v>16</v>
      </c>
      <c r="I392" s="15">
        <v>0</v>
      </c>
      <c r="J392" s="15">
        <v>16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  <c r="AW392" s="15">
        <v>0</v>
      </c>
      <c r="AX392" s="15">
        <v>0</v>
      </c>
      <c r="AY392" s="15">
        <v>0</v>
      </c>
      <c r="AZ392" s="15">
        <v>0</v>
      </c>
      <c r="BA392" s="15">
        <v>0</v>
      </c>
      <c r="BB392" s="15">
        <v>0</v>
      </c>
      <c r="BC392" s="15">
        <v>0</v>
      </c>
      <c r="BD392" s="15">
        <v>0</v>
      </c>
      <c r="BE392" s="15">
        <v>0</v>
      </c>
      <c r="BF392" s="15">
        <v>0</v>
      </c>
      <c r="BG392" s="15">
        <v>0</v>
      </c>
      <c r="BH392" s="15">
        <v>0</v>
      </c>
      <c r="BI392" s="15">
        <v>0</v>
      </c>
      <c r="BJ392" s="15">
        <v>0</v>
      </c>
      <c r="BK392" s="15">
        <v>0</v>
      </c>
      <c r="BL392" s="15">
        <v>0</v>
      </c>
      <c r="BM392" s="15">
        <v>0</v>
      </c>
      <c r="BN392" s="15">
        <v>0</v>
      </c>
      <c r="BO392" s="15">
        <v>0</v>
      </c>
      <c r="BP392" s="15">
        <v>0</v>
      </c>
      <c r="BQ392" s="15">
        <v>0</v>
      </c>
      <c r="BR392" s="15">
        <v>0</v>
      </c>
      <c r="BS392" s="15">
        <v>0</v>
      </c>
      <c r="BT392" s="15">
        <v>0</v>
      </c>
      <c r="BU392" s="15">
        <v>0</v>
      </c>
      <c r="BV392" s="15">
        <v>0</v>
      </c>
      <c r="BW392" s="15">
        <v>0</v>
      </c>
      <c r="BX392" s="15">
        <v>0</v>
      </c>
      <c r="BY392" s="15">
        <v>0</v>
      </c>
      <c r="BZ392" s="15">
        <v>0</v>
      </c>
      <c r="CA392" s="15">
        <v>0</v>
      </c>
      <c r="CB392" s="15">
        <v>0</v>
      </c>
      <c r="CC392" s="15">
        <v>0</v>
      </c>
      <c r="CD392" s="15">
        <v>0</v>
      </c>
      <c r="CE392" s="15">
        <v>0</v>
      </c>
      <c r="CF392" s="15">
        <v>0</v>
      </c>
      <c r="CG392" s="15">
        <v>0</v>
      </c>
      <c r="CH392" s="15">
        <v>0</v>
      </c>
      <c r="CI392" s="15">
        <v>0</v>
      </c>
      <c r="CJ392" s="15">
        <v>0</v>
      </c>
      <c r="CK392" s="15">
        <v>0</v>
      </c>
      <c r="CL392" s="15">
        <v>0</v>
      </c>
      <c r="CM392" s="15">
        <v>0</v>
      </c>
      <c r="CN392" s="15">
        <v>0</v>
      </c>
      <c r="CO392" s="15">
        <v>0</v>
      </c>
      <c r="CP392" s="15">
        <v>0</v>
      </c>
      <c r="CQ392" s="15">
        <v>0</v>
      </c>
      <c r="CR392" s="15">
        <v>0</v>
      </c>
      <c r="CS392" s="15">
        <v>0</v>
      </c>
      <c r="CT392" s="15">
        <v>0</v>
      </c>
      <c r="CU392" s="15">
        <v>0</v>
      </c>
      <c r="CV392" s="15">
        <v>0</v>
      </c>
      <c r="CW392" s="15">
        <v>0</v>
      </c>
      <c r="CX392" s="15">
        <v>0</v>
      </c>
      <c r="CY392" s="15">
        <v>0</v>
      </c>
      <c r="CZ392" s="15">
        <v>0</v>
      </c>
      <c r="DA392" s="15">
        <v>0</v>
      </c>
      <c r="DB392" s="15">
        <v>0</v>
      </c>
      <c r="DC392" s="15">
        <v>0</v>
      </c>
      <c r="DD392" s="15">
        <v>0</v>
      </c>
      <c r="DE392" s="15">
        <v>0</v>
      </c>
      <c r="DF392" s="15">
        <v>0</v>
      </c>
      <c r="DG392" s="15">
        <v>0</v>
      </c>
      <c r="DH392" s="15">
        <v>0</v>
      </c>
      <c r="DI392" s="15">
        <v>0</v>
      </c>
      <c r="DJ392" s="15">
        <v>0</v>
      </c>
      <c r="DK392" s="15">
        <v>0</v>
      </c>
      <c r="DL392" s="15">
        <v>0</v>
      </c>
      <c r="DM392" s="15">
        <v>0</v>
      </c>
      <c r="DN392" s="15">
        <v>0</v>
      </c>
      <c r="DO392" s="15">
        <v>0</v>
      </c>
      <c r="DP392" s="15">
        <v>0</v>
      </c>
      <c r="DQ392" s="15">
        <v>0</v>
      </c>
      <c r="DR392" s="15">
        <v>0</v>
      </c>
      <c r="DS392" s="15">
        <v>0</v>
      </c>
      <c r="DT392" s="15">
        <v>0</v>
      </c>
      <c r="DU392" s="15">
        <v>0</v>
      </c>
      <c r="DV392" s="15">
        <v>0</v>
      </c>
      <c r="DW392" s="15">
        <v>0</v>
      </c>
      <c r="DX392" s="15">
        <v>0</v>
      </c>
      <c r="DY392" s="15">
        <v>0</v>
      </c>
      <c r="DZ392" s="15">
        <v>0</v>
      </c>
      <c r="EA392" s="15">
        <v>0</v>
      </c>
      <c r="EB392" s="15">
        <v>0</v>
      </c>
      <c r="EC392" s="15">
        <v>0</v>
      </c>
      <c r="ED392" s="15">
        <v>0</v>
      </c>
      <c r="EE392" s="15">
        <v>0</v>
      </c>
      <c r="EF392" s="15">
        <v>0</v>
      </c>
    </row>
    <row r="393" spans="1:136" ht="15" customHeight="1" x14ac:dyDescent="0.35">
      <c r="A393" s="8" t="s">
        <v>12</v>
      </c>
      <c r="B393" s="8" t="s">
        <v>21</v>
      </c>
      <c r="C393" s="8" t="s">
        <v>21</v>
      </c>
      <c r="D393" s="8" t="s">
        <v>315</v>
      </c>
      <c r="E393" s="8" t="s">
        <v>14</v>
      </c>
      <c r="F393" s="8" t="s">
        <v>88</v>
      </c>
      <c r="G393" s="15">
        <v>0</v>
      </c>
      <c r="H393" s="15">
        <v>0</v>
      </c>
      <c r="I393" s="15">
        <v>16</v>
      </c>
      <c r="J393" s="15">
        <v>-16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5">
        <v>0</v>
      </c>
      <c r="CH393" s="15">
        <v>0</v>
      </c>
      <c r="CI393" s="15">
        <v>0</v>
      </c>
      <c r="CJ393" s="15">
        <v>0</v>
      </c>
      <c r="CK393" s="15">
        <v>0</v>
      </c>
      <c r="CL393" s="15">
        <v>0</v>
      </c>
      <c r="CM393" s="15">
        <v>0</v>
      </c>
      <c r="CN393" s="15">
        <v>0</v>
      </c>
      <c r="CO393" s="15">
        <v>0</v>
      </c>
      <c r="CP393" s="15">
        <v>0</v>
      </c>
      <c r="CQ393" s="15">
        <v>0</v>
      </c>
      <c r="CR393" s="15">
        <v>0</v>
      </c>
      <c r="CS393" s="15">
        <v>0</v>
      </c>
      <c r="CT393" s="15">
        <v>0</v>
      </c>
      <c r="CU393" s="15">
        <v>0</v>
      </c>
      <c r="CV393" s="15">
        <v>0</v>
      </c>
      <c r="CW393" s="15">
        <v>0</v>
      </c>
      <c r="CX393" s="15">
        <v>0</v>
      </c>
      <c r="CY393" s="15">
        <v>0</v>
      </c>
      <c r="CZ393" s="15">
        <v>12</v>
      </c>
      <c r="DA393" s="15">
        <v>4</v>
      </c>
      <c r="DB393" s="15">
        <v>0</v>
      </c>
      <c r="DC393" s="15">
        <v>0</v>
      </c>
      <c r="DD393" s="15">
        <v>0</v>
      </c>
      <c r="DE393" s="15">
        <v>0</v>
      </c>
      <c r="DF393" s="15">
        <v>0</v>
      </c>
      <c r="DG393" s="15">
        <v>0</v>
      </c>
      <c r="DH393" s="15">
        <v>0</v>
      </c>
      <c r="DI393" s="15">
        <v>0</v>
      </c>
      <c r="DJ393" s="15">
        <v>0</v>
      </c>
      <c r="DK393" s="15">
        <v>0</v>
      </c>
      <c r="DL393" s="15">
        <v>0</v>
      </c>
      <c r="DM393" s="15">
        <v>0</v>
      </c>
      <c r="DN393" s="15">
        <v>0</v>
      </c>
      <c r="DO393" s="15">
        <v>0</v>
      </c>
      <c r="DP393" s="15">
        <v>0</v>
      </c>
      <c r="DQ393" s="15">
        <v>0</v>
      </c>
      <c r="DR393" s="15">
        <v>0</v>
      </c>
      <c r="DS393" s="15">
        <v>0</v>
      </c>
      <c r="DT393" s="15">
        <v>0</v>
      </c>
      <c r="DU393" s="15">
        <v>0</v>
      </c>
      <c r="DV393" s="15">
        <v>0</v>
      </c>
      <c r="DW393" s="15">
        <v>0</v>
      </c>
      <c r="DX393" s="15">
        <v>0</v>
      </c>
      <c r="DY393" s="15">
        <v>0</v>
      </c>
      <c r="DZ393" s="15">
        <v>0</v>
      </c>
      <c r="EA393" s="15">
        <v>0</v>
      </c>
      <c r="EB393" s="15">
        <v>0</v>
      </c>
      <c r="EC393" s="15">
        <v>0</v>
      </c>
      <c r="ED393" s="15">
        <v>0</v>
      </c>
      <c r="EE393" s="15">
        <v>0</v>
      </c>
      <c r="EF393" s="15">
        <v>0</v>
      </c>
    </row>
    <row r="394" spans="1:136" ht="15" customHeight="1" x14ac:dyDescent="0.35">
      <c r="A394" s="8" t="s">
        <v>12</v>
      </c>
      <c r="B394" s="8" t="s">
        <v>21</v>
      </c>
      <c r="C394" s="8" t="s">
        <v>21</v>
      </c>
      <c r="D394" s="8" t="s">
        <v>316</v>
      </c>
      <c r="E394" s="8" t="s">
        <v>14</v>
      </c>
      <c r="F394" s="8" t="s">
        <v>88</v>
      </c>
      <c r="G394" s="15">
        <v>0</v>
      </c>
      <c r="H394" s="15">
        <v>16</v>
      </c>
      <c r="I394" s="15">
        <v>0</v>
      </c>
      <c r="J394" s="15">
        <v>16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5">
        <v>0</v>
      </c>
      <c r="AX394" s="15">
        <v>0</v>
      </c>
      <c r="AY394" s="15">
        <v>0</v>
      </c>
      <c r="AZ394" s="15">
        <v>0</v>
      </c>
      <c r="BA394" s="15">
        <v>0</v>
      </c>
      <c r="BB394" s="15">
        <v>0</v>
      </c>
      <c r="BC394" s="15">
        <v>0</v>
      </c>
      <c r="BD394" s="15">
        <v>0</v>
      </c>
      <c r="BE394" s="15">
        <v>0</v>
      </c>
      <c r="BF394" s="15">
        <v>0</v>
      </c>
      <c r="BG394" s="15">
        <v>0</v>
      </c>
      <c r="BH394" s="15">
        <v>0</v>
      </c>
      <c r="BI394" s="15">
        <v>0</v>
      </c>
      <c r="BJ394" s="15">
        <v>0</v>
      </c>
      <c r="BK394" s="15">
        <v>0</v>
      </c>
      <c r="BL394" s="15">
        <v>0</v>
      </c>
      <c r="BM394" s="15">
        <v>0</v>
      </c>
      <c r="BN394" s="15">
        <v>0</v>
      </c>
      <c r="BO394" s="15">
        <v>0</v>
      </c>
      <c r="BP394" s="15">
        <v>0</v>
      </c>
      <c r="BQ394" s="15">
        <v>0</v>
      </c>
      <c r="BR394" s="15">
        <v>0</v>
      </c>
      <c r="BS394" s="15">
        <v>0</v>
      </c>
      <c r="BT394" s="15">
        <v>0</v>
      </c>
      <c r="BU394" s="15">
        <v>0</v>
      </c>
      <c r="BV394" s="15">
        <v>0</v>
      </c>
      <c r="BW394" s="15">
        <v>0</v>
      </c>
      <c r="BX394" s="15">
        <v>0</v>
      </c>
      <c r="BY394" s="15">
        <v>0</v>
      </c>
      <c r="BZ394" s="15">
        <v>0</v>
      </c>
      <c r="CA394" s="15">
        <v>0</v>
      </c>
      <c r="CB394" s="15">
        <v>0</v>
      </c>
      <c r="CC394" s="15">
        <v>0</v>
      </c>
      <c r="CD394" s="15">
        <v>0</v>
      </c>
      <c r="CE394" s="15">
        <v>0</v>
      </c>
      <c r="CF394" s="15">
        <v>0</v>
      </c>
      <c r="CG394" s="15">
        <v>0</v>
      </c>
      <c r="CH394" s="15">
        <v>0</v>
      </c>
      <c r="CI394" s="15">
        <v>0</v>
      </c>
      <c r="CJ394" s="15">
        <v>0</v>
      </c>
      <c r="CK394" s="15">
        <v>0</v>
      </c>
      <c r="CL394" s="15">
        <v>0</v>
      </c>
      <c r="CM394" s="15">
        <v>0</v>
      </c>
      <c r="CN394" s="15">
        <v>0</v>
      </c>
      <c r="CO394" s="15">
        <v>0</v>
      </c>
      <c r="CP394" s="15">
        <v>0</v>
      </c>
      <c r="CQ394" s="15">
        <v>0</v>
      </c>
      <c r="CR394" s="15">
        <v>0</v>
      </c>
      <c r="CS394" s="15">
        <v>0</v>
      </c>
      <c r="CT394" s="15">
        <v>0</v>
      </c>
      <c r="CU394" s="15">
        <v>0</v>
      </c>
      <c r="CV394" s="15">
        <v>0</v>
      </c>
      <c r="CW394" s="15">
        <v>0</v>
      </c>
      <c r="CX394" s="15">
        <v>0</v>
      </c>
      <c r="CY394" s="15">
        <v>0</v>
      </c>
      <c r="CZ394" s="15">
        <v>0</v>
      </c>
      <c r="DA394" s="15">
        <v>0</v>
      </c>
      <c r="DB394" s="15">
        <v>0</v>
      </c>
      <c r="DC394" s="15">
        <v>0</v>
      </c>
      <c r="DD394" s="15">
        <v>0</v>
      </c>
      <c r="DE394" s="15">
        <v>0</v>
      </c>
      <c r="DF394" s="15">
        <v>0</v>
      </c>
      <c r="DG394" s="15">
        <v>0</v>
      </c>
      <c r="DH394" s="15">
        <v>0</v>
      </c>
      <c r="DI394" s="15">
        <v>0</v>
      </c>
      <c r="DJ394" s="15">
        <v>0</v>
      </c>
      <c r="DK394" s="15">
        <v>0</v>
      </c>
      <c r="DL394" s="15">
        <v>0</v>
      </c>
      <c r="DM394" s="15">
        <v>0</v>
      </c>
      <c r="DN394" s="15">
        <v>0</v>
      </c>
      <c r="DO394" s="15">
        <v>0</v>
      </c>
      <c r="DP394" s="15">
        <v>0</v>
      </c>
      <c r="DQ394" s="15">
        <v>0</v>
      </c>
      <c r="DR394" s="15">
        <v>0</v>
      </c>
      <c r="DS394" s="15">
        <v>0</v>
      </c>
      <c r="DT394" s="15">
        <v>0</v>
      </c>
      <c r="DU394" s="15">
        <v>0</v>
      </c>
      <c r="DV394" s="15">
        <v>0</v>
      </c>
      <c r="DW394" s="15">
        <v>0</v>
      </c>
      <c r="DX394" s="15">
        <v>0</v>
      </c>
      <c r="DY394" s="15">
        <v>0</v>
      </c>
      <c r="DZ394" s="15">
        <v>0</v>
      </c>
      <c r="EA394" s="15">
        <v>0</v>
      </c>
      <c r="EB394" s="15">
        <v>0</v>
      </c>
      <c r="EC394" s="15">
        <v>0</v>
      </c>
      <c r="ED394" s="15">
        <v>0</v>
      </c>
      <c r="EE394" s="15">
        <v>0</v>
      </c>
      <c r="EF394" s="15">
        <v>0</v>
      </c>
    </row>
    <row r="395" spans="1:136" ht="15" customHeight="1" x14ac:dyDescent="0.35">
      <c r="A395" s="8" t="s">
        <v>12</v>
      </c>
      <c r="B395" s="8" t="s">
        <v>21</v>
      </c>
      <c r="C395" s="8" t="s">
        <v>21</v>
      </c>
      <c r="D395" s="8" t="s">
        <v>315</v>
      </c>
      <c r="E395" s="8" t="s">
        <v>14</v>
      </c>
      <c r="F395" s="8" t="s">
        <v>105</v>
      </c>
      <c r="G395" s="15">
        <v>0</v>
      </c>
      <c r="H395" s="15">
        <v>0</v>
      </c>
      <c r="I395" s="15">
        <v>26</v>
      </c>
      <c r="J395" s="15">
        <v>-26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3</v>
      </c>
      <c r="AL395" s="15">
        <v>8.5</v>
      </c>
      <c r="AM395" s="15">
        <v>2</v>
      </c>
      <c r="AN395" s="15">
        <v>0</v>
      </c>
      <c r="AO395" s="15">
        <v>12.5</v>
      </c>
      <c r="AP395" s="15">
        <v>0</v>
      </c>
      <c r="AQ395" s="15">
        <v>0</v>
      </c>
      <c r="AR395" s="15">
        <v>0</v>
      </c>
      <c r="AS395" s="15">
        <v>0</v>
      </c>
      <c r="AT395" s="15">
        <v>0</v>
      </c>
      <c r="AU395" s="15">
        <v>0</v>
      </c>
      <c r="AV395" s="15">
        <v>0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5">
        <v>0</v>
      </c>
      <c r="CH395" s="15">
        <v>0</v>
      </c>
      <c r="CI395" s="15">
        <v>0</v>
      </c>
      <c r="CJ395" s="15">
        <v>0</v>
      </c>
      <c r="CK395" s="15">
        <v>0</v>
      </c>
      <c r="CL395" s="15">
        <v>0</v>
      </c>
      <c r="CM395" s="15">
        <v>0</v>
      </c>
      <c r="CN395" s="15">
        <v>0</v>
      </c>
      <c r="CO395" s="15">
        <v>0</v>
      </c>
      <c r="CP395" s="15">
        <v>0</v>
      </c>
      <c r="CQ395" s="15">
        <v>0</v>
      </c>
      <c r="CR395" s="15">
        <v>0</v>
      </c>
      <c r="CS395" s="15">
        <v>0</v>
      </c>
      <c r="CT395" s="15">
        <v>0</v>
      </c>
      <c r="CU395" s="15">
        <v>0</v>
      </c>
      <c r="CV395" s="15">
        <v>0</v>
      </c>
      <c r="CW395" s="15">
        <v>0</v>
      </c>
      <c r="CX395" s="15">
        <v>0</v>
      </c>
      <c r="CY395" s="15">
        <v>0</v>
      </c>
      <c r="CZ395" s="15">
        <v>0</v>
      </c>
      <c r="DA395" s="15">
        <v>0</v>
      </c>
      <c r="DB395" s="15">
        <v>0</v>
      </c>
      <c r="DC395" s="15">
        <v>0</v>
      </c>
      <c r="DD395" s="15">
        <v>0</v>
      </c>
      <c r="DE395" s="15">
        <v>0</v>
      </c>
      <c r="DF395" s="15">
        <v>0</v>
      </c>
      <c r="DG395" s="15">
        <v>0</v>
      </c>
      <c r="DH395" s="15">
        <v>0</v>
      </c>
      <c r="DI395" s="15">
        <v>0</v>
      </c>
      <c r="DJ395" s="15">
        <v>0</v>
      </c>
      <c r="DK395" s="15">
        <v>0</v>
      </c>
      <c r="DL395" s="15">
        <v>0</v>
      </c>
      <c r="DM395" s="15">
        <v>0</v>
      </c>
      <c r="DN395" s="15">
        <v>0</v>
      </c>
      <c r="DO395" s="15">
        <v>0</v>
      </c>
      <c r="DP395" s="15">
        <v>0</v>
      </c>
      <c r="DQ395" s="15">
        <v>0</v>
      </c>
      <c r="DR395" s="15">
        <v>0</v>
      </c>
      <c r="DS395" s="15">
        <v>0</v>
      </c>
      <c r="DT395" s="15">
        <v>0</v>
      </c>
      <c r="DU395" s="15">
        <v>0</v>
      </c>
      <c r="DV395" s="15">
        <v>0</v>
      </c>
      <c r="DW395" s="15">
        <v>0</v>
      </c>
      <c r="DX395" s="15">
        <v>0</v>
      </c>
      <c r="DY395" s="15">
        <v>0</v>
      </c>
      <c r="DZ395" s="15">
        <v>0</v>
      </c>
      <c r="EA395" s="15">
        <v>0</v>
      </c>
      <c r="EB395" s="15">
        <v>0</v>
      </c>
      <c r="EC395" s="15">
        <v>0</v>
      </c>
      <c r="ED395" s="15">
        <v>0</v>
      </c>
      <c r="EE395" s="15">
        <v>0</v>
      </c>
      <c r="EF395" s="15">
        <v>0</v>
      </c>
    </row>
    <row r="396" spans="1:136" ht="15" customHeight="1" x14ac:dyDescent="0.35">
      <c r="A396" s="8" t="s">
        <v>12</v>
      </c>
      <c r="B396" s="8" t="s">
        <v>21</v>
      </c>
      <c r="C396" s="8" t="s">
        <v>21</v>
      </c>
      <c r="D396" s="8" t="s">
        <v>316</v>
      </c>
      <c r="E396" s="8" t="s">
        <v>14</v>
      </c>
      <c r="F396" s="8" t="s">
        <v>105</v>
      </c>
      <c r="G396" s="15">
        <v>1</v>
      </c>
      <c r="H396" s="15">
        <v>1</v>
      </c>
      <c r="I396" s="15">
        <v>1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1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</v>
      </c>
      <c r="AX396" s="15">
        <v>0</v>
      </c>
      <c r="AY396" s="15">
        <v>0</v>
      </c>
      <c r="AZ396" s="15">
        <v>0</v>
      </c>
      <c r="BA396" s="15">
        <v>0</v>
      </c>
      <c r="BB396" s="15">
        <v>0</v>
      </c>
      <c r="BC396" s="15">
        <v>0</v>
      </c>
      <c r="BD396" s="15">
        <v>0</v>
      </c>
      <c r="BE396" s="15">
        <v>0</v>
      </c>
      <c r="BF396" s="15">
        <v>0</v>
      </c>
      <c r="BG396" s="15">
        <v>0</v>
      </c>
      <c r="BH396" s="15">
        <v>0</v>
      </c>
      <c r="BI396" s="15">
        <v>0</v>
      </c>
      <c r="BJ396" s="15">
        <v>0</v>
      </c>
      <c r="BK396" s="15">
        <v>0</v>
      </c>
      <c r="BL396" s="15">
        <v>0</v>
      </c>
      <c r="BM396" s="15">
        <v>0</v>
      </c>
      <c r="BN396" s="15">
        <v>0</v>
      </c>
      <c r="BO396" s="15">
        <v>0</v>
      </c>
      <c r="BP396" s="15">
        <v>0</v>
      </c>
      <c r="BQ396" s="15">
        <v>0</v>
      </c>
      <c r="BR396" s="15">
        <v>0</v>
      </c>
      <c r="BS396" s="15">
        <v>0</v>
      </c>
      <c r="BT396" s="15">
        <v>0</v>
      </c>
      <c r="BU396" s="15">
        <v>0</v>
      </c>
      <c r="BV396" s="15">
        <v>0</v>
      </c>
      <c r="BW396" s="15">
        <v>0</v>
      </c>
      <c r="BX396" s="15">
        <v>0</v>
      </c>
      <c r="BY396" s="15">
        <v>0</v>
      </c>
      <c r="BZ396" s="15">
        <v>0</v>
      </c>
      <c r="CA396" s="15">
        <v>0</v>
      </c>
      <c r="CB396" s="15">
        <v>0</v>
      </c>
      <c r="CC396" s="15">
        <v>0</v>
      </c>
      <c r="CD396" s="15">
        <v>0</v>
      </c>
      <c r="CE396" s="15">
        <v>0</v>
      </c>
      <c r="CF396" s="15">
        <v>0</v>
      </c>
      <c r="CG396" s="15">
        <v>0</v>
      </c>
      <c r="CH396" s="15">
        <v>0</v>
      </c>
      <c r="CI396" s="15">
        <v>0</v>
      </c>
      <c r="CJ396" s="15">
        <v>0</v>
      </c>
      <c r="CK396" s="15">
        <v>0</v>
      </c>
      <c r="CL396" s="15">
        <v>0</v>
      </c>
      <c r="CM396" s="15">
        <v>0</v>
      </c>
      <c r="CN396" s="15">
        <v>0</v>
      </c>
      <c r="CO396" s="15">
        <v>0</v>
      </c>
      <c r="CP396" s="15">
        <v>0</v>
      </c>
      <c r="CQ396" s="15">
        <v>0</v>
      </c>
      <c r="CR396" s="15">
        <v>0</v>
      </c>
      <c r="CS396" s="15">
        <v>0</v>
      </c>
      <c r="CT396" s="15">
        <v>0</v>
      </c>
      <c r="CU396" s="15">
        <v>0</v>
      </c>
      <c r="CV396" s="15">
        <v>0</v>
      </c>
      <c r="CW396" s="15">
        <v>0</v>
      </c>
      <c r="CX396" s="15">
        <v>0</v>
      </c>
      <c r="CY396" s="15">
        <v>0</v>
      </c>
      <c r="CZ396" s="15">
        <v>0</v>
      </c>
      <c r="DA396" s="15">
        <v>0</v>
      </c>
      <c r="DB396" s="15">
        <v>0</v>
      </c>
      <c r="DC396" s="15">
        <v>0</v>
      </c>
      <c r="DD396" s="15">
        <v>0</v>
      </c>
      <c r="DE396" s="15">
        <v>0</v>
      </c>
      <c r="DF396" s="15">
        <v>0</v>
      </c>
      <c r="DG396" s="15">
        <v>0</v>
      </c>
      <c r="DH396" s="15">
        <v>0</v>
      </c>
      <c r="DI396" s="15">
        <v>0</v>
      </c>
      <c r="DJ396" s="15">
        <v>0</v>
      </c>
      <c r="DK396" s="15">
        <v>0</v>
      </c>
      <c r="DL396" s="15">
        <v>0</v>
      </c>
      <c r="DM396" s="15">
        <v>0</v>
      </c>
      <c r="DN396" s="15">
        <v>0</v>
      </c>
      <c r="DO396" s="15">
        <v>0</v>
      </c>
      <c r="DP396" s="15">
        <v>0</v>
      </c>
      <c r="DQ396" s="15">
        <v>0</v>
      </c>
      <c r="DR396" s="15">
        <v>0</v>
      </c>
      <c r="DS396" s="15">
        <v>0</v>
      </c>
      <c r="DT396" s="15">
        <v>0</v>
      </c>
      <c r="DU396" s="15">
        <v>0</v>
      </c>
      <c r="DV396" s="15">
        <v>0</v>
      </c>
      <c r="DW396" s="15">
        <v>0</v>
      </c>
      <c r="DX396" s="15">
        <v>0</v>
      </c>
      <c r="DY396" s="15">
        <v>0</v>
      </c>
      <c r="DZ396" s="15">
        <v>0</v>
      </c>
      <c r="EA396" s="15">
        <v>0</v>
      </c>
      <c r="EB396" s="15">
        <v>0</v>
      </c>
      <c r="EC396" s="15">
        <v>0</v>
      </c>
      <c r="ED396" s="15">
        <v>0</v>
      </c>
      <c r="EE396" s="15">
        <v>0</v>
      </c>
      <c r="EF396" s="15">
        <v>0</v>
      </c>
    </row>
    <row r="397" spans="1:136" ht="15" customHeight="1" x14ac:dyDescent="0.35">
      <c r="A397" s="8" t="s">
        <v>12</v>
      </c>
      <c r="B397" s="8" t="s">
        <v>30</v>
      </c>
      <c r="C397" s="8" t="s">
        <v>30</v>
      </c>
      <c r="D397" s="8" t="s">
        <v>315</v>
      </c>
      <c r="E397" s="8" t="s">
        <v>14</v>
      </c>
      <c r="F397" s="8" t="s">
        <v>94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5">
        <v>0</v>
      </c>
      <c r="CH397" s="15">
        <v>0</v>
      </c>
      <c r="CI397" s="15">
        <v>0</v>
      </c>
      <c r="CJ397" s="15">
        <v>0</v>
      </c>
      <c r="CK397" s="15">
        <v>0</v>
      </c>
      <c r="CL397" s="15">
        <v>0</v>
      </c>
      <c r="CM397" s="15">
        <v>0</v>
      </c>
      <c r="CN397" s="15">
        <v>0</v>
      </c>
      <c r="CO397" s="15">
        <v>0</v>
      </c>
      <c r="CP397" s="15">
        <v>0</v>
      </c>
      <c r="CQ397" s="15">
        <v>0</v>
      </c>
      <c r="CR397" s="15">
        <v>0</v>
      </c>
      <c r="CS397" s="15">
        <v>0</v>
      </c>
      <c r="CT397" s="15">
        <v>0</v>
      </c>
      <c r="CU397" s="15">
        <v>0</v>
      </c>
      <c r="CV397" s="15">
        <v>0</v>
      </c>
      <c r="CW397" s="15">
        <v>0</v>
      </c>
      <c r="CX397" s="15">
        <v>0</v>
      </c>
      <c r="CY397" s="15">
        <v>0</v>
      </c>
      <c r="CZ397" s="15">
        <v>0</v>
      </c>
      <c r="DA397" s="15">
        <v>0</v>
      </c>
      <c r="DB397" s="15">
        <v>0</v>
      </c>
      <c r="DC397" s="15">
        <v>0</v>
      </c>
      <c r="DD397" s="15">
        <v>0</v>
      </c>
      <c r="DE397" s="15">
        <v>0</v>
      </c>
      <c r="DF397" s="15">
        <v>0</v>
      </c>
      <c r="DG397" s="15">
        <v>0</v>
      </c>
      <c r="DH397" s="15">
        <v>0</v>
      </c>
      <c r="DI397" s="15">
        <v>0</v>
      </c>
      <c r="DJ397" s="15">
        <v>0</v>
      </c>
      <c r="DK397" s="15">
        <v>0</v>
      </c>
      <c r="DL397" s="15">
        <v>0</v>
      </c>
      <c r="DM397" s="15">
        <v>0</v>
      </c>
      <c r="DN397" s="15">
        <v>0</v>
      </c>
      <c r="DO397" s="15">
        <v>0</v>
      </c>
      <c r="DP397" s="15">
        <v>0</v>
      </c>
      <c r="DQ397" s="15">
        <v>0</v>
      </c>
      <c r="DR397" s="15">
        <v>0</v>
      </c>
      <c r="DS397" s="15">
        <v>0</v>
      </c>
      <c r="DT397" s="15">
        <v>0</v>
      </c>
      <c r="DU397" s="15">
        <v>0</v>
      </c>
      <c r="DV397" s="15">
        <v>0</v>
      </c>
      <c r="DW397" s="15">
        <v>0</v>
      </c>
      <c r="DX397" s="15">
        <v>0</v>
      </c>
      <c r="DY397" s="15">
        <v>0</v>
      </c>
      <c r="DZ397" s="15">
        <v>0</v>
      </c>
      <c r="EA397" s="15">
        <v>0</v>
      </c>
      <c r="EB397" s="15">
        <v>0</v>
      </c>
      <c r="EC397" s="15">
        <v>0</v>
      </c>
      <c r="ED397" s="15">
        <v>0</v>
      </c>
      <c r="EE397" s="15">
        <v>0</v>
      </c>
      <c r="EF397" s="15">
        <v>0</v>
      </c>
    </row>
    <row r="398" spans="1:136" ht="15" customHeight="1" x14ac:dyDescent="0.35">
      <c r="A398" s="8" t="s">
        <v>12</v>
      </c>
      <c r="B398" s="8" t="s">
        <v>30</v>
      </c>
      <c r="C398" s="8" t="s">
        <v>30</v>
      </c>
      <c r="D398" s="8" t="s">
        <v>316</v>
      </c>
      <c r="E398" s="8" t="s">
        <v>14</v>
      </c>
      <c r="F398" s="8" t="s">
        <v>94</v>
      </c>
      <c r="G398" s="15">
        <v>14</v>
      </c>
      <c r="H398" s="15">
        <v>14</v>
      </c>
      <c r="I398" s="15">
        <v>14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14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</v>
      </c>
      <c r="AY398" s="15">
        <v>0</v>
      </c>
      <c r="AZ398" s="15">
        <v>0</v>
      </c>
      <c r="BA398" s="15">
        <v>0</v>
      </c>
      <c r="BB398" s="15">
        <v>0</v>
      </c>
      <c r="BC398" s="15">
        <v>0</v>
      </c>
      <c r="BD398" s="15">
        <v>0</v>
      </c>
      <c r="BE398" s="15">
        <v>0</v>
      </c>
      <c r="BF398" s="15">
        <v>0</v>
      </c>
      <c r="BG398" s="15">
        <v>0</v>
      </c>
      <c r="BH398" s="15">
        <v>0</v>
      </c>
      <c r="BI398" s="15">
        <v>0</v>
      </c>
      <c r="BJ398" s="15">
        <v>0</v>
      </c>
      <c r="BK398" s="15">
        <v>0</v>
      </c>
      <c r="BL398" s="15">
        <v>0</v>
      </c>
      <c r="BM398" s="15">
        <v>0</v>
      </c>
      <c r="BN398" s="15">
        <v>0</v>
      </c>
      <c r="BO398" s="15">
        <v>0</v>
      </c>
      <c r="BP398" s="15">
        <v>0</v>
      </c>
      <c r="BQ398" s="15">
        <v>0</v>
      </c>
      <c r="BR398" s="15">
        <v>0</v>
      </c>
      <c r="BS398" s="15">
        <v>0</v>
      </c>
      <c r="BT398" s="15">
        <v>0</v>
      </c>
      <c r="BU398" s="15">
        <v>0</v>
      </c>
      <c r="BV398" s="15">
        <v>0</v>
      </c>
      <c r="BW398" s="15">
        <v>0</v>
      </c>
      <c r="BX398" s="15">
        <v>0</v>
      </c>
      <c r="BY398" s="15">
        <v>0</v>
      </c>
      <c r="BZ398" s="15">
        <v>0</v>
      </c>
      <c r="CA398" s="15">
        <v>0</v>
      </c>
      <c r="CB398" s="15">
        <v>0</v>
      </c>
      <c r="CC398" s="15">
        <v>0</v>
      </c>
      <c r="CD398" s="15">
        <v>0</v>
      </c>
      <c r="CE398" s="15">
        <v>0</v>
      </c>
      <c r="CF398" s="15">
        <v>0</v>
      </c>
      <c r="CG398" s="15">
        <v>0</v>
      </c>
      <c r="CH398" s="15">
        <v>0</v>
      </c>
      <c r="CI398" s="15">
        <v>0</v>
      </c>
      <c r="CJ398" s="15">
        <v>0</v>
      </c>
      <c r="CK398" s="15">
        <v>0</v>
      </c>
      <c r="CL398" s="15">
        <v>0</v>
      </c>
      <c r="CM398" s="15">
        <v>0</v>
      </c>
      <c r="CN398" s="15">
        <v>0</v>
      </c>
      <c r="CO398" s="15">
        <v>0</v>
      </c>
      <c r="CP398" s="15">
        <v>0</v>
      </c>
      <c r="CQ398" s="15">
        <v>0</v>
      </c>
      <c r="CR398" s="15">
        <v>0</v>
      </c>
      <c r="CS398" s="15">
        <v>0</v>
      </c>
      <c r="CT398" s="15">
        <v>0</v>
      </c>
      <c r="CU398" s="15">
        <v>0</v>
      </c>
      <c r="CV398" s="15">
        <v>0</v>
      </c>
      <c r="CW398" s="15">
        <v>0</v>
      </c>
      <c r="CX398" s="15">
        <v>0</v>
      </c>
      <c r="CY398" s="15">
        <v>0</v>
      </c>
      <c r="CZ398" s="15">
        <v>0</v>
      </c>
      <c r="DA398" s="15">
        <v>0</v>
      </c>
      <c r="DB398" s="15">
        <v>0</v>
      </c>
      <c r="DC398" s="15">
        <v>0</v>
      </c>
      <c r="DD398" s="15">
        <v>0</v>
      </c>
      <c r="DE398" s="15">
        <v>0</v>
      </c>
      <c r="DF398" s="15">
        <v>0</v>
      </c>
      <c r="DG398" s="15">
        <v>0</v>
      </c>
      <c r="DH398" s="15">
        <v>0</v>
      </c>
      <c r="DI398" s="15">
        <v>0</v>
      </c>
      <c r="DJ398" s="15">
        <v>0</v>
      </c>
      <c r="DK398" s="15">
        <v>0</v>
      </c>
      <c r="DL398" s="15">
        <v>0</v>
      </c>
      <c r="DM398" s="15">
        <v>0</v>
      </c>
      <c r="DN398" s="15">
        <v>0</v>
      </c>
      <c r="DO398" s="15">
        <v>0</v>
      </c>
      <c r="DP398" s="15">
        <v>0</v>
      </c>
      <c r="DQ398" s="15">
        <v>0</v>
      </c>
      <c r="DR398" s="15">
        <v>0</v>
      </c>
      <c r="DS398" s="15">
        <v>0</v>
      </c>
      <c r="DT398" s="15">
        <v>0</v>
      </c>
      <c r="DU398" s="15">
        <v>0</v>
      </c>
      <c r="DV398" s="15">
        <v>0</v>
      </c>
      <c r="DW398" s="15">
        <v>0</v>
      </c>
      <c r="DX398" s="15">
        <v>0</v>
      </c>
      <c r="DY398" s="15">
        <v>0</v>
      </c>
      <c r="DZ398" s="15">
        <v>0</v>
      </c>
      <c r="EA398" s="15">
        <v>0</v>
      </c>
      <c r="EB398" s="15">
        <v>0</v>
      </c>
      <c r="EC398" s="15">
        <v>0</v>
      </c>
      <c r="ED398" s="15">
        <v>0</v>
      </c>
      <c r="EE398" s="15">
        <v>0</v>
      </c>
      <c r="EF398" s="15">
        <v>0</v>
      </c>
    </row>
    <row r="399" spans="1:136" ht="15" customHeight="1" x14ac:dyDescent="0.35">
      <c r="A399" s="8" t="s">
        <v>12</v>
      </c>
      <c r="B399" s="8" t="s">
        <v>30</v>
      </c>
      <c r="C399" s="8" t="s">
        <v>30</v>
      </c>
      <c r="D399" s="8" t="s">
        <v>315</v>
      </c>
      <c r="E399" s="8" t="s">
        <v>14</v>
      </c>
      <c r="F399" s="8" t="s">
        <v>110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5">
        <v>0</v>
      </c>
      <c r="CH399" s="15">
        <v>0</v>
      </c>
      <c r="CI399" s="15">
        <v>0</v>
      </c>
      <c r="CJ399" s="15">
        <v>0</v>
      </c>
      <c r="CK399" s="15">
        <v>0</v>
      </c>
      <c r="CL399" s="15">
        <v>0</v>
      </c>
      <c r="CM399" s="15">
        <v>0</v>
      </c>
      <c r="CN399" s="15">
        <v>0</v>
      </c>
      <c r="CO399" s="15">
        <v>0</v>
      </c>
      <c r="CP399" s="15">
        <v>0</v>
      </c>
      <c r="CQ399" s="15">
        <v>0</v>
      </c>
      <c r="CR399" s="15">
        <v>0</v>
      </c>
      <c r="CS399" s="15">
        <v>0</v>
      </c>
      <c r="CT399" s="15">
        <v>0</v>
      </c>
      <c r="CU399" s="15">
        <v>0</v>
      </c>
      <c r="CV399" s="15">
        <v>0</v>
      </c>
      <c r="CW399" s="15">
        <v>0</v>
      </c>
      <c r="CX399" s="15">
        <v>0</v>
      </c>
      <c r="CY399" s="15">
        <v>0</v>
      </c>
      <c r="CZ399" s="15">
        <v>0</v>
      </c>
      <c r="DA399" s="15">
        <v>0</v>
      </c>
      <c r="DB399" s="15">
        <v>0</v>
      </c>
      <c r="DC399" s="15">
        <v>0</v>
      </c>
      <c r="DD399" s="15">
        <v>0</v>
      </c>
      <c r="DE399" s="15">
        <v>0</v>
      </c>
      <c r="DF399" s="15">
        <v>0</v>
      </c>
      <c r="DG399" s="15">
        <v>0</v>
      </c>
      <c r="DH399" s="15">
        <v>0</v>
      </c>
      <c r="DI399" s="15">
        <v>0</v>
      </c>
      <c r="DJ399" s="15">
        <v>0</v>
      </c>
      <c r="DK399" s="15">
        <v>0</v>
      </c>
      <c r="DL399" s="15">
        <v>0</v>
      </c>
      <c r="DM399" s="15">
        <v>0</v>
      </c>
      <c r="DN399" s="15">
        <v>0</v>
      </c>
      <c r="DO399" s="15">
        <v>0</v>
      </c>
      <c r="DP399" s="15">
        <v>0</v>
      </c>
      <c r="DQ399" s="15">
        <v>0</v>
      </c>
      <c r="DR399" s="15">
        <v>0</v>
      </c>
      <c r="DS399" s="15">
        <v>0</v>
      </c>
      <c r="DT399" s="15">
        <v>0</v>
      </c>
      <c r="DU399" s="15">
        <v>0</v>
      </c>
      <c r="DV399" s="15">
        <v>0</v>
      </c>
      <c r="DW399" s="15">
        <v>0</v>
      </c>
      <c r="DX399" s="15">
        <v>0</v>
      </c>
      <c r="DY399" s="15">
        <v>0</v>
      </c>
      <c r="DZ399" s="15">
        <v>0</v>
      </c>
      <c r="EA399" s="15">
        <v>0</v>
      </c>
      <c r="EB399" s="15">
        <v>0</v>
      </c>
      <c r="EC399" s="15">
        <v>0</v>
      </c>
      <c r="ED399" s="15">
        <v>0</v>
      </c>
      <c r="EE399" s="15">
        <v>0</v>
      </c>
      <c r="EF399" s="15">
        <v>0</v>
      </c>
    </row>
    <row r="400" spans="1:136" ht="15" customHeight="1" x14ac:dyDescent="0.35">
      <c r="A400" s="8" t="s">
        <v>12</v>
      </c>
      <c r="B400" s="8" t="s">
        <v>30</v>
      </c>
      <c r="C400" s="8" t="s">
        <v>30</v>
      </c>
      <c r="D400" s="8" t="s">
        <v>316</v>
      </c>
      <c r="E400" s="8" t="s">
        <v>14</v>
      </c>
      <c r="F400" s="8" t="s">
        <v>110</v>
      </c>
      <c r="G400" s="15">
        <v>6</v>
      </c>
      <c r="H400" s="15">
        <v>6</v>
      </c>
      <c r="I400" s="15">
        <v>6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6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5">
        <v>0</v>
      </c>
      <c r="AX400" s="15">
        <v>0</v>
      </c>
      <c r="AY400" s="15">
        <v>0</v>
      </c>
      <c r="AZ400" s="15">
        <v>0</v>
      </c>
      <c r="BA400" s="15">
        <v>0</v>
      </c>
      <c r="BB400" s="15">
        <v>0</v>
      </c>
      <c r="BC400" s="15">
        <v>0</v>
      </c>
      <c r="BD400" s="15">
        <v>0</v>
      </c>
      <c r="BE400" s="15">
        <v>0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0</v>
      </c>
      <c r="BP400" s="15">
        <v>0</v>
      </c>
      <c r="BQ400" s="15">
        <v>0</v>
      </c>
      <c r="BR400" s="15">
        <v>0</v>
      </c>
      <c r="BS400" s="15">
        <v>0</v>
      </c>
      <c r="BT400" s="15">
        <v>0</v>
      </c>
      <c r="BU400" s="15">
        <v>0</v>
      </c>
      <c r="BV400" s="15">
        <v>0</v>
      </c>
      <c r="BW400" s="15">
        <v>0</v>
      </c>
      <c r="BX400" s="15">
        <v>0</v>
      </c>
      <c r="BY400" s="15">
        <v>0</v>
      </c>
      <c r="BZ400" s="15">
        <v>0</v>
      </c>
      <c r="CA400" s="15">
        <v>0</v>
      </c>
      <c r="CB400" s="15">
        <v>0</v>
      </c>
      <c r="CC400" s="15">
        <v>0</v>
      </c>
      <c r="CD400" s="15">
        <v>0</v>
      </c>
      <c r="CE400" s="15">
        <v>0</v>
      </c>
      <c r="CF400" s="15">
        <v>0</v>
      </c>
      <c r="CG400" s="15">
        <v>0</v>
      </c>
      <c r="CH400" s="15">
        <v>0</v>
      </c>
      <c r="CI400" s="15">
        <v>0</v>
      </c>
      <c r="CJ400" s="15">
        <v>0</v>
      </c>
      <c r="CK400" s="15">
        <v>0</v>
      </c>
      <c r="CL400" s="15">
        <v>0</v>
      </c>
      <c r="CM400" s="15">
        <v>0</v>
      </c>
      <c r="CN400" s="15">
        <v>0</v>
      </c>
      <c r="CO400" s="15">
        <v>0</v>
      </c>
      <c r="CP400" s="15">
        <v>0</v>
      </c>
      <c r="CQ400" s="15">
        <v>0</v>
      </c>
      <c r="CR400" s="15">
        <v>0</v>
      </c>
      <c r="CS400" s="15">
        <v>0</v>
      </c>
      <c r="CT400" s="15">
        <v>0</v>
      </c>
      <c r="CU400" s="15">
        <v>0</v>
      </c>
      <c r="CV400" s="15">
        <v>0</v>
      </c>
      <c r="CW400" s="15">
        <v>0</v>
      </c>
      <c r="CX400" s="15">
        <v>0</v>
      </c>
      <c r="CY400" s="15">
        <v>0</v>
      </c>
      <c r="CZ400" s="15">
        <v>0</v>
      </c>
      <c r="DA400" s="15">
        <v>0</v>
      </c>
      <c r="DB400" s="15">
        <v>0</v>
      </c>
      <c r="DC400" s="15">
        <v>0</v>
      </c>
      <c r="DD400" s="15">
        <v>0</v>
      </c>
      <c r="DE400" s="15">
        <v>0</v>
      </c>
      <c r="DF400" s="15">
        <v>0</v>
      </c>
      <c r="DG400" s="15">
        <v>0</v>
      </c>
      <c r="DH400" s="15">
        <v>0</v>
      </c>
      <c r="DI400" s="15">
        <v>0</v>
      </c>
      <c r="DJ400" s="15">
        <v>0</v>
      </c>
      <c r="DK400" s="15">
        <v>0</v>
      </c>
      <c r="DL400" s="15">
        <v>0</v>
      </c>
      <c r="DM400" s="15">
        <v>0</v>
      </c>
      <c r="DN400" s="15">
        <v>0</v>
      </c>
      <c r="DO400" s="15">
        <v>0</v>
      </c>
      <c r="DP400" s="15">
        <v>0</v>
      </c>
      <c r="DQ400" s="15">
        <v>0</v>
      </c>
      <c r="DR400" s="15">
        <v>0</v>
      </c>
      <c r="DS400" s="15">
        <v>0</v>
      </c>
      <c r="DT400" s="15">
        <v>0</v>
      </c>
      <c r="DU400" s="15">
        <v>0</v>
      </c>
      <c r="DV400" s="15">
        <v>0</v>
      </c>
      <c r="DW400" s="15">
        <v>0</v>
      </c>
      <c r="DX400" s="15">
        <v>0</v>
      </c>
      <c r="DY400" s="15">
        <v>0</v>
      </c>
      <c r="DZ400" s="15">
        <v>0</v>
      </c>
      <c r="EA400" s="15">
        <v>0</v>
      </c>
      <c r="EB400" s="15">
        <v>0</v>
      </c>
      <c r="EC400" s="15">
        <v>0</v>
      </c>
      <c r="ED400" s="15">
        <v>0</v>
      </c>
      <c r="EE400" s="15">
        <v>0</v>
      </c>
      <c r="EF400" s="15">
        <v>0</v>
      </c>
    </row>
    <row r="401" spans="1:136" ht="15" customHeight="1" x14ac:dyDescent="0.35">
      <c r="A401" s="8" t="s">
        <v>12</v>
      </c>
      <c r="B401" s="8" t="s">
        <v>30</v>
      </c>
      <c r="C401" s="8" t="s">
        <v>30</v>
      </c>
      <c r="D401" s="8" t="s">
        <v>315</v>
      </c>
      <c r="E401" s="8" t="s">
        <v>14</v>
      </c>
      <c r="F401" s="8" t="s">
        <v>83</v>
      </c>
      <c r="G401" s="15">
        <v>0</v>
      </c>
      <c r="H401" s="15">
        <v>0</v>
      </c>
      <c r="I401" s="15">
        <v>2</v>
      </c>
      <c r="J401" s="15">
        <v>-2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2</v>
      </c>
      <c r="AN401" s="15">
        <v>0</v>
      </c>
      <c r="AO401" s="15">
        <v>0</v>
      </c>
      <c r="AP401" s="15">
        <v>0</v>
      </c>
      <c r="AQ401" s="15">
        <v>0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5">
        <v>0</v>
      </c>
      <c r="CH401" s="15">
        <v>0</v>
      </c>
      <c r="CI401" s="15">
        <v>0</v>
      </c>
      <c r="CJ401" s="15">
        <v>0</v>
      </c>
      <c r="CK401" s="15">
        <v>0</v>
      </c>
      <c r="CL401" s="15">
        <v>0</v>
      </c>
      <c r="CM401" s="15">
        <v>0</v>
      </c>
      <c r="CN401" s="15">
        <v>0</v>
      </c>
      <c r="CO401" s="15">
        <v>0</v>
      </c>
      <c r="CP401" s="15">
        <v>0</v>
      </c>
      <c r="CQ401" s="15">
        <v>0</v>
      </c>
      <c r="CR401" s="15">
        <v>0</v>
      </c>
      <c r="CS401" s="15">
        <v>0</v>
      </c>
      <c r="CT401" s="15">
        <v>0</v>
      </c>
      <c r="CU401" s="15">
        <v>0</v>
      </c>
      <c r="CV401" s="15">
        <v>0</v>
      </c>
      <c r="CW401" s="15">
        <v>0</v>
      </c>
      <c r="CX401" s="15">
        <v>0</v>
      </c>
      <c r="CY401" s="15">
        <v>0</v>
      </c>
      <c r="CZ401" s="15">
        <v>0</v>
      </c>
      <c r="DA401" s="15">
        <v>0</v>
      </c>
      <c r="DB401" s="15">
        <v>0</v>
      </c>
      <c r="DC401" s="15">
        <v>0</v>
      </c>
      <c r="DD401" s="15">
        <v>0</v>
      </c>
      <c r="DE401" s="15">
        <v>0</v>
      </c>
      <c r="DF401" s="15">
        <v>0</v>
      </c>
      <c r="DG401" s="15">
        <v>0</v>
      </c>
      <c r="DH401" s="15">
        <v>0</v>
      </c>
      <c r="DI401" s="15">
        <v>0</v>
      </c>
      <c r="DJ401" s="15">
        <v>0</v>
      </c>
      <c r="DK401" s="15">
        <v>0</v>
      </c>
      <c r="DL401" s="15">
        <v>0</v>
      </c>
      <c r="DM401" s="15">
        <v>0</v>
      </c>
      <c r="DN401" s="15">
        <v>0</v>
      </c>
      <c r="DO401" s="15">
        <v>0</v>
      </c>
      <c r="DP401" s="15">
        <v>0</v>
      </c>
      <c r="DQ401" s="15">
        <v>0</v>
      </c>
      <c r="DR401" s="15">
        <v>0</v>
      </c>
      <c r="DS401" s="15">
        <v>0</v>
      </c>
      <c r="DT401" s="15">
        <v>0</v>
      </c>
      <c r="DU401" s="15">
        <v>0</v>
      </c>
      <c r="DV401" s="15">
        <v>0</v>
      </c>
      <c r="DW401" s="15">
        <v>0</v>
      </c>
      <c r="DX401" s="15">
        <v>0</v>
      </c>
      <c r="DY401" s="15">
        <v>0</v>
      </c>
      <c r="DZ401" s="15">
        <v>0</v>
      </c>
      <c r="EA401" s="15">
        <v>0</v>
      </c>
      <c r="EB401" s="15">
        <v>0</v>
      </c>
      <c r="EC401" s="15">
        <v>0</v>
      </c>
      <c r="ED401" s="15">
        <v>0</v>
      </c>
      <c r="EE401" s="15">
        <v>0</v>
      </c>
      <c r="EF401" s="15">
        <v>0</v>
      </c>
    </row>
    <row r="402" spans="1:136" ht="15" customHeight="1" x14ac:dyDescent="0.35">
      <c r="A402" s="8" t="s">
        <v>12</v>
      </c>
      <c r="B402" s="8" t="s">
        <v>30</v>
      </c>
      <c r="C402" s="8" t="s">
        <v>30</v>
      </c>
      <c r="D402" s="8" t="s">
        <v>315</v>
      </c>
      <c r="E402" s="8" t="s">
        <v>14</v>
      </c>
      <c r="F402" s="8" t="s">
        <v>85</v>
      </c>
      <c r="G402" s="15">
        <v>0</v>
      </c>
      <c r="H402" s="15">
        <v>0</v>
      </c>
      <c r="I402" s="15">
        <v>381</v>
      </c>
      <c r="J402" s="15">
        <v>-381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10</v>
      </c>
      <c r="AK402" s="15">
        <v>14</v>
      </c>
      <c r="AL402" s="15">
        <v>14</v>
      </c>
      <c r="AM402" s="15">
        <v>15</v>
      </c>
      <c r="AN402" s="15">
        <v>9</v>
      </c>
      <c r="AO402" s="15">
        <v>0</v>
      </c>
      <c r="AP402" s="15">
        <v>23</v>
      </c>
      <c r="AQ402" s="15">
        <v>25</v>
      </c>
      <c r="AR402" s="15">
        <v>37</v>
      </c>
      <c r="AS402" s="15">
        <v>5</v>
      </c>
      <c r="AT402" s="15">
        <v>0</v>
      </c>
      <c r="AU402" s="15">
        <v>0</v>
      </c>
      <c r="AV402" s="15">
        <v>0</v>
      </c>
      <c r="AW402" s="15">
        <v>0</v>
      </c>
      <c r="AX402" s="15">
        <v>0</v>
      </c>
      <c r="AY402" s="15">
        <v>0</v>
      </c>
      <c r="AZ402" s="15">
        <v>0</v>
      </c>
      <c r="BA402" s="15">
        <v>0</v>
      </c>
      <c r="BB402" s="15">
        <v>0</v>
      </c>
      <c r="BC402" s="15">
        <v>0</v>
      </c>
      <c r="BD402" s="15">
        <v>0</v>
      </c>
      <c r="BE402" s="15">
        <v>0</v>
      </c>
      <c r="BF402" s="15">
        <v>0</v>
      </c>
      <c r="BG402" s="15">
        <v>0</v>
      </c>
      <c r="BH402" s="15">
        <v>0</v>
      </c>
      <c r="BI402" s="15">
        <v>0</v>
      </c>
      <c r="BJ402" s="15">
        <v>0</v>
      </c>
      <c r="BK402" s="15">
        <v>0</v>
      </c>
      <c r="BL402" s="15">
        <v>0</v>
      </c>
      <c r="BM402" s="15">
        <v>0</v>
      </c>
      <c r="BN402" s="15">
        <v>0</v>
      </c>
      <c r="BO402" s="15">
        <v>0</v>
      </c>
      <c r="BP402" s="15">
        <v>0</v>
      </c>
      <c r="BQ402" s="15">
        <v>0</v>
      </c>
      <c r="BR402" s="15">
        <v>0</v>
      </c>
      <c r="BS402" s="15">
        <v>0</v>
      </c>
      <c r="BT402" s="15">
        <v>0</v>
      </c>
      <c r="BU402" s="15">
        <v>0</v>
      </c>
      <c r="BV402" s="15">
        <v>0</v>
      </c>
      <c r="BW402" s="15">
        <v>0</v>
      </c>
      <c r="BX402" s="15">
        <v>0</v>
      </c>
      <c r="BY402" s="15">
        <v>0</v>
      </c>
      <c r="BZ402" s="15">
        <v>0</v>
      </c>
      <c r="CA402" s="15">
        <v>0</v>
      </c>
      <c r="CB402" s="15">
        <v>0</v>
      </c>
      <c r="CC402" s="15">
        <v>0</v>
      </c>
      <c r="CD402" s="15">
        <v>0</v>
      </c>
      <c r="CE402" s="15">
        <v>0</v>
      </c>
      <c r="CF402" s="15">
        <v>0</v>
      </c>
      <c r="CG402" s="15">
        <v>0</v>
      </c>
      <c r="CH402" s="15">
        <v>0</v>
      </c>
      <c r="CI402" s="15">
        <v>0</v>
      </c>
      <c r="CJ402" s="15">
        <v>0</v>
      </c>
      <c r="CK402" s="15">
        <v>0</v>
      </c>
      <c r="CL402" s="15">
        <v>0</v>
      </c>
      <c r="CM402" s="15">
        <v>0</v>
      </c>
      <c r="CN402" s="15">
        <v>0</v>
      </c>
      <c r="CO402" s="15">
        <v>0</v>
      </c>
      <c r="CP402" s="15">
        <v>0</v>
      </c>
      <c r="CQ402" s="15">
        <v>0</v>
      </c>
      <c r="CR402" s="15">
        <v>0</v>
      </c>
      <c r="CS402" s="15">
        <v>5</v>
      </c>
      <c r="CT402" s="15">
        <v>2</v>
      </c>
      <c r="CU402" s="15">
        <v>14</v>
      </c>
      <c r="CV402" s="15">
        <v>2</v>
      </c>
      <c r="CW402" s="15">
        <v>2</v>
      </c>
      <c r="CX402" s="15">
        <v>9</v>
      </c>
      <c r="CY402" s="15">
        <v>40</v>
      </c>
      <c r="CZ402" s="15">
        <v>14</v>
      </c>
      <c r="DA402" s="15">
        <v>2</v>
      </c>
      <c r="DB402" s="15">
        <v>2</v>
      </c>
      <c r="DC402" s="15">
        <v>2</v>
      </c>
      <c r="DD402" s="15">
        <v>2</v>
      </c>
      <c r="DE402" s="15">
        <v>2</v>
      </c>
      <c r="DF402" s="15">
        <v>2</v>
      </c>
      <c r="DG402" s="15">
        <v>2</v>
      </c>
      <c r="DH402" s="15">
        <v>14</v>
      </c>
      <c r="DI402" s="15">
        <v>2</v>
      </c>
      <c r="DJ402" s="15">
        <v>0</v>
      </c>
      <c r="DK402" s="15">
        <v>9</v>
      </c>
      <c r="DL402" s="15">
        <v>40</v>
      </c>
      <c r="DM402" s="15">
        <v>12</v>
      </c>
      <c r="DN402" s="15">
        <v>4</v>
      </c>
      <c r="DO402" s="15">
        <v>25</v>
      </c>
      <c r="DP402" s="15">
        <v>14</v>
      </c>
      <c r="DQ402" s="15">
        <v>10</v>
      </c>
      <c r="DR402" s="15">
        <v>2</v>
      </c>
      <c r="DS402" s="15">
        <v>0</v>
      </c>
      <c r="DT402" s="15">
        <v>0</v>
      </c>
      <c r="DU402" s="15">
        <v>0</v>
      </c>
      <c r="DV402" s="15">
        <v>0</v>
      </c>
      <c r="DW402" s="15">
        <v>0</v>
      </c>
      <c r="DX402" s="15">
        <v>0</v>
      </c>
      <c r="DY402" s="15">
        <v>0</v>
      </c>
      <c r="DZ402" s="15">
        <v>0</v>
      </c>
      <c r="EA402" s="15">
        <v>0</v>
      </c>
      <c r="EB402" s="15">
        <v>0</v>
      </c>
      <c r="EC402" s="15">
        <v>0</v>
      </c>
      <c r="ED402" s="15">
        <v>0</v>
      </c>
      <c r="EE402" s="15">
        <v>0</v>
      </c>
      <c r="EF402" s="15">
        <v>0</v>
      </c>
    </row>
    <row r="403" spans="1:136" ht="15" customHeight="1" x14ac:dyDescent="0.35">
      <c r="A403" s="8" t="s">
        <v>12</v>
      </c>
      <c r="B403" s="8" t="s">
        <v>30</v>
      </c>
      <c r="C403" s="8" t="s">
        <v>30</v>
      </c>
      <c r="D403" s="8" t="s">
        <v>316</v>
      </c>
      <c r="E403" s="8" t="s">
        <v>14</v>
      </c>
      <c r="F403" s="8" t="s">
        <v>85</v>
      </c>
      <c r="G403" s="15">
        <v>150.5</v>
      </c>
      <c r="H403" s="15">
        <v>518.5</v>
      </c>
      <c r="I403" s="15">
        <v>15.5</v>
      </c>
      <c r="J403" s="15">
        <v>503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3</v>
      </c>
      <c r="AF403" s="15">
        <v>2.5</v>
      </c>
      <c r="AG403" s="15">
        <v>5</v>
      </c>
      <c r="AH403" s="15">
        <v>3</v>
      </c>
      <c r="AI403" s="15">
        <v>2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5">
        <v>0</v>
      </c>
      <c r="CH403" s="15">
        <v>0</v>
      </c>
      <c r="CI403" s="15">
        <v>0</v>
      </c>
      <c r="CJ403" s="15">
        <v>0</v>
      </c>
      <c r="CK403" s="15">
        <v>0</v>
      </c>
      <c r="CL403" s="15">
        <v>0</v>
      </c>
      <c r="CM403" s="15">
        <v>0</v>
      </c>
      <c r="CN403" s="15">
        <v>0</v>
      </c>
      <c r="CO403" s="15">
        <v>0</v>
      </c>
      <c r="CP403" s="15">
        <v>0</v>
      </c>
      <c r="CQ403" s="15">
        <v>0</v>
      </c>
      <c r="CR403" s="15">
        <v>0</v>
      </c>
      <c r="CS403" s="15">
        <v>0</v>
      </c>
      <c r="CT403" s="15">
        <v>0</v>
      </c>
      <c r="CU403" s="15">
        <v>0</v>
      </c>
      <c r="CV403" s="15">
        <v>0</v>
      </c>
      <c r="CW403" s="15">
        <v>0</v>
      </c>
      <c r="CX403" s="15">
        <v>0</v>
      </c>
      <c r="CY403" s="15">
        <v>0</v>
      </c>
      <c r="CZ403" s="15">
        <v>0</v>
      </c>
      <c r="DA403" s="15">
        <v>0</v>
      </c>
      <c r="DB403" s="15">
        <v>0</v>
      </c>
      <c r="DC403" s="15">
        <v>0</v>
      </c>
      <c r="DD403" s="15">
        <v>0</v>
      </c>
      <c r="DE403" s="15">
        <v>0</v>
      </c>
      <c r="DF403" s="15">
        <v>0</v>
      </c>
      <c r="DG403" s="15">
        <v>0</v>
      </c>
      <c r="DH403" s="15">
        <v>0</v>
      </c>
      <c r="DI403" s="15">
        <v>0</v>
      </c>
      <c r="DJ403" s="15">
        <v>0</v>
      </c>
      <c r="DK403" s="15">
        <v>0</v>
      </c>
      <c r="DL403" s="15">
        <v>0</v>
      </c>
      <c r="DM403" s="15">
        <v>0</v>
      </c>
      <c r="DN403" s="15">
        <v>0</v>
      </c>
      <c r="DO403" s="15">
        <v>0</v>
      </c>
      <c r="DP403" s="15">
        <v>0</v>
      </c>
      <c r="DQ403" s="15">
        <v>0</v>
      </c>
      <c r="DR403" s="15">
        <v>0</v>
      </c>
      <c r="DS403" s="15">
        <v>0</v>
      </c>
      <c r="DT403" s="15">
        <v>0</v>
      </c>
      <c r="DU403" s="15">
        <v>0</v>
      </c>
      <c r="DV403" s="15">
        <v>0</v>
      </c>
      <c r="DW403" s="15">
        <v>0</v>
      </c>
      <c r="DX403" s="15">
        <v>0</v>
      </c>
      <c r="DY403" s="15">
        <v>0</v>
      </c>
      <c r="DZ403" s="15">
        <v>0</v>
      </c>
      <c r="EA403" s="15">
        <v>0</v>
      </c>
      <c r="EB403" s="15">
        <v>0</v>
      </c>
      <c r="EC403" s="15">
        <v>0</v>
      </c>
      <c r="ED403" s="15">
        <v>0</v>
      </c>
      <c r="EE403" s="15">
        <v>0</v>
      </c>
      <c r="EF403" s="15">
        <v>0</v>
      </c>
    </row>
    <row r="404" spans="1:136" ht="15" customHeight="1" x14ac:dyDescent="0.35">
      <c r="A404" s="8" t="s">
        <v>12</v>
      </c>
      <c r="B404" s="8" t="s">
        <v>30</v>
      </c>
      <c r="C404" s="8" t="s">
        <v>30</v>
      </c>
      <c r="D404" s="8" t="s">
        <v>315</v>
      </c>
      <c r="E404" s="8" t="s">
        <v>14</v>
      </c>
      <c r="F404" s="8" t="s">
        <v>99</v>
      </c>
      <c r="G404" s="15">
        <v>0</v>
      </c>
      <c r="H404" s="15">
        <v>0</v>
      </c>
      <c r="I404" s="15">
        <v>73.5</v>
      </c>
      <c r="J404" s="15">
        <v>-73.5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8</v>
      </c>
      <c r="AK404" s="15">
        <v>6</v>
      </c>
      <c r="AL404" s="15">
        <v>13</v>
      </c>
      <c r="AM404" s="15">
        <v>5</v>
      </c>
      <c r="AN404" s="15">
        <v>0</v>
      </c>
      <c r="AO404" s="15">
        <v>0</v>
      </c>
      <c r="AP404" s="15">
        <v>0</v>
      </c>
      <c r="AQ404" s="15">
        <v>0</v>
      </c>
      <c r="AR404" s="15">
        <v>2.5</v>
      </c>
      <c r="AS404" s="15">
        <v>3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5">
        <v>0</v>
      </c>
      <c r="AZ404" s="15">
        <v>0</v>
      </c>
      <c r="BA404" s="15">
        <v>0</v>
      </c>
      <c r="BB404" s="15">
        <v>0</v>
      </c>
      <c r="BC404" s="15">
        <v>0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>
        <v>0</v>
      </c>
      <c r="BJ404" s="15">
        <v>0</v>
      </c>
      <c r="BK404" s="15">
        <v>0</v>
      </c>
      <c r="BL404" s="15">
        <v>0</v>
      </c>
      <c r="BM404" s="15">
        <v>0</v>
      </c>
      <c r="BN404" s="15">
        <v>0</v>
      </c>
      <c r="BO404" s="15">
        <v>0</v>
      </c>
      <c r="BP404" s="15">
        <v>0</v>
      </c>
      <c r="BQ404" s="15">
        <v>0</v>
      </c>
      <c r="BR404" s="15">
        <v>0</v>
      </c>
      <c r="BS404" s="15">
        <v>0</v>
      </c>
      <c r="BT404" s="15">
        <v>0</v>
      </c>
      <c r="BU404" s="15">
        <v>0</v>
      </c>
      <c r="BV404" s="15">
        <v>0</v>
      </c>
      <c r="BW404" s="15">
        <v>0</v>
      </c>
      <c r="BX404" s="15">
        <v>0</v>
      </c>
      <c r="BY404" s="15">
        <v>0</v>
      </c>
      <c r="BZ404" s="15">
        <v>0</v>
      </c>
      <c r="CA404" s="15">
        <v>0</v>
      </c>
      <c r="CB404" s="15">
        <v>0</v>
      </c>
      <c r="CC404" s="15">
        <v>0</v>
      </c>
      <c r="CD404" s="15">
        <v>0</v>
      </c>
      <c r="CE404" s="15">
        <v>0</v>
      </c>
      <c r="CF404" s="15">
        <v>0</v>
      </c>
      <c r="CG404" s="15">
        <v>0</v>
      </c>
      <c r="CH404" s="15">
        <v>0</v>
      </c>
      <c r="CI404" s="15">
        <v>0</v>
      </c>
      <c r="CJ404" s="15">
        <v>0</v>
      </c>
      <c r="CK404" s="15">
        <v>0</v>
      </c>
      <c r="CL404" s="15">
        <v>0</v>
      </c>
      <c r="CM404" s="15">
        <v>0</v>
      </c>
      <c r="CN404" s="15">
        <v>0</v>
      </c>
      <c r="CO404" s="15">
        <v>0</v>
      </c>
      <c r="CP404" s="15">
        <v>0</v>
      </c>
      <c r="CQ404" s="15">
        <v>0</v>
      </c>
      <c r="CR404" s="15">
        <v>0</v>
      </c>
      <c r="CS404" s="15">
        <v>10</v>
      </c>
      <c r="CT404" s="15">
        <v>12</v>
      </c>
      <c r="CU404" s="15">
        <v>10</v>
      </c>
      <c r="CV404" s="15">
        <v>7</v>
      </c>
      <c r="CW404" s="15">
        <v>0</v>
      </c>
      <c r="CX404" s="15">
        <v>0</v>
      </c>
      <c r="CY404" s="15">
        <v>0</v>
      </c>
      <c r="CZ404" s="15">
        <v>0</v>
      </c>
      <c r="DA404" s="15">
        <v>0</v>
      </c>
      <c r="DB404" s="15">
        <v>0</v>
      </c>
      <c r="DC404" s="15">
        <v>0</v>
      </c>
      <c r="DD404" s="15">
        <v>0</v>
      </c>
      <c r="DE404" s="15">
        <v>0</v>
      </c>
      <c r="DF404" s="15">
        <v>0</v>
      </c>
      <c r="DG404" s="15">
        <v>0</v>
      </c>
      <c r="DH404" s="15">
        <v>0</v>
      </c>
      <c r="DI404" s="15">
        <v>0</v>
      </c>
      <c r="DJ404" s="15">
        <v>0</v>
      </c>
      <c r="DK404" s="15">
        <v>0</v>
      </c>
      <c r="DL404" s="15">
        <v>0</v>
      </c>
      <c r="DM404" s="15">
        <v>0</v>
      </c>
      <c r="DN404" s="15">
        <v>0</v>
      </c>
      <c r="DO404" s="15">
        <v>0</v>
      </c>
      <c r="DP404" s="15">
        <v>0</v>
      </c>
      <c r="DQ404" s="15">
        <v>0</v>
      </c>
      <c r="DR404" s="15">
        <v>0</v>
      </c>
      <c r="DS404" s="15">
        <v>0</v>
      </c>
      <c r="DT404" s="15">
        <v>0</v>
      </c>
      <c r="DU404" s="15">
        <v>0</v>
      </c>
      <c r="DV404" s="15">
        <v>0</v>
      </c>
      <c r="DW404" s="15">
        <v>0</v>
      </c>
      <c r="DX404" s="15">
        <v>0</v>
      </c>
      <c r="DY404" s="15">
        <v>0</v>
      </c>
      <c r="DZ404" s="15">
        <v>0</v>
      </c>
      <c r="EA404" s="15">
        <v>0</v>
      </c>
      <c r="EB404" s="15">
        <v>0</v>
      </c>
      <c r="EC404" s="15">
        <v>0</v>
      </c>
      <c r="ED404" s="15">
        <v>0</v>
      </c>
      <c r="EE404" s="15">
        <v>0</v>
      </c>
      <c r="EF404" s="15">
        <v>0</v>
      </c>
    </row>
    <row r="405" spans="1:136" ht="15" customHeight="1" x14ac:dyDescent="0.35">
      <c r="A405" s="8" t="s">
        <v>12</v>
      </c>
      <c r="B405" s="8" t="s">
        <v>30</v>
      </c>
      <c r="C405" s="8" t="s">
        <v>30</v>
      </c>
      <c r="D405" s="8" t="s">
        <v>316</v>
      </c>
      <c r="E405" s="8" t="s">
        <v>14</v>
      </c>
      <c r="F405" s="8" t="s">
        <v>99</v>
      </c>
      <c r="G405" s="15">
        <v>162</v>
      </c>
      <c r="H405" s="15">
        <v>200</v>
      </c>
      <c r="I405" s="15">
        <v>59</v>
      </c>
      <c r="J405" s="15">
        <v>141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16</v>
      </c>
      <c r="AI405" s="15">
        <v>31</v>
      </c>
      <c r="AJ405" s="15">
        <v>12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5">
        <v>0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5">
        <v>0</v>
      </c>
      <c r="CH405" s="15">
        <v>0</v>
      </c>
      <c r="CI405" s="15">
        <v>0</v>
      </c>
      <c r="CJ405" s="15">
        <v>0</v>
      </c>
      <c r="CK405" s="15">
        <v>0</v>
      </c>
      <c r="CL405" s="15">
        <v>0</v>
      </c>
      <c r="CM405" s="15">
        <v>0</v>
      </c>
      <c r="CN405" s="15">
        <v>0</v>
      </c>
      <c r="CO405" s="15">
        <v>0</v>
      </c>
      <c r="CP405" s="15">
        <v>0</v>
      </c>
      <c r="CQ405" s="15">
        <v>0</v>
      </c>
      <c r="CR405" s="15">
        <v>0</v>
      </c>
      <c r="CS405" s="15">
        <v>0</v>
      </c>
      <c r="CT405" s="15">
        <v>0</v>
      </c>
      <c r="CU405" s="15">
        <v>0</v>
      </c>
      <c r="CV405" s="15">
        <v>0</v>
      </c>
      <c r="CW405" s="15">
        <v>0</v>
      </c>
      <c r="CX405" s="15">
        <v>0</v>
      </c>
      <c r="CY405" s="15">
        <v>0</v>
      </c>
      <c r="CZ405" s="15">
        <v>0</v>
      </c>
      <c r="DA405" s="15">
        <v>0</v>
      </c>
      <c r="DB405" s="15">
        <v>0</v>
      </c>
      <c r="DC405" s="15">
        <v>0</v>
      </c>
      <c r="DD405" s="15">
        <v>0</v>
      </c>
      <c r="DE405" s="15">
        <v>0</v>
      </c>
      <c r="DF405" s="15">
        <v>0</v>
      </c>
      <c r="DG405" s="15">
        <v>0</v>
      </c>
      <c r="DH405" s="15">
        <v>0</v>
      </c>
      <c r="DI405" s="15">
        <v>0</v>
      </c>
      <c r="DJ405" s="15">
        <v>0</v>
      </c>
      <c r="DK405" s="15">
        <v>0</v>
      </c>
      <c r="DL405" s="15">
        <v>0</v>
      </c>
      <c r="DM405" s="15">
        <v>0</v>
      </c>
      <c r="DN405" s="15">
        <v>0</v>
      </c>
      <c r="DO405" s="15">
        <v>0</v>
      </c>
      <c r="DP405" s="15">
        <v>0</v>
      </c>
      <c r="DQ405" s="15">
        <v>0</v>
      </c>
      <c r="DR405" s="15">
        <v>0</v>
      </c>
      <c r="DS405" s="15">
        <v>0</v>
      </c>
      <c r="DT405" s="15">
        <v>0</v>
      </c>
      <c r="DU405" s="15">
        <v>0</v>
      </c>
      <c r="DV405" s="15">
        <v>0</v>
      </c>
      <c r="DW405" s="15">
        <v>0</v>
      </c>
      <c r="DX405" s="15">
        <v>0</v>
      </c>
      <c r="DY405" s="15">
        <v>0</v>
      </c>
      <c r="DZ405" s="15">
        <v>0</v>
      </c>
      <c r="EA405" s="15">
        <v>0</v>
      </c>
      <c r="EB405" s="15">
        <v>0</v>
      </c>
      <c r="EC405" s="15">
        <v>0</v>
      </c>
      <c r="ED405" s="15">
        <v>0</v>
      </c>
      <c r="EE405" s="15">
        <v>0</v>
      </c>
      <c r="EF405" s="15">
        <v>0</v>
      </c>
    </row>
    <row r="406" spans="1:136" ht="15" customHeight="1" x14ac:dyDescent="0.35">
      <c r="A406" s="8" t="s">
        <v>12</v>
      </c>
      <c r="B406" s="8" t="s">
        <v>30</v>
      </c>
      <c r="C406" s="8" t="s">
        <v>30</v>
      </c>
      <c r="D406" s="8" t="s">
        <v>315</v>
      </c>
      <c r="E406" s="8" t="s">
        <v>14</v>
      </c>
      <c r="F406" s="8" t="s">
        <v>100</v>
      </c>
      <c r="G406" s="15">
        <v>0</v>
      </c>
      <c r="H406" s="15">
        <v>0</v>
      </c>
      <c r="I406" s="15">
        <v>303</v>
      </c>
      <c r="J406" s="15">
        <v>-303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4</v>
      </c>
      <c r="AM406" s="15">
        <v>13</v>
      </c>
      <c r="AN406" s="15">
        <v>4</v>
      </c>
      <c r="AO406" s="15">
        <v>40</v>
      </c>
      <c r="AP406" s="15">
        <v>10</v>
      </c>
      <c r="AQ406" s="15">
        <v>0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5">
        <v>0</v>
      </c>
      <c r="AX406" s="15">
        <v>0</v>
      </c>
      <c r="AY406" s="15">
        <v>0</v>
      </c>
      <c r="AZ406" s="15">
        <v>0</v>
      </c>
      <c r="BA406" s="15">
        <v>0</v>
      </c>
      <c r="BB406" s="15">
        <v>0</v>
      </c>
      <c r="BC406" s="15">
        <v>0</v>
      </c>
      <c r="BD406" s="15">
        <v>0</v>
      </c>
      <c r="BE406" s="15">
        <v>0</v>
      </c>
      <c r="BF406" s="15">
        <v>0</v>
      </c>
      <c r="BG406" s="15">
        <v>0</v>
      </c>
      <c r="BH406" s="15">
        <v>0</v>
      </c>
      <c r="BI406" s="15">
        <v>0</v>
      </c>
      <c r="BJ406" s="15">
        <v>0</v>
      </c>
      <c r="BK406" s="15">
        <v>0</v>
      </c>
      <c r="BL406" s="15">
        <v>0</v>
      </c>
      <c r="BM406" s="15">
        <v>0</v>
      </c>
      <c r="BN406" s="15">
        <v>0</v>
      </c>
      <c r="BO406" s="15">
        <v>0</v>
      </c>
      <c r="BP406" s="15">
        <v>0</v>
      </c>
      <c r="BQ406" s="15">
        <v>0</v>
      </c>
      <c r="BR406" s="15">
        <v>0</v>
      </c>
      <c r="BS406" s="15">
        <v>0</v>
      </c>
      <c r="BT406" s="15">
        <v>0</v>
      </c>
      <c r="BU406" s="15">
        <v>0</v>
      </c>
      <c r="BV406" s="15">
        <v>0</v>
      </c>
      <c r="BW406" s="15">
        <v>0</v>
      </c>
      <c r="BX406" s="15">
        <v>0</v>
      </c>
      <c r="BY406" s="15">
        <v>0</v>
      </c>
      <c r="BZ406" s="15">
        <v>0</v>
      </c>
      <c r="CA406" s="15">
        <v>0</v>
      </c>
      <c r="CB406" s="15">
        <v>0</v>
      </c>
      <c r="CC406" s="15">
        <v>0</v>
      </c>
      <c r="CD406" s="15">
        <v>0</v>
      </c>
      <c r="CE406" s="15">
        <v>0</v>
      </c>
      <c r="CF406" s="15">
        <v>0</v>
      </c>
      <c r="CG406" s="15">
        <v>0</v>
      </c>
      <c r="CH406" s="15">
        <v>0</v>
      </c>
      <c r="CI406" s="15">
        <v>0</v>
      </c>
      <c r="CJ406" s="15">
        <v>0</v>
      </c>
      <c r="CK406" s="15">
        <v>0</v>
      </c>
      <c r="CL406" s="15">
        <v>0</v>
      </c>
      <c r="CM406" s="15">
        <v>0</v>
      </c>
      <c r="CN406" s="15">
        <v>0</v>
      </c>
      <c r="CO406" s="15">
        <v>0</v>
      </c>
      <c r="CP406" s="15">
        <v>0</v>
      </c>
      <c r="CQ406" s="15">
        <v>0</v>
      </c>
      <c r="CR406" s="15">
        <v>0</v>
      </c>
      <c r="CS406" s="15">
        <v>0</v>
      </c>
      <c r="CT406" s="15">
        <v>5</v>
      </c>
      <c r="CU406" s="15">
        <v>10</v>
      </c>
      <c r="CV406" s="15">
        <v>10</v>
      </c>
      <c r="CW406" s="15">
        <v>15</v>
      </c>
      <c r="CX406" s="15">
        <v>15</v>
      </c>
      <c r="CY406" s="15">
        <v>15</v>
      </c>
      <c r="CZ406" s="15">
        <v>15</v>
      </c>
      <c r="DA406" s="15">
        <v>15</v>
      </c>
      <c r="DB406" s="15">
        <v>3</v>
      </c>
      <c r="DC406" s="15">
        <v>1</v>
      </c>
      <c r="DD406" s="15">
        <v>0</v>
      </c>
      <c r="DE406" s="15">
        <v>0</v>
      </c>
      <c r="DF406" s="15">
        <v>0</v>
      </c>
      <c r="DG406" s="15">
        <v>0</v>
      </c>
      <c r="DH406" s="15">
        <v>3</v>
      </c>
      <c r="DI406" s="15">
        <v>0</v>
      </c>
      <c r="DJ406" s="15">
        <v>0</v>
      </c>
      <c r="DK406" s="15">
        <v>0</v>
      </c>
      <c r="DL406" s="15">
        <v>0</v>
      </c>
      <c r="DM406" s="15">
        <v>0</v>
      </c>
      <c r="DN406" s="15">
        <v>10</v>
      </c>
      <c r="DO406" s="15">
        <v>25</v>
      </c>
      <c r="DP406" s="15">
        <v>30</v>
      </c>
      <c r="DQ406" s="15">
        <v>30</v>
      </c>
      <c r="DR406" s="15">
        <v>30</v>
      </c>
      <c r="DS406" s="15">
        <v>0</v>
      </c>
      <c r="DT406" s="15">
        <v>0</v>
      </c>
      <c r="DU406" s="15">
        <v>0</v>
      </c>
      <c r="DV406" s="15">
        <v>0</v>
      </c>
      <c r="DW406" s="15">
        <v>0</v>
      </c>
      <c r="DX406" s="15">
        <v>0</v>
      </c>
      <c r="DY406" s="15">
        <v>0</v>
      </c>
      <c r="DZ406" s="15">
        <v>0</v>
      </c>
      <c r="EA406" s="15">
        <v>0</v>
      </c>
      <c r="EB406" s="15">
        <v>0</v>
      </c>
      <c r="EC406" s="15">
        <v>0</v>
      </c>
      <c r="ED406" s="15">
        <v>0</v>
      </c>
      <c r="EE406" s="15">
        <v>0</v>
      </c>
      <c r="EF406" s="15">
        <v>0</v>
      </c>
    </row>
    <row r="407" spans="1:136" ht="15" customHeight="1" x14ac:dyDescent="0.35">
      <c r="A407" s="8" t="s">
        <v>12</v>
      </c>
      <c r="B407" s="8" t="s">
        <v>30</v>
      </c>
      <c r="C407" s="8" t="s">
        <v>30</v>
      </c>
      <c r="D407" s="8" t="s">
        <v>316</v>
      </c>
      <c r="E407" s="8" t="s">
        <v>14</v>
      </c>
      <c r="F407" s="8" t="s">
        <v>100</v>
      </c>
      <c r="G407" s="15">
        <v>0</v>
      </c>
      <c r="H407" s="15">
        <v>0</v>
      </c>
      <c r="I407" s="15">
        <v>39</v>
      </c>
      <c r="J407" s="15">
        <v>-39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39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5">
        <v>0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5">
        <v>0</v>
      </c>
      <c r="CH407" s="15">
        <v>0</v>
      </c>
      <c r="CI407" s="15">
        <v>0</v>
      </c>
      <c r="CJ407" s="15">
        <v>0</v>
      </c>
      <c r="CK407" s="15">
        <v>0</v>
      </c>
      <c r="CL407" s="15">
        <v>0</v>
      </c>
      <c r="CM407" s="15">
        <v>0</v>
      </c>
      <c r="CN407" s="15">
        <v>0</v>
      </c>
      <c r="CO407" s="15">
        <v>0</v>
      </c>
      <c r="CP407" s="15">
        <v>0</v>
      </c>
      <c r="CQ407" s="15">
        <v>0</v>
      </c>
      <c r="CR407" s="15">
        <v>0</v>
      </c>
      <c r="CS407" s="15">
        <v>0</v>
      </c>
      <c r="CT407" s="15">
        <v>0</v>
      </c>
      <c r="CU407" s="15">
        <v>0</v>
      </c>
      <c r="CV407" s="15">
        <v>0</v>
      </c>
      <c r="CW407" s="15">
        <v>0</v>
      </c>
      <c r="CX407" s="15">
        <v>0</v>
      </c>
      <c r="CY407" s="15">
        <v>0</v>
      </c>
      <c r="CZ407" s="15">
        <v>0</v>
      </c>
      <c r="DA407" s="15">
        <v>0</v>
      </c>
      <c r="DB407" s="15">
        <v>0</v>
      </c>
      <c r="DC407" s="15">
        <v>0</v>
      </c>
      <c r="DD407" s="15">
        <v>0</v>
      </c>
      <c r="DE407" s="15">
        <v>0</v>
      </c>
      <c r="DF407" s="15">
        <v>0</v>
      </c>
      <c r="DG407" s="15">
        <v>0</v>
      </c>
      <c r="DH407" s="15">
        <v>0</v>
      </c>
      <c r="DI407" s="15">
        <v>0</v>
      </c>
      <c r="DJ407" s="15">
        <v>0</v>
      </c>
      <c r="DK407" s="15">
        <v>0</v>
      </c>
      <c r="DL407" s="15">
        <v>0</v>
      </c>
      <c r="DM407" s="15">
        <v>0</v>
      </c>
      <c r="DN407" s="15">
        <v>0</v>
      </c>
      <c r="DO407" s="15">
        <v>0</v>
      </c>
      <c r="DP407" s="15">
        <v>0</v>
      </c>
      <c r="DQ407" s="15">
        <v>0</v>
      </c>
      <c r="DR407" s="15">
        <v>0</v>
      </c>
      <c r="DS407" s="15">
        <v>0</v>
      </c>
      <c r="DT407" s="15">
        <v>0</v>
      </c>
      <c r="DU407" s="15">
        <v>0</v>
      </c>
      <c r="DV407" s="15">
        <v>0</v>
      </c>
      <c r="DW407" s="15">
        <v>0</v>
      </c>
      <c r="DX407" s="15">
        <v>0</v>
      </c>
      <c r="DY407" s="15">
        <v>0</v>
      </c>
      <c r="DZ407" s="15">
        <v>0</v>
      </c>
      <c r="EA407" s="15">
        <v>0</v>
      </c>
      <c r="EB407" s="15">
        <v>0</v>
      </c>
      <c r="EC407" s="15">
        <v>0</v>
      </c>
      <c r="ED407" s="15">
        <v>0</v>
      </c>
      <c r="EE407" s="15">
        <v>0</v>
      </c>
      <c r="EF407" s="15">
        <v>0</v>
      </c>
    </row>
    <row r="408" spans="1:136" ht="15" customHeight="1" x14ac:dyDescent="0.35">
      <c r="A408" s="8" t="s">
        <v>12</v>
      </c>
      <c r="B408" s="8" t="s">
        <v>30</v>
      </c>
      <c r="C408" s="8" t="s">
        <v>30</v>
      </c>
      <c r="D408" s="8" t="s">
        <v>315</v>
      </c>
      <c r="E408" s="8" t="s">
        <v>14</v>
      </c>
      <c r="F408" s="8" t="s">
        <v>114</v>
      </c>
      <c r="G408" s="15">
        <v>0</v>
      </c>
      <c r="H408" s="15">
        <v>0</v>
      </c>
      <c r="I408" s="15">
        <v>90</v>
      </c>
      <c r="J408" s="15">
        <v>-90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0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  <c r="AW408" s="15">
        <v>0</v>
      </c>
      <c r="AX408" s="15">
        <v>0</v>
      </c>
      <c r="AY408" s="15">
        <v>0</v>
      </c>
      <c r="AZ408" s="15">
        <v>0</v>
      </c>
      <c r="BA408" s="15">
        <v>0</v>
      </c>
      <c r="BB408" s="15">
        <v>0</v>
      </c>
      <c r="BC408" s="15">
        <v>0</v>
      </c>
      <c r="BD408" s="15">
        <v>0</v>
      </c>
      <c r="BE408" s="15">
        <v>0</v>
      </c>
      <c r="BF408" s="15">
        <v>0</v>
      </c>
      <c r="BG408" s="15">
        <v>0</v>
      </c>
      <c r="BH408" s="15">
        <v>0</v>
      </c>
      <c r="BI408" s="15">
        <v>0</v>
      </c>
      <c r="BJ408" s="15">
        <v>0</v>
      </c>
      <c r="BK408" s="15">
        <v>0</v>
      </c>
      <c r="BL408" s="15">
        <v>0</v>
      </c>
      <c r="BM408" s="15">
        <v>0</v>
      </c>
      <c r="BN408" s="15">
        <v>0</v>
      </c>
      <c r="BO408" s="15">
        <v>0</v>
      </c>
      <c r="BP408" s="15">
        <v>0</v>
      </c>
      <c r="BQ408" s="15">
        <v>0</v>
      </c>
      <c r="BR408" s="15">
        <v>0</v>
      </c>
      <c r="BS408" s="15">
        <v>0</v>
      </c>
      <c r="BT408" s="15">
        <v>0</v>
      </c>
      <c r="BU408" s="15">
        <v>0</v>
      </c>
      <c r="BV408" s="15">
        <v>0</v>
      </c>
      <c r="BW408" s="15">
        <v>0</v>
      </c>
      <c r="BX408" s="15">
        <v>0</v>
      </c>
      <c r="BY408" s="15">
        <v>0</v>
      </c>
      <c r="BZ408" s="15">
        <v>0</v>
      </c>
      <c r="CA408" s="15">
        <v>0</v>
      </c>
      <c r="CB408" s="15">
        <v>0</v>
      </c>
      <c r="CC408" s="15">
        <v>0</v>
      </c>
      <c r="CD408" s="15">
        <v>0</v>
      </c>
      <c r="CE408" s="15">
        <v>0</v>
      </c>
      <c r="CF408" s="15">
        <v>0</v>
      </c>
      <c r="CG408" s="15">
        <v>0</v>
      </c>
      <c r="CH408" s="15">
        <v>0</v>
      </c>
      <c r="CI408" s="15">
        <v>0</v>
      </c>
      <c r="CJ408" s="15">
        <v>0</v>
      </c>
      <c r="CK408" s="15">
        <v>0</v>
      </c>
      <c r="CL408" s="15">
        <v>0</v>
      </c>
      <c r="CM408" s="15">
        <v>0</v>
      </c>
      <c r="CN408" s="15">
        <v>0</v>
      </c>
      <c r="CO408" s="15">
        <v>0</v>
      </c>
      <c r="CP408" s="15">
        <v>0</v>
      </c>
      <c r="CQ408" s="15">
        <v>0</v>
      </c>
      <c r="CR408" s="15">
        <v>0</v>
      </c>
      <c r="CS408" s="15">
        <v>0</v>
      </c>
      <c r="CT408" s="15">
        <v>0</v>
      </c>
      <c r="CU408" s="15">
        <v>0</v>
      </c>
      <c r="CV408" s="15">
        <v>0</v>
      </c>
      <c r="CW408" s="15">
        <v>0</v>
      </c>
      <c r="CX408" s="15">
        <v>0</v>
      </c>
      <c r="CY408" s="15">
        <v>0</v>
      </c>
      <c r="CZ408" s="15">
        <v>0</v>
      </c>
      <c r="DA408" s="15">
        <v>0</v>
      </c>
      <c r="DB408" s="15">
        <v>0</v>
      </c>
      <c r="DC408" s="15">
        <v>0</v>
      </c>
      <c r="DD408" s="15">
        <v>0</v>
      </c>
      <c r="DE408" s="15">
        <v>0</v>
      </c>
      <c r="DF408" s="15">
        <v>0</v>
      </c>
      <c r="DG408" s="15">
        <v>0</v>
      </c>
      <c r="DH408" s="15">
        <v>0</v>
      </c>
      <c r="DI408" s="15">
        <v>0</v>
      </c>
      <c r="DJ408" s="15">
        <v>0</v>
      </c>
      <c r="DK408" s="15">
        <v>0</v>
      </c>
      <c r="DL408" s="15">
        <v>0</v>
      </c>
      <c r="DM408" s="15">
        <v>0</v>
      </c>
      <c r="DN408" s="15">
        <v>0</v>
      </c>
      <c r="DO408" s="15">
        <v>0</v>
      </c>
      <c r="DP408" s="15">
        <v>0</v>
      </c>
      <c r="DQ408" s="15">
        <v>0</v>
      </c>
      <c r="DR408" s="15">
        <v>0</v>
      </c>
      <c r="DS408" s="15">
        <v>30</v>
      </c>
      <c r="DT408" s="15">
        <v>30</v>
      </c>
      <c r="DU408" s="15">
        <v>30</v>
      </c>
      <c r="DV408" s="15">
        <v>0</v>
      </c>
      <c r="DW408" s="15">
        <v>0</v>
      </c>
      <c r="DX408" s="15">
        <v>0</v>
      </c>
      <c r="DY408" s="15">
        <v>0</v>
      </c>
      <c r="DZ408" s="15">
        <v>0</v>
      </c>
      <c r="EA408" s="15">
        <v>0</v>
      </c>
      <c r="EB408" s="15">
        <v>0</v>
      </c>
      <c r="EC408" s="15">
        <v>0</v>
      </c>
      <c r="ED408" s="15">
        <v>0</v>
      </c>
      <c r="EE408" s="15">
        <v>0</v>
      </c>
      <c r="EF408" s="15">
        <v>0</v>
      </c>
    </row>
    <row r="409" spans="1:136" ht="15" customHeight="1" x14ac:dyDescent="0.35">
      <c r="A409" s="8" t="s">
        <v>12</v>
      </c>
      <c r="B409" s="8" t="s">
        <v>30</v>
      </c>
      <c r="C409" s="8" t="s">
        <v>30</v>
      </c>
      <c r="D409" s="8" t="s">
        <v>316</v>
      </c>
      <c r="E409" s="8" t="s">
        <v>14</v>
      </c>
      <c r="F409" s="8" t="s">
        <v>114</v>
      </c>
      <c r="G409" s="15">
        <v>0</v>
      </c>
      <c r="H409" s="15">
        <v>90</v>
      </c>
      <c r="I409" s="15">
        <v>0</v>
      </c>
      <c r="J409" s="15">
        <v>90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5">
        <v>0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5">
        <v>0</v>
      </c>
      <c r="CH409" s="15">
        <v>0</v>
      </c>
      <c r="CI409" s="15">
        <v>0</v>
      </c>
      <c r="CJ409" s="15">
        <v>0</v>
      </c>
      <c r="CK409" s="15">
        <v>0</v>
      </c>
      <c r="CL409" s="15">
        <v>0</v>
      </c>
      <c r="CM409" s="15">
        <v>0</v>
      </c>
      <c r="CN409" s="15">
        <v>0</v>
      </c>
      <c r="CO409" s="15">
        <v>0</v>
      </c>
      <c r="CP409" s="15">
        <v>0</v>
      </c>
      <c r="CQ409" s="15">
        <v>0</v>
      </c>
      <c r="CR409" s="15">
        <v>0</v>
      </c>
      <c r="CS409" s="15">
        <v>0</v>
      </c>
      <c r="CT409" s="15">
        <v>0</v>
      </c>
      <c r="CU409" s="15">
        <v>0</v>
      </c>
      <c r="CV409" s="15">
        <v>0</v>
      </c>
      <c r="CW409" s="15">
        <v>0</v>
      </c>
      <c r="CX409" s="15">
        <v>0</v>
      </c>
      <c r="CY409" s="15">
        <v>0</v>
      </c>
      <c r="CZ409" s="15">
        <v>0</v>
      </c>
      <c r="DA409" s="15">
        <v>0</v>
      </c>
      <c r="DB409" s="15">
        <v>0</v>
      </c>
      <c r="DC409" s="15">
        <v>0</v>
      </c>
      <c r="DD409" s="15">
        <v>0</v>
      </c>
      <c r="DE409" s="15">
        <v>0</v>
      </c>
      <c r="DF409" s="15">
        <v>0</v>
      </c>
      <c r="DG409" s="15">
        <v>0</v>
      </c>
      <c r="DH409" s="15">
        <v>0</v>
      </c>
      <c r="DI409" s="15">
        <v>0</v>
      </c>
      <c r="DJ409" s="15">
        <v>0</v>
      </c>
      <c r="DK409" s="15">
        <v>0</v>
      </c>
      <c r="DL409" s="15">
        <v>0</v>
      </c>
      <c r="DM409" s="15">
        <v>0</v>
      </c>
      <c r="DN409" s="15">
        <v>0</v>
      </c>
      <c r="DO409" s="15">
        <v>0</v>
      </c>
      <c r="DP409" s="15">
        <v>0</v>
      </c>
      <c r="DQ409" s="15">
        <v>0</v>
      </c>
      <c r="DR409" s="15">
        <v>0</v>
      </c>
      <c r="DS409" s="15">
        <v>0</v>
      </c>
      <c r="DT409" s="15">
        <v>0</v>
      </c>
      <c r="DU409" s="15">
        <v>0</v>
      </c>
      <c r="DV409" s="15">
        <v>0</v>
      </c>
      <c r="DW409" s="15">
        <v>0</v>
      </c>
      <c r="DX409" s="15">
        <v>0</v>
      </c>
      <c r="DY409" s="15">
        <v>0</v>
      </c>
      <c r="DZ409" s="15">
        <v>0</v>
      </c>
      <c r="EA409" s="15">
        <v>0</v>
      </c>
      <c r="EB409" s="15">
        <v>0</v>
      </c>
      <c r="EC409" s="15">
        <v>0</v>
      </c>
      <c r="ED409" s="15">
        <v>0</v>
      </c>
      <c r="EE409" s="15">
        <v>0</v>
      </c>
      <c r="EF409" s="15">
        <v>0</v>
      </c>
    </row>
    <row r="410" spans="1:136" ht="15" customHeight="1" x14ac:dyDescent="0.35">
      <c r="A410" s="8" t="s">
        <v>12</v>
      </c>
      <c r="B410" s="8" t="s">
        <v>30</v>
      </c>
      <c r="C410" s="8" t="s">
        <v>30</v>
      </c>
      <c r="D410" s="8" t="s">
        <v>315</v>
      </c>
      <c r="E410" s="8" t="s">
        <v>14</v>
      </c>
      <c r="F410" s="8" t="s">
        <v>87</v>
      </c>
      <c r="G410" s="15">
        <v>0</v>
      </c>
      <c r="H410" s="15">
        <v>0</v>
      </c>
      <c r="I410" s="15">
        <v>33</v>
      </c>
      <c r="J410" s="15">
        <v>-33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5</v>
      </c>
      <c r="AN410" s="15">
        <v>28</v>
      </c>
      <c r="AO410" s="15">
        <v>0</v>
      </c>
      <c r="AP410" s="15">
        <v>0</v>
      </c>
      <c r="AQ410" s="15">
        <v>0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5">
        <v>0</v>
      </c>
      <c r="AX410" s="15">
        <v>0</v>
      </c>
      <c r="AY410" s="15">
        <v>0</v>
      </c>
      <c r="AZ410" s="15">
        <v>0</v>
      </c>
      <c r="BA410" s="15">
        <v>0</v>
      </c>
      <c r="BB410" s="15">
        <v>0</v>
      </c>
      <c r="BC410" s="15">
        <v>0</v>
      </c>
      <c r="BD410" s="15">
        <v>0</v>
      </c>
      <c r="BE410" s="15">
        <v>0</v>
      </c>
      <c r="BF410" s="15">
        <v>0</v>
      </c>
      <c r="BG410" s="15">
        <v>0</v>
      </c>
      <c r="BH410" s="15">
        <v>0</v>
      </c>
      <c r="BI410" s="15">
        <v>0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  <c r="BP410" s="15">
        <v>0</v>
      </c>
      <c r="BQ410" s="15">
        <v>0</v>
      </c>
      <c r="BR410" s="15">
        <v>0</v>
      </c>
      <c r="BS410" s="15">
        <v>0</v>
      </c>
      <c r="BT410" s="15">
        <v>0</v>
      </c>
      <c r="BU410" s="15">
        <v>0</v>
      </c>
      <c r="BV410" s="15">
        <v>0</v>
      </c>
      <c r="BW410" s="15">
        <v>0</v>
      </c>
      <c r="BX410" s="15">
        <v>0</v>
      </c>
      <c r="BY410" s="15">
        <v>0</v>
      </c>
      <c r="BZ410" s="15">
        <v>0</v>
      </c>
      <c r="CA410" s="15">
        <v>0</v>
      </c>
      <c r="CB410" s="15">
        <v>0</v>
      </c>
      <c r="CC410" s="15">
        <v>0</v>
      </c>
      <c r="CD410" s="15">
        <v>0</v>
      </c>
      <c r="CE410" s="15">
        <v>0</v>
      </c>
      <c r="CF410" s="15">
        <v>0</v>
      </c>
      <c r="CG410" s="15">
        <v>0</v>
      </c>
      <c r="CH410" s="15">
        <v>0</v>
      </c>
      <c r="CI410" s="15">
        <v>0</v>
      </c>
      <c r="CJ410" s="15">
        <v>0</v>
      </c>
      <c r="CK410" s="15">
        <v>0</v>
      </c>
      <c r="CL410" s="15">
        <v>0</v>
      </c>
      <c r="CM410" s="15">
        <v>0</v>
      </c>
      <c r="CN410" s="15">
        <v>0</v>
      </c>
      <c r="CO410" s="15">
        <v>0</v>
      </c>
      <c r="CP410" s="15">
        <v>0</v>
      </c>
      <c r="CQ410" s="15">
        <v>0</v>
      </c>
      <c r="CR410" s="15">
        <v>0</v>
      </c>
      <c r="CS410" s="15">
        <v>0</v>
      </c>
      <c r="CT410" s="15">
        <v>0</v>
      </c>
      <c r="CU410" s="15">
        <v>0</v>
      </c>
      <c r="CV410" s="15">
        <v>0</v>
      </c>
      <c r="CW410" s="15">
        <v>0</v>
      </c>
      <c r="CX410" s="15">
        <v>0</v>
      </c>
      <c r="CY410" s="15">
        <v>0</v>
      </c>
      <c r="CZ410" s="15">
        <v>0</v>
      </c>
      <c r="DA410" s="15">
        <v>0</v>
      </c>
      <c r="DB410" s="15">
        <v>0</v>
      </c>
      <c r="DC410" s="15">
        <v>0</v>
      </c>
      <c r="DD410" s="15">
        <v>0</v>
      </c>
      <c r="DE410" s="15">
        <v>0</v>
      </c>
      <c r="DF410" s="15">
        <v>0</v>
      </c>
      <c r="DG410" s="15">
        <v>0</v>
      </c>
      <c r="DH410" s="15">
        <v>0</v>
      </c>
      <c r="DI410" s="15">
        <v>0</v>
      </c>
      <c r="DJ410" s="15">
        <v>0</v>
      </c>
      <c r="DK410" s="15">
        <v>0</v>
      </c>
      <c r="DL410" s="15">
        <v>0</v>
      </c>
      <c r="DM410" s="15">
        <v>0</v>
      </c>
      <c r="DN410" s="15">
        <v>0</v>
      </c>
      <c r="DO410" s="15">
        <v>0</v>
      </c>
      <c r="DP410" s="15">
        <v>0</v>
      </c>
      <c r="DQ410" s="15">
        <v>0</v>
      </c>
      <c r="DR410" s="15">
        <v>0</v>
      </c>
      <c r="DS410" s="15">
        <v>0</v>
      </c>
      <c r="DT410" s="15">
        <v>0</v>
      </c>
      <c r="DU410" s="15">
        <v>0</v>
      </c>
      <c r="DV410" s="15">
        <v>0</v>
      </c>
      <c r="DW410" s="15">
        <v>0</v>
      </c>
      <c r="DX410" s="15">
        <v>0</v>
      </c>
      <c r="DY410" s="15">
        <v>0</v>
      </c>
      <c r="DZ410" s="15">
        <v>0</v>
      </c>
      <c r="EA410" s="15">
        <v>0</v>
      </c>
      <c r="EB410" s="15">
        <v>0</v>
      </c>
      <c r="EC410" s="15">
        <v>0</v>
      </c>
      <c r="ED410" s="15">
        <v>0</v>
      </c>
      <c r="EE410" s="15">
        <v>0</v>
      </c>
      <c r="EF410" s="15">
        <v>0</v>
      </c>
    </row>
    <row r="411" spans="1:136" ht="15" customHeight="1" x14ac:dyDescent="0.35">
      <c r="A411" s="8" t="s">
        <v>12</v>
      </c>
      <c r="B411" s="8" t="s">
        <v>18</v>
      </c>
      <c r="C411" s="8" t="s">
        <v>18</v>
      </c>
      <c r="D411" s="8" t="s">
        <v>321</v>
      </c>
      <c r="E411" s="8" t="s">
        <v>16</v>
      </c>
      <c r="F411" s="8" t="s">
        <v>79</v>
      </c>
      <c r="G411" s="15">
        <v>0</v>
      </c>
      <c r="H411" s="15">
        <v>0</v>
      </c>
      <c r="I411" s="15">
        <v>61.4</v>
      </c>
      <c r="J411" s="15">
        <v>-61.4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2</v>
      </c>
      <c r="AM411" s="15">
        <v>1.5</v>
      </c>
      <c r="AN411" s="15">
        <v>2</v>
      </c>
      <c r="AO411" s="15">
        <v>2</v>
      </c>
      <c r="AP411" s="15">
        <v>0</v>
      </c>
      <c r="AQ411" s="15">
        <v>0</v>
      </c>
      <c r="AR411" s="15">
        <v>2</v>
      </c>
      <c r="AS411" s="15">
        <v>0</v>
      </c>
      <c r="AT411" s="15">
        <v>0</v>
      </c>
      <c r="AU411" s="15">
        <v>0</v>
      </c>
      <c r="AV411" s="15">
        <v>0</v>
      </c>
      <c r="AW411" s="15">
        <v>0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5">
        <v>0</v>
      </c>
      <c r="CH411" s="15">
        <v>0</v>
      </c>
      <c r="CI411" s="15">
        <v>0</v>
      </c>
      <c r="CJ411" s="15">
        <v>0</v>
      </c>
      <c r="CK411" s="15">
        <v>0</v>
      </c>
      <c r="CL411" s="15">
        <v>0</v>
      </c>
      <c r="CM411" s="15">
        <v>0</v>
      </c>
      <c r="CN411" s="15">
        <v>0</v>
      </c>
      <c r="CO411" s="15">
        <v>0</v>
      </c>
      <c r="CP411" s="15">
        <v>0</v>
      </c>
      <c r="CQ411" s="15">
        <v>0</v>
      </c>
      <c r="CR411" s="15">
        <v>0</v>
      </c>
      <c r="CS411" s="15">
        <v>1.4035089999999999</v>
      </c>
      <c r="CT411" s="15">
        <v>1.4035089999999999</v>
      </c>
      <c r="CU411" s="15">
        <v>1.4035089999999999</v>
      </c>
      <c r="CV411" s="15">
        <v>1.4035089999999999</v>
      </c>
      <c r="CW411" s="15">
        <v>1.4035089999999999</v>
      </c>
      <c r="CX411" s="15">
        <v>1.4035089999999999</v>
      </c>
      <c r="CY411" s="15">
        <v>1.4035089999999999</v>
      </c>
      <c r="CZ411" s="15">
        <v>1.4035089999999999</v>
      </c>
      <c r="DA411" s="15">
        <v>1.4035089999999999</v>
      </c>
      <c r="DB411" s="15">
        <v>1.4035089999999999</v>
      </c>
      <c r="DC411" s="15">
        <v>1.4035089999999999</v>
      </c>
      <c r="DD411" s="15">
        <v>1.4035089999999999</v>
      </c>
      <c r="DE411" s="15">
        <v>1.4035089999999999</v>
      </c>
      <c r="DF411" s="15">
        <v>1.4035089999999999</v>
      </c>
      <c r="DG411" s="15">
        <v>1.4035089999999999</v>
      </c>
      <c r="DH411" s="15">
        <v>1.4035089999999999</v>
      </c>
      <c r="DI411" s="15">
        <v>1.4035089999999999</v>
      </c>
      <c r="DJ411" s="15">
        <v>1.4035089999999999</v>
      </c>
      <c r="DK411" s="15">
        <v>1.4035089999999999</v>
      </c>
      <c r="DL411" s="15">
        <v>1.4035089999999999</v>
      </c>
      <c r="DM411" s="15">
        <v>1.4035089999999999</v>
      </c>
      <c r="DN411" s="15">
        <v>1.4035089999999999</v>
      </c>
      <c r="DO411" s="15">
        <v>1.4035089999999999</v>
      </c>
      <c r="DP411" s="15">
        <v>1.4035089999999999</v>
      </c>
      <c r="DQ411" s="15">
        <v>1.4035089999999999</v>
      </c>
      <c r="DR411" s="15">
        <v>1.4035089999999999</v>
      </c>
      <c r="DS411" s="15">
        <v>1.4035089999999999</v>
      </c>
      <c r="DT411" s="15">
        <v>1.4035089999999999</v>
      </c>
      <c r="DU411" s="15">
        <v>1.4035089999999999</v>
      </c>
      <c r="DV411" s="15">
        <v>1.4035089999999999</v>
      </c>
      <c r="DW411" s="15">
        <v>1.4035089999999999</v>
      </c>
      <c r="DX411" s="15">
        <v>1.4035089999999999</v>
      </c>
      <c r="DY411" s="15">
        <v>1.4035089999999999</v>
      </c>
      <c r="DZ411" s="15">
        <v>1.4035089999999999</v>
      </c>
      <c r="EA411" s="15">
        <v>1.4035089999999999</v>
      </c>
      <c r="EB411" s="15">
        <v>1.4035089999999999</v>
      </c>
      <c r="EC411" s="15">
        <v>1.4035089999999999</v>
      </c>
      <c r="ED411" s="15">
        <v>0</v>
      </c>
      <c r="EE411" s="15">
        <v>0</v>
      </c>
      <c r="EF411" s="15">
        <v>0</v>
      </c>
    </row>
    <row r="412" spans="1:136" ht="15" customHeight="1" x14ac:dyDescent="0.35">
      <c r="A412" s="8" t="s">
        <v>12</v>
      </c>
      <c r="B412" s="8" t="s">
        <v>18</v>
      </c>
      <c r="C412" s="8" t="s">
        <v>18</v>
      </c>
      <c r="D412" s="8" t="s">
        <v>320</v>
      </c>
      <c r="E412" s="8" t="s">
        <v>16</v>
      </c>
      <c r="F412" s="8" t="s">
        <v>79</v>
      </c>
      <c r="G412" s="15">
        <v>22.9</v>
      </c>
      <c r="H412" s="15">
        <v>74.900000000000006</v>
      </c>
      <c r="I412" s="15">
        <v>7.5</v>
      </c>
      <c r="J412" s="15">
        <v>67.400000000000006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6</v>
      </c>
      <c r="AE412" s="15">
        <v>0</v>
      </c>
      <c r="AF412" s="15">
        <v>1.5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  <c r="AW412" s="15">
        <v>0</v>
      </c>
      <c r="AX412" s="15">
        <v>0</v>
      </c>
      <c r="AY412" s="15">
        <v>0</v>
      </c>
      <c r="AZ412" s="15">
        <v>0</v>
      </c>
      <c r="BA412" s="15">
        <v>0</v>
      </c>
      <c r="BB412" s="15">
        <v>0</v>
      </c>
      <c r="BC412" s="15">
        <v>0</v>
      </c>
      <c r="BD412" s="15">
        <v>0</v>
      </c>
      <c r="BE412" s="15">
        <v>0</v>
      </c>
      <c r="BF412" s="15">
        <v>0</v>
      </c>
      <c r="BG412" s="15">
        <v>0</v>
      </c>
      <c r="BH412" s="15">
        <v>0</v>
      </c>
      <c r="BI412" s="15">
        <v>0</v>
      </c>
      <c r="BJ412" s="15">
        <v>0</v>
      </c>
      <c r="BK412" s="15">
        <v>0</v>
      </c>
      <c r="BL412" s="15">
        <v>0</v>
      </c>
      <c r="BM412" s="15">
        <v>0</v>
      </c>
      <c r="BN412" s="15">
        <v>0</v>
      </c>
      <c r="BO412" s="15">
        <v>0</v>
      </c>
      <c r="BP412" s="15">
        <v>0</v>
      </c>
      <c r="BQ412" s="15">
        <v>0</v>
      </c>
      <c r="BR412" s="15">
        <v>0</v>
      </c>
      <c r="BS412" s="15">
        <v>0</v>
      </c>
      <c r="BT412" s="15">
        <v>0</v>
      </c>
      <c r="BU412" s="15">
        <v>0</v>
      </c>
      <c r="BV412" s="15">
        <v>0</v>
      </c>
      <c r="BW412" s="15">
        <v>0</v>
      </c>
      <c r="BX412" s="15">
        <v>0</v>
      </c>
      <c r="BY412" s="15">
        <v>0</v>
      </c>
      <c r="BZ412" s="15">
        <v>0</v>
      </c>
      <c r="CA412" s="15">
        <v>0</v>
      </c>
      <c r="CB412" s="15">
        <v>0</v>
      </c>
      <c r="CC412" s="15">
        <v>0</v>
      </c>
      <c r="CD412" s="15">
        <v>0</v>
      </c>
      <c r="CE412" s="15">
        <v>0</v>
      </c>
      <c r="CF412" s="15">
        <v>0</v>
      </c>
      <c r="CG412" s="15">
        <v>0</v>
      </c>
      <c r="CH412" s="15">
        <v>0</v>
      </c>
      <c r="CI412" s="15">
        <v>0</v>
      </c>
      <c r="CJ412" s="15">
        <v>0</v>
      </c>
      <c r="CK412" s="15">
        <v>0</v>
      </c>
      <c r="CL412" s="15">
        <v>0</v>
      </c>
      <c r="CM412" s="15">
        <v>0</v>
      </c>
      <c r="CN412" s="15">
        <v>0</v>
      </c>
      <c r="CO412" s="15">
        <v>0</v>
      </c>
      <c r="CP412" s="15">
        <v>0</v>
      </c>
      <c r="CQ412" s="15">
        <v>0</v>
      </c>
      <c r="CR412" s="15">
        <v>0</v>
      </c>
      <c r="CS412" s="15">
        <v>0</v>
      </c>
      <c r="CT412" s="15">
        <v>0</v>
      </c>
      <c r="CU412" s="15">
        <v>0</v>
      </c>
      <c r="CV412" s="15">
        <v>0</v>
      </c>
      <c r="CW412" s="15">
        <v>0</v>
      </c>
      <c r="CX412" s="15">
        <v>0</v>
      </c>
      <c r="CY412" s="15">
        <v>0</v>
      </c>
      <c r="CZ412" s="15">
        <v>0</v>
      </c>
      <c r="DA412" s="15">
        <v>0</v>
      </c>
      <c r="DB412" s="15">
        <v>0</v>
      </c>
      <c r="DC412" s="15">
        <v>0</v>
      </c>
      <c r="DD412" s="15">
        <v>0</v>
      </c>
      <c r="DE412" s="15">
        <v>0</v>
      </c>
      <c r="DF412" s="15">
        <v>0</v>
      </c>
      <c r="DG412" s="15">
        <v>0</v>
      </c>
      <c r="DH412" s="15">
        <v>0</v>
      </c>
      <c r="DI412" s="15">
        <v>0</v>
      </c>
      <c r="DJ412" s="15">
        <v>0</v>
      </c>
      <c r="DK412" s="15">
        <v>0</v>
      </c>
      <c r="DL412" s="15">
        <v>0</v>
      </c>
      <c r="DM412" s="15">
        <v>0</v>
      </c>
      <c r="DN412" s="15">
        <v>0</v>
      </c>
      <c r="DO412" s="15">
        <v>0</v>
      </c>
      <c r="DP412" s="15">
        <v>0</v>
      </c>
      <c r="DQ412" s="15">
        <v>0</v>
      </c>
      <c r="DR412" s="15">
        <v>0</v>
      </c>
      <c r="DS412" s="15">
        <v>0</v>
      </c>
      <c r="DT412" s="15">
        <v>0</v>
      </c>
      <c r="DU412" s="15">
        <v>0</v>
      </c>
      <c r="DV412" s="15">
        <v>0</v>
      </c>
      <c r="DW412" s="15">
        <v>0</v>
      </c>
      <c r="DX412" s="15">
        <v>0</v>
      </c>
      <c r="DY412" s="15">
        <v>0</v>
      </c>
      <c r="DZ412" s="15">
        <v>0</v>
      </c>
      <c r="EA412" s="15">
        <v>0</v>
      </c>
      <c r="EB412" s="15">
        <v>0</v>
      </c>
      <c r="EC412" s="15">
        <v>0</v>
      </c>
      <c r="ED412" s="15">
        <v>0</v>
      </c>
      <c r="EE412" s="15">
        <v>0</v>
      </c>
      <c r="EF412" s="15">
        <v>0</v>
      </c>
    </row>
    <row r="413" spans="1:136" ht="15" customHeight="1" x14ac:dyDescent="0.35">
      <c r="A413" s="8" t="s">
        <v>12</v>
      </c>
      <c r="B413" s="8" t="s">
        <v>18</v>
      </c>
      <c r="C413" s="8" t="s">
        <v>18</v>
      </c>
      <c r="D413" s="8" t="s">
        <v>320</v>
      </c>
      <c r="E413" s="8" t="s">
        <v>16</v>
      </c>
      <c r="F413" s="8" t="s">
        <v>79</v>
      </c>
      <c r="G413" s="15">
        <v>0</v>
      </c>
      <c r="H413" s="15">
        <v>0</v>
      </c>
      <c r="I413" s="15">
        <v>12</v>
      </c>
      <c r="J413" s="15">
        <v>-12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9</v>
      </c>
      <c r="Z413" s="15">
        <v>2</v>
      </c>
      <c r="AA413" s="15">
        <v>1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5">
        <v>0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5">
        <v>0</v>
      </c>
      <c r="CH413" s="15">
        <v>0</v>
      </c>
      <c r="CI413" s="15">
        <v>0</v>
      </c>
      <c r="CJ413" s="15">
        <v>0</v>
      </c>
      <c r="CK413" s="15">
        <v>0</v>
      </c>
      <c r="CL413" s="15">
        <v>0</v>
      </c>
      <c r="CM413" s="15">
        <v>0</v>
      </c>
      <c r="CN413" s="15">
        <v>0</v>
      </c>
      <c r="CO413" s="15">
        <v>0</v>
      </c>
      <c r="CP413" s="15">
        <v>0</v>
      </c>
      <c r="CQ413" s="15">
        <v>0</v>
      </c>
      <c r="CR413" s="15">
        <v>0</v>
      </c>
      <c r="CS413" s="15">
        <v>0</v>
      </c>
      <c r="CT413" s="15">
        <v>0</v>
      </c>
      <c r="CU413" s="15">
        <v>0</v>
      </c>
      <c r="CV413" s="15">
        <v>0</v>
      </c>
      <c r="CW413" s="15">
        <v>0</v>
      </c>
      <c r="CX413" s="15">
        <v>0</v>
      </c>
      <c r="CY413" s="15">
        <v>0</v>
      </c>
      <c r="CZ413" s="15">
        <v>0</v>
      </c>
      <c r="DA413" s="15">
        <v>0</v>
      </c>
      <c r="DB413" s="15">
        <v>0</v>
      </c>
      <c r="DC413" s="15">
        <v>0</v>
      </c>
      <c r="DD413" s="15">
        <v>0</v>
      </c>
      <c r="DE413" s="15">
        <v>0</v>
      </c>
      <c r="DF413" s="15">
        <v>0</v>
      </c>
      <c r="DG413" s="15">
        <v>0</v>
      </c>
      <c r="DH413" s="15">
        <v>0</v>
      </c>
      <c r="DI413" s="15">
        <v>0</v>
      </c>
      <c r="DJ413" s="15">
        <v>0</v>
      </c>
      <c r="DK413" s="15">
        <v>0</v>
      </c>
      <c r="DL413" s="15">
        <v>0</v>
      </c>
      <c r="DM413" s="15">
        <v>0</v>
      </c>
      <c r="DN413" s="15">
        <v>0</v>
      </c>
      <c r="DO413" s="15">
        <v>0</v>
      </c>
      <c r="DP413" s="15">
        <v>0</v>
      </c>
      <c r="DQ413" s="15">
        <v>0</v>
      </c>
      <c r="DR413" s="15">
        <v>0</v>
      </c>
      <c r="DS413" s="15">
        <v>0</v>
      </c>
      <c r="DT413" s="15">
        <v>0</v>
      </c>
      <c r="DU413" s="15">
        <v>0</v>
      </c>
      <c r="DV413" s="15">
        <v>0</v>
      </c>
      <c r="DW413" s="15">
        <v>0</v>
      </c>
      <c r="DX413" s="15">
        <v>0</v>
      </c>
      <c r="DY413" s="15">
        <v>0</v>
      </c>
      <c r="DZ413" s="15">
        <v>0</v>
      </c>
      <c r="EA413" s="15">
        <v>0</v>
      </c>
      <c r="EB413" s="15">
        <v>0</v>
      </c>
      <c r="EC413" s="15">
        <v>0</v>
      </c>
      <c r="ED413" s="15">
        <v>0</v>
      </c>
      <c r="EE413" s="15">
        <v>0</v>
      </c>
      <c r="EF413" s="15">
        <v>0</v>
      </c>
    </row>
    <row r="414" spans="1:136" ht="15" customHeight="1" x14ac:dyDescent="0.35">
      <c r="A414" s="8" t="s">
        <v>12</v>
      </c>
      <c r="B414" s="8" t="s">
        <v>18</v>
      </c>
      <c r="C414" s="8" t="s">
        <v>18</v>
      </c>
      <c r="D414" s="8" t="s">
        <v>321</v>
      </c>
      <c r="E414" s="8" t="s">
        <v>16</v>
      </c>
      <c r="F414" s="8" t="s">
        <v>81</v>
      </c>
      <c r="G414" s="15">
        <v>0</v>
      </c>
      <c r="H414" s="15">
        <v>0</v>
      </c>
      <c r="I414" s="15">
        <v>9.3000000000000007</v>
      </c>
      <c r="J414" s="15">
        <v>-9.3000000000000007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5">
        <v>0</v>
      </c>
      <c r="AX414" s="15">
        <v>0</v>
      </c>
      <c r="AY414" s="15">
        <v>0</v>
      </c>
      <c r="AZ414" s="15">
        <v>0</v>
      </c>
      <c r="BA414" s="15">
        <v>0</v>
      </c>
      <c r="BB414" s="15">
        <v>0</v>
      </c>
      <c r="BC414" s="15">
        <v>0</v>
      </c>
      <c r="BD414" s="15">
        <v>0</v>
      </c>
      <c r="BE414" s="15">
        <v>0</v>
      </c>
      <c r="BF414" s="15">
        <v>0</v>
      </c>
      <c r="BG414" s="15">
        <v>0</v>
      </c>
      <c r="BH414" s="15">
        <v>0</v>
      </c>
      <c r="BI414" s="15">
        <v>0</v>
      </c>
      <c r="BJ414" s="15">
        <v>0</v>
      </c>
      <c r="BK414" s="15">
        <v>0</v>
      </c>
      <c r="BL414" s="15">
        <v>0</v>
      </c>
      <c r="BM414" s="15">
        <v>0</v>
      </c>
      <c r="BN414" s="15">
        <v>0</v>
      </c>
      <c r="BO414" s="15">
        <v>0</v>
      </c>
      <c r="BP414" s="15">
        <v>0</v>
      </c>
      <c r="BQ414" s="15">
        <v>0</v>
      </c>
      <c r="BR414" s="15">
        <v>0</v>
      </c>
      <c r="BS414" s="15">
        <v>0</v>
      </c>
      <c r="BT414" s="15">
        <v>0</v>
      </c>
      <c r="BU414" s="15">
        <v>0</v>
      </c>
      <c r="BV414" s="15">
        <v>0</v>
      </c>
      <c r="BW414" s="15">
        <v>0</v>
      </c>
      <c r="BX414" s="15">
        <v>0</v>
      </c>
      <c r="BY414" s="15">
        <v>0</v>
      </c>
      <c r="BZ414" s="15">
        <v>0</v>
      </c>
      <c r="CA414" s="15">
        <v>0</v>
      </c>
      <c r="CB414" s="15">
        <v>0</v>
      </c>
      <c r="CC414" s="15">
        <v>0</v>
      </c>
      <c r="CD414" s="15">
        <v>0</v>
      </c>
      <c r="CE414" s="15">
        <v>0</v>
      </c>
      <c r="CF414" s="15">
        <v>0</v>
      </c>
      <c r="CG414" s="15">
        <v>0</v>
      </c>
      <c r="CH414" s="15">
        <v>0</v>
      </c>
      <c r="CI414" s="15">
        <v>0</v>
      </c>
      <c r="CJ414" s="15">
        <v>0</v>
      </c>
      <c r="CK414" s="15">
        <v>0</v>
      </c>
      <c r="CL414" s="15">
        <v>0</v>
      </c>
      <c r="CM414" s="15">
        <v>0</v>
      </c>
      <c r="CN414" s="15">
        <v>0</v>
      </c>
      <c r="CO414" s="15">
        <v>0</v>
      </c>
      <c r="CP414" s="15">
        <v>0</v>
      </c>
      <c r="CQ414" s="15">
        <v>0</v>
      </c>
      <c r="CR414" s="15">
        <v>0</v>
      </c>
      <c r="CS414" s="15">
        <v>0.25</v>
      </c>
      <c r="CT414" s="15">
        <v>0.25</v>
      </c>
      <c r="CU414" s="15">
        <v>0.25</v>
      </c>
      <c r="CV414" s="15">
        <v>0.25</v>
      </c>
      <c r="CW414" s="15">
        <v>0.25</v>
      </c>
      <c r="CX414" s="15">
        <v>0.25</v>
      </c>
      <c r="CY414" s="15">
        <v>0.25</v>
      </c>
      <c r="CZ414" s="15">
        <v>0.25</v>
      </c>
      <c r="DA414" s="15">
        <v>0.25</v>
      </c>
      <c r="DB414" s="15">
        <v>0.25</v>
      </c>
      <c r="DC414" s="15">
        <v>0.25</v>
      </c>
      <c r="DD414" s="15">
        <v>0.25</v>
      </c>
      <c r="DE414" s="15">
        <v>0.25</v>
      </c>
      <c r="DF414" s="15">
        <v>0.25</v>
      </c>
      <c r="DG414" s="15">
        <v>0.25</v>
      </c>
      <c r="DH414" s="15">
        <v>0.25</v>
      </c>
      <c r="DI414" s="15">
        <v>0.25</v>
      </c>
      <c r="DJ414" s="15">
        <v>0.25</v>
      </c>
      <c r="DK414" s="15">
        <v>0.5</v>
      </c>
      <c r="DL414" s="15">
        <v>0.5</v>
      </c>
      <c r="DM414" s="15">
        <v>0.5</v>
      </c>
      <c r="DN414" s="15">
        <v>0.5</v>
      </c>
      <c r="DO414" s="15">
        <v>0.6</v>
      </c>
      <c r="DP414" s="15">
        <v>0.5</v>
      </c>
      <c r="DQ414" s="15">
        <v>1</v>
      </c>
      <c r="DR414" s="15">
        <v>0.7</v>
      </c>
      <c r="DS414" s="15">
        <v>0</v>
      </c>
      <c r="DT414" s="15">
        <v>0</v>
      </c>
      <c r="DU414" s="15">
        <v>0</v>
      </c>
      <c r="DV414" s="15">
        <v>0</v>
      </c>
      <c r="DW414" s="15">
        <v>0</v>
      </c>
      <c r="DX414" s="15">
        <v>0</v>
      </c>
      <c r="DY414" s="15">
        <v>0</v>
      </c>
      <c r="DZ414" s="15">
        <v>0</v>
      </c>
      <c r="EA414" s="15">
        <v>0</v>
      </c>
      <c r="EB414" s="15">
        <v>0</v>
      </c>
      <c r="EC414" s="15">
        <v>0</v>
      </c>
      <c r="ED414" s="15">
        <v>0</v>
      </c>
      <c r="EE414" s="15">
        <v>0</v>
      </c>
      <c r="EF414" s="15">
        <v>0</v>
      </c>
    </row>
    <row r="415" spans="1:136" ht="15" customHeight="1" x14ac:dyDescent="0.35">
      <c r="A415" s="8" t="s">
        <v>12</v>
      </c>
      <c r="B415" s="8" t="s">
        <v>18</v>
      </c>
      <c r="C415" s="8" t="s">
        <v>18</v>
      </c>
      <c r="D415" s="8" t="s">
        <v>320</v>
      </c>
      <c r="E415" s="8" t="s">
        <v>16</v>
      </c>
      <c r="F415" s="8" t="s">
        <v>81</v>
      </c>
      <c r="G415" s="15">
        <v>3.3</v>
      </c>
      <c r="H415" s="15">
        <v>12.1</v>
      </c>
      <c r="I415" s="15">
        <v>0</v>
      </c>
      <c r="J415" s="15">
        <v>12.1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5">
        <v>0</v>
      </c>
      <c r="CH415" s="15">
        <v>0</v>
      </c>
      <c r="CI415" s="15">
        <v>0</v>
      </c>
      <c r="CJ415" s="15">
        <v>0</v>
      </c>
      <c r="CK415" s="15">
        <v>0</v>
      </c>
      <c r="CL415" s="15">
        <v>0</v>
      </c>
      <c r="CM415" s="15">
        <v>0</v>
      </c>
      <c r="CN415" s="15">
        <v>0</v>
      </c>
      <c r="CO415" s="15">
        <v>0</v>
      </c>
      <c r="CP415" s="15">
        <v>0</v>
      </c>
      <c r="CQ415" s="15">
        <v>0</v>
      </c>
      <c r="CR415" s="15">
        <v>0</v>
      </c>
      <c r="CS415" s="15">
        <v>0</v>
      </c>
      <c r="CT415" s="15">
        <v>0</v>
      </c>
      <c r="CU415" s="15">
        <v>0</v>
      </c>
      <c r="CV415" s="15">
        <v>0</v>
      </c>
      <c r="CW415" s="15">
        <v>0</v>
      </c>
      <c r="CX415" s="15">
        <v>0</v>
      </c>
      <c r="CY415" s="15">
        <v>0</v>
      </c>
      <c r="CZ415" s="15">
        <v>0</v>
      </c>
      <c r="DA415" s="15">
        <v>0</v>
      </c>
      <c r="DB415" s="15">
        <v>0</v>
      </c>
      <c r="DC415" s="15">
        <v>0</v>
      </c>
      <c r="DD415" s="15">
        <v>0</v>
      </c>
      <c r="DE415" s="15">
        <v>0</v>
      </c>
      <c r="DF415" s="15">
        <v>0</v>
      </c>
      <c r="DG415" s="15">
        <v>0</v>
      </c>
      <c r="DH415" s="15">
        <v>0</v>
      </c>
      <c r="DI415" s="15">
        <v>0</v>
      </c>
      <c r="DJ415" s="15">
        <v>0</v>
      </c>
      <c r="DK415" s="15">
        <v>0</v>
      </c>
      <c r="DL415" s="15">
        <v>0</v>
      </c>
      <c r="DM415" s="15">
        <v>0</v>
      </c>
      <c r="DN415" s="15">
        <v>0</v>
      </c>
      <c r="DO415" s="15">
        <v>0</v>
      </c>
      <c r="DP415" s="15">
        <v>0</v>
      </c>
      <c r="DQ415" s="15">
        <v>0</v>
      </c>
      <c r="DR415" s="15">
        <v>0</v>
      </c>
      <c r="DS415" s="15">
        <v>0</v>
      </c>
      <c r="DT415" s="15">
        <v>0</v>
      </c>
      <c r="DU415" s="15">
        <v>0</v>
      </c>
      <c r="DV415" s="15">
        <v>0</v>
      </c>
      <c r="DW415" s="15">
        <v>0</v>
      </c>
      <c r="DX415" s="15">
        <v>0</v>
      </c>
      <c r="DY415" s="15">
        <v>0</v>
      </c>
      <c r="DZ415" s="15">
        <v>0</v>
      </c>
      <c r="EA415" s="15">
        <v>0</v>
      </c>
      <c r="EB415" s="15">
        <v>0</v>
      </c>
      <c r="EC415" s="15">
        <v>0</v>
      </c>
      <c r="ED415" s="15">
        <v>0</v>
      </c>
      <c r="EE415" s="15">
        <v>0</v>
      </c>
      <c r="EF415" s="15">
        <v>0</v>
      </c>
    </row>
    <row r="416" spans="1:136" ht="15" customHeight="1" x14ac:dyDescent="0.35">
      <c r="A416" s="8" t="s">
        <v>12</v>
      </c>
      <c r="B416" s="8" t="s">
        <v>18</v>
      </c>
      <c r="C416" s="8" t="s">
        <v>18</v>
      </c>
      <c r="D416" s="8" t="s">
        <v>321</v>
      </c>
      <c r="E416" s="8" t="s">
        <v>16</v>
      </c>
      <c r="F416" s="8" t="s">
        <v>82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5">
        <v>0</v>
      </c>
      <c r="AX416" s="15">
        <v>0</v>
      </c>
      <c r="AY416" s="15">
        <v>0</v>
      </c>
      <c r="AZ416" s="15">
        <v>0</v>
      </c>
      <c r="BA416" s="15">
        <v>0</v>
      </c>
      <c r="BB416" s="15">
        <v>0</v>
      </c>
      <c r="BC416" s="15">
        <v>0</v>
      </c>
      <c r="BD416" s="15">
        <v>0</v>
      </c>
      <c r="BE416" s="15">
        <v>0</v>
      </c>
      <c r="BF416" s="15">
        <v>0</v>
      </c>
      <c r="BG416" s="15">
        <v>0</v>
      </c>
      <c r="BH416" s="15">
        <v>0</v>
      </c>
      <c r="BI416" s="15">
        <v>0</v>
      </c>
      <c r="BJ416" s="15">
        <v>0</v>
      </c>
      <c r="BK416" s="15">
        <v>0</v>
      </c>
      <c r="BL416" s="15">
        <v>0</v>
      </c>
      <c r="BM416" s="15">
        <v>0</v>
      </c>
      <c r="BN416" s="15">
        <v>0</v>
      </c>
      <c r="BO416" s="15">
        <v>0</v>
      </c>
      <c r="BP416" s="15">
        <v>0</v>
      </c>
      <c r="BQ416" s="15">
        <v>0</v>
      </c>
      <c r="BR416" s="15">
        <v>0</v>
      </c>
      <c r="BS416" s="15">
        <v>0</v>
      </c>
      <c r="BT416" s="15">
        <v>0</v>
      </c>
      <c r="BU416" s="15">
        <v>0</v>
      </c>
      <c r="BV416" s="15">
        <v>0</v>
      </c>
      <c r="BW416" s="15">
        <v>0</v>
      </c>
      <c r="BX416" s="15">
        <v>0</v>
      </c>
      <c r="BY416" s="15">
        <v>0</v>
      </c>
      <c r="BZ416" s="15">
        <v>0</v>
      </c>
      <c r="CA416" s="15">
        <v>0</v>
      </c>
      <c r="CB416" s="15">
        <v>0</v>
      </c>
      <c r="CC416" s="15">
        <v>0</v>
      </c>
      <c r="CD416" s="15">
        <v>0</v>
      </c>
      <c r="CE416" s="15">
        <v>0</v>
      </c>
      <c r="CF416" s="15">
        <v>0</v>
      </c>
      <c r="CG416" s="15">
        <v>0</v>
      </c>
      <c r="CH416" s="15">
        <v>0</v>
      </c>
      <c r="CI416" s="15">
        <v>0</v>
      </c>
      <c r="CJ416" s="15">
        <v>0</v>
      </c>
      <c r="CK416" s="15">
        <v>0</v>
      </c>
      <c r="CL416" s="15">
        <v>0</v>
      </c>
      <c r="CM416" s="15">
        <v>0</v>
      </c>
      <c r="CN416" s="15">
        <v>0</v>
      </c>
      <c r="CO416" s="15">
        <v>0</v>
      </c>
      <c r="CP416" s="15">
        <v>0</v>
      </c>
      <c r="CQ416" s="15">
        <v>0</v>
      </c>
      <c r="CR416" s="15">
        <v>0</v>
      </c>
      <c r="CS416" s="15">
        <v>0</v>
      </c>
      <c r="CT416" s="15">
        <v>0</v>
      </c>
      <c r="CU416" s="15">
        <v>0</v>
      </c>
      <c r="CV416" s="15">
        <v>0</v>
      </c>
      <c r="CW416" s="15">
        <v>0</v>
      </c>
      <c r="CX416" s="15">
        <v>0</v>
      </c>
      <c r="CY416" s="15">
        <v>0</v>
      </c>
      <c r="CZ416" s="15">
        <v>0</v>
      </c>
      <c r="DA416" s="15">
        <v>0</v>
      </c>
      <c r="DB416" s="15">
        <v>0</v>
      </c>
      <c r="DC416" s="15">
        <v>0</v>
      </c>
      <c r="DD416" s="15">
        <v>0</v>
      </c>
      <c r="DE416" s="15">
        <v>0</v>
      </c>
      <c r="DF416" s="15">
        <v>0</v>
      </c>
      <c r="DG416" s="15">
        <v>0</v>
      </c>
      <c r="DH416" s="15">
        <v>0</v>
      </c>
      <c r="DI416" s="15">
        <v>0</v>
      </c>
      <c r="DJ416" s="15">
        <v>0</v>
      </c>
      <c r="DK416" s="15">
        <v>0</v>
      </c>
      <c r="DL416" s="15">
        <v>0</v>
      </c>
      <c r="DM416" s="15">
        <v>0</v>
      </c>
      <c r="DN416" s="15">
        <v>0</v>
      </c>
      <c r="DO416" s="15">
        <v>0</v>
      </c>
      <c r="DP416" s="15">
        <v>0</v>
      </c>
      <c r="DQ416" s="15">
        <v>0</v>
      </c>
      <c r="DR416" s="15">
        <v>0</v>
      </c>
      <c r="DS416" s="15">
        <v>0</v>
      </c>
      <c r="DT416" s="15">
        <v>0</v>
      </c>
      <c r="DU416" s="15">
        <v>0</v>
      </c>
      <c r="DV416" s="15">
        <v>0</v>
      </c>
      <c r="DW416" s="15">
        <v>0</v>
      </c>
      <c r="DX416" s="15">
        <v>0</v>
      </c>
      <c r="DY416" s="15">
        <v>0</v>
      </c>
      <c r="DZ416" s="15">
        <v>0</v>
      </c>
      <c r="EA416" s="15">
        <v>0</v>
      </c>
      <c r="EB416" s="15">
        <v>0</v>
      </c>
      <c r="EC416" s="15">
        <v>0</v>
      </c>
      <c r="ED416" s="15">
        <v>0</v>
      </c>
      <c r="EE416" s="15">
        <v>0</v>
      </c>
      <c r="EF416" s="15">
        <v>0</v>
      </c>
    </row>
    <row r="417" spans="1:136" ht="15" customHeight="1" x14ac:dyDescent="0.35">
      <c r="A417" s="8" t="s">
        <v>12</v>
      </c>
      <c r="B417" s="8" t="s">
        <v>18</v>
      </c>
      <c r="C417" s="8" t="s">
        <v>18</v>
      </c>
      <c r="D417" s="8" t="s">
        <v>320</v>
      </c>
      <c r="E417" s="8" t="s">
        <v>16</v>
      </c>
      <c r="F417" s="8" t="s">
        <v>82</v>
      </c>
      <c r="G417" s="15">
        <v>4</v>
      </c>
      <c r="H417" s="15">
        <v>4</v>
      </c>
      <c r="I417" s="15">
        <v>4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4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5">
        <v>0</v>
      </c>
      <c r="CH417" s="15">
        <v>0</v>
      </c>
      <c r="CI417" s="15">
        <v>0</v>
      </c>
      <c r="CJ417" s="15">
        <v>0</v>
      </c>
      <c r="CK417" s="15">
        <v>0</v>
      </c>
      <c r="CL417" s="15">
        <v>0</v>
      </c>
      <c r="CM417" s="15">
        <v>0</v>
      </c>
      <c r="CN417" s="15">
        <v>0</v>
      </c>
      <c r="CO417" s="15">
        <v>0</v>
      </c>
      <c r="CP417" s="15">
        <v>0</v>
      </c>
      <c r="CQ417" s="15">
        <v>0</v>
      </c>
      <c r="CR417" s="15">
        <v>0</v>
      </c>
      <c r="CS417" s="15">
        <v>0</v>
      </c>
      <c r="CT417" s="15">
        <v>0</v>
      </c>
      <c r="CU417" s="15">
        <v>0</v>
      </c>
      <c r="CV417" s="15">
        <v>0</v>
      </c>
      <c r="CW417" s="15">
        <v>0</v>
      </c>
      <c r="CX417" s="15">
        <v>0</v>
      </c>
      <c r="CY417" s="15">
        <v>0</v>
      </c>
      <c r="CZ417" s="15">
        <v>0</v>
      </c>
      <c r="DA417" s="15">
        <v>0</v>
      </c>
      <c r="DB417" s="15">
        <v>0</v>
      </c>
      <c r="DC417" s="15">
        <v>0</v>
      </c>
      <c r="DD417" s="15">
        <v>0</v>
      </c>
      <c r="DE417" s="15">
        <v>0</v>
      </c>
      <c r="DF417" s="15">
        <v>0</v>
      </c>
      <c r="DG417" s="15">
        <v>0</v>
      </c>
      <c r="DH417" s="15">
        <v>0</v>
      </c>
      <c r="DI417" s="15">
        <v>0</v>
      </c>
      <c r="DJ417" s="15">
        <v>0</v>
      </c>
      <c r="DK417" s="15">
        <v>0</v>
      </c>
      <c r="DL417" s="15">
        <v>0</v>
      </c>
      <c r="DM417" s="15">
        <v>0</v>
      </c>
      <c r="DN417" s="15">
        <v>0</v>
      </c>
      <c r="DO417" s="15">
        <v>0</v>
      </c>
      <c r="DP417" s="15">
        <v>0</v>
      </c>
      <c r="DQ417" s="15">
        <v>0</v>
      </c>
      <c r="DR417" s="15">
        <v>0</v>
      </c>
      <c r="DS417" s="15">
        <v>0</v>
      </c>
      <c r="DT417" s="15">
        <v>0</v>
      </c>
      <c r="DU417" s="15">
        <v>0</v>
      </c>
      <c r="DV417" s="15">
        <v>0</v>
      </c>
      <c r="DW417" s="15">
        <v>0</v>
      </c>
      <c r="DX417" s="15">
        <v>0</v>
      </c>
      <c r="DY417" s="15">
        <v>0</v>
      </c>
      <c r="DZ417" s="15">
        <v>0</v>
      </c>
      <c r="EA417" s="15">
        <v>0</v>
      </c>
      <c r="EB417" s="15">
        <v>0</v>
      </c>
      <c r="EC417" s="15">
        <v>0</v>
      </c>
      <c r="ED417" s="15">
        <v>0</v>
      </c>
      <c r="EE417" s="15">
        <v>0</v>
      </c>
      <c r="EF417" s="15">
        <v>0</v>
      </c>
    </row>
    <row r="418" spans="1:136" ht="15" customHeight="1" x14ac:dyDescent="0.35">
      <c r="A418" s="8" t="s">
        <v>12</v>
      </c>
      <c r="B418" s="8" t="s">
        <v>18</v>
      </c>
      <c r="C418" s="8" t="s">
        <v>18</v>
      </c>
      <c r="D418" s="8" t="s">
        <v>321</v>
      </c>
      <c r="E418" s="8" t="s">
        <v>16</v>
      </c>
      <c r="F418" s="8" t="s">
        <v>83</v>
      </c>
      <c r="G418" s="15">
        <v>0</v>
      </c>
      <c r="H418" s="15">
        <v>0</v>
      </c>
      <c r="I418" s="15">
        <v>9</v>
      </c>
      <c r="J418" s="15">
        <v>-9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4</v>
      </c>
      <c r="AO418" s="15">
        <v>5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</v>
      </c>
      <c r="AY418" s="15">
        <v>0</v>
      </c>
      <c r="AZ418" s="15">
        <v>0</v>
      </c>
      <c r="BA418" s="15">
        <v>0</v>
      </c>
      <c r="BB418" s="15">
        <v>0</v>
      </c>
      <c r="BC418" s="15">
        <v>0</v>
      </c>
      <c r="BD418" s="15">
        <v>0</v>
      </c>
      <c r="BE418" s="15">
        <v>0</v>
      </c>
      <c r="BF418" s="15">
        <v>0</v>
      </c>
      <c r="BG418" s="15">
        <v>0</v>
      </c>
      <c r="BH418" s="15">
        <v>0</v>
      </c>
      <c r="BI418" s="15">
        <v>0</v>
      </c>
      <c r="BJ418" s="15">
        <v>0</v>
      </c>
      <c r="BK418" s="15">
        <v>0</v>
      </c>
      <c r="BL418" s="15">
        <v>0</v>
      </c>
      <c r="BM418" s="15">
        <v>0</v>
      </c>
      <c r="BN418" s="15">
        <v>0</v>
      </c>
      <c r="BO418" s="15">
        <v>0</v>
      </c>
      <c r="BP418" s="15">
        <v>0</v>
      </c>
      <c r="BQ418" s="15">
        <v>0</v>
      </c>
      <c r="BR418" s="15">
        <v>0</v>
      </c>
      <c r="BS418" s="15">
        <v>0</v>
      </c>
      <c r="BT418" s="15">
        <v>0</v>
      </c>
      <c r="BU418" s="15">
        <v>0</v>
      </c>
      <c r="BV418" s="15">
        <v>0</v>
      </c>
      <c r="BW418" s="15">
        <v>0</v>
      </c>
      <c r="BX418" s="15">
        <v>0</v>
      </c>
      <c r="BY418" s="15">
        <v>0</v>
      </c>
      <c r="BZ418" s="15">
        <v>0</v>
      </c>
      <c r="CA418" s="15">
        <v>0</v>
      </c>
      <c r="CB418" s="15">
        <v>0</v>
      </c>
      <c r="CC418" s="15">
        <v>0</v>
      </c>
      <c r="CD418" s="15">
        <v>0</v>
      </c>
      <c r="CE418" s="15">
        <v>0</v>
      </c>
      <c r="CF418" s="15">
        <v>0</v>
      </c>
      <c r="CG418" s="15">
        <v>0</v>
      </c>
      <c r="CH418" s="15">
        <v>0</v>
      </c>
      <c r="CI418" s="15">
        <v>0</v>
      </c>
      <c r="CJ418" s="15">
        <v>0</v>
      </c>
      <c r="CK418" s="15">
        <v>0</v>
      </c>
      <c r="CL418" s="15">
        <v>0</v>
      </c>
      <c r="CM418" s="15">
        <v>0</v>
      </c>
      <c r="CN418" s="15">
        <v>0</v>
      </c>
      <c r="CO418" s="15">
        <v>0</v>
      </c>
      <c r="CP418" s="15">
        <v>0</v>
      </c>
      <c r="CQ418" s="15">
        <v>0</v>
      </c>
      <c r="CR418" s="15">
        <v>0</v>
      </c>
      <c r="CS418" s="15">
        <v>0</v>
      </c>
      <c r="CT418" s="15">
        <v>0</v>
      </c>
      <c r="CU418" s="15">
        <v>0</v>
      </c>
      <c r="CV418" s="15">
        <v>0</v>
      </c>
      <c r="CW418" s="15">
        <v>0</v>
      </c>
      <c r="CX418" s="15">
        <v>0</v>
      </c>
      <c r="CY418" s="15">
        <v>0</v>
      </c>
      <c r="CZ418" s="15">
        <v>0</v>
      </c>
      <c r="DA418" s="15">
        <v>0</v>
      </c>
      <c r="DB418" s="15">
        <v>0</v>
      </c>
      <c r="DC418" s="15">
        <v>0</v>
      </c>
      <c r="DD418" s="15">
        <v>0</v>
      </c>
      <c r="DE418" s="15">
        <v>0</v>
      </c>
      <c r="DF418" s="15">
        <v>0</v>
      </c>
      <c r="DG418" s="15">
        <v>0</v>
      </c>
      <c r="DH418" s="15">
        <v>0</v>
      </c>
      <c r="DI418" s="15">
        <v>0</v>
      </c>
      <c r="DJ418" s="15">
        <v>0</v>
      </c>
      <c r="DK418" s="15">
        <v>0</v>
      </c>
      <c r="DL418" s="15">
        <v>0</v>
      </c>
      <c r="DM418" s="15">
        <v>0</v>
      </c>
      <c r="DN418" s="15">
        <v>0</v>
      </c>
      <c r="DO418" s="15">
        <v>0</v>
      </c>
      <c r="DP418" s="15">
        <v>0</v>
      </c>
      <c r="DQ418" s="15">
        <v>0</v>
      </c>
      <c r="DR418" s="15">
        <v>0</v>
      </c>
      <c r="DS418" s="15">
        <v>0</v>
      </c>
      <c r="DT418" s="15">
        <v>0</v>
      </c>
      <c r="DU418" s="15">
        <v>0</v>
      </c>
      <c r="DV418" s="15">
        <v>0</v>
      </c>
      <c r="DW418" s="15">
        <v>0</v>
      </c>
      <c r="DX418" s="15">
        <v>0</v>
      </c>
      <c r="DY418" s="15">
        <v>0</v>
      </c>
      <c r="DZ418" s="15">
        <v>0</v>
      </c>
      <c r="EA418" s="15">
        <v>0</v>
      </c>
      <c r="EB418" s="15">
        <v>0</v>
      </c>
      <c r="EC418" s="15">
        <v>0</v>
      </c>
      <c r="ED418" s="15">
        <v>0</v>
      </c>
      <c r="EE418" s="15">
        <v>0</v>
      </c>
      <c r="EF418" s="15">
        <v>0</v>
      </c>
    </row>
    <row r="419" spans="1:136" ht="15" customHeight="1" x14ac:dyDescent="0.35">
      <c r="A419" s="8" t="s">
        <v>12</v>
      </c>
      <c r="B419" s="8" t="s">
        <v>18</v>
      </c>
      <c r="C419" s="8" t="s">
        <v>18</v>
      </c>
      <c r="D419" s="8" t="s">
        <v>320</v>
      </c>
      <c r="E419" s="8" t="s">
        <v>16</v>
      </c>
      <c r="F419" s="8" t="s">
        <v>83</v>
      </c>
      <c r="G419" s="15">
        <v>3</v>
      </c>
      <c r="H419" s="15">
        <v>3</v>
      </c>
      <c r="I419" s="15">
        <v>0</v>
      </c>
      <c r="J419" s="15">
        <v>3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5">
        <v>0</v>
      </c>
      <c r="CH419" s="15">
        <v>0</v>
      </c>
      <c r="CI419" s="15">
        <v>0</v>
      </c>
      <c r="CJ419" s="15">
        <v>0</v>
      </c>
      <c r="CK419" s="15">
        <v>0</v>
      </c>
      <c r="CL419" s="15">
        <v>0</v>
      </c>
      <c r="CM419" s="15">
        <v>0</v>
      </c>
      <c r="CN419" s="15">
        <v>0</v>
      </c>
      <c r="CO419" s="15">
        <v>0</v>
      </c>
      <c r="CP419" s="15">
        <v>0</v>
      </c>
      <c r="CQ419" s="15">
        <v>0</v>
      </c>
      <c r="CR419" s="15">
        <v>0</v>
      </c>
      <c r="CS419" s="15">
        <v>0</v>
      </c>
      <c r="CT419" s="15">
        <v>0</v>
      </c>
      <c r="CU419" s="15">
        <v>0</v>
      </c>
      <c r="CV419" s="15">
        <v>0</v>
      </c>
      <c r="CW419" s="15">
        <v>0</v>
      </c>
      <c r="CX419" s="15">
        <v>0</v>
      </c>
      <c r="CY419" s="15">
        <v>0</v>
      </c>
      <c r="CZ419" s="15">
        <v>0</v>
      </c>
      <c r="DA419" s="15">
        <v>0</v>
      </c>
      <c r="DB419" s="15">
        <v>0</v>
      </c>
      <c r="DC419" s="15">
        <v>0</v>
      </c>
      <c r="DD419" s="15">
        <v>0</v>
      </c>
      <c r="DE419" s="15">
        <v>0</v>
      </c>
      <c r="DF419" s="15">
        <v>0</v>
      </c>
      <c r="DG419" s="15">
        <v>0</v>
      </c>
      <c r="DH419" s="15">
        <v>0</v>
      </c>
      <c r="DI419" s="15">
        <v>0</v>
      </c>
      <c r="DJ419" s="15">
        <v>0</v>
      </c>
      <c r="DK419" s="15">
        <v>0</v>
      </c>
      <c r="DL419" s="15">
        <v>0</v>
      </c>
      <c r="DM419" s="15">
        <v>0</v>
      </c>
      <c r="DN419" s="15">
        <v>0</v>
      </c>
      <c r="DO419" s="15">
        <v>0</v>
      </c>
      <c r="DP419" s="15">
        <v>0</v>
      </c>
      <c r="DQ419" s="15">
        <v>0</v>
      </c>
      <c r="DR419" s="15">
        <v>0</v>
      </c>
      <c r="DS419" s="15">
        <v>0</v>
      </c>
      <c r="DT419" s="15">
        <v>0</v>
      </c>
      <c r="DU419" s="15">
        <v>0</v>
      </c>
      <c r="DV419" s="15">
        <v>0</v>
      </c>
      <c r="DW419" s="15">
        <v>0</v>
      </c>
      <c r="DX419" s="15">
        <v>0</v>
      </c>
      <c r="DY419" s="15">
        <v>0</v>
      </c>
      <c r="DZ419" s="15">
        <v>0</v>
      </c>
      <c r="EA419" s="15">
        <v>0</v>
      </c>
      <c r="EB419" s="15">
        <v>0</v>
      </c>
      <c r="EC419" s="15">
        <v>0</v>
      </c>
      <c r="ED419" s="15">
        <v>0</v>
      </c>
      <c r="EE419" s="15">
        <v>0</v>
      </c>
      <c r="EF419" s="15">
        <v>0</v>
      </c>
    </row>
    <row r="420" spans="1:136" ht="15" customHeight="1" x14ac:dyDescent="0.35">
      <c r="A420" s="8" t="s">
        <v>12</v>
      </c>
      <c r="B420" s="8" t="s">
        <v>18</v>
      </c>
      <c r="C420" s="8" t="s">
        <v>18</v>
      </c>
      <c r="D420" s="8" t="s">
        <v>321</v>
      </c>
      <c r="E420" s="8" t="s">
        <v>16</v>
      </c>
      <c r="F420" s="8" t="s">
        <v>84</v>
      </c>
      <c r="G420" s="15">
        <v>0</v>
      </c>
      <c r="H420" s="15">
        <v>0</v>
      </c>
      <c r="I420" s="15">
        <v>3</v>
      </c>
      <c r="J420" s="15">
        <v>-3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5">
        <v>0</v>
      </c>
      <c r="AX420" s="15">
        <v>0</v>
      </c>
      <c r="AY420" s="15">
        <v>0</v>
      </c>
      <c r="AZ420" s="15">
        <v>0</v>
      </c>
      <c r="BA420" s="15">
        <v>0</v>
      </c>
      <c r="BB420" s="15">
        <v>0</v>
      </c>
      <c r="BC420" s="15">
        <v>0</v>
      </c>
      <c r="BD420" s="15">
        <v>0</v>
      </c>
      <c r="BE420" s="15">
        <v>0</v>
      </c>
      <c r="BF420" s="15">
        <v>0</v>
      </c>
      <c r="BG420" s="15">
        <v>0</v>
      </c>
      <c r="BH420" s="15">
        <v>0</v>
      </c>
      <c r="BI420" s="15">
        <v>0</v>
      </c>
      <c r="BJ420" s="15">
        <v>0</v>
      </c>
      <c r="BK420" s="15">
        <v>0</v>
      </c>
      <c r="BL420" s="15">
        <v>0</v>
      </c>
      <c r="BM420" s="15">
        <v>0</v>
      </c>
      <c r="BN420" s="15">
        <v>0</v>
      </c>
      <c r="BO420" s="15">
        <v>0</v>
      </c>
      <c r="BP420" s="15">
        <v>0</v>
      </c>
      <c r="BQ420" s="15">
        <v>0</v>
      </c>
      <c r="BR420" s="15">
        <v>0</v>
      </c>
      <c r="BS420" s="15">
        <v>0</v>
      </c>
      <c r="BT420" s="15">
        <v>0</v>
      </c>
      <c r="BU420" s="15">
        <v>0</v>
      </c>
      <c r="BV420" s="15">
        <v>0</v>
      </c>
      <c r="BW420" s="15">
        <v>0</v>
      </c>
      <c r="BX420" s="15">
        <v>0</v>
      </c>
      <c r="BY420" s="15">
        <v>0</v>
      </c>
      <c r="BZ420" s="15">
        <v>0</v>
      </c>
      <c r="CA420" s="15">
        <v>0</v>
      </c>
      <c r="CB420" s="15">
        <v>0</v>
      </c>
      <c r="CC420" s="15">
        <v>0</v>
      </c>
      <c r="CD420" s="15">
        <v>0</v>
      </c>
      <c r="CE420" s="15">
        <v>0</v>
      </c>
      <c r="CF420" s="15">
        <v>0</v>
      </c>
      <c r="CG420" s="15">
        <v>0</v>
      </c>
      <c r="CH420" s="15">
        <v>0</v>
      </c>
      <c r="CI420" s="15">
        <v>0</v>
      </c>
      <c r="CJ420" s="15">
        <v>0</v>
      </c>
      <c r="CK420" s="15">
        <v>0</v>
      </c>
      <c r="CL420" s="15">
        <v>0</v>
      </c>
      <c r="CM420" s="15">
        <v>0</v>
      </c>
      <c r="CN420" s="15">
        <v>0</v>
      </c>
      <c r="CO420" s="15">
        <v>0</v>
      </c>
      <c r="CP420" s="15">
        <v>0</v>
      </c>
      <c r="CQ420" s="15">
        <v>0</v>
      </c>
      <c r="CR420" s="15">
        <v>0</v>
      </c>
      <c r="CS420" s="15">
        <v>0</v>
      </c>
      <c r="CT420" s="15">
        <v>0</v>
      </c>
      <c r="CU420" s="15">
        <v>0</v>
      </c>
      <c r="CV420" s="15">
        <v>0</v>
      </c>
      <c r="CW420" s="15">
        <v>0</v>
      </c>
      <c r="CX420" s="15">
        <v>0</v>
      </c>
      <c r="CY420" s="15">
        <v>0</v>
      </c>
      <c r="CZ420" s="15">
        <v>1</v>
      </c>
      <c r="DA420" s="15">
        <v>2</v>
      </c>
      <c r="DB420" s="15">
        <v>0</v>
      </c>
      <c r="DC420" s="15">
        <v>0</v>
      </c>
      <c r="DD420" s="15">
        <v>0</v>
      </c>
      <c r="DE420" s="15">
        <v>0</v>
      </c>
      <c r="DF420" s="15">
        <v>0</v>
      </c>
      <c r="DG420" s="15">
        <v>0</v>
      </c>
      <c r="DH420" s="15">
        <v>0</v>
      </c>
      <c r="DI420" s="15">
        <v>0</v>
      </c>
      <c r="DJ420" s="15">
        <v>0</v>
      </c>
      <c r="DK420" s="15">
        <v>0</v>
      </c>
      <c r="DL420" s="15">
        <v>0</v>
      </c>
      <c r="DM420" s="15">
        <v>0</v>
      </c>
      <c r="DN420" s="15">
        <v>0</v>
      </c>
      <c r="DO420" s="15">
        <v>0</v>
      </c>
      <c r="DP420" s="15">
        <v>0</v>
      </c>
      <c r="DQ420" s="15">
        <v>0</v>
      </c>
      <c r="DR420" s="15">
        <v>0</v>
      </c>
      <c r="DS420" s="15">
        <v>0</v>
      </c>
      <c r="DT420" s="15">
        <v>0</v>
      </c>
      <c r="DU420" s="15">
        <v>0</v>
      </c>
      <c r="DV420" s="15">
        <v>0</v>
      </c>
      <c r="DW420" s="15">
        <v>0</v>
      </c>
      <c r="DX420" s="15">
        <v>0</v>
      </c>
      <c r="DY420" s="15">
        <v>0</v>
      </c>
      <c r="DZ420" s="15">
        <v>0</v>
      </c>
      <c r="EA420" s="15">
        <v>0</v>
      </c>
      <c r="EB420" s="15">
        <v>0</v>
      </c>
      <c r="EC420" s="15">
        <v>0</v>
      </c>
      <c r="ED420" s="15">
        <v>0</v>
      </c>
      <c r="EE420" s="15">
        <v>0</v>
      </c>
      <c r="EF420" s="15">
        <v>0</v>
      </c>
    </row>
    <row r="421" spans="1:136" ht="15" customHeight="1" x14ac:dyDescent="0.35">
      <c r="A421" s="8" t="s">
        <v>12</v>
      </c>
      <c r="B421" s="8" t="s">
        <v>18</v>
      </c>
      <c r="C421" s="8" t="s">
        <v>18</v>
      </c>
      <c r="D421" s="8" t="s">
        <v>320</v>
      </c>
      <c r="E421" s="8" t="s">
        <v>16</v>
      </c>
      <c r="F421" s="8" t="s">
        <v>84</v>
      </c>
      <c r="G421" s="15">
        <v>0</v>
      </c>
      <c r="H421" s="15">
        <v>3</v>
      </c>
      <c r="I421" s="15">
        <v>0</v>
      </c>
      <c r="J421" s="15">
        <v>3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5">
        <v>0</v>
      </c>
      <c r="CH421" s="15">
        <v>0</v>
      </c>
      <c r="CI421" s="15">
        <v>0</v>
      </c>
      <c r="CJ421" s="15">
        <v>0</v>
      </c>
      <c r="CK421" s="15">
        <v>0</v>
      </c>
      <c r="CL421" s="15">
        <v>0</v>
      </c>
      <c r="CM421" s="15">
        <v>0</v>
      </c>
      <c r="CN421" s="15">
        <v>0</v>
      </c>
      <c r="CO421" s="15">
        <v>0</v>
      </c>
      <c r="CP421" s="15">
        <v>0</v>
      </c>
      <c r="CQ421" s="15">
        <v>0</v>
      </c>
      <c r="CR421" s="15">
        <v>0</v>
      </c>
      <c r="CS421" s="15">
        <v>0</v>
      </c>
      <c r="CT421" s="15">
        <v>0</v>
      </c>
      <c r="CU421" s="15">
        <v>0</v>
      </c>
      <c r="CV421" s="15">
        <v>0</v>
      </c>
      <c r="CW421" s="15">
        <v>0</v>
      </c>
      <c r="CX421" s="15">
        <v>0</v>
      </c>
      <c r="CY421" s="15">
        <v>0</v>
      </c>
      <c r="CZ421" s="15">
        <v>0</v>
      </c>
      <c r="DA421" s="15">
        <v>0</v>
      </c>
      <c r="DB421" s="15">
        <v>0</v>
      </c>
      <c r="DC421" s="15">
        <v>0</v>
      </c>
      <c r="DD421" s="15">
        <v>0</v>
      </c>
      <c r="DE421" s="15">
        <v>0</v>
      </c>
      <c r="DF421" s="15">
        <v>0</v>
      </c>
      <c r="DG421" s="15">
        <v>0</v>
      </c>
      <c r="DH421" s="15">
        <v>0</v>
      </c>
      <c r="DI421" s="15">
        <v>0</v>
      </c>
      <c r="DJ421" s="15">
        <v>0</v>
      </c>
      <c r="DK421" s="15">
        <v>0</v>
      </c>
      <c r="DL421" s="15">
        <v>0</v>
      </c>
      <c r="DM421" s="15">
        <v>0</v>
      </c>
      <c r="DN421" s="15">
        <v>0</v>
      </c>
      <c r="DO421" s="15">
        <v>0</v>
      </c>
      <c r="DP421" s="15">
        <v>0</v>
      </c>
      <c r="DQ421" s="15">
        <v>0</v>
      </c>
      <c r="DR421" s="15">
        <v>0</v>
      </c>
      <c r="DS421" s="15">
        <v>0</v>
      </c>
      <c r="DT421" s="15">
        <v>0</v>
      </c>
      <c r="DU421" s="15">
        <v>0</v>
      </c>
      <c r="DV421" s="15">
        <v>0</v>
      </c>
      <c r="DW421" s="15">
        <v>0</v>
      </c>
      <c r="DX421" s="15">
        <v>0</v>
      </c>
      <c r="DY421" s="15">
        <v>0</v>
      </c>
      <c r="DZ421" s="15">
        <v>0</v>
      </c>
      <c r="EA421" s="15">
        <v>0</v>
      </c>
      <c r="EB421" s="15">
        <v>0</v>
      </c>
      <c r="EC421" s="15">
        <v>0</v>
      </c>
      <c r="ED421" s="15">
        <v>0</v>
      </c>
      <c r="EE421" s="15">
        <v>0</v>
      </c>
      <c r="EF421" s="15">
        <v>0</v>
      </c>
    </row>
    <row r="422" spans="1:136" ht="15" customHeight="1" x14ac:dyDescent="0.35">
      <c r="A422" s="8" t="s">
        <v>12</v>
      </c>
      <c r="B422" s="8" t="s">
        <v>18</v>
      </c>
      <c r="C422" s="8" t="s">
        <v>18</v>
      </c>
      <c r="D422" s="8" t="s">
        <v>321</v>
      </c>
      <c r="E422" s="8" t="s">
        <v>16</v>
      </c>
      <c r="F422" s="8" t="s">
        <v>40</v>
      </c>
      <c r="G422" s="15">
        <v>0</v>
      </c>
      <c r="H422" s="15">
        <v>0</v>
      </c>
      <c r="I422" s="15">
        <v>15</v>
      </c>
      <c r="J422" s="15">
        <v>-15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5">
        <v>0</v>
      </c>
      <c r="AX422" s="15">
        <v>0</v>
      </c>
      <c r="AY422" s="15">
        <v>0</v>
      </c>
      <c r="AZ422" s="15">
        <v>0</v>
      </c>
      <c r="BA422" s="15">
        <v>0</v>
      </c>
      <c r="BB422" s="15">
        <v>0</v>
      </c>
      <c r="BC422" s="15">
        <v>0</v>
      </c>
      <c r="BD422" s="15">
        <v>0</v>
      </c>
      <c r="BE422" s="15">
        <v>0</v>
      </c>
      <c r="BF422" s="15">
        <v>0</v>
      </c>
      <c r="BG422" s="15">
        <v>0</v>
      </c>
      <c r="BH422" s="15">
        <v>0</v>
      </c>
      <c r="BI422" s="15">
        <v>0</v>
      </c>
      <c r="BJ422" s="15">
        <v>0</v>
      </c>
      <c r="BK422" s="15">
        <v>0</v>
      </c>
      <c r="BL422" s="15">
        <v>0</v>
      </c>
      <c r="BM422" s="15">
        <v>0</v>
      </c>
      <c r="BN422" s="15">
        <v>0</v>
      </c>
      <c r="BO422" s="15">
        <v>0</v>
      </c>
      <c r="BP422" s="15">
        <v>0</v>
      </c>
      <c r="BQ422" s="15">
        <v>0</v>
      </c>
      <c r="BR422" s="15">
        <v>0</v>
      </c>
      <c r="BS422" s="15">
        <v>0</v>
      </c>
      <c r="BT422" s="15">
        <v>0</v>
      </c>
      <c r="BU422" s="15">
        <v>0</v>
      </c>
      <c r="BV422" s="15">
        <v>0</v>
      </c>
      <c r="BW422" s="15">
        <v>0</v>
      </c>
      <c r="BX422" s="15">
        <v>0</v>
      </c>
      <c r="BY422" s="15">
        <v>0</v>
      </c>
      <c r="BZ422" s="15">
        <v>0</v>
      </c>
      <c r="CA422" s="15">
        <v>0</v>
      </c>
      <c r="CB422" s="15">
        <v>0</v>
      </c>
      <c r="CC422" s="15">
        <v>0</v>
      </c>
      <c r="CD422" s="15">
        <v>0</v>
      </c>
      <c r="CE422" s="15">
        <v>0</v>
      </c>
      <c r="CF422" s="15">
        <v>0</v>
      </c>
      <c r="CG422" s="15">
        <v>0</v>
      </c>
      <c r="CH422" s="15">
        <v>0</v>
      </c>
      <c r="CI422" s="15">
        <v>0</v>
      </c>
      <c r="CJ422" s="15">
        <v>0</v>
      </c>
      <c r="CK422" s="15">
        <v>0</v>
      </c>
      <c r="CL422" s="15">
        <v>0</v>
      </c>
      <c r="CM422" s="15">
        <v>0</v>
      </c>
      <c r="CN422" s="15">
        <v>0</v>
      </c>
      <c r="CO422" s="15">
        <v>0</v>
      </c>
      <c r="CP422" s="15">
        <v>0</v>
      </c>
      <c r="CQ422" s="15">
        <v>0</v>
      </c>
      <c r="CR422" s="15">
        <v>0</v>
      </c>
      <c r="CS422" s="15">
        <v>0</v>
      </c>
      <c r="CT422" s="15">
        <v>0</v>
      </c>
      <c r="CU422" s="15">
        <v>0</v>
      </c>
      <c r="CV422" s="15">
        <v>0</v>
      </c>
      <c r="CW422" s="15">
        <v>0</v>
      </c>
      <c r="CX422" s="15">
        <v>0</v>
      </c>
      <c r="CY422" s="15">
        <v>0</v>
      </c>
      <c r="CZ422" s="15">
        <v>0</v>
      </c>
      <c r="DA422" s="15">
        <v>0</v>
      </c>
      <c r="DB422" s="15">
        <v>0</v>
      </c>
      <c r="DC422" s="15">
        <v>0</v>
      </c>
      <c r="DD422" s="15">
        <v>0</v>
      </c>
      <c r="DE422" s="15">
        <v>0</v>
      </c>
      <c r="DF422" s="15">
        <v>0</v>
      </c>
      <c r="DG422" s="15">
        <v>0</v>
      </c>
      <c r="DH422" s="15">
        <v>0</v>
      </c>
      <c r="DI422" s="15">
        <v>0</v>
      </c>
      <c r="DJ422" s="15">
        <v>0</v>
      </c>
      <c r="DK422" s="15">
        <v>0</v>
      </c>
      <c r="DL422" s="15">
        <v>0</v>
      </c>
      <c r="DM422" s="15">
        <v>0</v>
      </c>
      <c r="DN422" s="15">
        <v>0</v>
      </c>
      <c r="DO422" s="15">
        <v>0</v>
      </c>
      <c r="DP422" s="15">
        <v>5</v>
      </c>
      <c r="DQ422" s="15">
        <v>5</v>
      </c>
      <c r="DR422" s="15">
        <v>5</v>
      </c>
      <c r="DS422" s="15">
        <v>0</v>
      </c>
      <c r="DT422" s="15">
        <v>0</v>
      </c>
      <c r="DU422" s="15">
        <v>0</v>
      </c>
      <c r="DV422" s="15">
        <v>0</v>
      </c>
      <c r="DW422" s="15">
        <v>0</v>
      </c>
      <c r="DX422" s="15">
        <v>0</v>
      </c>
      <c r="DY422" s="15">
        <v>0</v>
      </c>
      <c r="DZ422" s="15">
        <v>0</v>
      </c>
      <c r="EA422" s="15">
        <v>0</v>
      </c>
      <c r="EB422" s="15">
        <v>0</v>
      </c>
      <c r="EC422" s="15">
        <v>0</v>
      </c>
      <c r="ED422" s="15">
        <v>0</v>
      </c>
      <c r="EE422" s="15">
        <v>0</v>
      </c>
      <c r="EF422" s="15">
        <v>0</v>
      </c>
    </row>
    <row r="423" spans="1:136" ht="15" customHeight="1" x14ac:dyDescent="0.35">
      <c r="A423" s="8" t="s">
        <v>12</v>
      </c>
      <c r="B423" s="8" t="s">
        <v>18</v>
      </c>
      <c r="C423" s="8" t="s">
        <v>18</v>
      </c>
      <c r="D423" s="8" t="s">
        <v>320</v>
      </c>
      <c r="E423" s="8" t="s">
        <v>16</v>
      </c>
      <c r="F423" s="8" t="s">
        <v>40</v>
      </c>
      <c r="G423" s="15">
        <v>0</v>
      </c>
      <c r="H423" s="15">
        <v>15</v>
      </c>
      <c r="I423" s="15">
        <v>0</v>
      </c>
      <c r="J423" s="15">
        <v>15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5">
        <v>0</v>
      </c>
      <c r="CH423" s="15">
        <v>0</v>
      </c>
      <c r="CI423" s="15">
        <v>0</v>
      </c>
      <c r="CJ423" s="15">
        <v>0</v>
      </c>
      <c r="CK423" s="15">
        <v>0</v>
      </c>
      <c r="CL423" s="15">
        <v>0</v>
      </c>
      <c r="CM423" s="15">
        <v>0</v>
      </c>
      <c r="CN423" s="15">
        <v>0</v>
      </c>
      <c r="CO423" s="15">
        <v>0</v>
      </c>
      <c r="CP423" s="15">
        <v>0</v>
      </c>
      <c r="CQ423" s="15">
        <v>0</v>
      </c>
      <c r="CR423" s="15">
        <v>0</v>
      </c>
      <c r="CS423" s="15">
        <v>0</v>
      </c>
      <c r="CT423" s="15">
        <v>0</v>
      </c>
      <c r="CU423" s="15">
        <v>0</v>
      </c>
      <c r="CV423" s="15">
        <v>0</v>
      </c>
      <c r="CW423" s="15">
        <v>0</v>
      </c>
      <c r="CX423" s="15">
        <v>0</v>
      </c>
      <c r="CY423" s="15">
        <v>0</v>
      </c>
      <c r="CZ423" s="15">
        <v>0</v>
      </c>
      <c r="DA423" s="15">
        <v>0</v>
      </c>
      <c r="DB423" s="15">
        <v>0</v>
      </c>
      <c r="DC423" s="15">
        <v>0</v>
      </c>
      <c r="DD423" s="15">
        <v>0</v>
      </c>
      <c r="DE423" s="15">
        <v>0</v>
      </c>
      <c r="DF423" s="15">
        <v>0</v>
      </c>
      <c r="DG423" s="15">
        <v>0</v>
      </c>
      <c r="DH423" s="15">
        <v>0</v>
      </c>
      <c r="DI423" s="15">
        <v>0</v>
      </c>
      <c r="DJ423" s="15">
        <v>0</v>
      </c>
      <c r="DK423" s="15">
        <v>0</v>
      </c>
      <c r="DL423" s="15">
        <v>0</v>
      </c>
      <c r="DM423" s="15">
        <v>0</v>
      </c>
      <c r="DN423" s="15">
        <v>0</v>
      </c>
      <c r="DO423" s="15">
        <v>0</v>
      </c>
      <c r="DP423" s="15">
        <v>0</v>
      </c>
      <c r="DQ423" s="15">
        <v>0</v>
      </c>
      <c r="DR423" s="15">
        <v>0</v>
      </c>
      <c r="DS423" s="15">
        <v>0</v>
      </c>
      <c r="DT423" s="15">
        <v>0</v>
      </c>
      <c r="DU423" s="15">
        <v>0</v>
      </c>
      <c r="DV423" s="15">
        <v>0</v>
      </c>
      <c r="DW423" s="15">
        <v>0</v>
      </c>
      <c r="DX423" s="15">
        <v>0</v>
      </c>
      <c r="DY423" s="15">
        <v>0</v>
      </c>
      <c r="DZ423" s="15">
        <v>0</v>
      </c>
      <c r="EA423" s="15">
        <v>0</v>
      </c>
      <c r="EB423" s="15">
        <v>0</v>
      </c>
      <c r="EC423" s="15">
        <v>0</v>
      </c>
      <c r="ED423" s="15">
        <v>0</v>
      </c>
      <c r="EE423" s="15">
        <v>0</v>
      </c>
      <c r="EF423" s="15">
        <v>0</v>
      </c>
    </row>
    <row r="424" spans="1:136" ht="15" customHeight="1" x14ac:dyDescent="0.35">
      <c r="A424" s="8" t="s">
        <v>12</v>
      </c>
      <c r="B424" s="8" t="s">
        <v>18</v>
      </c>
      <c r="C424" s="8" t="s">
        <v>18</v>
      </c>
      <c r="D424" s="8" t="s">
        <v>321</v>
      </c>
      <c r="E424" s="8" t="s">
        <v>16</v>
      </c>
      <c r="F424" s="8" t="s">
        <v>85</v>
      </c>
      <c r="G424" s="15">
        <v>0</v>
      </c>
      <c r="H424" s="15">
        <v>0</v>
      </c>
      <c r="I424" s="15">
        <v>115</v>
      </c>
      <c r="J424" s="15">
        <v>-115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3</v>
      </c>
      <c r="AM424" s="15">
        <v>0</v>
      </c>
      <c r="AN424" s="15">
        <v>3</v>
      </c>
      <c r="AO424" s="15">
        <v>14</v>
      </c>
      <c r="AP424" s="15">
        <v>7</v>
      </c>
      <c r="AQ424" s="15">
        <v>0</v>
      </c>
      <c r="AR424" s="15">
        <v>3</v>
      </c>
      <c r="AS424" s="15">
        <v>0</v>
      </c>
      <c r="AT424" s="15">
        <v>0</v>
      </c>
      <c r="AU424" s="15">
        <v>0</v>
      </c>
      <c r="AV424" s="15">
        <v>0</v>
      </c>
      <c r="AW424" s="15">
        <v>0</v>
      </c>
      <c r="AX424" s="15">
        <v>0</v>
      </c>
      <c r="AY424" s="15">
        <v>0</v>
      </c>
      <c r="AZ424" s="15">
        <v>0</v>
      </c>
      <c r="BA424" s="15">
        <v>0</v>
      </c>
      <c r="BB424" s="15">
        <v>0</v>
      </c>
      <c r="BC424" s="15">
        <v>0</v>
      </c>
      <c r="BD424" s="15">
        <v>0</v>
      </c>
      <c r="BE424" s="15">
        <v>0</v>
      </c>
      <c r="BF424" s="15">
        <v>0</v>
      </c>
      <c r="BG424" s="15">
        <v>0</v>
      </c>
      <c r="BH424" s="15">
        <v>0</v>
      </c>
      <c r="BI424" s="15">
        <v>0</v>
      </c>
      <c r="BJ424" s="15">
        <v>0</v>
      </c>
      <c r="BK424" s="15">
        <v>0</v>
      </c>
      <c r="BL424" s="15">
        <v>0</v>
      </c>
      <c r="BM424" s="15">
        <v>0</v>
      </c>
      <c r="BN424" s="15">
        <v>0</v>
      </c>
      <c r="BO424" s="15">
        <v>0</v>
      </c>
      <c r="BP424" s="15">
        <v>0</v>
      </c>
      <c r="BQ424" s="15">
        <v>0</v>
      </c>
      <c r="BR424" s="15">
        <v>0</v>
      </c>
      <c r="BS424" s="15">
        <v>0</v>
      </c>
      <c r="BT424" s="15">
        <v>0</v>
      </c>
      <c r="BU424" s="15">
        <v>0</v>
      </c>
      <c r="BV424" s="15">
        <v>0</v>
      </c>
      <c r="BW424" s="15">
        <v>0</v>
      </c>
      <c r="BX424" s="15">
        <v>0</v>
      </c>
      <c r="BY424" s="15">
        <v>0</v>
      </c>
      <c r="BZ424" s="15">
        <v>0</v>
      </c>
      <c r="CA424" s="15">
        <v>0</v>
      </c>
      <c r="CB424" s="15">
        <v>0</v>
      </c>
      <c r="CC424" s="15">
        <v>0</v>
      </c>
      <c r="CD424" s="15">
        <v>0</v>
      </c>
      <c r="CE424" s="15">
        <v>0</v>
      </c>
      <c r="CF424" s="15">
        <v>0</v>
      </c>
      <c r="CG424" s="15">
        <v>0</v>
      </c>
      <c r="CH424" s="15">
        <v>0</v>
      </c>
      <c r="CI424" s="15">
        <v>0</v>
      </c>
      <c r="CJ424" s="15">
        <v>0</v>
      </c>
      <c r="CK424" s="15">
        <v>0</v>
      </c>
      <c r="CL424" s="15">
        <v>0</v>
      </c>
      <c r="CM424" s="15">
        <v>0</v>
      </c>
      <c r="CN424" s="15">
        <v>0</v>
      </c>
      <c r="CO424" s="15">
        <v>0</v>
      </c>
      <c r="CP424" s="15">
        <v>0</v>
      </c>
      <c r="CQ424" s="15">
        <v>0</v>
      </c>
      <c r="CR424" s="15">
        <v>0</v>
      </c>
      <c r="CS424" s="15">
        <v>1</v>
      </c>
      <c r="CT424" s="15">
        <v>8</v>
      </c>
      <c r="CU424" s="15">
        <v>12</v>
      </c>
      <c r="CV424" s="15">
        <v>1</v>
      </c>
      <c r="CW424" s="15">
        <v>1</v>
      </c>
      <c r="CX424" s="15">
        <v>1</v>
      </c>
      <c r="CY424" s="15">
        <v>1</v>
      </c>
      <c r="CZ424" s="15">
        <v>1</v>
      </c>
      <c r="DA424" s="15">
        <v>1</v>
      </c>
      <c r="DB424" s="15">
        <v>1</v>
      </c>
      <c r="DC424" s="15">
        <v>1</v>
      </c>
      <c r="DD424" s="15">
        <v>2.5</v>
      </c>
      <c r="DE424" s="15">
        <v>8</v>
      </c>
      <c r="DF424" s="15">
        <v>10.5</v>
      </c>
      <c r="DG424" s="15">
        <v>1</v>
      </c>
      <c r="DH424" s="15">
        <v>1</v>
      </c>
      <c r="DI424" s="15">
        <v>1</v>
      </c>
      <c r="DJ424" s="15">
        <v>0</v>
      </c>
      <c r="DK424" s="15">
        <v>3</v>
      </c>
      <c r="DL424" s="15">
        <v>1</v>
      </c>
      <c r="DM424" s="15">
        <v>1</v>
      </c>
      <c r="DN424" s="15">
        <v>1</v>
      </c>
      <c r="DO424" s="15">
        <v>2</v>
      </c>
      <c r="DP424" s="15">
        <v>10</v>
      </c>
      <c r="DQ424" s="15">
        <v>12</v>
      </c>
      <c r="DR424" s="15">
        <v>2</v>
      </c>
      <c r="DS424" s="15">
        <v>0</v>
      </c>
      <c r="DT424" s="15">
        <v>0</v>
      </c>
      <c r="DU424" s="15">
        <v>0</v>
      </c>
      <c r="DV424" s="15">
        <v>0</v>
      </c>
      <c r="DW424" s="15">
        <v>0</v>
      </c>
      <c r="DX424" s="15">
        <v>0</v>
      </c>
      <c r="DY424" s="15">
        <v>0</v>
      </c>
      <c r="DZ424" s="15">
        <v>0</v>
      </c>
      <c r="EA424" s="15">
        <v>0</v>
      </c>
      <c r="EB424" s="15">
        <v>0</v>
      </c>
      <c r="EC424" s="15">
        <v>0</v>
      </c>
      <c r="ED424" s="15">
        <v>0</v>
      </c>
      <c r="EE424" s="15">
        <v>0</v>
      </c>
      <c r="EF424" s="15">
        <v>0</v>
      </c>
    </row>
    <row r="425" spans="1:136" ht="15" customHeight="1" x14ac:dyDescent="0.35">
      <c r="A425" s="8" t="s">
        <v>12</v>
      </c>
      <c r="B425" s="8" t="s">
        <v>18</v>
      </c>
      <c r="C425" s="8" t="s">
        <v>18</v>
      </c>
      <c r="D425" s="8" t="s">
        <v>320</v>
      </c>
      <c r="E425" s="8" t="s">
        <v>16</v>
      </c>
      <c r="F425" s="8" t="s">
        <v>85</v>
      </c>
      <c r="G425" s="15">
        <v>8</v>
      </c>
      <c r="H425" s="15">
        <v>8</v>
      </c>
      <c r="I425" s="15">
        <v>9.5</v>
      </c>
      <c r="J425" s="15">
        <v>-1.5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3.5</v>
      </c>
      <c r="AE425" s="15">
        <v>0</v>
      </c>
      <c r="AF425" s="15">
        <v>4</v>
      </c>
      <c r="AG425" s="15">
        <v>0.5</v>
      </c>
      <c r="AH425" s="15">
        <v>1.5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5">
        <v>0</v>
      </c>
      <c r="CH425" s="15">
        <v>0</v>
      </c>
      <c r="CI425" s="15">
        <v>0</v>
      </c>
      <c r="CJ425" s="15">
        <v>0</v>
      </c>
      <c r="CK425" s="15">
        <v>0</v>
      </c>
      <c r="CL425" s="15">
        <v>0</v>
      </c>
      <c r="CM425" s="15">
        <v>0</v>
      </c>
      <c r="CN425" s="15">
        <v>0</v>
      </c>
      <c r="CO425" s="15">
        <v>0</v>
      </c>
      <c r="CP425" s="15">
        <v>0</v>
      </c>
      <c r="CQ425" s="15">
        <v>0</v>
      </c>
      <c r="CR425" s="15">
        <v>0</v>
      </c>
      <c r="CS425" s="15">
        <v>0</v>
      </c>
      <c r="CT425" s="15">
        <v>0</v>
      </c>
      <c r="CU425" s="15">
        <v>0</v>
      </c>
      <c r="CV425" s="15">
        <v>0</v>
      </c>
      <c r="CW425" s="15">
        <v>0</v>
      </c>
      <c r="CX425" s="15">
        <v>0</v>
      </c>
      <c r="CY425" s="15">
        <v>0</v>
      </c>
      <c r="CZ425" s="15">
        <v>0</v>
      </c>
      <c r="DA425" s="15">
        <v>0</v>
      </c>
      <c r="DB425" s="15">
        <v>0</v>
      </c>
      <c r="DC425" s="15">
        <v>0</v>
      </c>
      <c r="DD425" s="15">
        <v>0</v>
      </c>
      <c r="DE425" s="15">
        <v>0</v>
      </c>
      <c r="DF425" s="15">
        <v>0</v>
      </c>
      <c r="DG425" s="15">
        <v>0</v>
      </c>
      <c r="DH425" s="15">
        <v>0</v>
      </c>
      <c r="DI425" s="15">
        <v>0</v>
      </c>
      <c r="DJ425" s="15">
        <v>0</v>
      </c>
      <c r="DK425" s="15">
        <v>0</v>
      </c>
      <c r="DL425" s="15">
        <v>0</v>
      </c>
      <c r="DM425" s="15">
        <v>0</v>
      </c>
      <c r="DN425" s="15">
        <v>0</v>
      </c>
      <c r="DO425" s="15">
        <v>0</v>
      </c>
      <c r="DP425" s="15">
        <v>0</v>
      </c>
      <c r="DQ425" s="15">
        <v>0</v>
      </c>
      <c r="DR425" s="15">
        <v>0</v>
      </c>
      <c r="DS425" s="15">
        <v>0</v>
      </c>
      <c r="DT425" s="15">
        <v>0</v>
      </c>
      <c r="DU425" s="15">
        <v>0</v>
      </c>
      <c r="DV425" s="15">
        <v>0</v>
      </c>
      <c r="DW425" s="15">
        <v>0</v>
      </c>
      <c r="DX425" s="15">
        <v>0</v>
      </c>
      <c r="DY425" s="15">
        <v>0</v>
      </c>
      <c r="DZ425" s="15">
        <v>0</v>
      </c>
      <c r="EA425" s="15">
        <v>0</v>
      </c>
      <c r="EB425" s="15">
        <v>0</v>
      </c>
      <c r="EC425" s="15">
        <v>0</v>
      </c>
      <c r="ED425" s="15">
        <v>0</v>
      </c>
      <c r="EE425" s="15">
        <v>0</v>
      </c>
      <c r="EF425" s="15">
        <v>0</v>
      </c>
    </row>
    <row r="426" spans="1:136" ht="15" customHeight="1" x14ac:dyDescent="0.35">
      <c r="A426" s="8" t="s">
        <v>12</v>
      </c>
      <c r="B426" s="8" t="s">
        <v>18</v>
      </c>
      <c r="C426" s="8" t="s">
        <v>18</v>
      </c>
      <c r="D426" s="8" t="s">
        <v>321</v>
      </c>
      <c r="E426" s="8" t="s">
        <v>16</v>
      </c>
      <c r="F426" s="8" t="s">
        <v>103</v>
      </c>
      <c r="G426" s="15">
        <v>0</v>
      </c>
      <c r="H426" s="15">
        <v>0</v>
      </c>
      <c r="I426" s="15">
        <v>225</v>
      </c>
      <c r="J426" s="15">
        <v>-225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1</v>
      </c>
      <c r="AK426" s="15">
        <v>3</v>
      </c>
      <c r="AL426" s="15">
        <v>1.5</v>
      </c>
      <c r="AM426" s="15">
        <v>4.5</v>
      </c>
      <c r="AN426" s="15">
        <v>0</v>
      </c>
      <c r="AO426" s="15">
        <v>1</v>
      </c>
      <c r="AP426" s="15">
        <v>4</v>
      </c>
      <c r="AQ426" s="15">
        <v>0</v>
      </c>
      <c r="AR426" s="15">
        <v>18</v>
      </c>
      <c r="AS426" s="15">
        <v>6</v>
      </c>
      <c r="AT426" s="15">
        <v>0</v>
      </c>
      <c r="AU426" s="15">
        <v>0</v>
      </c>
      <c r="AV426" s="15">
        <v>0</v>
      </c>
      <c r="AW426" s="15">
        <v>0</v>
      </c>
      <c r="AX426" s="15">
        <v>0</v>
      </c>
      <c r="AY426" s="15">
        <v>0</v>
      </c>
      <c r="AZ426" s="15">
        <v>0</v>
      </c>
      <c r="BA426" s="15">
        <v>0</v>
      </c>
      <c r="BB426" s="15">
        <v>0</v>
      </c>
      <c r="BC426" s="15">
        <v>0</v>
      </c>
      <c r="BD426" s="15">
        <v>0</v>
      </c>
      <c r="BE426" s="15">
        <v>0</v>
      </c>
      <c r="BF426" s="15">
        <v>0</v>
      </c>
      <c r="BG426" s="15">
        <v>0</v>
      </c>
      <c r="BH426" s="15">
        <v>0</v>
      </c>
      <c r="BI426" s="15">
        <v>0</v>
      </c>
      <c r="BJ426" s="15">
        <v>0</v>
      </c>
      <c r="BK426" s="15">
        <v>0</v>
      </c>
      <c r="BL426" s="15">
        <v>0</v>
      </c>
      <c r="BM426" s="15">
        <v>0</v>
      </c>
      <c r="BN426" s="15">
        <v>0</v>
      </c>
      <c r="BO426" s="15">
        <v>0</v>
      </c>
      <c r="BP426" s="15">
        <v>0</v>
      </c>
      <c r="BQ426" s="15">
        <v>0</v>
      </c>
      <c r="BR426" s="15">
        <v>0</v>
      </c>
      <c r="BS426" s="15">
        <v>0</v>
      </c>
      <c r="BT426" s="15">
        <v>0</v>
      </c>
      <c r="BU426" s="15">
        <v>0</v>
      </c>
      <c r="BV426" s="15">
        <v>0</v>
      </c>
      <c r="BW426" s="15">
        <v>0</v>
      </c>
      <c r="BX426" s="15">
        <v>0</v>
      </c>
      <c r="BY426" s="15">
        <v>0</v>
      </c>
      <c r="BZ426" s="15">
        <v>0</v>
      </c>
      <c r="CA426" s="15">
        <v>0</v>
      </c>
      <c r="CB426" s="15">
        <v>0</v>
      </c>
      <c r="CC426" s="15">
        <v>0</v>
      </c>
      <c r="CD426" s="15">
        <v>0</v>
      </c>
      <c r="CE426" s="15">
        <v>0</v>
      </c>
      <c r="CF426" s="15">
        <v>0</v>
      </c>
      <c r="CG426" s="15">
        <v>0</v>
      </c>
      <c r="CH426" s="15">
        <v>0</v>
      </c>
      <c r="CI426" s="15">
        <v>0</v>
      </c>
      <c r="CJ426" s="15">
        <v>0</v>
      </c>
      <c r="CK426" s="15">
        <v>0</v>
      </c>
      <c r="CL426" s="15">
        <v>0</v>
      </c>
      <c r="CM426" s="15">
        <v>0</v>
      </c>
      <c r="CN426" s="15">
        <v>0</v>
      </c>
      <c r="CO426" s="15">
        <v>0</v>
      </c>
      <c r="CP426" s="15">
        <v>0</v>
      </c>
      <c r="CQ426" s="15">
        <v>0</v>
      </c>
      <c r="CR426" s="15">
        <v>0</v>
      </c>
      <c r="CS426" s="15">
        <v>10</v>
      </c>
      <c r="CT426" s="15">
        <v>10</v>
      </c>
      <c r="CU426" s="15">
        <v>0</v>
      </c>
      <c r="CV426" s="15">
        <v>0</v>
      </c>
      <c r="CW426" s="15">
        <v>0</v>
      </c>
      <c r="CX426" s="15">
        <v>0</v>
      </c>
      <c r="CY426" s="15">
        <v>0</v>
      </c>
      <c r="CZ426" s="15">
        <v>10</v>
      </c>
      <c r="DA426" s="15">
        <v>10</v>
      </c>
      <c r="DB426" s="15">
        <v>10</v>
      </c>
      <c r="DC426" s="15">
        <v>0</v>
      </c>
      <c r="DD426" s="15">
        <v>15</v>
      </c>
      <c r="DE426" s="15">
        <v>0</v>
      </c>
      <c r="DF426" s="15">
        <v>0</v>
      </c>
      <c r="DG426" s="15">
        <v>0</v>
      </c>
      <c r="DH426" s="15">
        <v>0</v>
      </c>
      <c r="DI426" s="15">
        <v>0</v>
      </c>
      <c r="DJ426" s="15">
        <v>0</v>
      </c>
      <c r="DK426" s="15">
        <v>11</v>
      </c>
      <c r="DL426" s="15">
        <v>20</v>
      </c>
      <c r="DM426" s="15">
        <v>13</v>
      </c>
      <c r="DN426" s="15">
        <v>18</v>
      </c>
      <c r="DO426" s="15">
        <v>18</v>
      </c>
      <c r="DP426" s="15">
        <v>18</v>
      </c>
      <c r="DQ426" s="15">
        <v>29</v>
      </c>
      <c r="DR426" s="15">
        <v>0</v>
      </c>
      <c r="DS426" s="15">
        <v>0</v>
      </c>
      <c r="DT426" s="15">
        <v>0</v>
      </c>
      <c r="DU426" s="15">
        <v>0</v>
      </c>
      <c r="DV426" s="15">
        <v>0</v>
      </c>
      <c r="DW426" s="15">
        <v>0</v>
      </c>
      <c r="DX426" s="15">
        <v>0</v>
      </c>
      <c r="DY426" s="15">
        <v>0</v>
      </c>
      <c r="DZ426" s="15">
        <v>0</v>
      </c>
      <c r="EA426" s="15">
        <v>0</v>
      </c>
      <c r="EB426" s="15">
        <v>0</v>
      </c>
      <c r="EC426" s="15">
        <v>0</v>
      </c>
      <c r="ED426" s="15">
        <v>0</v>
      </c>
      <c r="EE426" s="15">
        <v>0</v>
      </c>
      <c r="EF426" s="15">
        <v>0</v>
      </c>
    </row>
    <row r="427" spans="1:136" ht="15" customHeight="1" x14ac:dyDescent="0.35">
      <c r="A427" s="8" t="s">
        <v>12</v>
      </c>
      <c r="B427" s="8" t="s">
        <v>18</v>
      </c>
      <c r="C427" s="8" t="s">
        <v>18</v>
      </c>
      <c r="D427" s="8" t="s">
        <v>320</v>
      </c>
      <c r="E427" s="8" t="s">
        <v>16</v>
      </c>
      <c r="F427" s="8" t="s">
        <v>103</v>
      </c>
      <c r="G427" s="15">
        <v>65.5</v>
      </c>
      <c r="H427" s="15">
        <v>284.5</v>
      </c>
      <c r="I427" s="15">
        <v>23.5</v>
      </c>
      <c r="J427" s="15">
        <v>261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3</v>
      </c>
      <c r="AD427" s="15">
        <v>4.5</v>
      </c>
      <c r="AE427" s="15">
        <v>0</v>
      </c>
      <c r="AF427" s="15">
        <v>10</v>
      </c>
      <c r="AG427" s="15">
        <v>2</v>
      </c>
      <c r="AH427" s="15">
        <v>2</v>
      </c>
      <c r="AI427" s="15">
        <v>2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5">
        <v>0</v>
      </c>
      <c r="CH427" s="15">
        <v>0</v>
      </c>
      <c r="CI427" s="15">
        <v>0</v>
      </c>
      <c r="CJ427" s="15">
        <v>0</v>
      </c>
      <c r="CK427" s="15">
        <v>0</v>
      </c>
      <c r="CL427" s="15">
        <v>0</v>
      </c>
      <c r="CM427" s="15">
        <v>0</v>
      </c>
      <c r="CN427" s="15">
        <v>0</v>
      </c>
      <c r="CO427" s="15">
        <v>0</v>
      </c>
      <c r="CP427" s="15">
        <v>0</v>
      </c>
      <c r="CQ427" s="15">
        <v>0</v>
      </c>
      <c r="CR427" s="15">
        <v>0</v>
      </c>
      <c r="CS427" s="15">
        <v>0</v>
      </c>
      <c r="CT427" s="15">
        <v>0</v>
      </c>
      <c r="CU427" s="15">
        <v>0</v>
      </c>
      <c r="CV427" s="15">
        <v>0</v>
      </c>
      <c r="CW427" s="15">
        <v>0</v>
      </c>
      <c r="CX427" s="15">
        <v>0</v>
      </c>
      <c r="CY427" s="15">
        <v>0</v>
      </c>
      <c r="CZ427" s="15">
        <v>0</v>
      </c>
      <c r="DA427" s="15">
        <v>0</v>
      </c>
      <c r="DB427" s="15">
        <v>0</v>
      </c>
      <c r="DC427" s="15">
        <v>0</v>
      </c>
      <c r="DD427" s="15">
        <v>0</v>
      </c>
      <c r="DE427" s="15">
        <v>0</v>
      </c>
      <c r="DF427" s="15">
        <v>0</v>
      </c>
      <c r="DG427" s="15">
        <v>0</v>
      </c>
      <c r="DH427" s="15">
        <v>0</v>
      </c>
      <c r="DI427" s="15">
        <v>0</v>
      </c>
      <c r="DJ427" s="15">
        <v>0</v>
      </c>
      <c r="DK427" s="15">
        <v>0</v>
      </c>
      <c r="DL427" s="15">
        <v>0</v>
      </c>
      <c r="DM427" s="15">
        <v>0</v>
      </c>
      <c r="DN427" s="15">
        <v>0</v>
      </c>
      <c r="DO427" s="15">
        <v>0</v>
      </c>
      <c r="DP427" s="15">
        <v>0</v>
      </c>
      <c r="DQ427" s="15">
        <v>0</v>
      </c>
      <c r="DR427" s="15">
        <v>0</v>
      </c>
      <c r="DS427" s="15">
        <v>0</v>
      </c>
      <c r="DT427" s="15">
        <v>0</v>
      </c>
      <c r="DU427" s="15">
        <v>0</v>
      </c>
      <c r="DV427" s="15">
        <v>0</v>
      </c>
      <c r="DW427" s="15">
        <v>0</v>
      </c>
      <c r="DX427" s="15">
        <v>0</v>
      </c>
      <c r="DY427" s="15">
        <v>0</v>
      </c>
      <c r="DZ427" s="15">
        <v>0</v>
      </c>
      <c r="EA427" s="15">
        <v>0</v>
      </c>
      <c r="EB427" s="15">
        <v>0</v>
      </c>
      <c r="EC427" s="15">
        <v>0</v>
      </c>
      <c r="ED427" s="15">
        <v>0</v>
      </c>
      <c r="EE427" s="15">
        <v>0</v>
      </c>
      <c r="EF427" s="15">
        <v>0</v>
      </c>
    </row>
    <row r="428" spans="1:136" ht="15" customHeight="1" x14ac:dyDescent="0.35">
      <c r="A428" s="8" t="s">
        <v>12</v>
      </c>
      <c r="B428" s="8" t="s">
        <v>18</v>
      </c>
      <c r="C428" s="8" t="s">
        <v>18</v>
      </c>
      <c r="D428" s="8" t="s">
        <v>320</v>
      </c>
      <c r="E428" s="8" t="s">
        <v>16</v>
      </c>
      <c r="F428" s="8" t="s">
        <v>86</v>
      </c>
      <c r="G428" s="15">
        <v>0</v>
      </c>
      <c r="H428" s="15">
        <v>0</v>
      </c>
      <c r="I428" s="15">
        <v>10</v>
      </c>
      <c r="J428" s="15">
        <v>-10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3</v>
      </c>
      <c r="Z428" s="15">
        <v>0.5</v>
      </c>
      <c r="AA428" s="15">
        <v>6.5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5">
        <v>0</v>
      </c>
      <c r="AV428" s="15">
        <v>0</v>
      </c>
      <c r="AW428" s="15">
        <v>0</v>
      </c>
      <c r="AX428" s="15">
        <v>0</v>
      </c>
      <c r="AY428" s="15">
        <v>0</v>
      </c>
      <c r="AZ428" s="15">
        <v>0</v>
      </c>
      <c r="BA428" s="15">
        <v>0</v>
      </c>
      <c r="BB428" s="15">
        <v>0</v>
      </c>
      <c r="BC428" s="15">
        <v>0</v>
      </c>
      <c r="BD428" s="15">
        <v>0</v>
      </c>
      <c r="BE428" s="15">
        <v>0</v>
      </c>
      <c r="BF428" s="15">
        <v>0</v>
      </c>
      <c r="BG428" s="15">
        <v>0</v>
      </c>
      <c r="BH428" s="15">
        <v>0</v>
      </c>
      <c r="BI428" s="15">
        <v>0</v>
      </c>
      <c r="BJ428" s="15">
        <v>0</v>
      </c>
      <c r="BK428" s="15">
        <v>0</v>
      </c>
      <c r="BL428" s="15">
        <v>0</v>
      </c>
      <c r="BM428" s="15">
        <v>0</v>
      </c>
      <c r="BN428" s="15">
        <v>0</v>
      </c>
      <c r="BO428" s="15">
        <v>0</v>
      </c>
      <c r="BP428" s="15">
        <v>0</v>
      </c>
      <c r="BQ428" s="15">
        <v>0</v>
      </c>
      <c r="BR428" s="15">
        <v>0</v>
      </c>
      <c r="BS428" s="15">
        <v>0</v>
      </c>
      <c r="BT428" s="15">
        <v>0</v>
      </c>
      <c r="BU428" s="15">
        <v>0</v>
      </c>
      <c r="BV428" s="15">
        <v>0</v>
      </c>
      <c r="BW428" s="15">
        <v>0</v>
      </c>
      <c r="BX428" s="15">
        <v>0</v>
      </c>
      <c r="BY428" s="15">
        <v>0</v>
      </c>
      <c r="BZ428" s="15">
        <v>0</v>
      </c>
      <c r="CA428" s="15">
        <v>0</v>
      </c>
      <c r="CB428" s="15">
        <v>0</v>
      </c>
      <c r="CC428" s="15">
        <v>0</v>
      </c>
      <c r="CD428" s="15">
        <v>0</v>
      </c>
      <c r="CE428" s="15">
        <v>0</v>
      </c>
      <c r="CF428" s="15">
        <v>0</v>
      </c>
      <c r="CG428" s="15">
        <v>0</v>
      </c>
      <c r="CH428" s="15">
        <v>0</v>
      </c>
      <c r="CI428" s="15">
        <v>0</v>
      </c>
      <c r="CJ428" s="15">
        <v>0</v>
      </c>
      <c r="CK428" s="15">
        <v>0</v>
      </c>
      <c r="CL428" s="15">
        <v>0</v>
      </c>
      <c r="CM428" s="15">
        <v>0</v>
      </c>
      <c r="CN428" s="15">
        <v>0</v>
      </c>
      <c r="CO428" s="15">
        <v>0</v>
      </c>
      <c r="CP428" s="15">
        <v>0</v>
      </c>
      <c r="CQ428" s="15">
        <v>0</v>
      </c>
      <c r="CR428" s="15">
        <v>0</v>
      </c>
      <c r="CS428" s="15">
        <v>0</v>
      </c>
      <c r="CT428" s="15">
        <v>0</v>
      </c>
      <c r="CU428" s="15">
        <v>0</v>
      </c>
      <c r="CV428" s="15">
        <v>0</v>
      </c>
      <c r="CW428" s="15">
        <v>0</v>
      </c>
      <c r="CX428" s="15">
        <v>0</v>
      </c>
      <c r="CY428" s="15">
        <v>0</v>
      </c>
      <c r="CZ428" s="15">
        <v>0</v>
      </c>
      <c r="DA428" s="15">
        <v>0</v>
      </c>
      <c r="DB428" s="15">
        <v>0</v>
      </c>
      <c r="DC428" s="15">
        <v>0</v>
      </c>
      <c r="DD428" s="15">
        <v>0</v>
      </c>
      <c r="DE428" s="15">
        <v>0</v>
      </c>
      <c r="DF428" s="15">
        <v>0</v>
      </c>
      <c r="DG428" s="15">
        <v>0</v>
      </c>
      <c r="DH428" s="15">
        <v>0</v>
      </c>
      <c r="DI428" s="15">
        <v>0</v>
      </c>
      <c r="DJ428" s="15">
        <v>0</v>
      </c>
      <c r="DK428" s="15">
        <v>0</v>
      </c>
      <c r="DL428" s="15">
        <v>0</v>
      </c>
      <c r="DM428" s="15">
        <v>0</v>
      </c>
      <c r="DN428" s="15">
        <v>0</v>
      </c>
      <c r="DO428" s="15">
        <v>0</v>
      </c>
      <c r="DP428" s="15">
        <v>0</v>
      </c>
      <c r="DQ428" s="15">
        <v>0</v>
      </c>
      <c r="DR428" s="15">
        <v>0</v>
      </c>
      <c r="DS428" s="15">
        <v>0</v>
      </c>
      <c r="DT428" s="15">
        <v>0</v>
      </c>
      <c r="DU428" s="15">
        <v>0</v>
      </c>
      <c r="DV428" s="15">
        <v>0</v>
      </c>
      <c r="DW428" s="15">
        <v>0</v>
      </c>
      <c r="DX428" s="15">
        <v>0</v>
      </c>
      <c r="DY428" s="15">
        <v>0</v>
      </c>
      <c r="DZ428" s="15">
        <v>0</v>
      </c>
      <c r="EA428" s="15">
        <v>0</v>
      </c>
      <c r="EB428" s="15">
        <v>0</v>
      </c>
      <c r="EC428" s="15">
        <v>0</v>
      </c>
      <c r="ED428" s="15">
        <v>0</v>
      </c>
      <c r="EE428" s="15">
        <v>0</v>
      </c>
      <c r="EF428" s="15">
        <v>0</v>
      </c>
    </row>
    <row r="429" spans="1:136" ht="15" customHeight="1" x14ac:dyDescent="0.35">
      <c r="A429" s="8" t="s">
        <v>12</v>
      </c>
      <c r="B429" s="8" t="s">
        <v>18</v>
      </c>
      <c r="C429" s="8" t="s">
        <v>18</v>
      </c>
      <c r="D429" s="8" t="s">
        <v>321</v>
      </c>
      <c r="E429" s="8" t="s">
        <v>16</v>
      </c>
      <c r="F429" s="8" t="s">
        <v>99</v>
      </c>
      <c r="G429" s="15">
        <v>0</v>
      </c>
      <c r="H429" s="15">
        <v>0</v>
      </c>
      <c r="I429" s="15">
        <v>63</v>
      </c>
      <c r="J429" s="15">
        <v>-63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3</v>
      </c>
      <c r="AO429" s="15">
        <v>1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5">
        <v>0</v>
      </c>
      <c r="CH429" s="15">
        <v>0</v>
      </c>
      <c r="CI429" s="15">
        <v>0</v>
      </c>
      <c r="CJ429" s="15">
        <v>0</v>
      </c>
      <c r="CK429" s="15">
        <v>0</v>
      </c>
      <c r="CL429" s="15">
        <v>0</v>
      </c>
      <c r="CM429" s="15">
        <v>0</v>
      </c>
      <c r="CN429" s="15">
        <v>0</v>
      </c>
      <c r="CO429" s="15">
        <v>0</v>
      </c>
      <c r="CP429" s="15">
        <v>0</v>
      </c>
      <c r="CQ429" s="15">
        <v>0</v>
      </c>
      <c r="CR429" s="15">
        <v>0</v>
      </c>
      <c r="CS429" s="15">
        <v>0</v>
      </c>
      <c r="CT429" s="15">
        <v>0</v>
      </c>
      <c r="CU429" s="15">
        <v>0</v>
      </c>
      <c r="CV429" s="15">
        <v>0</v>
      </c>
      <c r="CW429" s="15">
        <v>0</v>
      </c>
      <c r="CX429" s="15">
        <v>0</v>
      </c>
      <c r="CY429" s="15">
        <v>2</v>
      </c>
      <c r="CZ429" s="15">
        <v>2</v>
      </c>
      <c r="DA429" s="15">
        <v>0</v>
      </c>
      <c r="DB429" s="15">
        <v>0</v>
      </c>
      <c r="DC429" s="15">
        <v>0</v>
      </c>
      <c r="DD429" s="15">
        <v>0</v>
      </c>
      <c r="DE429" s="15">
        <v>0</v>
      </c>
      <c r="DF429" s="15">
        <v>0</v>
      </c>
      <c r="DG429" s="15">
        <v>0</v>
      </c>
      <c r="DH429" s="15">
        <v>6</v>
      </c>
      <c r="DI429" s="15">
        <v>0</v>
      </c>
      <c r="DJ429" s="15">
        <v>0</v>
      </c>
      <c r="DK429" s="15">
        <v>1</v>
      </c>
      <c r="DL429" s="15">
        <v>3</v>
      </c>
      <c r="DM429" s="15">
        <v>5</v>
      </c>
      <c r="DN429" s="15">
        <v>5</v>
      </c>
      <c r="DO429" s="15">
        <v>5</v>
      </c>
      <c r="DP429" s="15">
        <v>10</v>
      </c>
      <c r="DQ429" s="15">
        <v>10</v>
      </c>
      <c r="DR429" s="15">
        <v>10</v>
      </c>
      <c r="DS429" s="15">
        <v>0</v>
      </c>
      <c r="DT429" s="15">
        <v>0</v>
      </c>
      <c r="DU429" s="15">
        <v>0</v>
      </c>
      <c r="DV429" s="15">
        <v>0</v>
      </c>
      <c r="DW429" s="15">
        <v>0</v>
      </c>
      <c r="DX429" s="15">
        <v>0</v>
      </c>
      <c r="DY429" s="15">
        <v>0</v>
      </c>
      <c r="DZ429" s="15">
        <v>0</v>
      </c>
      <c r="EA429" s="15">
        <v>0</v>
      </c>
      <c r="EB429" s="15">
        <v>0</v>
      </c>
      <c r="EC429" s="15">
        <v>0</v>
      </c>
      <c r="ED429" s="15">
        <v>0</v>
      </c>
      <c r="EE429" s="15">
        <v>0</v>
      </c>
      <c r="EF429" s="15">
        <v>0</v>
      </c>
    </row>
    <row r="430" spans="1:136" ht="15" customHeight="1" x14ac:dyDescent="0.35">
      <c r="A430" s="8" t="s">
        <v>12</v>
      </c>
      <c r="B430" s="8" t="s">
        <v>18</v>
      </c>
      <c r="C430" s="8" t="s">
        <v>18</v>
      </c>
      <c r="D430" s="8" t="s">
        <v>320</v>
      </c>
      <c r="E430" s="8" t="s">
        <v>16</v>
      </c>
      <c r="F430" s="8" t="s">
        <v>99</v>
      </c>
      <c r="G430" s="15">
        <v>39</v>
      </c>
      <c r="H430" s="15">
        <v>98</v>
      </c>
      <c r="I430" s="15">
        <v>1</v>
      </c>
      <c r="J430" s="15">
        <v>97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1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5">
        <v>0</v>
      </c>
      <c r="AX430" s="15">
        <v>0</v>
      </c>
      <c r="AY430" s="15">
        <v>0</v>
      </c>
      <c r="AZ430" s="15">
        <v>0</v>
      </c>
      <c r="BA430" s="15">
        <v>0</v>
      </c>
      <c r="BB430" s="15">
        <v>0</v>
      </c>
      <c r="BC430" s="15">
        <v>0</v>
      </c>
      <c r="BD430" s="15">
        <v>0</v>
      </c>
      <c r="BE430" s="15">
        <v>0</v>
      </c>
      <c r="BF430" s="15">
        <v>0</v>
      </c>
      <c r="BG430" s="15">
        <v>0</v>
      </c>
      <c r="BH430" s="15">
        <v>0</v>
      </c>
      <c r="BI430" s="15">
        <v>0</v>
      </c>
      <c r="BJ430" s="15">
        <v>0</v>
      </c>
      <c r="BK430" s="15">
        <v>0</v>
      </c>
      <c r="BL430" s="15">
        <v>0</v>
      </c>
      <c r="BM430" s="15">
        <v>0</v>
      </c>
      <c r="BN430" s="15">
        <v>0</v>
      </c>
      <c r="BO430" s="15">
        <v>0</v>
      </c>
      <c r="BP430" s="15">
        <v>0</v>
      </c>
      <c r="BQ430" s="15">
        <v>0</v>
      </c>
      <c r="BR430" s="15">
        <v>0</v>
      </c>
      <c r="BS430" s="15">
        <v>0</v>
      </c>
      <c r="BT430" s="15">
        <v>0</v>
      </c>
      <c r="BU430" s="15">
        <v>0</v>
      </c>
      <c r="BV430" s="15">
        <v>0</v>
      </c>
      <c r="BW430" s="15">
        <v>0</v>
      </c>
      <c r="BX430" s="15">
        <v>0</v>
      </c>
      <c r="BY430" s="15">
        <v>0</v>
      </c>
      <c r="BZ430" s="15">
        <v>0</v>
      </c>
      <c r="CA430" s="15">
        <v>0</v>
      </c>
      <c r="CB430" s="15">
        <v>0</v>
      </c>
      <c r="CC430" s="15">
        <v>0</v>
      </c>
      <c r="CD430" s="15">
        <v>0</v>
      </c>
      <c r="CE430" s="15">
        <v>0</v>
      </c>
      <c r="CF430" s="15">
        <v>0</v>
      </c>
      <c r="CG430" s="15">
        <v>0</v>
      </c>
      <c r="CH430" s="15">
        <v>0</v>
      </c>
      <c r="CI430" s="15">
        <v>0</v>
      </c>
      <c r="CJ430" s="15">
        <v>0</v>
      </c>
      <c r="CK430" s="15">
        <v>0</v>
      </c>
      <c r="CL430" s="15">
        <v>0</v>
      </c>
      <c r="CM430" s="15">
        <v>0</v>
      </c>
      <c r="CN430" s="15">
        <v>0</v>
      </c>
      <c r="CO430" s="15">
        <v>0</v>
      </c>
      <c r="CP430" s="15">
        <v>0</v>
      </c>
      <c r="CQ430" s="15">
        <v>0</v>
      </c>
      <c r="CR430" s="15">
        <v>0</v>
      </c>
      <c r="CS430" s="15">
        <v>0</v>
      </c>
      <c r="CT430" s="15">
        <v>0</v>
      </c>
      <c r="CU430" s="15">
        <v>0</v>
      </c>
      <c r="CV430" s="15">
        <v>0</v>
      </c>
      <c r="CW430" s="15">
        <v>0</v>
      </c>
      <c r="CX430" s="15">
        <v>0</v>
      </c>
      <c r="CY430" s="15">
        <v>0</v>
      </c>
      <c r="CZ430" s="15">
        <v>0</v>
      </c>
      <c r="DA430" s="15">
        <v>0</v>
      </c>
      <c r="DB430" s="15">
        <v>0</v>
      </c>
      <c r="DC430" s="15">
        <v>0</v>
      </c>
      <c r="DD430" s="15">
        <v>0</v>
      </c>
      <c r="DE430" s="15">
        <v>0</v>
      </c>
      <c r="DF430" s="15">
        <v>0</v>
      </c>
      <c r="DG430" s="15">
        <v>0</v>
      </c>
      <c r="DH430" s="15">
        <v>0</v>
      </c>
      <c r="DI430" s="15">
        <v>0</v>
      </c>
      <c r="DJ430" s="15">
        <v>0</v>
      </c>
      <c r="DK430" s="15">
        <v>0</v>
      </c>
      <c r="DL430" s="15">
        <v>0</v>
      </c>
      <c r="DM430" s="15">
        <v>0</v>
      </c>
      <c r="DN430" s="15">
        <v>0</v>
      </c>
      <c r="DO430" s="15">
        <v>0</v>
      </c>
      <c r="DP430" s="15">
        <v>0</v>
      </c>
      <c r="DQ430" s="15">
        <v>0</v>
      </c>
      <c r="DR430" s="15">
        <v>0</v>
      </c>
      <c r="DS430" s="15">
        <v>0</v>
      </c>
      <c r="DT430" s="15">
        <v>0</v>
      </c>
      <c r="DU430" s="15">
        <v>0</v>
      </c>
      <c r="DV430" s="15">
        <v>0</v>
      </c>
      <c r="DW430" s="15">
        <v>0</v>
      </c>
      <c r="DX430" s="15">
        <v>0</v>
      </c>
      <c r="DY430" s="15">
        <v>0</v>
      </c>
      <c r="DZ430" s="15">
        <v>0</v>
      </c>
      <c r="EA430" s="15">
        <v>0</v>
      </c>
      <c r="EB430" s="15">
        <v>0</v>
      </c>
      <c r="EC430" s="15">
        <v>0</v>
      </c>
      <c r="ED430" s="15">
        <v>0</v>
      </c>
      <c r="EE430" s="15">
        <v>0</v>
      </c>
      <c r="EF430" s="15">
        <v>0</v>
      </c>
    </row>
    <row r="431" spans="1:136" ht="15" customHeight="1" x14ac:dyDescent="0.35">
      <c r="A431" s="8" t="s">
        <v>12</v>
      </c>
      <c r="B431" s="8" t="s">
        <v>18</v>
      </c>
      <c r="C431" s="8" t="s">
        <v>18</v>
      </c>
      <c r="D431" s="8" t="s">
        <v>321</v>
      </c>
      <c r="E431" s="8" t="s">
        <v>16</v>
      </c>
      <c r="F431" s="8" t="s">
        <v>87</v>
      </c>
      <c r="G431" s="15">
        <v>0</v>
      </c>
      <c r="H431" s="15">
        <v>0</v>
      </c>
      <c r="I431" s="15">
        <v>13</v>
      </c>
      <c r="J431" s="15">
        <v>-13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2</v>
      </c>
      <c r="AM431" s="15">
        <v>0</v>
      </c>
      <c r="AN431" s="15">
        <v>9</v>
      </c>
      <c r="AO431" s="15">
        <v>2</v>
      </c>
      <c r="AP431" s="15">
        <v>0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  <c r="AW431" s="15">
        <v>0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5">
        <v>0</v>
      </c>
      <c r="CH431" s="15">
        <v>0</v>
      </c>
      <c r="CI431" s="15">
        <v>0</v>
      </c>
      <c r="CJ431" s="15">
        <v>0</v>
      </c>
      <c r="CK431" s="15">
        <v>0</v>
      </c>
      <c r="CL431" s="15">
        <v>0</v>
      </c>
      <c r="CM431" s="15">
        <v>0</v>
      </c>
      <c r="CN431" s="15">
        <v>0</v>
      </c>
      <c r="CO431" s="15">
        <v>0</v>
      </c>
      <c r="CP431" s="15">
        <v>0</v>
      </c>
      <c r="CQ431" s="15">
        <v>0</v>
      </c>
      <c r="CR431" s="15">
        <v>0</v>
      </c>
      <c r="CS431" s="15">
        <v>0</v>
      </c>
      <c r="CT431" s="15">
        <v>0</v>
      </c>
      <c r="CU431" s="15">
        <v>0</v>
      </c>
      <c r="CV431" s="15">
        <v>0</v>
      </c>
      <c r="CW431" s="15">
        <v>0</v>
      </c>
      <c r="CX431" s="15">
        <v>0</v>
      </c>
      <c r="CY431" s="15">
        <v>0</v>
      </c>
      <c r="CZ431" s="15">
        <v>0</v>
      </c>
      <c r="DA431" s="15">
        <v>0</v>
      </c>
      <c r="DB431" s="15">
        <v>0</v>
      </c>
      <c r="DC431" s="15">
        <v>0</v>
      </c>
      <c r="DD431" s="15">
        <v>0</v>
      </c>
      <c r="DE431" s="15">
        <v>0</v>
      </c>
      <c r="DF431" s="15">
        <v>0</v>
      </c>
      <c r="DG431" s="15">
        <v>0</v>
      </c>
      <c r="DH431" s="15">
        <v>0</v>
      </c>
      <c r="DI431" s="15">
        <v>0</v>
      </c>
      <c r="DJ431" s="15">
        <v>0</v>
      </c>
      <c r="DK431" s="15">
        <v>0</v>
      </c>
      <c r="DL431" s="15">
        <v>0</v>
      </c>
      <c r="DM431" s="15">
        <v>0</v>
      </c>
      <c r="DN431" s="15">
        <v>0</v>
      </c>
      <c r="DO431" s="15">
        <v>0</v>
      </c>
      <c r="DP431" s="15">
        <v>0</v>
      </c>
      <c r="DQ431" s="15">
        <v>0</v>
      </c>
      <c r="DR431" s="15">
        <v>0</v>
      </c>
      <c r="DS431" s="15">
        <v>0</v>
      </c>
      <c r="DT431" s="15">
        <v>0</v>
      </c>
      <c r="DU431" s="15">
        <v>0</v>
      </c>
      <c r="DV431" s="15">
        <v>0</v>
      </c>
      <c r="DW431" s="15">
        <v>0</v>
      </c>
      <c r="DX431" s="15">
        <v>0</v>
      </c>
      <c r="DY431" s="15">
        <v>0</v>
      </c>
      <c r="DZ431" s="15">
        <v>0</v>
      </c>
      <c r="EA431" s="15">
        <v>0</v>
      </c>
      <c r="EB431" s="15">
        <v>0</v>
      </c>
      <c r="EC431" s="15">
        <v>0</v>
      </c>
      <c r="ED431" s="15">
        <v>0</v>
      </c>
      <c r="EE431" s="15">
        <v>0</v>
      </c>
      <c r="EF431" s="15">
        <v>0</v>
      </c>
    </row>
    <row r="432" spans="1:136" ht="15" customHeight="1" x14ac:dyDescent="0.35">
      <c r="A432" s="8" t="s">
        <v>12</v>
      </c>
      <c r="B432" s="8" t="s">
        <v>18</v>
      </c>
      <c r="C432" s="8" t="s">
        <v>18</v>
      </c>
      <c r="D432" s="8" t="s">
        <v>320</v>
      </c>
      <c r="E432" s="8" t="s">
        <v>16</v>
      </c>
      <c r="F432" s="8" t="s">
        <v>87</v>
      </c>
      <c r="G432" s="15">
        <v>8</v>
      </c>
      <c r="H432" s="15">
        <v>8</v>
      </c>
      <c r="I432" s="15">
        <v>0</v>
      </c>
      <c r="J432" s="15">
        <v>8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5">
        <v>0</v>
      </c>
      <c r="AU432" s="15">
        <v>0</v>
      </c>
      <c r="AV432" s="15">
        <v>0</v>
      </c>
      <c r="AW432" s="15">
        <v>0</v>
      </c>
      <c r="AX432" s="15">
        <v>0</v>
      </c>
      <c r="AY432" s="15">
        <v>0</v>
      </c>
      <c r="AZ432" s="15">
        <v>0</v>
      </c>
      <c r="BA432" s="15">
        <v>0</v>
      </c>
      <c r="BB432" s="15">
        <v>0</v>
      </c>
      <c r="BC432" s="15">
        <v>0</v>
      </c>
      <c r="BD432" s="15">
        <v>0</v>
      </c>
      <c r="BE432" s="15">
        <v>0</v>
      </c>
      <c r="BF432" s="15">
        <v>0</v>
      </c>
      <c r="BG432" s="15">
        <v>0</v>
      </c>
      <c r="BH432" s="15">
        <v>0</v>
      </c>
      <c r="BI432" s="15">
        <v>0</v>
      </c>
      <c r="BJ432" s="15">
        <v>0</v>
      </c>
      <c r="BK432" s="15">
        <v>0</v>
      </c>
      <c r="BL432" s="15">
        <v>0</v>
      </c>
      <c r="BM432" s="15">
        <v>0</v>
      </c>
      <c r="BN432" s="15">
        <v>0</v>
      </c>
      <c r="BO432" s="15">
        <v>0</v>
      </c>
      <c r="BP432" s="15">
        <v>0</v>
      </c>
      <c r="BQ432" s="15">
        <v>0</v>
      </c>
      <c r="BR432" s="15">
        <v>0</v>
      </c>
      <c r="BS432" s="15">
        <v>0</v>
      </c>
      <c r="BT432" s="15">
        <v>0</v>
      </c>
      <c r="BU432" s="15">
        <v>0</v>
      </c>
      <c r="BV432" s="15">
        <v>0</v>
      </c>
      <c r="BW432" s="15">
        <v>0</v>
      </c>
      <c r="BX432" s="15">
        <v>0</v>
      </c>
      <c r="BY432" s="15">
        <v>0</v>
      </c>
      <c r="BZ432" s="15">
        <v>0</v>
      </c>
      <c r="CA432" s="15">
        <v>0</v>
      </c>
      <c r="CB432" s="15">
        <v>0</v>
      </c>
      <c r="CC432" s="15">
        <v>0</v>
      </c>
      <c r="CD432" s="15">
        <v>0</v>
      </c>
      <c r="CE432" s="15">
        <v>0</v>
      </c>
      <c r="CF432" s="15">
        <v>0</v>
      </c>
      <c r="CG432" s="15">
        <v>0</v>
      </c>
      <c r="CH432" s="15">
        <v>0</v>
      </c>
      <c r="CI432" s="15">
        <v>0</v>
      </c>
      <c r="CJ432" s="15">
        <v>0</v>
      </c>
      <c r="CK432" s="15">
        <v>0</v>
      </c>
      <c r="CL432" s="15">
        <v>0</v>
      </c>
      <c r="CM432" s="15">
        <v>0</v>
      </c>
      <c r="CN432" s="15">
        <v>0</v>
      </c>
      <c r="CO432" s="15">
        <v>0</v>
      </c>
      <c r="CP432" s="15">
        <v>0</v>
      </c>
      <c r="CQ432" s="15">
        <v>0</v>
      </c>
      <c r="CR432" s="15">
        <v>0</v>
      </c>
      <c r="CS432" s="15">
        <v>0</v>
      </c>
      <c r="CT432" s="15">
        <v>0</v>
      </c>
      <c r="CU432" s="15">
        <v>0</v>
      </c>
      <c r="CV432" s="15">
        <v>0</v>
      </c>
      <c r="CW432" s="15">
        <v>0</v>
      </c>
      <c r="CX432" s="15">
        <v>0</v>
      </c>
      <c r="CY432" s="15">
        <v>0</v>
      </c>
      <c r="CZ432" s="15">
        <v>0</v>
      </c>
      <c r="DA432" s="15">
        <v>0</v>
      </c>
      <c r="DB432" s="15">
        <v>0</v>
      </c>
      <c r="DC432" s="15">
        <v>0</v>
      </c>
      <c r="DD432" s="15">
        <v>0</v>
      </c>
      <c r="DE432" s="15">
        <v>0</v>
      </c>
      <c r="DF432" s="15">
        <v>0</v>
      </c>
      <c r="DG432" s="15">
        <v>0</v>
      </c>
      <c r="DH432" s="15">
        <v>0</v>
      </c>
      <c r="DI432" s="15">
        <v>0</v>
      </c>
      <c r="DJ432" s="15">
        <v>0</v>
      </c>
      <c r="DK432" s="15">
        <v>0</v>
      </c>
      <c r="DL432" s="15">
        <v>0</v>
      </c>
      <c r="DM432" s="15">
        <v>0</v>
      </c>
      <c r="DN432" s="15">
        <v>0</v>
      </c>
      <c r="DO432" s="15">
        <v>0</v>
      </c>
      <c r="DP432" s="15">
        <v>0</v>
      </c>
      <c r="DQ432" s="15">
        <v>0</v>
      </c>
      <c r="DR432" s="15">
        <v>0</v>
      </c>
      <c r="DS432" s="15">
        <v>0</v>
      </c>
      <c r="DT432" s="15">
        <v>0</v>
      </c>
      <c r="DU432" s="15">
        <v>0</v>
      </c>
      <c r="DV432" s="15">
        <v>0</v>
      </c>
      <c r="DW432" s="15">
        <v>0</v>
      </c>
      <c r="DX432" s="15">
        <v>0</v>
      </c>
      <c r="DY432" s="15">
        <v>0</v>
      </c>
      <c r="DZ432" s="15">
        <v>0</v>
      </c>
      <c r="EA432" s="15">
        <v>0</v>
      </c>
      <c r="EB432" s="15">
        <v>0</v>
      </c>
      <c r="EC432" s="15">
        <v>0</v>
      </c>
      <c r="ED432" s="15">
        <v>0</v>
      </c>
      <c r="EE432" s="15">
        <v>0</v>
      </c>
      <c r="EF432" s="15">
        <v>0</v>
      </c>
    </row>
    <row r="433" spans="1:136" ht="15" customHeight="1" x14ac:dyDescent="0.35">
      <c r="A433" s="8" t="s">
        <v>12</v>
      </c>
      <c r="B433" s="8" t="s">
        <v>18</v>
      </c>
      <c r="C433" s="8" t="s">
        <v>18</v>
      </c>
      <c r="D433" s="8" t="s">
        <v>321</v>
      </c>
      <c r="E433" s="8" t="s">
        <v>16</v>
      </c>
      <c r="F433" s="8" t="s">
        <v>88</v>
      </c>
      <c r="G433" s="15">
        <v>0</v>
      </c>
      <c r="H433" s="15">
        <v>0</v>
      </c>
      <c r="I433" s="15">
        <v>17</v>
      </c>
      <c r="J433" s="15">
        <v>-17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0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5">
        <v>0</v>
      </c>
      <c r="CH433" s="15">
        <v>0</v>
      </c>
      <c r="CI433" s="15">
        <v>0</v>
      </c>
      <c r="CJ433" s="15">
        <v>0</v>
      </c>
      <c r="CK433" s="15">
        <v>0</v>
      </c>
      <c r="CL433" s="15">
        <v>0</v>
      </c>
      <c r="CM433" s="15">
        <v>0</v>
      </c>
      <c r="CN433" s="15">
        <v>0</v>
      </c>
      <c r="CO433" s="15">
        <v>0</v>
      </c>
      <c r="CP433" s="15">
        <v>0</v>
      </c>
      <c r="CQ433" s="15">
        <v>0</v>
      </c>
      <c r="CR433" s="15">
        <v>0</v>
      </c>
      <c r="CS433" s="15">
        <v>0</v>
      </c>
      <c r="CT433" s="15">
        <v>0</v>
      </c>
      <c r="CU433" s="15">
        <v>0</v>
      </c>
      <c r="CV433" s="15">
        <v>0</v>
      </c>
      <c r="CW433" s="15">
        <v>0</v>
      </c>
      <c r="CX433" s="15">
        <v>0</v>
      </c>
      <c r="CY433" s="15">
        <v>0</v>
      </c>
      <c r="CZ433" s="15">
        <v>7</v>
      </c>
      <c r="DA433" s="15">
        <v>10</v>
      </c>
      <c r="DB433" s="15">
        <v>0</v>
      </c>
      <c r="DC433" s="15">
        <v>0</v>
      </c>
      <c r="DD433" s="15">
        <v>0</v>
      </c>
      <c r="DE433" s="15">
        <v>0</v>
      </c>
      <c r="DF433" s="15">
        <v>0</v>
      </c>
      <c r="DG433" s="15">
        <v>0</v>
      </c>
      <c r="DH433" s="15">
        <v>0</v>
      </c>
      <c r="DI433" s="15">
        <v>0</v>
      </c>
      <c r="DJ433" s="15">
        <v>0</v>
      </c>
      <c r="DK433" s="15">
        <v>0</v>
      </c>
      <c r="DL433" s="15">
        <v>0</v>
      </c>
      <c r="DM433" s="15">
        <v>0</v>
      </c>
      <c r="DN433" s="15">
        <v>0</v>
      </c>
      <c r="DO433" s="15">
        <v>0</v>
      </c>
      <c r="DP433" s="15">
        <v>0</v>
      </c>
      <c r="DQ433" s="15">
        <v>0</v>
      </c>
      <c r="DR433" s="15">
        <v>0</v>
      </c>
      <c r="DS433" s="15">
        <v>0</v>
      </c>
      <c r="DT433" s="15">
        <v>0</v>
      </c>
      <c r="DU433" s="15">
        <v>0</v>
      </c>
      <c r="DV433" s="15">
        <v>0</v>
      </c>
      <c r="DW433" s="15">
        <v>0</v>
      </c>
      <c r="DX433" s="15">
        <v>0</v>
      </c>
      <c r="DY433" s="15">
        <v>0</v>
      </c>
      <c r="DZ433" s="15">
        <v>0</v>
      </c>
      <c r="EA433" s="15">
        <v>0</v>
      </c>
      <c r="EB433" s="15">
        <v>0</v>
      </c>
      <c r="EC433" s="15">
        <v>0</v>
      </c>
      <c r="ED433" s="15">
        <v>0</v>
      </c>
      <c r="EE433" s="15">
        <v>0</v>
      </c>
      <c r="EF433" s="15">
        <v>0</v>
      </c>
    </row>
    <row r="434" spans="1:136" ht="15" customHeight="1" x14ac:dyDescent="0.35">
      <c r="A434" s="8" t="s">
        <v>12</v>
      </c>
      <c r="B434" s="8" t="s">
        <v>18</v>
      </c>
      <c r="C434" s="8" t="s">
        <v>18</v>
      </c>
      <c r="D434" s="8" t="s">
        <v>320</v>
      </c>
      <c r="E434" s="8" t="s">
        <v>16</v>
      </c>
      <c r="F434" s="8" t="s">
        <v>88</v>
      </c>
      <c r="G434" s="15">
        <v>0</v>
      </c>
      <c r="H434" s="15">
        <v>17</v>
      </c>
      <c r="I434" s="15">
        <v>0</v>
      </c>
      <c r="J434" s="15">
        <v>17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5">
        <v>0</v>
      </c>
      <c r="AX434" s="15">
        <v>0</v>
      </c>
      <c r="AY434" s="15">
        <v>0</v>
      </c>
      <c r="AZ434" s="15">
        <v>0</v>
      </c>
      <c r="BA434" s="15">
        <v>0</v>
      </c>
      <c r="BB434" s="15">
        <v>0</v>
      </c>
      <c r="BC434" s="15">
        <v>0</v>
      </c>
      <c r="BD434" s="15">
        <v>0</v>
      </c>
      <c r="BE434" s="15">
        <v>0</v>
      </c>
      <c r="BF434" s="15">
        <v>0</v>
      </c>
      <c r="BG434" s="15">
        <v>0</v>
      </c>
      <c r="BH434" s="15">
        <v>0</v>
      </c>
      <c r="BI434" s="15">
        <v>0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  <c r="BP434" s="15">
        <v>0</v>
      </c>
      <c r="BQ434" s="15">
        <v>0</v>
      </c>
      <c r="BR434" s="15">
        <v>0</v>
      </c>
      <c r="BS434" s="15">
        <v>0</v>
      </c>
      <c r="BT434" s="15">
        <v>0</v>
      </c>
      <c r="BU434" s="15">
        <v>0</v>
      </c>
      <c r="BV434" s="15">
        <v>0</v>
      </c>
      <c r="BW434" s="15">
        <v>0</v>
      </c>
      <c r="BX434" s="15">
        <v>0</v>
      </c>
      <c r="BY434" s="15">
        <v>0</v>
      </c>
      <c r="BZ434" s="15">
        <v>0</v>
      </c>
      <c r="CA434" s="15">
        <v>0</v>
      </c>
      <c r="CB434" s="15">
        <v>0</v>
      </c>
      <c r="CC434" s="15">
        <v>0</v>
      </c>
      <c r="CD434" s="15">
        <v>0</v>
      </c>
      <c r="CE434" s="15">
        <v>0</v>
      </c>
      <c r="CF434" s="15">
        <v>0</v>
      </c>
      <c r="CG434" s="15">
        <v>0</v>
      </c>
      <c r="CH434" s="15">
        <v>0</v>
      </c>
      <c r="CI434" s="15">
        <v>0</v>
      </c>
      <c r="CJ434" s="15">
        <v>0</v>
      </c>
      <c r="CK434" s="15">
        <v>0</v>
      </c>
      <c r="CL434" s="15">
        <v>0</v>
      </c>
      <c r="CM434" s="15">
        <v>0</v>
      </c>
      <c r="CN434" s="15">
        <v>0</v>
      </c>
      <c r="CO434" s="15">
        <v>0</v>
      </c>
      <c r="CP434" s="15">
        <v>0</v>
      </c>
      <c r="CQ434" s="15">
        <v>0</v>
      </c>
      <c r="CR434" s="15">
        <v>0</v>
      </c>
      <c r="CS434" s="15">
        <v>0</v>
      </c>
      <c r="CT434" s="15">
        <v>0</v>
      </c>
      <c r="CU434" s="15">
        <v>0</v>
      </c>
      <c r="CV434" s="15">
        <v>0</v>
      </c>
      <c r="CW434" s="15">
        <v>0</v>
      </c>
      <c r="CX434" s="15">
        <v>0</v>
      </c>
      <c r="CY434" s="15">
        <v>0</v>
      </c>
      <c r="CZ434" s="15">
        <v>0</v>
      </c>
      <c r="DA434" s="15">
        <v>0</v>
      </c>
      <c r="DB434" s="15">
        <v>0</v>
      </c>
      <c r="DC434" s="15">
        <v>0</v>
      </c>
      <c r="DD434" s="15">
        <v>0</v>
      </c>
      <c r="DE434" s="15">
        <v>0</v>
      </c>
      <c r="DF434" s="15">
        <v>0</v>
      </c>
      <c r="DG434" s="15">
        <v>0</v>
      </c>
      <c r="DH434" s="15">
        <v>0</v>
      </c>
      <c r="DI434" s="15">
        <v>0</v>
      </c>
      <c r="DJ434" s="15">
        <v>0</v>
      </c>
      <c r="DK434" s="15">
        <v>0</v>
      </c>
      <c r="DL434" s="15">
        <v>0</v>
      </c>
      <c r="DM434" s="15">
        <v>0</v>
      </c>
      <c r="DN434" s="15">
        <v>0</v>
      </c>
      <c r="DO434" s="15">
        <v>0</v>
      </c>
      <c r="DP434" s="15">
        <v>0</v>
      </c>
      <c r="DQ434" s="15">
        <v>0</v>
      </c>
      <c r="DR434" s="15">
        <v>0</v>
      </c>
      <c r="DS434" s="15">
        <v>0</v>
      </c>
      <c r="DT434" s="15">
        <v>0</v>
      </c>
      <c r="DU434" s="15">
        <v>0</v>
      </c>
      <c r="DV434" s="15">
        <v>0</v>
      </c>
      <c r="DW434" s="15">
        <v>0</v>
      </c>
      <c r="DX434" s="15">
        <v>0</v>
      </c>
      <c r="DY434" s="15">
        <v>0</v>
      </c>
      <c r="DZ434" s="15">
        <v>0</v>
      </c>
      <c r="EA434" s="15">
        <v>0</v>
      </c>
      <c r="EB434" s="15">
        <v>0</v>
      </c>
      <c r="EC434" s="15">
        <v>0</v>
      </c>
      <c r="ED434" s="15">
        <v>0</v>
      </c>
      <c r="EE434" s="15">
        <v>0</v>
      </c>
      <c r="EF434" s="15">
        <v>0</v>
      </c>
    </row>
    <row r="435" spans="1:136" ht="15" customHeight="1" x14ac:dyDescent="0.35">
      <c r="A435" s="8" t="s">
        <v>12</v>
      </c>
      <c r="B435" s="8" t="s">
        <v>323</v>
      </c>
      <c r="C435" s="8" t="s">
        <v>324</v>
      </c>
      <c r="D435" s="8" t="s">
        <v>317</v>
      </c>
      <c r="E435" s="8" t="s">
        <v>10</v>
      </c>
      <c r="F435" s="8" t="s">
        <v>88</v>
      </c>
      <c r="G435" s="15">
        <v>0</v>
      </c>
      <c r="H435" s="15">
        <v>18</v>
      </c>
      <c r="I435" s="15">
        <v>18</v>
      </c>
      <c r="J435" s="15">
        <v>0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0</v>
      </c>
      <c r="AU435" s="15">
        <v>0</v>
      </c>
      <c r="AV435" s="15">
        <v>0</v>
      </c>
      <c r="AW435" s="15">
        <v>0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5">
        <v>0</v>
      </c>
      <c r="CH435" s="15">
        <v>0</v>
      </c>
      <c r="CI435" s="15">
        <v>0</v>
      </c>
      <c r="CJ435" s="15">
        <v>0</v>
      </c>
      <c r="CK435" s="15">
        <v>0</v>
      </c>
      <c r="CL435" s="15">
        <v>0</v>
      </c>
      <c r="CM435" s="15">
        <v>0</v>
      </c>
      <c r="CN435" s="15">
        <v>0</v>
      </c>
      <c r="CO435" s="15">
        <v>0</v>
      </c>
      <c r="CP435" s="15">
        <v>0</v>
      </c>
      <c r="CQ435" s="15">
        <v>0</v>
      </c>
      <c r="CR435" s="15">
        <v>0</v>
      </c>
      <c r="CS435" s="15">
        <v>0</v>
      </c>
      <c r="CT435" s="15">
        <v>0</v>
      </c>
      <c r="CU435" s="15">
        <v>0</v>
      </c>
      <c r="CV435" s="15">
        <v>0</v>
      </c>
      <c r="CW435" s="15">
        <v>0</v>
      </c>
      <c r="CX435" s="15">
        <v>0</v>
      </c>
      <c r="CY435" s="15">
        <v>0</v>
      </c>
      <c r="CZ435" s="15">
        <v>10</v>
      </c>
      <c r="DA435" s="15">
        <v>8</v>
      </c>
      <c r="DB435" s="15">
        <v>0</v>
      </c>
      <c r="DC435" s="15">
        <v>0</v>
      </c>
      <c r="DD435" s="15">
        <v>0</v>
      </c>
      <c r="DE435" s="15">
        <v>0</v>
      </c>
      <c r="DF435" s="15">
        <v>0</v>
      </c>
      <c r="DG435" s="15">
        <v>0</v>
      </c>
      <c r="DH435" s="15">
        <v>0</v>
      </c>
      <c r="DI435" s="15">
        <v>0</v>
      </c>
      <c r="DJ435" s="15">
        <v>0</v>
      </c>
      <c r="DK435" s="15">
        <v>0</v>
      </c>
      <c r="DL435" s="15">
        <v>0</v>
      </c>
      <c r="DM435" s="15">
        <v>0</v>
      </c>
      <c r="DN435" s="15">
        <v>0</v>
      </c>
      <c r="DO435" s="15">
        <v>0</v>
      </c>
      <c r="DP435" s="15">
        <v>0</v>
      </c>
      <c r="DQ435" s="15">
        <v>0</v>
      </c>
      <c r="DR435" s="15">
        <v>0</v>
      </c>
      <c r="DS435" s="15">
        <v>0</v>
      </c>
      <c r="DT435" s="15">
        <v>0</v>
      </c>
      <c r="DU435" s="15">
        <v>0</v>
      </c>
      <c r="DV435" s="15">
        <v>0</v>
      </c>
      <c r="DW435" s="15">
        <v>0</v>
      </c>
      <c r="DX435" s="15">
        <v>0</v>
      </c>
      <c r="DY435" s="15">
        <v>0</v>
      </c>
      <c r="DZ435" s="15">
        <v>0</v>
      </c>
      <c r="EA435" s="15">
        <v>0</v>
      </c>
      <c r="EB435" s="15">
        <v>0</v>
      </c>
      <c r="EC435" s="15">
        <v>0</v>
      </c>
      <c r="ED435" s="15">
        <v>0</v>
      </c>
      <c r="EE435" s="15">
        <v>0</v>
      </c>
      <c r="EF435" s="15">
        <v>0</v>
      </c>
    </row>
    <row r="436" spans="1:136" ht="15" customHeight="1" x14ac:dyDescent="0.35">
      <c r="A436" s="8" t="s">
        <v>12</v>
      </c>
      <c r="B436" s="8" t="s">
        <v>325</v>
      </c>
      <c r="C436" s="8" t="s">
        <v>138</v>
      </c>
      <c r="D436" s="8" t="s">
        <v>315</v>
      </c>
      <c r="E436" s="8" t="s">
        <v>14</v>
      </c>
      <c r="F436" s="8" t="s">
        <v>81</v>
      </c>
      <c r="G436" s="15">
        <v>30</v>
      </c>
      <c r="H436" s="15">
        <v>118</v>
      </c>
      <c r="I436" s="15">
        <v>88</v>
      </c>
      <c r="J436" s="15">
        <v>30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5">
        <v>0</v>
      </c>
      <c r="AX436" s="15">
        <v>0</v>
      </c>
      <c r="AY436" s="15">
        <v>0</v>
      </c>
      <c r="AZ436" s="15">
        <v>0</v>
      </c>
      <c r="BA436" s="15">
        <v>0</v>
      </c>
      <c r="BB436" s="15">
        <v>0</v>
      </c>
      <c r="BC436" s="15">
        <v>0</v>
      </c>
      <c r="BD436" s="15">
        <v>0</v>
      </c>
      <c r="BE436" s="15">
        <v>0</v>
      </c>
      <c r="BF436" s="15">
        <v>0</v>
      </c>
      <c r="BG436" s="15">
        <v>0</v>
      </c>
      <c r="BH436" s="15">
        <v>0</v>
      </c>
      <c r="BI436" s="15">
        <v>0</v>
      </c>
      <c r="BJ436" s="15">
        <v>0</v>
      </c>
      <c r="BK436" s="15">
        <v>0</v>
      </c>
      <c r="BL436" s="15">
        <v>0</v>
      </c>
      <c r="BM436" s="15">
        <v>0</v>
      </c>
      <c r="BN436" s="15">
        <v>0</v>
      </c>
      <c r="BO436" s="15">
        <v>0</v>
      </c>
      <c r="BP436" s="15">
        <v>0</v>
      </c>
      <c r="BQ436" s="15">
        <v>0</v>
      </c>
      <c r="BR436" s="15">
        <v>0</v>
      </c>
      <c r="BS436" s="15">
        <v>0</v>
      </c>
      <c r="BT436" s="15">
        <v>0</v>
      </c>
      <c r="BU436" s="15">
        <v>0</v>
      </c>
      <c r="BV436" s="15">
        <v>0</v>
      </c>
      <c r="BW436" s="15">
        <v>0</v>
      </c>
      <c r="BX436" s="15">
        <v>0</v>
      </c>
      <c r="BY436" s="15">
        <v>0</v>
      </c>
      <c r="BZ436" s="15">
        <v>0</v>
      </c>
      <c r="CA436" s="15">
        <v>0</v>
      </c>
      <c r="CB436" s="15">
        <v>0</v>
      </c>
      <c r="CC436" s="15">
        <v>0</v>
      </c>
      <c r="CD436" s="15">
        <v>0</v>
      </c>
      <c r="CE436" s="15">
        <v>0</v>
      </c>
      <c r="CF436" s="15">
        <v>0</v>
      </c>
      <c r="CG436" s="15">
        <v>0</v>
      </c>
      <c r="CH436" s="15">
        <v>0</v>
      </c>
      <c r="CI436" s="15">
        <v>0</v>
      </c>
      <c r="CJ436" s="15">
        <v>0</v>
      </c>
      <c r="CK436" s="15">
        <v>0</v>
      </c>
      <c r="CL436" s="15">
        <v>0</v>
      </c>
      <c r="CM436" s="15">
        <v>0</v>
      </c>
      <c r="CN436" s="15">
        <v>0</v>
      </c>
      <c r="CO436" s="15">
        <v>0</v>
      </c>
      <c r="CP436" s="15">
        <v>0</v>
      </c>
      <c r="CQ436" s="15">
        <v>0</v>
      </c>
      <c r="CR436" s="15">
        <v>0</v>
      </c>
      <c r="CS436" s="15">
        <v>6</v>
      </c>
      <c r="CT436" s="15">
        <v>0</v>
      </c>
      <c r="CU436" s="15">
        <v>6</v>
      </c>
      <c r="CV436" s="15">
        <v>0</v>
      </c>
      <c r="CW436" s="15">
        <v>0</v>
      </c>
      <c r="CX436" s="15">
        <v>0</v>
      </c>
      <c r="CY436" s="15">
        <v>0</v>
      </c>
      <c r="CZ436" s="15">
        <v>0</v>
      </c>
      <c r="DA436" s="15">
        <v>0</v>
      </c>
      <c r="DB436" s="15">
        <v>0</v>
      </c>
      <c r="DC436" s="15">
        <v>0</v>
      </c>
      <c r="DD436" s="15">
        <v>0</v>
      </c>
      <c r="DE436" s="15">
        <v>0</v>
      </c>
      <c r="DF436" s="15">
        <v>0</v>
      </c>
      <c r="DG436" s="15">
        <v>0</v>
      </c>
      <c r="DH436" s="15">
        <v>0</v>
      </c>
      <c r="DI436" s="15">
        <v>0</v>
      </c>
      <c r="DJ436" s="15">
        <v>0</v>
      </c>
      <c r="DK436" s="15">
        <v>0</v>
      </c>
      <c r="DL436" s="15">
        <v>0</v>
      </c>
      <c r="DM436" s="15">
        <v>8</v>
      </c>
      <c r="DN436" s="15">
        <v>8</v>
      </c>
      <c r="DO436" s="15">
        <v>15</v>
      </c>
      <c r="DP436" s="15">
        <v>15</v>
      </c>
      <c r="DQ436" s="15">
        <v>28</v>
      </c>
      <c r="DR436" s="15">
        <v>2</v>
      </c>
      <c r="DS436" s="15">
        <v>0</v>
      </c>
      <c r="DT436" s="15">
        <v>0</v>
      </c>
      <c r="DU436" s="15">
        <v>0</v>
      </c>
      <c r="DV436" s="15">
        <v>0</v>
      </c>
      <c r="DW436" s="15">
        <v>0</v>
      </c>
      <c r="DX436" s="15">
        <v>0</v>
      </c>
      <c r="DY436" s="15">
        <v>0</v>
      </c>
      <c r="DZ436" s="15">
        <v>0</v>
      </c>
      <c r="EA436" s="15">
        <v>0</v>
      </c>
      <c r="EB436" s="15">
        <v>0</v>
      </c>
      <c r="EC436" s="15">
        <v>0</v>
      </c>
      <c r="ED436" s="15">
        <v>0</v>
      </c>
      <c r="EE436" s="15">
        <v>0</v>
      </c>
      <c r="EF436" s="15">
        <v>0</v>
      </c>
    </row>
    <row r="437" spans="1:136" ht="15" customHeight="1" x14ac:dyDescent="0.35">
      <c r="A437" s="8" t="s">
        <v>12</v>
      </c>
      <c r="B437" s="8" t="s">
        <v>326</v>
      </c>
      <c r="C437" s="8" t="s">
        <v>138</v>
      </c>
      <c r="D437" s="8" t="s">
        <v>322</v>
      </c>
      <c r="E437" s="8" t="s">
        <v>14</v>
      </c>
      <c r="F437" s="8" t="s">
        <v>100</v>
      </c>
      <c r="G437" s="15">
        <v>74</v>
      </c>
      <c r="H437" s="15">
        <v>210</v>
      </c>
      <c r="I437" s="15">
        <v>180</v>
      </c>
      <c r="J437" s="15">
        <v>30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5">
        <v>0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5">
        <v>0</v>
      </c>
      <c r="CH437" s="15">
        <v>0</v>
      </c>
      <c r="CI437" s="15">
        <v>0</v>
      </c>
      <c r="CJ437" s="15">
        <v>0</v>
      </c>
      <c r="CK437" s="15">
        <v>0</v>
      </c>
      <c r="CL437" s="15">
        <v>0</v>
      </c>
      <c r="CM437" s="15">
        <v>0</v>
      </c>
      <c r="CN437" s="15">
        <v>0</v>
      </c>
      <c r="CO437" s="15">
        <v>0</v>
      </c>
      <c r="CP437" s="15">
        <v>0</v>
      </c>
      <c r="CQ437" s="15">
        <v>0</v>
      </c>
      <c r="CR437" s="15">
        <v>0</v>
      </c>
      <c r="CS437" s="15">
        <v>0</v>
      </c>
      <c r="CT437" s="15">
        <v>0</v>
      </c>
      <c r="CU437" s="15">
        <v>0</v>
      </c>
      <c r="CV437" s="15">
        <v>0</v>
      </c>
      <c r="CW437" s="15">
        <v>0</v>
      </c>
      <c r="CX437" s="15">
        <v>0</v>
      </c>
      <c r="CY437" s="15">
        <v>0</v>
      </c>
      <c r="CZ437" s="15">
        <v>0</v>
      </c>
      <c r="DA437" s="15">
        <v>0</v>
      </c>
      <c r="DB437" s="15">
        <v>0</v>
      </c>
      <c r="DC437" s="15">
        <v>0</v>
      </c>
      <c r="DD437" s="15">
        <v>0</v>
      </c>
      <c r="DE437" s="15">
        <v>0</v>
      </c>
      <c r="DF437" s="15">
        <v>0</v>
      </c>
      <c r="DG437" s="15">
        <v>0</v>
      </c>
      <c r="DH437" s="15">
        <v>0</v>
      </c>
      <c r="DI437" s="15">
        <v>0</v>
      </c>
      <c r="DJ437" s="15">
        <v>0</v>
      </c>
      <c r="DK437" s="15">
        <v>0</v>
      </c>
      <c r="DL437" s="15">
        <v>10</v>
      </c>
      <c r="DM437" s="15">
        <v>15</v>
      </c>
      <c r="DN437" s="15">
        <v>25</v>
      </c>
      <c r="DO437" s="15">
        <v>25</v>
      </c>
      <c r="DP437" s="15">
        <v>35</v>
      </c>
      <c r="DQ437" s="15">
        <v>35</v>
      </c>
      <c r="DR437" s="15">
        <v>35</v>
      </c>
      <c r="DS437" s="15">
        <v>0</v>
      </c>
      <c r="DT437" s="15">
        <v>0</v>
      </c>
      <c r="DU437" s="15">
        <v>0</v>
      </c>
      <c r="DV437" s="15">
        <v>0</v>
      </c>
      <c r="DW437" s="15">
        <v>0</v>
      </c>
      <c r="DX437" s="15">
        <v>0</v>
      </c>
      <c r="DY437" s="15">
        <v>0</v>
      </c>
      <c r="DZ437" s="15">
        <v>0</v>
      </c>
      <c r="EA437" s="15">
        <v>0</v>
      </c>
      <c r="EB437" s="15">
        <v>0</v>
      </c>
      <c r="EC437" s="15">
        <v>0</v>
      </c>
      <c r="ED437" s="15">
        <v>0</v>
      </c>
      <c r="EE437" s="15">
        <v>0</v>
      </c>
      <c r="EF437" s="15">
        <v>0</v>
      </c>
    </row>
    <row r="438" spans="1:136" ht="15" customHeight="1" x14ac:dyDescent="0.35">
      <c r="A438" s="8" t="s">
        <v>12</v>
      </c>
      <c r="B438" s="8" t="s">
        <v>327</v>
      </c>
      <c r="C438" s="8" t="s">
        <v>138</v>
      </c>
      <c r="D438" s="8" t="s">
        <v>321</v>
      </c>
      <c r="E438" s="8" t="s">
        <v>16</v>
      </c>
      <c r="F438" s="8" t="s">
        <v>105</v>
      </c>
      <c r="G438" s="15">
        <v>4</v>
      </c>
      <c r="H438" s="15">
        <v>20</v>
      </c>
      <c r="I438" s="15">
        <v>16</v>
      </c>
      <c r="J438" s="15">
        <v>4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5">
        <v>0</v>
      </c>
      <c r="AX438" s="15">
        <v>0</v>
      </c>
      <c r="AY438" s="15">
        <v>0</v>
      </c>
      <c r="AZ438" s="15">
        <v>0</v>
      </c>
      <c r="BA438" s="15">
        <v>0</v>
      </c>
      <c r="BB438" s="15">
        <v>0</v>
      </c>
      <c r="BC438" s="15">
        <v>0</v>
      </c>
      <c r="BD438" s="15">
        <v>0</v>
      </c>
      <c r="BE438" s="15">
        <v>0</v>
      </c>
      <c r="BF438" s="15">
        <v>0</v>
      </c>
      <c r="BG438" s="15">
        <v>0</v>
      </c>
      <c r="BH438" s="15">
        <v>0</v>
      </c>
      <c r="BI438" s="15">
        <v>0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  <c r="BP438" s="15">
        <v>0</v>
      </c>
      <c r="BQ438" s="15">
        <v>0</v>
      </c>
      <c r="BR438" s="15">
        <v>0</v>
      </c>
      <c r="BS438" s="15">
        <v>0</v>
      </c>
      <c r="BT438" s="15">
        <v>0</v>
      </c>
      <c r="BU438" s="15">
        <v>0</v>
      </c>
      <c r="BV438" s="15">
        <v>0</v>
      </c>
      <c r="BW438" s="15">
        <v>0</v>
      </c>
      <c r="BX438" s="15">
        <v>0</v>
      </c>
      <c r="BY438" s="15">
        <v>0</v>
      </c>
      <c r="BZ438" s="15">
        <v>0</v>
      </c>
      <c r="CA438" s="15">
        <v>0</v>
      </c>
      <c r="CB438" s="15">
        <v>0</v>
      </c>
      <c r="CC438" s="15">
        <v>0</v>
      </c>
      <c r="CD438" s="15">
        <v>0</v>
      </c>
      <c r="CE438" s="15">
        <v>0</v>
      </c>
      <c r="CF438" s="15">
        <v>0</v>
      </c>
      <c r="CG438" s="15">
        <v>0</v>
      </c>
      <c r="CH438" s="15">
        <v>0</v>
      </c>
      <c r="CI438" s="15">
        <v>0</v>
      </c>
      <c r="CJ438" s="15">
        <v>0</v>
      </c>
      <c r="CK438" s="15">
        <v>0</v>
      </c>
      <c r="CL438" s="15">
        <v>0</v>
      </c>
      <c r="CM438" s="15">
        <v>0</v>
      </c>
      <c r="CN438" s="15">
        <v>0</v>
      </c>
      <c r="CO438" s="15">
        <v>0</v>
      </c>
      <c r="CP438" s="15">
        <v>0</v>
      </c>
      <c r="CQ438" s="15">
        <v>0</v>
      </c>
      <c r="CR438" s="15">
        <v>0</v>
      </c>
      <c r="CS438" s="15">
        <v>0</v>
      </c>
      <c r="CT438" s="15">
        <v>0</v>
      </c>
      <c r="CU438" s="15">
        <v>0</v>
      </c>
      <c r="CV438" s="15">
        <v>0</v>
      </c>
      <c r="CW438" s="15">
        <v>0</v>
      </c>
      <c r="CX438" s="15">
        <v>0</v>
      </c>
      <c r="CY438" s="15">
        <v>0</v>
      </c>
      <c r="CZ438" s="15">
        <v>0</v>
      </c>
      <c r="DA438" s="15">
        <v>0</v>
      </c>
      <c r="DB438" s="15">
        <v>0</v>
      </c>
      <c r="DC438" s="15">
        <v>0</v>
      </c>
      <c r="DD438" s="15">
        <v>0</v>
      </c>
      <c r="DE438" s="15">
        <v>0</v>
      </c>
      <c r="DF438" s="15">
        <v>0</v>
      </c>
      <c r="DG438" s="15">
        <v>0</v>
      </c>
      <c r="DH438" s="15">
        <v>0</v>
      </c>
      <c r="DI438" s="15">
        <v>0</v>
      </c>
      <c r="DJ438" s="15">
        <v>0</v>
      </c>
      <c r="DK438" s="15">
        <v>0</v>
      </c>
      <c r="DL438" s="15">
        <v>0</v>
      </c>
      <c r="DM438" s="15">
        <v>0</v>
      </c>
      <c r="DN438" s="15">
        <v>4</v>
      </c>
      <c r="DO438" s="15">
        <v>4</v>
      </c>
      <c r="DP438" s="15">
        <v>4</v>
      </c>
      <c r="DQ438" s="15">
        <v>4</v>
      </c>
      <c r="DR438" s="15">
        <v>0</v>
      </c>
      <c r="DS438" s="15">
        <v>0</v>
      </c>
      <c r="DT438" s="15">
        <v>0</v>
      </c>
      <c r="DU438" s="15">
        <v>0</v>
      </c>
      <c r="DV438" s="15">
        <v>0</v>
      </c>
      <c r="DW438" s="15">
        <v>0</v>
      </c>
      <c r="DX438" s="15">
        <v>0</v>
      </c>
      <c r="DY438" s="15">
        <v>0</v>
      </c>
      <c r="DZ438" s="15">
        <v>0</v>
      </c>
      <c r="EA438" s="15">
        <v>0</v>
      </c>
      <c r="EB438" s="15">
        <v>0</v>
      </c>
      <c r="EC438" s="15">
        <v>0</v>
      </c>
      <c r="ED438" s="15">
        <v>0</v>
      </c>
      <c r="EE438" s="15">
        <v>0</v>
      </c>
      <c r="EF438" s="15">
        <v>0</v>
      </c>
    </row>
    <row r="439" spans="1:136" ht="15" customHeight="1" x14ac:dyDescent="0.35">
      <c r="A439" s="8" t="s">
        <v>12</v>
      </c>
      <c r="B439" s="8" t="s">
        <v>328</v>
      </c>
      <c r="C439" s="8" t="s">
        <v>329</v>
      </c>
      <c r="D439" s="8" t="s">
        <v>317</v>
      </c>
      <c r="E439" s="8" t="s">
        <v>10</v>
      </c>
      <c r="F439" s="8" t="s">
        <v>105</v>
      </c>
      <c r="G439" s="15">
        <v>16</v>
      </c>
      <c r="H439" s="15">
        <v>80</v>
      </c>
      <c r="I439" s="15">
        <v>64</v>
      </c>
      <c r="J439" s="15">
        <v>16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5">
        <v>0</v>
      </c>
      <c r="CH439" s="15">
        <v>0</v>
      </c>
      <c r="CI439" s="15">
        <v>0</v>
      </c>
      <c r="CJ439" s="15">
        <v>0</v>
      </c>
      <c r="CK439" s="15">
        <v>0</v>
      </c>
      <c r="CL439" s="15">
        <v>0</v>
      </c>
      <c r="CM439" s="15">
        <v>0</v>
      </c>
      <c r="CN439" s="15">
        <v>0</v>
      </c>
      <c r="CO439" s="15">
        <v>0</v>
      </c>
      <c r="CP439" s="15">
        <v>0</v>
      </c>
      <c r="CQ439" s="15">
        <v>0</v>
      </c>
      <c r="CR439" s="15">
        <v>0</v>
      </c>
      <c r="CS439" s="15">
        <v>0</v>
      </c>
      <c r="CT439" s="15">
        <v>0</v>
      </c>
      <c r="CU439" s="15">
        <v>0</v>
      </c>
      <c r="CV439" s="15">
        <v>0</v>
      </c>
      <c r="CW439" s="15">
        <v>0</v>
      </c>
      <c r="CX439" s="15">
        <v>0</v>
      </c>
      <c r="CY439" s="15">
        <v>0</v>
      </c>
      <c r="CZ439" s="15">
        <v>0</v>
      </c>
      <c r="DA439" s="15">
        <v>0</v>
      </c>
      <c r="DB439" s="15">
        <v>0</v>
      </c>
      <c r="DC439" s="15">
        <v>0</v>
      </c>
      <c r="DD439" s="15">
        <v>0</v>
      </c>
      <c r="DE439" s="15">
        <v>0</v>
      </c>
      <c r="DF439" s="15">
        <v>0</v>
      </c>
      <c r="DG439" s="15">
        <v>0</v>
      </c>
      <c r="DH439" s="15">
        <v>0</v>
      </c>
      <c r="DI439" s="15">
        <v>0</v>
      </c>
      <c r="DJ439" s="15">
        <v>0</v>
      </c>
      <c r="DK439" s="15">
        <v>0</v>
      </c>
      <c r="DL439" s="15">
        <v>0</v>
      </c>
      <c r="DM439" s="15">
        <v>0</v>
      </c>
      <c r="DN439" s="15">
        <v>16</v>
      </c>
      <c r="DO439" s="15">
        <v>16</v>
      </c>
      <c r="DP439" s="15">
        <v>16</v>
      </c>
      <c r="DQ439" s="15">
        <v>16</v>
      </c>
      <c r="DR439" s="15">
        <v>0</v>
      </c>
      <c r="DS439" s="15">
        <v>0</v>
      </c>
      <c r="DT439" s="15">
        <v>0</v>
      </c>
      <c r="DU439" s="15">
        <v>0</v>
      </c>
      <c r="DV439" s="15">
        <v>0</v>
      </c>
      <c r="DW439" s="15">
        <v>0</v>
      </c>
      <c r="DX439" s="15">
        <v>0</v>
      </c>
      <c r="DY439" s="15">
        <v>0</v>
      </c>
      <c r="DZ439" s="15">
        <v>0</v>
      </c>
      <c r="EA439" s="15">
        <v>0</v>
      </c>
      <c r="EB439" s="15">
        <v>0</v>
      </c>
      <c r="EC439" s="15">
        <v>0</v>
      </c>
      <c r="ED439" s="15">
        <v>0</v>
      </c>
      <c r="EE439" s="15">
        <v>0</v>
      </c>
      <c r="EF439" s="15">
        <v>0</v>
      </c>
    </row>
    <row r="440" spans="1:136" ht="15" customHeight="1" x14ac:dyDescent="0.35">
      <c r="A440" s="8" t="s">
        <v>12</v>
      </c>
      <c r="B440" s="8" t="s">
        <v>330</v>
      </c>
      <c r="C440" s="8" t="s">
        <v>331</v>
      </c>
      <c r="D440" s="8" t="s">
        <v>322</v>
      </c>
      <c r="E440" s="8" t="s">
        <v>14</v>
      </c>
      <c r="F440" s="8" t="s">
        <v>105</v>
      </c>
      <c r="G440" s="15">
        <v>40</v>
      </c>
      <c r="H440" s="15">
        <v>200</v>
      </c>
      <c r="I440" s="15">
        <v>160</v>
      </c>
      <c r="J440" s="15">
        <v>40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5">
        <v>0</v>
      </c>
      <c r="AU440" s="15">
        <v>0</v>
      </c>
      <c r="AV440" s="15">
        <v>0</v>
      </c>
      <c r="AW440" s="15">
        <v>0</v>
      </c>
      <c r="AX440" s="15">
        <v>0</v>
      </c>
      <c r="AY440" s="15">
        <v>0</v>
      </c>
      <c r="AZ440" s="15">
        <v>0</v>
      </c>
      <c r="BA440" s="15">
        <v>0</v>
      </c>
      <c r="BB440" s="15">
        <v>0</v>
      </c>
      <c r="BC440" s="15">
        <v>0</v>
      </c>
      <c r="BD440" s="15">
        <v>0</v>
      </c>
      <c r="BE440" s="15">
        <v>0</v>
      </c>
      <c r="BF440" s="15">
        <v>0</v>
      </c>
      <c r="BG440" s="15">
        <v>0</v>
      </c>
      <c r="BH440" s="15">
        <v>0</v>
      </c>
      <c r="BI440" s="15">
        <v>0</v>
      </c>
      <c r="BJ440" s="15">
        <v>0</v>
      </c>
      <c r="BK440" s="15">
        <v>0</v>
      </c>
      <c r="BL440" s="15">
        <v>0</v>
      </c>
      <c r="BM440" s="15">
        <v>0</v>
      </c>
      <c r="BN440" s="15">
        <v>0</v>
      </c>
      <c r="BO440" s="15">
        <v>0</v>
      </c>
      <c r="BP440" s="15">
        <v>0</v>
      </c>
      <c r="BQ440" s="15">
        <v>0</v>
      </c>
      <c r="BR440" s="15">
        <v>0</v>
      </c>
      <c r="BS440" s="15">
        <v>0</v>
      </c>
      <c r="BT440" s="15">
        <v>0</v>
      </c>
      <c r="BU440" s="15">
        <v>0</v>
      </c>
      <c r="BV440" s="15">
        <v>0</v>
      </c>
      <c r="BW440" s="15">
        <v>0</v>
      </c>
      <c r="BX440" s="15">
        <v>0</v>
      </c>
      <c r="BY440" s="15">
        <v>0</v>
      </c>
      <c r="BZ440" s="15">
        <v>0</v>
      </c>
      <c r="CA440" s="15">
        <v>0</v>
      </c>
      <c r="CB440" s="15">
        <v>0</v>
      </c>
      <c r="CC440" s="15">
        <v>0</v>
      </c>
      <c r="CD440" s="15">
        <v>0</v>
      </c>
      <c r="CE440" s="15">
        <v>0</v>
      </c>
      <c r="CF440" s="15">
        <v>0</v>
      </c>
      <c r="CG440" s="15">
        <v>0</v>
      </c>
      <c r="CH440" s="15">
        <v>0</v>
      </c>
      <c r="CI440" s="15">
        <v>0</v>
      </c>
      <c r="CJ440" s="15">
        <v>0</v>
      </c>
      <c r="CK440" s="15">
        <v>0</v>
      </c>
      <c r="CL440" s="15">
        <v>0</v>
      </c>
      <c r="CM440" s="15">
        <v>0</v>
      </c>
      <c r="CN440" s="15">
        <v>0</v>
      </c>
      <c r="CO440" s="15">
        <v>0</v>
      </c>
      <c r="CP440" s="15">
        <v>0</v>
      </c>
      <c r="CQ440" s="15">
        <v>0</v>
      </c>
      <c r="CR440" s="15">
        <v>0</v>
      </c>
      <c r="CS440" s="15">
        <v>0</v>
      </c>
      <c r="CT440" s="15">
        <v>0</v>
      </c>
      <c r="CU440" s="15">
        <v>0</v>
      </c>
      <c r="CV440" s="15">
        <v>0</v>
      </c>
      <c r="CW440" s="15">
        <v>0</v>
      </c>
      <c r="CX440" s="15">
        <v>0</v>
      </c>
      <c r="CY440" s="15">
        <v>0</v>
      </c>
      <c r="CZ440" s="15">
        <v>0</v>
      </c>
      <c r="DA440" s="15">
        <v>0</v>
      </c>
      <c r="DB440" s="15">
        <v>0</v>
      </c>
      <c r="DC440" s="15">
        <v>0</v>
      </c>
      <c r="DD440" s="15">
        <v>0</v>
      </c>
      <c r="DE440" s="15">
        <v>0</v>
      </c>
      <c r="DF440" s="15">
        <v>0</v>
      </c>
      <c r="DG440" s="15">
        <v>0</v>
      </c>
      <c r="DH440" s="15">
        <v>0</v>
      </c>
      <c r="DI440" s="15">
        <v>0</v>
      </c>
      <c r="DJ440" s="15">
        <v>0</v>
      </c>
      <c r="DK440" s="15">
        <v>0</v>
      </c>
      <c r="DL440" s="15">
        <v>0</v>
      </c>
      <c r="DM440" s="15">
        <v>0</v>
      </c>
      <c r="DN440" s="15">
        <v>40</v>
      </c>
      <c r="DO440" s="15">
        <v>40</v>
      </c>
      <c r="DP440" s="15">
        <v>40</v>
      </c>
      <c r="DQ440" s="15">
        <v>40</v>
      </c>
      <c r="DR440" s="15">
        <v>0</v>
      </c>
      <c r="DS440" s="15">
        <v>0</v>
      </c>
      <c r="DT440" s="15">
        <v>0</v>
      </c>
      <c r="DU440" s="15">
        <v>0</v>
      </c>
      <c r="DV440" s="15">
        <v>0</v>
      </c>
      <c r="DW440" s="15">
        <v>0</v>
      </c>
      <c r="DX440" s="15">
        <v>0</v>
      </c>
      <c r="DY440" s="15">
        <v>0</v>
      </c>
      <c r="DZ440" s="15">
        <v>0</v>
      </c>
      <c r="EA440" s="15">
        <v>0</v>
      </c>
      <c r="EB440" s="15">
        <v>0</v>
      </c>
      <c r="EC440" s="15">
        <v>0</v>
      </c>
      <c r="ED440" s="15">
        <v>0</v>
      </c>
      <c r="EE440" s="15">
        <v>0</v>
      </c>
      <c r="EF440" s="15">
        <v>0</v>
      </c>
    </row>
    <row r="441" spans="1:136" ht="15" customHeight="1" x14ac:dyDescent="0.35">
      <c r="A441" s="8" t="s">
        <v>12</v>
      </c>
      <c r="B441" s="8" t="s">
        <v>332</v>
      </c>
      <c r="C441" s="8" t="s">
        <v>333</v>
      </c>
      <c r="D441" s="8" t="s">
        <v>317</v>
      </c>
      <c r="E441" s="8" t="s">
        <v>10</v>
      </c>
      <c r="F441" s="8" t="s">
        <v>88</v>
      </c>
      <c r="G441" s="15">
        <v>0</v>
      </c>
      <c r="H441" s="15">
        <v>20</v>
      </c>
      <c r="I441" s="15">
        <v>20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0</v>
      </c>
      <c r="AU441" s="15">
        <v>0</v>
      </c>
      <c r="AV441" s="15">
        <v>0</v>
      </c>
      <c r="AW441" s="15">
        <v>0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5">
        <v>0</v>
      </c>
      <c r="CH441" s="15">
        <v>0</v>
      </c>
      <c r="CI441" s="15">
        <v>0</v>
      </c>
      <c r="CJ441" s="15">
        <v>0</v>
      </c>
      <c r="CK441" s="15">
        <v>0</v>
      </c>
      <c r="CL441" s="15">
        <v>0</v>
      </c>
      <c r="CM441" s="15">
        <v>0</v>
      </c>
      <c r="CN441" s="15">
        <v>0</v>
      </c>
      <c r="CO441" s="15">
        <v>0</v>
      </c>
      <c r="CP441" s="15">
        <v>0</v>
      </c>
      <c r="CQ441" s="15">
        <v>0</v>
      </c>
      <c r="CR441" s="15">
        <v>0</v>
      </c>
      <c r="CS441" s="15">
        <v>0</v>
      </c>
      <c r="CT441" s="15">
        <v>0</v>
      </c>
      <c r="CU441" s="15">
        <v>0</v>
      </c>
      <c r="CV441" s="15">
        <v>0</v>
      </c>
      <c r="CW441" s="15">
        <v>0</v>
      </c>
      <c r="CX441" s="15">
        <v>0</v>
      </c>
      <c r="CY441" s="15">
        <v>0</v>
      </c>
      <c r="CZ441" s="15">
        <v>10</v>
      </c>
      <c r="DA441" s="15">
        <v>10</v>
      </c>
      <c r="DB441" s="15">
        <v>0</v>
      </c>
      <c r="DC441" s="15">
        <v>0</v>
      </c>
      <c r="DD441" s="15">
        <v>0</v>
      </c>
      <c r="DE441" s="15">
        <v>0</v>
      </c>
      <c r="DF441" s="15">
        <v>0</v>
      </c>
      <c r="DG441" s="15">
        <v>0</v>
      </c>
      <c r="DH441" s="15">
        <v>0</v>
      </c>
      <c r="DI441" s="15">
        <v>0</v>
      </c>
      <c r="DJ441" s="15">
        <v>0</v>
      </c>
      <c r="DK441" s="15">
        <v>0</v>
      </c>
      <c r="DL441" s="15">
        <v>0</v>
      </c>
      <c r="DM441" s="15">
        <v>0</v>
      </c>
      <c r="DN441" s="15">
        <v>0</v>
      </c>
      <c r="DO441" s="15">
        <v>0</v>
      </c>
      <c r="DP441" s="15">
        <v>0</v>
      </c>
      <c r="DQ441" s="15">
        <v>0</v>
      </c>
      <c r="DR441" s="15">
        <v>0</v>
      </c>
      <c r="DS441" s="15">
        <v>0</v>
      </c>
      <c r="DT441" s="15">
        <v>0</v>
      </c>
      <c r="DU441" s="15">
        <v>0</v>
      </c>
      <c r="DV441" s="15">
        <v>0</v>
      </c>
      <c r="DW441" s="15">
        <v>0</v>
      </c>
      <c r="DX441" s="15">
        <v>0</v>
      </c>
      <c r="DY441" s="15">
        <v>0</v>
      </c>
      <c r="DZ441" s="15">
        <v>0</v>
      </c>
      <c r="EA441" s="15">
        <v>0</v>
      </c>
      <c r="EB441" s="15">
        <v>0</v>
      </c>
      <c r="EC441" s="15">
        <v>0</v>
      </c>
      <c r="ED441" s="15">
        <v>0</v>
      </c>
      <c r="EE441" s="15">
        <v>0</v>
      </c>
      <c r="EF441" s="15">
        <v>0</v>
      </c>
    </row>
    <row r="442" spans="1:136" ht="15" customHeight="1" x14ac:dyDescent="0.35">
      <c r="A442" s="8" t="s">
        <v>12</v>
      </c>
      <c r="B442" s="8" t="s">
        <v>334</v>
      </c>
      <c r="C442" s="8" t="s">
        <v>335</v>
      </c>
      <c r="D442" s="8" t="s">
        <v>322</v>
      </c>
      <c r="E442" s="8" t="s">
        <v>14</v>
      </c>
      <c r="F442" s="8" t="s">
        <v>43</v>
      </c>
      <c r="G442" s="15">
        <v>0</v>
      </c>
      <c r="H442" s="15">
        <v>100</v>
      </c>
      <c r="I442" s="15">
        <v>140.5</v>
      </c>
      <c r="J442" s="15">
        <v>-40.5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5">
        <v>0</v>
      </c>
      <c r="AS442" s="15">
        <v>0</v>
      </c>
      <c r="AT442" s="15">
        <v>0</v>
      </c>
      <c r="AU442" s="15">
        <v>0</v>
      </c>
      <c r="AV442" s="15">
        <v>0</v>
      </c>
      <c r="AW442" s="15">
        <v>0</v>
      </c>
      <c r="AX442" s="15">
        <v>0</v>
      </c>
      <c r="AY442" s="15">
        <v>0</v>
      </c>
      <c r="AZ442" s="15">
        <v>0</v>
      </c>
      <c r="BA442" s="15">
        <v>0</v>
      </c>
      <c r="BB442" s="15">
        <v>0</v>
      </c>
      <c r="BC442" s="15">
        <v>0</v>
      </c>
      <c r="BD442" s="15">
        <v>0</v>
      </c>
      <c r="BE442" s="15">
        <v>0</v>
      </c>
      <c r="BF442" s="15">
        <v>0</v>
      </c>
      <c r="BG442" s="15">
        <v>0</v>
      </c>
      <c r="BH442" s="15">
        <v>0</v>
      </c>
      <c r="BI442" s="15">
        <v>0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  <c r="BP442" s="15">
        <v>0</v>
      </c>
      <c r="BQ442" s="15">
        <v>0</v>
      </c>
      <c r="BR442" s="15">
        <v>0</v>
      </c>
      <c r="BS442" s="15">
        <v>0</v>
      </c>
      <c r="BT442" s="15">
        <v>0</v>
      </c>
      <c r="BU442" s="15">
        <v>0</v>
      </c>
      <c r="BV442" s="15">
        <v>0</v>
      </c>
      <c r="BW442" s="15">
        <v>0</v>
      </c>
      <c r="BX442" s="15">
        <v>0</v>
      </c>
      <c r="BY442" s="15">
        <v>0</v>
      </c>
      <c r="BZ442" s="15">
        <v>0</v>
      </c>
      <c r="CA442" s="15">
        <v>0</v>
      </c>
      <c r="CB442" s="15">
        <v>0</v>
      </c>
      <c r="CC442" s="15">
        <v>0</v>
      </c>
      <c r="CD442" s="15">
        <v>0</v>
      </c>
      <c r="CE442" s="15">
        <v>0</v>
      </c>
      <c r="CF442" s="15">
        <v>0</v>
      </c>
      <c r="CG442" s="15">
        <v>0</v>
      </c>
      <c r="CH442" s="15">
        <v>0</v>
      </c>
      <c r="CI442" s="15">
        <v>0</v>
      </c>
      <c r="CJ442" s="15">
        <v>0</v>
      </c>
      <c r="CK442" s="15">
        <v>0</v>
      </c>
      <c r="CL442" s="15">
        <v>0</v>
      </c>
      <c r="CM442" s="15">
        <v>0</v>
      </c>
      <c r="CN442" s="15">
        <v>0</v>
      </c>
      <c r="CO442" s="15">
        <v>0</v>
      </c>
      <c r="CP442" s="15">
        <v>0</v>
      </c>
      <c r="CQ442" s="15">
        <v>0</v>
      </c>
      <c r="CR442" s="15">
        <v>0</v>
      </c>
      <c r="CS442" s="15">
        <v>0</v>
      </c>
      <c r="CT442" s="15">
        <v>0</v>
      </c>
      <c r="CU442" s="15">
        <v>0</v>
      </c>
      <c r="CV442" s="15">
        <v>0</v>
      </c>
      <c r="CW442" s="15">
        <v>0</v>
      </c>
      <c r="CX442" s="15">
        <v>0</v>
      </c>
      <c r="CY442" s="15">
        <v>0</v>
      </c>
      <c r="CZ442" s="15">
        <v>0</v>
      </c>
      <c r="DA442" s="15">
        <v>0</v>
      </c>
      <c r="DB442" s="15">
        <v>0</v>
      </c>
      <c r="DC442" s="15">
        <v>0</v>
      </c>
      <c r="DD442" s="15">
        <v>0</v>
      </c>
      <c r="DE442" s="15">
        <v>0</v>
      </c>
      <c r="DF442" s="15">
        <v>0</v>
      </c>
      <c r="DG442" s="15">
        <v>0</v>
      </c>
      <c r="DH442" s="15">
        <v>0</v>
      </c>
      <c r="DI442" s="15">
        <v>0</v>
      </c>
      <c r="DJ442" s="15">
        <v>0</v>
      </c>
      <c r="DK442" s="15">
        <v>0</v>
      </c>
      <c r="DL442" s="15">
        <v>0</v>
      </c>
      <c r="DM442" s="15">
        <v>27</v>
      </c>
      <c r="DN442" s="15">
        <v>29</v>
      </c>
      <c r="DO442" s="15">
        <v>36</v>
      </c>
      <c r="DP442" s="15">
        <v>33</v>
      </c>
      <c r="DQ442" s="15">
        <v>8</v>
      </c>
      <c r="DR442" s="15">
        <v>7.5</v>
      </c>
      <c r="DS442" s="15">
        <v>0</v>
      </c>
      <c r="DT442" s="15">
        <v>0</v>
      </c>
      <c r="DU442" s="15">
        <v>0</v>
      </c>
      <c r="DV442" s="15">
        <v>0</v>
      </c>
      <c r="DW442" s="15">
        <v>0</v>
      </c>
      <c r="DX442" s="15">
        <v>0</v>
      </c>
      <c r="DY442" s="15">
        <v>0</v>
      </c>
      <c r="DZ442" s="15">
        <v>0</v>
      </c>
      <c r="EA442" s="15">
        <v>0</v>
      </c>
      <c r="EB442" s="15">
        <v>0</v>
      </c>
      <c r="EC442" s="15">
        <v>0</v>
      </c>
      <c r="ED442" s="15">
        <v>0</v>
      </c>
      <c r="EE442" s="15">
        <v>0</v>
      </c>
      <c r="EF442" s="15">
        <v>0</v>
      </c>
    </row>
    <row r="443" spans="1:136" ht="15" customHeight="1" x14ac:dyDescent="0.35">
      <c r="A443" s="8" t="s">
        <v>12</v>
      </c>
      <c r="B443" s="8" t="s">
        <v>336</v>
      </c>
      <c r="C443" s="8" t="s">
        <v>337</v>
      </c>
      <c r="D443" s="8" t="s">
        <v>315</v>
      </c>
      <c r="E443" s="8" t="s">
        <v>14</v>
      </c>
      <c r="F443" s="8" t="s">
        <v>84</v>
      </c>
      <c r="G443" s="15">
        <v>0</v>
      </c>
      <c r="H443" s="15">
        <v>10</v>
      </c>
      <c r="I443" s="15">
        <v>10</v>
      </c>
      <c r="J443" s="15">
        <v>0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0</v>
      </c>
      <c r="BN443" s="15">
        <v>0</v>
      </c>
      <c r="BO443" s="15">
        <v>0</v>
      </c>
      <c r="BP443" s="15">
        <v>0</v>
      </c>
      <c r="BQ443" s="15">
        <v>0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5">
        <v>0</v>
      </c>
      <c r="CH443" s="15">
        <v>0</v>
      </c>
      <c r="CI443" s="15">
        <v>0</v>
      </c>
      <c r="CJ443" s="15">
        <v>0</v>
      </c>
      <c r="CK443" s="15">
        <v>0</v>
      </c>
      <c r="CL443" s="15">
        <v>0</v>
      </c>
      <c r="CM443" s="15">
        <v>0</v>
      </c>
      <c r="CN443" s="15">
        <v>0</v>
      </c>
      <c r="CO443" s="15">
        <v>0</v>
      </c>
      <c r="CP443" s="15">
        <v>0</v>
      </c>
      <c r="CQ443" s="15">
        <v>0</v>
      </c>
      <c r="CR443" s="15">
        <v>0</v>
      </c>
      <c r="CS443" s="15">
        <v>0</v>
      </c>
      <c r="CT443" s="15">
        <v>0</v>
      </c>
      <c r="CU443" s="15">
        <v>0</v>
      </c>
      <c r="CV443" s="15">
        <v>0</v>
      </c>
      <c r="CW443" s="15">
        <v>0</v>
      </c>
      <c r="CX443" s="15">
        <v>0</v>
      </c>
      <c r="CY443" s="15">
        <v>0</v>
      </c>
      <c r="CZ443" s="15">
        <v>5</v>
      </c>
      <c r="DA443" s="15">
        <v>5</v>
      </c>
      <c r="DB443" s="15">
        <v>0</v>
      </c>
      <c r="DC443" s="15">
        <v>0</v>
      </c>
      <c r="DD443" s="15">
        <v>0</v>
      </c>
      <c r="DE443" s="15">
        <v>0</v>
      </c>
      <c r="DF443" s="15">
        <v>0</v>
      </c>
      <c r="DG443" s="15">
        <v>0</v>
      </c>
      <c r="DH443" s="15">
        <v>0</v>
      </c>
      <c r="DI443" s="15">
        <v>0</v>
      </c>
      <c r="DJ443" s="15">
        <v>0</v>
      </c>
      <c r="DK443" s="15">
        <v>0</v>
      </c>
      <c r="DL443" s="15">
        <v>0</v>
      </c>
      <c r="DM443" s="15">
        <v>0</v>
      </c>
      <c r="DN443" s="15">
        <v>0</v>
      </c>
      <c r="DO443" s="15">
        <v>0</v>
      </c>
      <c r="DP443" s="15">
        <v>0</v>
      </c>
      <c r="DQ443" s="15">
        <v>0</v>
      </c>
      <c r="DR443" s="15">
        <v>0</v>
      </c>
      <c r="DS443" s="15">
        <v>0</v>
      </c>
      <c r="DT443" s="15">
        <v>0</v>
      </c>
      <c r="DU443" s="15">
        <v>0</v>
      </c>
      <c r="DV443" s="15">
        <v>0</v>
      </c>
      <c r="DW443" s="15">
        <v>0</v>
      </c>
      <c r="DX443" s="15">
        <v>0</v>
      </c>
      <c r="DY443" s="15">
        <v>0</v>
      </c>
      <c r="DZ443" s="15">
        <v>0</v>
      </c>
      <c r="EA443" s="15">
        <v>0</v>
      </c>
      <c r="EB443" s="15">
        <v>0</v>
      </c>
      <c r="EC443" s="15">
        <v>0</v>
      </c>
      <c r="ED443" s="15">
        <v>0</v>
      </c>
      <c r="EE443" s="15">
        <v>0</v>
      </c>
      <c r="EF443" s="15">
        <v>0</v>
      </c>
    </row>
    <row r="444" spans="1:136" ht="15" customHeight="1" x14ac:dyDescent="0.35">
      <c r="A444" s="8" t="s">
        <v>12</v>
      </c>
      <c r="B444" s="8" t="s">
        <v>338</v>
      </c>
      <c r="C444" s="8" t="s">
        <v>339</v>
      </c>
      <c r="D444" s="8" t="s">
        <v>315</v>
      </c>
      <c r="E444" s="8" t="s">
        <v>14</v>
      </c>
      <c r="F444" s="8" t="s">
        <v>40</v>
      </c>
      <c r="G444" s="15">
        <v>0</v>
      </c>
      <c r="H444" s="15">
        <v>28</v>
      </c>
      <c r="I444" s="15">
        <v>28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5">
        <v>0</v>
      </c>
      <c r="AU444" s="15">
        <v>0</v>
      </c>
      <c r="AV444" s="15">
        <v>0</v>
      </c>
      <c r="AW444" s="15">
        <v>0</v>
      </c>
      <c r="AX444" s="15">
        <v>0</v>
      </c>
      <c r="AY444" s="15">
        <v>0</v>
      </c>
      <c r="AZ444" s="15">
        <v>0</v>
      </c>
      <c r="BA444" s="15">
        <v>0</v>
      </c>
      <c r="BB444" s="15">
        <v>0</v>
      </c>
      <c r="BC444" s="15">
        <v>0</v>
      </c>
      <c r="BD444" s="15">
        <v>0</v>
      </c>
      <c r="BE444" s="15">
        <v>0</v>
      </c>
      <c r="BF444" s="15">
        <v>0</v>
      </c>
      <c r="BG444" s="15">
        <v>0</v>
      </c>
      <c r="BH444" s="15">
        <v>0</v>
      </c>
      <c r="BI444" s="15">
        <v>0</v>
      </c>
      <c r="BJ444" s="15">
        <v>0</v>
      </c>
      <c r="BK444" s="15">
        <v>0</v>
      </c>
      <c r="BL444" s="15">
        <v>0</v>
      </c>
      <c r="BM444" s="15">
        <v>0</v>
      </c>
      <c r="BN444" s="15">
        <v>0</v>
      </c>
      <c r="BO444" s="15">
        <v>0</v>
      </c>
      <c r="BP444" s="15">
        <v>0</v>
      </c>
      <c r="BQ444" s="15">
        <v>0</v>
      </c>
      <c r="BR444" s="15">
        <v>0</v>
      </c>
      <c r="BS444" s="15">
        <v>0</v>
      </c>
      <c r="BT444" s="15">
        <v>0</v>
      </c>
      <c r="BU444" s="15">
        <v>0</v>
      </c>
      <c r="BV444" s="15">
        <v>0</v>
      </c>
      <c r="BW444" s="15">
        <v>0</v>
      </c>
      <c r="BX444" s="15">
        <v>0</v>
      </c>
      <c r="BY444" s="15">
        <v>0</v>
      </c>
      <c r="BZ444" s="15">
        <v>0</v>
      </c>
      <c r="CA444" s="15">
        <v>0</v>
      </c>
      <c r="CB444" s="15">
        <v>0</v>
      </c>
      <c r="CC444" s="15">
        <v>0</v>
      </c>
      <c r="CD444" s="15">
        <v>0</v>
      </c>
      <c r="CE444" s="15">
        <v>0</v>
      </c>
      <c r="CF444" s="15">
        <v>0</v>
      </c>
      <c r="CG444" s="15">
        <v>0</v>
      </c>
      <c r="CH444" s="15">
        <v>0</v>
      </c>
      <c r="CI444" s="15">
        <v>0</v>
      </c>
      <c r="CJ444" s="15">
        <v>0</v>
      </c>
      <c r="CK444" s="15">
        <v>0</v>
      </c>
      <c r="CL444" s="15">
        <v>0</v>
      </c>
      <c r="CM444" s="15">
        <v>0</v>
      </c>
      <c r="CN444" s="15">
        <v>0</v>
      </c>
      <c r="CO444" s="15">
        <v>0</v>
      </c>
      <c r="CP444" s="15">
        <v>0</v>
      </c>
      <c r="CQ444" s="15">
        <v>0</v>
      </c>
      <c r="CR444" s="15">
        <v>0</v>
      </c>
      <c r="CS444" s="15">
        <v>0</v>
      </c>
      <c r="CT444" s="15">
        <v>0</v>
      </c>
      <c r="CU444" s="15">
        <v>0</v>
      </c>
      <c r="CV444" s="15">
        <v>0</v>
      </c>
      <c r="CW444" s="15">
        <v>0</v>
      </c>
      <c r="CX444" s="15">
        <v>0</v>
      </c>
      <c r="CY444" s="15">
        <v>0</v>
      </c>
      <c r="CZ444" s="15">
        <v>0</v>
      </c>
      <c r="DA444" s="15">
        <v>0</v>
      </c>
      <c r="DB444" s="15">
        <v>0</v>
      </c>
      <c r="DC444" s="15">
        <v>0</v>
      </c>
      <c r="DD444" s="15">
        <v>0</v>
      </c>
      <c r="DE444" s="15">
        <v>0</v>
      </c>
      <c r="DF444" s="15">
        <v>0</v>
      </c>
      <c r="DG444" s="15">
        <v>0</v>
      </c>
      <c r="DH444" s="15">
        <v>0</v>
      </c>
      <c r="DI444" s="15">
        <v>0</v>
      </c>
      <c r="DJ444" s="15">
        <v>0</v>
      </c>
      <c r="DK444" s="15">
        <v>0</v>
      </c>
      <c r="DL444" s="15">
        <v>0</v>
      </c>
      <c r="DM444" s="15">
        <v>0</v>
      </c>
      <c r="DN444" s="15">
        <v>0</v>
      </c>
      <c r="DO444" s="15">
        <v>0</v>
      </c>
      <c r="DP444" s="15">
        <v>10</v>
      </c>
      <c r="DQ444" s="15">
        <v>8</v>
      </c>
      <c r="DR444" s="15">
        <v>10</v>
      </c>
      <c r="DS444" s="15">
        <v>0</v>
      </c>
      <c r="DT444" s="15">
        <v>0</v>
      </c>
      <c r="DU444" s="15">
        <v>0</v>
      </c>
      <c r="DV444" s="15">
        <v>0</v>
      </c>
      <c r="DW444" s="15">
        <v>0</v>
      </c>
      <c r="DX444" s="15">
        <v>0</v>
      </c>
      <c r="DY444" s="15">
        <v>0</v>
      </c>
      <c r="DZ444" s="15">
        <v>0</v>
      </c>
      <c r="EA444" s="15">
        <v>0</v>
      </c>
      <c r="EB444" s="15">
        <v>0</v>
      </c>
      <c r="EC444" s="15">
        <v>0</v>
      </c>
      <c r="ED444" s="15">
        <v>0</v>
      </c>
      <c r="EE444" s="15">
        <v>0</v>
      </c>
      <c r="EF444" s="15">
        <v>0</v>
      </c>
    </row>
    <row r="445" spans="1:136" ht="15" customHeight="1" x14ac:dyDescent="0.35">
      <c r="A445" s="8" t="s">
        <v>12</v>
      </c>
      <c r="B445" s="8" t="s">
        <v>340</v>
      </c>
      <c r="C445" s="8" t="s">
        <v>341</v>
      </c>
      <c r="D445" s="8" t="s">
        <v>322</v>
      </c>
      <c r="E445" s="8" t="s">
        <v>14</v>
      </c>
      <c r="F445" s="8" t="s">
        <v>85</v>
      </c>
      <c r="G445" s="15">
        <v>0</v>
      </c>
      <c r="H445" s="15">
        <v>0</v>
      </c>
      <c r="I445" s="15">
        <v>309</v>
      </c>
      <c r="J445" s="15">
        <v>-309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5">
        <v>0</v>
      </c>
      <c r="AU445" s="15">
        <v>0</v>
      </c>
      <c r="AV445" s="15">
        <v>0</v>
      </c>
      <c r="AW445" s="15">
        <v>0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0</v>
      </c>
      <c r="BN445" s="15">
        <v>0</v>
      </c>
      <c r="BO445" s="15">
        <v>0</v>
      </c>
      <c r="BP445" s="15">
        <v>0</v>
      </c>
      <c r="BQ445" s="15">
        <v>0</v>
      </c>
      <c r="BR445" s="15">
        <v>0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5">
        <v>0</v>
      </c>
      <c r="CH445" s="15">
        <v>0</v>
      </c>
      <c r="CI445" s="15">
        <v>0</v>
      </c>
      <c r="CJ445" s="15">
        <v>0</v>
      </c>
      <c r="CK445" s="15">
        <v>0</v>
      </c>
      <c r="CL445" s="15">
        <v>0</v>
      </c>
      <c r="CM445" s="15">
        <v>0</v>
      </c>
      <c r="CN445" s="15">
        <v>0</v>
      </c>
      <c r="CO445" s="15">
        <v>0</v>
      </c>
      <c r="CP445" s="15">
        <v>0</v>
      </c>
      <c r="CQ445" s="15">
        <v>0</v>
      </c>
      <c r="CR445" s="15">
        <v>0</v>
      </c>
      <c r="CS445" s="15">
        <v>0</v>
      </c>
      <c r="CT445" s="15">
        <v>24</v>
      </c>
      <c r="CU445" s="15">
        <v>24</v>
      </c>
      <c r="CV445" s="15">
        <v>2</v>
      </c>
      <c r="CW445" s="15">
        <v>22</v>
      </c>
      <c r="CX445" s="15">
        <v>26</v>
      </c>
      <c r="CY445" s="15">
        <v>22</v>
      </c>
      <c r="CZ445" s="15">
        <v>2</v>
      </c>
      <c r="DA445" s="15">
        <v>2</v>
      </c>
      <c r="DB445" s="15">
        <v>2</v>
      </c>
      <c r="DC445" s="15">
        <v>2</v>
      </c>
      <c r="DD445" s="15">
        <v>2</v>
      </c>
      <c r="DE445" s="15">
        <v>22</v>
      </c>
      <c r="DF445" s="15">
        <v>22</v>
      </c>
      <c r="DG445" s="15">
        <v>25.5</v>
      </c>
      <c r="DH445" s="15">
        <v>5.5</v>
      </c>
      <c r="DI445" s="15">
        <v>2</v>
      </c>
      <c r="DJ445" s="15">
        <v>0</v>
      </c>
      <c r="DK445" s="15">
        <v>6</v>
      </c>
      <c r="DL445" s="15">
        <v>2</v>
      </c>
      <c r="DM445" s="15">
        <v>29</v>
      </c>
      <c r="DN445" s="15">
        <v>29</v>
      </c>
      <c r="DO445" s="15">
        <v>26</v>
      </c>
      <c r="DP445" s="15">
        <v>2</v>
      </c>
      <c r="DQ445" s="15">
        <v>6</v>
      </c>
      <c r="DR445" s="15">
        <v>2</v>
      </c>
      <c r="DS445" s="15">
        <v>0</v>
      </c>
      <c r="DT445" s="15">
        <v>0</v>
      </c>
      <c r="DU445" s="15">
        <v>0</v>
      </c>
      <c r="DV445" s="15">
        <v>0</v>
      </c>
      <c r="DW445" s="15">
        <v>0</v>
      </c>
      <c r="DX445" s="15">
        <v>0</v>
      </c>
      <c r="DY445" s="15">
        <v>0</v>
      </c>
      <c r="DZ445" s="15">
        <v>0</v>
      </c>
      <c r="EA445" s="15">
        <v>0</v>
      </c>
      <c r="EB445" s="15">
        <v>0</v>
      </c>
      <c r="EC445" s="15">
        <v>0</v>
      </c>
      <c r="ED445" s="15">
        <v>0</v>
      </c>
      <c r="EE445" s="15">
        <v>0</v>
      </c>
      <c r="EF445" s="15">
        <v>0</v>
      </c>
    </row>
    <row r="446" spans="1:136" ht="15" customHeight="1" x14ac:dyDescent="0.35">
      <c r="A446" s="8" t="s">
        <v>12</v>
      </c>
      <c r="B446" s="8" t="s">
        <v>342</v>
      </c>
      <c r="C446" s="8" t="s">
        <v>139</v>
      </c>
      <c r="D446" s="8" t="s">
        <v>322</v>
      </c>
      <c r="E446" s="8" t="s">
        <v>14</v>
      </c>
      <c r="F446" s="8" t="s">
        <v>95</v>
      </c>
      <c r="G446" s="15">
        <v>0</v>
      </c>
      <c r="H446" s="15">
        <v>122</v>
      </c>
      <c r="I446" s="15">
        <v>122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5">
        <v>0</v>
      </c>
      <c r="AX446" s="15">
        <v>0</v>
      </c>
      <c r="AY446" s="15">
        <v>0</v>
      </c>
      <c r="AZ446" s="15">
        <v>0</v>
      </c>
      <c r="BA446" s="15">
        <v>0</v>
      </c>
      <c r="BB446" s="15">
        <v>0</v>
      </c>
      <c r="BC446" s="15">
        <v>0</v>
      </c>
      <c r="BD446" s="15">
        <v>0</v>
      </c>
      <c r="BE446" s="15">
        <v>0</v>
      </c>
      <c r="BF446" s="15">
        <v>0</v>
      </c>
      <c r="BG446" s="15">
        <v>0</v>
      </c>
      <c r="BH446" s="15">
        <v>0</v>
      </c>
      <c r="BI446" s="15">
        <v>0</v>
      </c>
      <c r="BJ446" s="15">
        <v>0</v>
      </c>
      <c r="BK446" s="15">
        <v>0</v>
      </c>
      <c r="BL446" s="15">
        <v>0</v>
      </c>
      <c r="BM446" s="15">
        <v>0</v>
      </c>
      <c r="BN446" s="15">
        <v>0</v>
      </c>
      <c r="BO446" s="15">
        <v>0</v>
      </c>
      <c r="BP446" s="15">
        <v>0</v>
      </c>
      <c r="BQ446" s="15">
        <v>0</v>
      </c>
      <c r="BR446" s="15">
        <v>0</v>
      </c>
      <c r="BS446" s="15">
        <v>0</v>
      </c>
      <c r="BT446" s="15">
        <v>0</v>
      </c>
      <c r="BU446" s="15">
        <v>0</v>
      </c>
      <c r="BV446" s="15">
        <v>0</v>
      </c>
      <c r="BW446" s="15">
        <v>0</v>
      </c>
      <c r="BX446" s="15">
        <v>0</v>
      </c>
      <c r="BY446" s="15">
        <v>0</v>
      </c>
      <c r="BZ446" s="15">
        <v>0</v>
      </c>
      <c r="CA446" s="15">
        <v>0</v>
      </c>
      <c r="CB446" s="15">
        <v>0</v>
      </c>
      <c r="CC446" s="15">
        <v>0</v>
      </c>
      <c r="CD446" s="15">
        <v>0</v>
      </c>
      <c r="CE446" s="15">
        <v>0</v>
      </c>
      <c r="CF446" s="15">
        <v>0</v>
      </c>
      <c r="CG446" s="15">
        <v>0</v>
      </c>
      <c r="CH446" s="15">
        <v>0</v>
      </c>
      <c r="CI446" s="15">
        <v>0</v>
      </c>
      <c r="CJ446" s="15">
        <v>0</v>
      </c>
      <c r="CK446" s="15">
        <v>0</v>
      </c>
      <c r="CL446" s="15">
        <v>0</v>
      </c>
      <c r="CM446" s="15">
        <v>0</v>
      </c>
      <c r="CN446" s="15">
        <v>0</v>
      </c>
      <c r="CO446" s="15">
        <v>0</v>
      </c>
      <c r="CP446" s="15">
        <v>0</v>
      </c>
      <c r="CQ446" s="15">
        <v>0</v>
      </c>
      <c r="CR446" s="15">
        <v>0</v>
      </c>
      <c r="CS446" s="15">
        <v>0</v>
      </c>
      <c r="CT446" s="15">
        <v>0</v>
      </c>
      <c r="CU446" s="15">
        <v>0</v>
      </c>
      <c r="CV446" s="15">
        <v>0</v>
      </c>
      <c r="CW446" s="15">
        <v>0</v>
      </c>
      <c r="CX446" s="15">
        <v>0</v>
      </c>
      <c r="CY446" s="15">
        <v>0</v>
      </c>
      <c r="CZ446" s="15">
        <v>0</v>
      </c>
      <c r="DA446" s="15">
        <v>0</v>
      </c>
      <c r="DB446" s="15">
        <v>0</v>
      </c>
      <c r="DC446" s="15">
        <v>0</v>
      </c>
      <c r="DD446" s="15">
        <v>0</v>
      </c>
      <c r="DE446" s="15">
        <v>0</v>
      </c>
      <c r="DF446" s="15">
        <v>0</v>
      </c>
      <c r="DG446" s="15">
        <v>0</v>
      </c>
      <c r="DH446" s="15">
        <v>0</v>
      </c>
      <c r="DI446" s="15">
        <v>0</v>
      </c>
      <c r="DJ446" s="15">
        <v>0</v>
      </c>
      <c r="DK446" s="15">
        <v>0</v>
      </c>
      <c r="DL446" s="15">
        <v>25</v>
      </c>
      <c r="DM446" s="15">
        <v>39</v>
      </c>
      <c r="DN446" s="15">
        <v>28</v>
      </c>
      <c r="DO446" s="15">
        <v>30</v>
      </c>
      <c r="DP446" s="15">
        <v>0</v>
      </c>
      <c r="DQ446" s="15">
        <v>0</v>
      </c>
      <c r="DR446" s="15">
        <v>0</v>
      </c>
      <c r="DS446" s="15">
        <v>0</v>
      </c>
      <c r="DT446" s="15">
        <v>0</v>
      </c>
      <c r="DU446" s="15">
        <v>0</v>
      </c>
      <c r="DV446" s="15">
        <v>0</v>
      </c>
      <c r="DW446" s="15">
        <v>0</v>
      </c>
      <c r="DX446" s="15">
        <v>0</v>
      </c>
      <c r="DY446" s="15">
        <v>0</v>
      </c>
      <c r="DZ446" s="15">
        <v>0</v>
      </c>
      <c r="EA446" s="15">
        <v>0</v>
      </c>
      <c r="EB446" s="15">
        <v>0</v>
      </c>
      <c r="EC446" s="15">
        <v>0</v>
      </c>
      <c r="ED446" s="15">
        <v>0</v>
      </c>
      <c r="EE446" s="15">
        <v>0</v>
      </c>
      <c r="EF446" s="15">
        <v>0</v>
      </c>
    </row>
    <row r="447" spans="1:136" ht="15" customHeight="1" x14ac:dyDescent="0.35">
      <c r="A447" s="8" t="s">
        <v>12</v>
      </c>
      <c r="B447" s="8" t="s">
        <v>342</v>
      </c>
      <c r="C447" s="8" t="s">
        <v>139</v>
      </c>
      <c r="D447" s="8" t="s">
        <v>322</v>
      </c>
      <c r="E447" s="8" t="s">
        <v>14</v>
      </c>
      <c r="F447" s="8" t="s">
        <v>99</v>
      </c>
      <c r="G447" s="15">
        <v>0</v>
      </c>
      <c r="H447" s="15">
        <v>63</v>
      </c>
      <c r="I447" s="15">
        <v>63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  <c r="AW447" s="15">
        <v>0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  <c r="BP447" s="15">
        <v>0</v>
      </c>
      <c r="BQ447" s="15">
        <v>0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5">
        <v>0</v>
      </c>
      <c r="CH447" s="15">
        <v>0</v>
      </c>
      <c r="CI447" s="15">
        <v>0</v>
      </c>
      <c r="CJ447" s="15">
        <v>0</v>
      </c>
      <c r="CK447" s="15">
        <v>0</v>
      </c>
      <c r="CL447" s="15">
        <v>0</v>
      </c>
      <c r="CM447" s="15">
        <v>0</v>
      </c>
      <c r="CN447" s="15">
        <v>0</v>
      </c>
      <c r="CO447" s="15">
        <v>0</v>
      </c>
      <c r="CP447" s="15">
        <v>0</v>
      </c>
      <c r="CQ447" s="15">
        <v>0</v>
      </c>
      <c r="CR447" s="15">
        <v>0</v>
      </c>
      <c r="CS447" s="15">
        <v>0</v>
      </c>
      <c r="CT447" s="15">
        <v>0</v>
      </c>
      <c r="CU447" s="15">
        <v>0</v>
      </c>
      <c r="CV447" s="15">
        <v>0</v>
      </c>
      <c r="CW447" s="15">
        <v>0</v>
      </c>
      <c r="CX447" s="15">
        <v>0</v>
      </c>
      <c r="CY447" s="15">
        <v>0</v>
      </c>
      <c r="CZ447" s="15">
        <v>0</v>
      </c>
      <c r="DA447" s="15">
        <v>0</v>
      </c>
      <c r="DB447" s="15">
        <v>0</v>
      </c>
      <c r="DC447" s="15">
        <v>0</v>
      </c>
      <c r="DD447" s="15">
        <v>0</v>
      </c>
      <c r="DE447" s="15">
        <v>0</v>
      </c>
      <c r="DF447" s="15">
        <v>0</v>
      </c>
      <c r="DG447" s="15">
        <v>0</v>
      </c>
      <c r="DH447" s="15">
        <v>0</v>
      </c>
      <c r="DI447" s="15">
        <v>0</v>
      </c>
      <c r="DJ447" s="15">
        <v>0</v>
      </c>
      <c r="DK447" s="15">
        <v>0</v>
      </c>
      <c r="DL447" s="15">
        <v>0</v>
      </c>
      <c r="DM447" s="15">
        <v>0</v>
      </c>
      <c r="DN447" s="15">
        <v>16</v>
      </c>
      <c r="DO447" s="15">
        <v>23</v>
      </c>
      <c r="DP447" s="15">
        <v>24</v>
      </c>
      <c r="DQ447" s="15">
        <v>0</v>
      </c>
      <c r="DR447" s="15">
        <v>0</v>
      </c>
      <c r="DS447" s="15">
        <v>0</v>
      </c>
      <c r="DT447" s="15">
        <v>0</v>
      </c>
      <c r="DU447" s="15">
        <v>0</v>
      </c>
      <c r="DV447" s="15">
        <v>0</v>
      </c>
      <c r="DW447" s="15">
        <v>0</v>
      </c>
      <c r="DX447" s="15">
        <v>0</v>
      </c>
      <c r="DY447" s="15">
        <v>0</v>
      </c>
      <c r="DZ447" s="15">
        <v>0</v>
      </c>
      <c r="EA447" s="15">
        <v>0</v>
      </c>
      <c r="EB447" s="15">
        <v>0</v>
      </c>
      <c r="EC447" s="15">
        <v>0</v>
      </c>
      <c r="ED447" s="15">
        <v>0</v>
      </c>
      <c r="EE447" s="15">
        <v>0</v>
      </c>
      <c r="EF447" s="15">
        <v>0</v>
      </c>
    </row>
    <row r="448" spans="1:136" ht="15" customHeight="1" x14ac:dyDescent="0.35">
      <c r="A448" s="8" t="s">
        <v>12</v>
      </c>
      <c r="B448" s="8" t="s">
        <v>342</v>
      </c>
      <c r="C448" s="8" t="s">
        <v>139</v>
      </c>
      <c r="D448" s="8" t="s">
        <v>322</v>
      </c>
      <c r="E448" s="8" t="s">
        <v>14</v>
      </c>
      <c r="F448" s="8" t="s">
        <v>43</v>
      </c>
      <c r="G448" s="15">
        <v>0</v>
      </c>
      <c r="H448" s="15">
        <v>25</v>
      </c>
      <c r="I448" s="15">
        <v>25</v>
      </c>
      <c r="J448" s="15">
        <v>0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5">
        <v>0</v>
      </c>
      <c r="AX448" s="15">
        <v>0</v>
      </c>
      <c r="AY448" s="15">
        <v>0</v>
      </c>
      <c r="AZ448" s="15">
        <v>0</v>
      </c>
      <c r="BA448" s="15">
        <v>0</v>
      </c>
      <c r="BB448" s="15">
        <v>0</v>
      </c>
      <c r="BC448" s="15">
        <v>0</v>
      </c>
      <c r="BD448" s="15">
        <v>0</v>
      </c>
      <c r="BE448" s="15">
        <v>0</v>
      </c>
      <c r="BF448" s="15">
        <v>0</v>
      </c>
      <c r="BG448" s="15">
        <v>0</v>
      </c>
      <c r="BH448" s="15">
        <v>0</v>
      </c>
      <c r="BI448" s="15">
        <v>0</v>
      </c>
      <c r="BJ448" s="15">
        <v>0</v>
      </c>
      <c r="BK448" s="15">
        <v>0</v>
      </c>
      <c r="BL448" s="15">
        <v>0</v>
      </c>
      <c r="BM448" s="15">
        <v>0</v>
      </c>
      <c r="BN448" s="15">
        <v>0</v>
      </c>
      <c r="BO448" s="15">
        <v>0</v>
      </c>
      <c r="BP448" s="15">
        <v>0</v>
      </c>
      <c r="BQ448" s="15">
        <v>0</v>
      </c>
      <c r="BR448" s="15">
        <v>0</v>
      </c>
      <c r="BS448" s="15">
        <v>0</v>
      </c>
      <c r="BT448" s="15">
        <v>0</v>
      </c>
      <c r="BU448" s="15">
        <v>0</v>
      </c>
      <c r="BV448" s="15">
        <v>0</v>
      </c>
      <c r="BW448" s="15">
        <v>0</v>
      </c>
      <c r="BX448" s="15">
        <v>0</v>
      </c>
      <c r="BY448" s="15">
        <v>0</v>
      </c>
      <c r="BZ448" s="15">
        <v>0</v>
      </c>
      <c r="CA448" s="15">
        <v>0</v>
      </c>
      <c r="CB448" s="15">
        <v>0</v>
      </c>
      <c r="CC448" s="15">
        <v>0</v>
      </c>
      <c r="CD448" s="15">
        <v>0</v>
      </c>
      <c r="CE448" s="15">
        <v>0</v>
      </c>
      <c r="CF448" s="15">
        <v>0</v>
      </c>
      <c r="CG448" s="15">
        <v>0</v>
      </c>
      <c r="CH448" s="15">
        <v>0</v>
      </c>
      <c r="CI448" s="15">
        <v>0</v>
      </c>
      <c r="CJ448" s="15">
        <v>0</v>
      </c>
      <c r="CK448" s="15">
        <v>0</v>
      </c>
      <c r="CL448" s="15">
        <v>0</v>
      </c>
      <c r="CM448" s="15">
        <v>0</v>
      </c>
      <c r="CN448" s="15">
        <v>0</v>
      </c>
      <c r="CO448" s="15">
        <v>0</v>
      </c>
      <c r="CP448" s="15">
        <v>0</v>
      </c>
      <c r="CQ448" s="15">
        <v>0</v>
      </c>
      <c r="CR448" s="15">
        <v>0</v>
      </c>
      <c r="CS448" s="15">
        <v>0</v>
      </c>
      <c r="CT448" s="15">
        <v>0</v>
      </c>
      <c r="CU448" s="15">
        <v>0</v>
      </c>
      <c r="CV448" s="15">
        <v>0</v>
      </c>
      <c r="CW448" s="15">
        <v>0</v>
      </c>
      <c r="CX448" s="15">
        <v>0</v>
      </c>
      <c r="CY448" s="15">
        <v>0</v>
      </c>
      <c r="CZ448" s="15">
        <v>0</v>
      </c>
      <c r="DA448" s="15">
        <v>0</v>
      </c>
      <c r="DB448" s="15">
        <v>0</v>
      </c>
      <c r="DC448" s="15">
        <v>0</v>
      </c>
      <c r="DD448" s="15">
        <v>0</v>
      </c>
      <c r="DE448" s="15">
        <v>0</v>
      </c>
      <c r="DF448" s="15">
        <v>0</v>
      </c>
      <c r="DG448" s="15">
        <v>0</v>
      </c>
      <c r="DH448" s="15">
        <v>0</v>
      </c>
      <c r="DI448" s="15">
        <v>0</v>
      </c>
      <c r="DJ448" s="15">
        <v>0</v>
      </c>
      <c r="DK448" s="15">
        <v>0</v>
      </c>
      <c r="DL448" s="15">
        <v>0</v>
      </c>
      <c r="DM448" s="15">
        <v>0</v>
      </c>
      <c r="DN448" s="15">
        <v>0</v>
      </c>
      <c r="DO448" s="15">
        <v>0</v>
      </c>
      <c r="DP448" s="15">
        <v>18</v>
      </c>
      <c r="DQ448" s="15">
        <v>7</v>
      </c>
      <c r="DR448" s="15">
        <v>0</v>
      </c>
      <c r="DS448" s="15">
        <v>0</v>
      </c>
      <c r="DT448" s="15">
        <v>0</v>
      </c>
      <c r="DU448" s="15">
        <v>0</v>
      </c>
      <c r="DV448" s="15">
        <v>0</v>
      </c>
      <c r="DW448" s="15">
        <v>0</v>
      </c>
      <c r="DX448" s="15">
        <v>0</v>
      </c>
      <c r="DY448" s="15">
        <v>0</v>
      </c>
      <c r="DZ448" s="15">
        <v>0</v>
      </c>
      <c r="EA448" s="15">
        <v>0</v>
      </c>
      <c r="EB448" s="15">
        <v>0</v>
      </c>
      <c r="EC448" s="15">
        <v>0</v>
      </c>
      <c r="ED448" s="15">
        <v>0</v>
      </c>
      <c r="EE448" s="15">
        <v>0</v>
      </c>
      <c r="EF448" s="15">
        <v>0</v>
      </c>
    </row>
    <row r="449" spans="1:136" ht="15" customHeight="1" x14ac:dyDescent="0.35">
      <c r="A449" s="8" t="s">
        <v>12</v>
      </c>
      <c r="B449" s="8" t="s">
        <v>342</v>
      </c>
      <c r="C449" s="8" t="s">
        <v>139</v>
      </c>
      <c r="D449" s="8" t="s">
        <v>322</v>
      </c>
      <c r="E449" s="8" t="s">
        <v>14</v>
      </c>
      <c r="F449" s="8" t="s">
        <v>100</v>
      </c>
      <c r="G449" s="15">
        <v>0</v>
      </c>
      <c r="H449" s="15">
        <v>20</v>
      </c>
      <c r="I449" s="15">
        <v>20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0</v>
      </c>
      <c r="BN449" s="15">
        <v>0</v>
      </c>
      <c r="BO449" s="15">
        <v>0</v>
      </c>
      <c r="BP449" s="15">
        <v>0</v>
      </c>
      <c r="BQ449" s="15">
        <v>0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5">
        <v>0</v>
      </c>
      <c r="CH449" s="15">
        <v>0</v>
      </c>
      <c r="CI449" s="15">
        <v>0</v>
      </c>
      <c r="CJ449" s="15">
        <v>0</v>
      </c>
      <c r="CK449" s="15">
        <v>0</v>
      </c>
      <c r="CL449" s="15">
        <v>0</v>
      </c>
      <c r="CM449" s="15">
        <v>0</v>
      </c>
      <c r="CN449" s="15">
        <v>0</v>
      </c>
      <c r="CO449" s="15">
        <v>0</v>
      </c>
      <c r="CP449" s="15">
        <v>0</v>
      </c>
      <c r="CQ449" s="15">
        <v>0</v>
      </c>
      <c r="CR449" s="15">
        <v>0</v>
      </c>
      <c r="CS449" s="15">
        <v>0</v>
      </c>
      <c r="CT449" s="15">
        <v>0</v>
      </c>
      <c r="CU449" s="15">
        <v>0</v>
      </c>
      <c r="CV449" s="15">
        <v>0</v>
      </c>
      <c r="CW449" s="15">
        <v>0</v>
      </c>
      <c r="CX449" s="15">
        <v>0</v>
      </c>
      <c r="CY449" s="15">
        <v>0</v>
      </c>
      <c r="CZ449" s="15">
        <v>0</v>
      </c>
      <c r="DA449" s="15">
        <v>0</v>
      </c>
      <c r="DB449" s="15">
        <v>0</v>
      </c>
      <c r="DC449" s="15">
        <v>0</v>
      </c>
      <c r="DD449" s="15">
        <v>0</v>
      </c>
      <c r="DE449" s="15">
        <v>0</v>
      </c>
      <c r="DF449" s="15">
        <v>0</v>
      </c>
      <c r="DG449" s="15">
        <v>0</v>
      </c>
      <c r="DH449" s="15">
        <v>0</v>
      </c>
      <c r="DI449" s="15">
        <v>0</v>
      </c>
      <c r="DJ449" s="15">
        <v>0</v>
      </c>
      <c r="DK449" s="15">
        <v>0</v>
      </c>
      <c r="DL449" s="15">
        <v>0</v>
      </c>
      <c r="DM449" s="15">
        <v>0</v>
      </c>
      <c r="DN449" s="15">
        <v>0</v>
      </c>
      <c r="DO449" s="15">
        <v>13</v>
      </c>
      <c r="DP449" s="15">
        <v>5</v>
      </c>
      <c r="DQ449" s="15">
        <v>2</v>
      </c>
      <c r="DR449" s="15">
        <v>0</v>
      </c>
      <c r="DS449" s="15">
        <v>0</v>
      </c>
      <c r="DT449" s="15">
        <v>0</v>
      </c>
      <c r="DU449" s="15">
        <v>0</v>
      </c>
      <c r="DV449" s="15">
        <v>0</v>
      </c>
      <c r="DW449" s="15">
        <v>0</v>
      </c>
      <c r="DX449" s="15">
        <v>0</v>
      </c>
      <c r="DY449" s="15">
        <v>0</v>
      </c>
      <c r="DZ449" s="15">
        <v>0</v>
      </c>
      <c r="EA449" s="15">
        <v>0</v>
      </c>
      <c r="EB449" s="15">
        <v>0</v>
      </c>
      <c r="EC449" s="15">
        <v>0</v>
      </c>
      <c r="ED449" s="15">
        <v>0</v>
      </c>
      <c r="EE449" s="15">
        <v>0</v>
      </c>
      <c r="EF449" s="15">
        <v>0</v>
      </c>
    </row>
    <row r="450" spans="1:136" ht="15" customHeight="1" x14ac:dyDescent="0.35">
      <c r="A450" s="8" t="s">
        <v>12</v>
      </c>
      <c r="B450" s="8" t="s">
        <v>343</v>
      </c>
      <c r="C450" s="8" t="s">
        <v>344</v>
      </c>
      <c r="D450" s="8" t="s">
        <v>322</v>
      </c>
      <c r="E450" s="8" t="s">
        <v>14</v>
      </c>
      <c r="F450" s="8" t="s">
        <v>99</v>
      </c>
      <c r="G450" s="15">
        <v>0</v>
      </c>
      <c r="H450" s="15">
        <v>495</v>
      </c>
      <c r="I450" s="15">
        <v>495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5">
        <v>0</v>
      </c>
      <c r="AX450" s="15">
        <v>0</v>
      </c>
      <c r="AY450" s="15">
        <v>0</v>
      </c>
      <c r="AZ450" s="15">
        <v>0</v>
      </c>
      <c r="BA450" s="15">
        <v>0</v>
      </c>
      <c r="BB450" s="15">
        <v>0</v>
      </c>
      <c r="BC450" s="15">
        <v>0</v>
      </c>
      <c r="BD450" s="15">
        <v>0</v>
      </c>
      <c r="BE450" s="15">
        <v>0</v>
      </c>
      <c r="BF450" s="15">
        <v>0</v>
      </c>
      <c r="BG450" s="15">
        <v>0</v>
      </c>
      <c r="BH450" s="15">
        <v>0</v>
      </c>
      <c r="BI450" s="15">
        <v>0</v>
      </c>
      <c r="BJ450" s="15">
        <v>0</v>
      </c>
      <c r="BK450" s="15">
        <v>0</v>
      </c>
      <c r="BL450" s="15">
        <v>0</v>
      </c>
      <c r="BM450" s="15">
        <v>0</v>
      </c>
      <c r="BN450" s="15">
        <v>0</v>
      </c>
      <c r="BO450" s="15">
        <v>0</v>
      </c>
      <c r="BP450" s="15">
        <v>0</v>
      </c>
      <c r="BQ450" s="15">
        <v>0</v>
      </c>
      <c r="BR450" s="15">
        <v>0</v>
      </c>
      <c r="BS450" s="15">
        <v>0</v>
      </c>
      <c r="BT450" s="15">
        <v>0</v>
      </c>
      <c r="BU450" s="15">
        <v>0</v>
      </c>
      <c r="BV450" s="15">
        <v>0</v>
      </c>
      <c r="BW450" s="15">
        <v>0</v>
      </c>
      <c r="BX450" s="15">
        <v>0</v>
      </c>
      <c r="BY450" s="15">
        <v>0</v>
      </c>
      <c r="BZ450" s="15">
        <v>0</v>
      </c>
      <c r="CA450" s="15">
        <v>0</v>
      </c>
      <c r="CB450" s="15">
        <v>0</v>
      </c>
      <c r="CC450" s="15">
        <v>0</v>
      </c>
      <c r="CD450" s="15">
        <v>0</v>
      </c>
      <c r="CE450" s="15">
        <v>0</v>
      </c>
      <c r="CF450" s="15">
        <v>0</v>
      </c>
      <c r="CG450" s="15">
        <v>0</v>
      </c>
      <c r="CH450" s="15">
        <v>0</v>
      </c>
      <c r="CI450" s="15">
        <v>0</v>
      </c>
      <c r="CJ450" s="15">
        <v>0</v>
      </c>
      <c r="CK450" s="15">
        <v>0</v>
      </c>
      <c r="CL450" s="15">
        <v>0</v>
      </c>
      <c r="CM450" s="15">
        <v>0</v>
      </c>
      <c r="CN450" s="15">
        <v>0</v>
      </c>
      <c r="CO450" s="15">
        <v>0</v>
      </c>
      <c r="CP450" s="15">
        <v>0</v>
      </c>
      <c r="CQ450" s="15">
        <v>0</v>
      </c>
      <c r="CR450" s="15">
        <v>0</v>
      </c>
      <c r="CS450" s="15">
        <v>0</v>
      </c>
      <c r="CT450" s="15">
        <v>0</v>
      </c>
      <c r="CU450" s="15">
        <v>0</v>
      </c>
      <c r="CV450" s="15">
        <v>0</v>
      </c>
      <c r="CW450" s="15">
        <v>0</v>
      </c>
      <c r="CX450" s="15">
        <v>0</v>
      </c>
      <c r="CY450" s="15">
        <v>25</v>
      </c>
      <c r="CZ450" s="15">
        <v>25</v>
      </c>
      <c r="DA450" s="15">
        <v>0</v>
      </c>
      <c r="DB450" s="15">
        <v>0</v>
      </c>
      <c r="DC450" s="15">
        <v>0</v>
      </c>
      <c r="DD450" s="15">
        <v>0</v>
      </c>
      <c r="DE450" s="15">
        <v>0</v>
      </c>
      <c r="DF450" s="15">
        <v>0</v>
      </c>
      <c r="DG450" s="15">
        <v>0</v>
      </c>
      <c r="DH450" s="15">
        <v>25</v>
      </c>
      <c r="DI450" s="15">
        <v>0</v>
      </c>
      <c r="DJ450" s="15">
        <v>0</v>
      </c>
      <c r="DK450" s="15">
        <v>40</v>
      </c>
      <c r="DL450" s="15">
        <v>50</v>
      </c>
      <c r="DM450" s="15">
        <v>50</v>
      </c>
      <c r="DN450" s="15">
        <v>50</v>
      </c>
      <c r="DO450" s="15">
        <v>65</v>
      </c>
      <c r="DP450" s="15">
        <v>65</v>
      </c>
      <c r="DQ450" s="15">
        <v>60</v>
      </c>
      <c r="DR450" s="15">
        <v>40</v>
      </c>
      <c r="DS450" s="15">
        <v>0</v>
      </c>
      <c r="DT450" s="15">
        <v>0</v>
      </c>
      <c r="DU450" s="15">
        <v>0</v>
      </c>
      <c r="DV450" s="15">
        <v>0</v>
      </c>
      <c r="DW450" s="15">
        <v>0</v>
      </c>
      <c r="DX450" s="15">
        <v>0</v>
      </c>
      <c r="DY450" s="15">
        <v>0</v>
      </c>
      <c r="DZ450" s="15">
        <v>0</v>
      </c>
      <c r="EA450" s="15">
        <v>0</v>
      </c>
      <c r="EB450" s="15">
        <v>0</v>
      </c>
      <c r="EC450" s="15">
        <v>0</v>
      </c>
      <c r="ED450" s="15">
        <v>0</v>
      </c>
      <c r="EE450" s="15">
        <v>0</v>
      </c>
      <c r="EF450" s="15">
        <v>0</v>
      </c>
    </row>
    <row r="451" spans="1:136" ht="15" customHeight="1" x14ac:dyDescent="0.35">
      <c r="A451" s="8" t="s">
        <v>12</v>
      </c>
      <c r="B451" s="8" t="s">
        <v>47</v>
      </c>
      <c r="C451" s="8" t="s">
        <v>45</v>
      </c>
      <c r="D451" s="8" t="s">
        <v>322</v>
      </c>
      <c r="E451" s="8" t="s">
        <v>14</v>
      </c>
      <c r="F451" s="8" t="s">
        <v>46</v>
      </c>
      <c r="G451" s="15">
        <v>37.5</v>
      </c>
      <c r="H451" s="15">
        <v>325</v>
      </c>
      <c r="I451" s="15">
        <v>261</v>
      </c>
      <c r="J451" s="15">
        <v>64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  <c r="AW451" s="15">
        <v>0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0</v>
      </c>
      <c r="BN451" s="15">
        <v>0</v>
      </c>
      <c r="BO451" s="15">
        <v>0</v>
      </c>
      <c r="BP451" s="15">
        <v>0</v>
      </c>
      <c r="BQ451" s="15">
        <v>0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5">
        <v>0</v>
      </c>
      <c r="CH451" s="15">
        <v>0</v>
      </c>
      <c r="CI451" s="15">
        <v>0</v>
      </c>
      <c r="CJ451" s="15">
        <v>0</v>
      </c>
      <c r="CK451" s="15">
        <v>0</v>
      </c>
      <c r="CL451" s="15">
        <v>0</v>
      </c>
      <c r="CM451" s="15">
        <v>0</v>
      </c>
      <c r="CN451" s="15">
        <v>0</v>
      </c>
      <c r="CO451" s="15">
        <v>0</v>
      </c>
      <c r="CP451" s="15">
        <v>0</v>
      </c>
      <c r="CQ451" s="15">
        <v>0</v>
      </c>
      <c r="CR451" s="15">
        <v>0</v>
      </c>
      <c r="CS451" s="15">
        <v>0</v>
      </c>
      <c r="CT451" s="15">
        <v>0</v>
      </c>
      <c r="CU451" s="15">
        <v>0</v>
      </c>
      <c r="CV451" s="15">
        <v>0</v>
      </c>
      <c r="CW451" s="15">
        <v>0</v>
      </c>
      <c r="CX451" s="15">
        <v>1.5</v>
      </c>
      <c r="CY451" s="15">
        <v>1.5</v>
      </c>
      <c r="CZ451" s="15">
        <v>1.5</v>
      </c>
      <c r="DA451" s="15">
        <v>1.5</v>
      </c>
      <c r="DB451" s="15">
        <v>22.5</v>
      </c>
      <c r="DC451" s="15">
        <v>28.5</v>
      </c>
      <c r="DD451" s="15">
        <v>1.5</v>
      </c>
      <c r="DE451" s="15">
        <v>1.5</v>
      </c>
      <c r="DF451" s="15">
        <v>1.5</v>
      </c>
      <c r="DG451" s="15">
        <v>22.5</v>
      </c>
      <c r="DH451" s="15">
        <v>1.5</v>
      </c>
      <c r="DI451" s="15">
        <v>0</v>
      </c>
      <c r="DJ451" s="15">
        <v>0</v>
      </c>
      <c r="DK451" s="15">
        <v>1.5</v>
      </c>
      <c r="DL451" s="15">
        <v>12.5</v>
      </c>
      <c r="DM451" s="15">
        <v>32.5</v>
      </c>
      <c r="DN451" s="15">
        <v>24</v>
      </c>
      <c r="DO451" s="15">
        <v>34</v>
      </c>
      <c r="DP451" s="15">
        <v>34</v>
      </c>
      <c r="DQ451" s="15">
        <v>25</v>
      </c>
      <c r="DR451" s="15">
        <v>7.5</v>
      </c>
      <c r="DS451" s="15">
        <v>1.5</v>
      </c>
      <c r="DT451" s="15">
        <v>1.5</v>
      </c>
      <c r="DU451" s="15">
        <v>1.5</v>
      </c>
      <c r="DV451" s="15">
        <v>0</v>
      </c>
      <c r="DW451" s="15">
        <v>0</v>
      </c>
      <c r="DX451" s="15">
        <v>0</v>
      </c>
      <c r="DY451" s="15">
        <v>0</v>
      </c>
      <c r="DZ451" s="15">
        <v>0</v>
      </c>
      <c r="EA451" s="15">
        <v>0</v>
      </c>
      <c r="EB451" s="15">
        <v>0</v>
      </c>
      <c r="EC451" s="15">
        <v>0</v>
      </c>
      <c r="ED451" s="15">
        <v>0</v>
      </c>
      <c r="EE451" s="15">
        <v>0</v>
      </c>
      <c r="EF451" s="15">
        <v>0</v>
      </c>
    </row>
    <row r="452" spans="1:136" ht="15" customHeight="1" x14ac:dyDescent="0.35">
      <c r="A452" s="8" t="s">
        <v>12</v>
      </c>
      <c r="B452" s="8" t="s">
        <v>345</v>
      </c>
      <c r="C452" s="8" t="s">
        <v>346</v>
      </c>
      <c r="D452" s="8" t="s">
        <v>322</v>
      </c>
      <c r="E452" s="8" t="s">
        <v>14</v>
      </c>
      <c r="F452" s="8" t="s">
        <v>108</v>
      </c>
      <c r="G452" s="15">
        <v>0</v>
      </c>
      <c r="H452" s="15">
        <v>0</v>
      </c>
      <c r="I452" s="15">
        <v>146.9</v>
      </c>
      <c r="J452" s="15">
        <v>-146.9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5">
        <v>0</v>
      </c>
      <c r="AX452" s="15">
        <v>0</v>
      </c>
      <c r="AY452" s="15">
        <v>0</v>
      </c>
      <c r="AZ452" s="15">
        <v>0</v>
      </c>
      <c r="BA452" s="15">
        <v>0</v>
      </c>
      <c r="BB452" s="15">
        <v>0</v>
      </c>
      <c r="BC452" s="15">
        <v>0</v>
      </c>
      <c r="BD452" s="15">
        <v>0</v>
      </c>
      <c r="BE452" s="15">
        <v>0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0</v>
      </c>
      <c r="BP452" s="15">
        <v>0</v>
      </c>
      <c r="BQ452" s="15">
        <v>0</v>
      </c>
      <c r="BR452" s="15">
        <v>0</v>
      </c>
      <c r="BS452" s="15">
        <v>0</v>
      </c>
      <c r="BT452" s="15">
        <v>0</v>
      </c>
      <c r="BU452" s="15">
        <v>0</v>
      </c>
      <c r="BV452" s="15">
        <v>0</v>
      </c>
      <c r="BW452" s="15">
        <v>0</v>
      </c>
      <c r="BX452" s="15">
        <v>0</v>
      </c>
      <c r="BY452" s="15">
        <v>0</v>
      </c>
      <c r="BZ452" s="15">
        <v>0</v>
      </c>
      <c r="CA452" s="15">
        <v>0</v>
      </c>
      <c r="CB452" s="15">
        <v>0</v>
      </c>
      <c r="CC452" s="15">
        <v>0</v>
      </c>
      <c r="CD452" s="15">
        <v>0</v>
      </c>
      <c r="CE452" s="15">
        <v>0</v>
      </c>
      <c r="CF452" s="15">
        <v>0</v>
      </c>
      <c r="CG452" s="15">
        <v>0</v>
      </c>
      <c r="CH452" s="15">
        <v>0</v>
      </c>
      <c r="CI452" s="15">
        <v>0</v>
      </c>
      <c r="CJ452" s="15">
        <v>0</v>
      </c>
      <c r="CK452" s="15">
        <v>0</v>
      </c>
      <c r="CL452" s="15">
        <v>0</v>
      </c>
      <c r="CM452" s="15">
        <v>0</v>
      </c>
      <c r="CN452" s="15">
        <v>0</v>
      </c>
      <c r="CO452" s="15">
        <v>0</v>
      </c>
      <c r="CP452" s="15">
        <v>0</v>
      </c>
      <c r="CQ452" s="15">
        <v>0</v>
      </c>
      <c r="CR452" s="15">
        <v>0</v>
      </c>
      <c r="CS452" s="15">
        <v>2</v>
      </c>
      <c r="CT452" s="15">
        <v>5</v>
      </c>
      <c r="CU452" s="15">
        <v>5</v>
      </c>
      <c r="CV452" s="15">
        <v>4</v>
      </c>
      <c r="CW452" s="15">
        <v>3</v>
      </c>
      <c r="CX452" s="15">
        <v>0.9</v>
      </c>
      <c r="CY452" s="15">
        <v>0</v>
      </c>
      <c r="CZ452" s="15">
        <v>0</v>
      </c>
      <c r="DA452" s="15">
        <v>0</v>
      </c>
      <c r="DB452" s="15">
        <v>0</v>
      </c>
      <c r="DC452" s="15">
        <v>0</v>
      </c>
      <c r="DD452" s="15">
        <v>0</v>
      </c>
      <c r="DE452" s="15">
        <v>0</v>
      </c>
      <c r="DF452" s="15">
        <v>0</v>
      </c>
      <c r="DG452" s="15">
        <v>1</v>
      </c>
      <c r="DH452" s="15">
        <v>1</v>
      </c>
      <c r="DI452" s="15">
        <v>0</v>
      </c>
      <c r="DJ452" s="15">
        <v>0</v>
      </c>
      <c r="DK452" s="15">
        <v>21</v>
      </c>
      <c r="DL452" s="15">
        <v>31</v>
      </c>
      <c r="DM452" s="15">
        <v>20.5</v>
      </c>
      <c r="DN452" s="15">
        <v>22.5</v>
      </c>
      <c r="DO452" s="15">
        <v>26.5</v>
      </c>
      <c r="DP452" s="15">
        <v>3.5</v>
      </c>
      <c r="DQ452" s="15">
        <v>0</v>
      </c>
      <c r="DR452" s="15">
        <v>0</v>
      </c>
      <c r="DS452" s="15">
        <v>0</v>
      </c>
      <c r="DT452" s="15">
        <v>0</v>
      </c>
      <c r="DU452" s="15">
        <v>0</v>
      </c>
      <c r="DV452" s="15">
        <v>0</v>
      </c>
      <c r="DW452" s="15">
        <v>0</v>
      </c>
      <c r="DX452" s="15">
        <v>0</v>
      </c>
      <c r="DY452" s="15">
        <v>0</v>
      </c>
      <c r="DZ452" s="15">
        <v>0</v>
      </c>
      <c r="EA452" s="15">
        <v>0</v>
      </c>
      <c r="EB452" s="15">
        <v>0</v>
      </c>
      <c r="EC452" s="15">
        <v>0</v>
      </c>
      <c r="ED452" s="15">
        <v>0</v>
      </c>
      <c r="EE452" s="15">
        <v>0</v>
      </c>
      <c r="EF452" s="15">
        <v>0</v>
      </c>
    </row>
    <row r="453" spans="1:136" ht="15" customHeight="1" x14ac:dyDescent="0.35">
      <c r="A453" s="8" t="s">
        <v>12</v>
      </c>
      <c r="B453" s="8" t="s">
        <v>347</v>
      </c>
      <c r="C453" s="8" t="s">
        <v>348</v>
      </c>
      <c r="D453" s="8" t="s">
        <v>322</v>
      </c>
      <c r="E453" s="8" t="s">
        <v>14</v>
      </c>
      <c r="F453" s="8" t="s">
        <v>102</v>
      </c>
      <c r="G453" s="15">
        <v>0</v>
      </c>
      <c r="H453" s="15">
        <v>0</v>
      </c>
      <c r="I453" s="15">
        <v>520</v>
      </c>
      <c r="J453" s="15">
        <v>-520</v>
      </c>
      <c r="K453" s="15">
        <v>0</v>
      </c>
      <c r="L453" s="15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  <c r="AW453" s="15">
        <v>0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0</v>
      </c>
      <c r="BN453" s="15">
        <v>0</v>
      </c>
      <c r="BO453" s="15">
        <v>0</v>
      </c>
      <c r="BP453" s="15">
        <v>0</v>
      </c>
      <c r="BQ453" s="15">
        <v>0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5">
        <v>0</v>
      </c>
      <c r="CH453" s="15">
        <v>0</v>
      </c>
      <c r="CI453" s="15">
        <v>0</v>
      </c>
      <c r="CJ453" s="15">
        <v>0</v>
      </c>
      <c r="CK453" s="15">
        <v>0</v>
      </c>
      <c r="CL453" s="15">
        <v>0</v>
      </c>
      <c r="CM453" s="15">
        <v>0</v>
      </c>
      <c r="CN453" s="15">
        <v>0</v>
      </c>
      <c r="CO453" s="15">
        <v>0</v>
      </c>
      <c r="CP453" s="15">
        <v>0</v>
      </c>
      <c r="CQ453" s="15">
        <v>0</v>
      </c>
      <c r="CR453" s="15">
        <v>0</v>
      </c>
      <c r="CS453" s="15">
        <v>0</v>
      </c>
      <c r="CT453" s="15">
        <v>20</v>
      </c>
      <c r="CU453" s="15">
        <v>20</v>
      </c>
      <c r="CV453" s="15">
        <v>28</v>
      </c>
      <c r="CW453" s="15">
        <v>16</v>
      </c>
      <c r="CX453" s="15">
        <v>20</v>
      </c>
      <c r="CY453" s="15">
        <v>20</v>
      </c>
      <c r="CZ453" s="15">
        <v>15</v>
      </c>
      <c r="DA453" s="15">
        <v>15</v>
      </c>
      <c r="DB453" s="15">
        <v>14</v>
      </c>
      <c r="DC453" s="15">
        <v>15</v>
      </c>
      <c r="DD453" s="15">
        <v>15</v>
      </c>
      <c r="DE453" s="15">
        <v>15</v>
      </c>
      <c r="DF453" s="15">
        <v>10</v>
      </c>
      <c r="DG453" s="15">
        <v>15</v>
      </c>
      <c r="DH453" s="15">
        <v>10</v>
      </c>
      <c r="DI453" s="15">
        <v>0</v>
      </c>
      <c r="DJ453" s="15">
        <v>0</v>
      </c>
      <c r="DK453" s="15">
        <v>36</v>
      </c>
      <c r="DL453" s="15">
        <v>41</v>
      </c>
      <c r="DM453" s="15">
        <v>48</v>
      </c>
      <c r="DN453" s="15">
        <v>45</v>
      </c>
      <c r="DO453" s="15">
        <v>47</v>
      </c>
      <c r="DP453" s="15">
        <v>38</v>
      </c>
      <c r="DQ453" s="15">
        <v>17</v>
      </c>
      <c r="DR453" s="15">
        <v>0</v>
      </c>
      <c r="DS453" s="15">
        <v>0</v>
      </c>
      <c r="DT453" s="15">
        <v>0</v>
      </c>
      <c r="DU453" s="15">
        <v>0</v>
      </c>
      <c r="DV453" s="15">
        <v>0</v>
      </c>
      <c r="DW453" s="15">
        <v>0</v>
      </c>
      <c r="DX453" s="15">
        <v>0</v>
      </c>
      <c r="DY453" s="15">
        <v>0</v>
      </c>
      <c r="DZ453" s="15">
        <v>0</v>
      </c>
      <c r="EA453" s="15">
        <v>0</v>
      </c>
      <c r="EB453" s="15">
        <v>0</v>
      </c>
      <c r="EC453" s="15">
        <v>0</v>
      </c>
      <c r="ED453" s="15">
        <v>0</v>
      </c>
      <c r="EE453" s="15">
        <v>0</v>
      </c>
      <c r="EF453" s="15">
        <v>0</v>
      </c>
    </row>
    <row r="454" spans="1:136" ht="15" customHeight="1" x14ac:dyDescent="0.35">
      <c r="A454" s="8" t="s">
        <v>12</v>
      </c>
      <c r="B454" s="8" t="s">
        <v>349</v>
      </c>
      <c r="C454" s="8" t="s">
        <v>350</v>
      </c>
      <c r="D454" s="8" t="s">
        <v>322</v>
      </c>
      <c r="E454" s="8" t="s">
        <v>14</v>
      </c>
      <c r="F454" s="8" t="s">
        <v>103</v>
      </c>
      <c r="G454" s="15">
        <v>0</v>
      </c>
      <c r="H454" s="15">
        <v>375</v>
      </c>
      <c r="I454" s="15">
        <v>385</v>
      </c>
      <c r="J454" s="15">
        <v>-10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5">
        <v>0</v>
      </c>
      <c r="AX454" s="15">
        <v>0</v>
      </c>
      <c r="AY454" s="15">
        <v>0</v>
      </c>
      <c r="AZ454" s="15">
        <v>0</v>
      </c>
      <c r="BA454" s="15">
        <v>0</v>
      </c>
      <c r="BB454" s="15">
        <v>0</v>
      </c>
      <c r="BC454" s="15">
        <v>0</v>
      </c>
      <c r="BD454" s="15">
        <v>0</v>
      </c>
      <c r="BE454" s="15">
        <v>0</v>
      </c>
      <c r="BF454" s="15">
        <v>0</v>
      </c>
      <c r="BG454" s="15">
        <v>0</v>
      </c>
      <c r="BH454" s="15">
        <v>0</v>
      </c>
      <c r="BI454" s="15">
        <v>0</v>
      </c>
      <c r="BJ454" s="15">
        <v>0</v>
      </c>
      <c r="BK454" s="15">
        <v>0</v>
      </c>
      <c r="BL454" s="15">
        <v>0</v>
      </c>
      <c r="BM454" s="15">
        <v>0</v>
      </c>
      <c r="BN454" s="15">
        <v>0</v>
      </c>
      <c r="BO454" s="15">
        <v>0</v>
      </c>
      <c r="BP454" s="15">
        <v>0</v>
      </c>
      <c r="BQ454" s="15">
        <v>0</v>
      </c>
      <c r="BR454" s="15">
        <v>0</v>
      </c>
      <c r="BS454" s="15">
        <v>0</v>
      </c>
      <c r="BT454" s="15">
        <v>0</v>
      </c>
      <c r="BU454" s="15">
        <v>0</v>
      </c>
      <c r="BV454" s="15">
        <v>0</v>
      </c>
      <c r="BW454" s="15">
        <v>0</v>
      </c>
      <c r="BX454" s="15">
        <v>0</v>
      </c>
      <c r="BY454" s="15">
        <v>0</v>
      </c>
      <c r="BZ454" s="15">
        <v>0</v>
      </c>
      <c r="CA454" s="15">
        <v>0</v>
      </c>
      <c r="CB454" s="15">
        <v>0</v>
      </c>
      <c r="CC454" s="15">
        <v>0</v>
      </c>
      <c r="CD454" s="15">
        <v>0</v>
      </c>
      <c r="CE454" s="15">
        <v>0</v>
      </c>
      <c r="CF454" s="15">
        <v>0</v>
      </c>
      <c r="CG454" s="15">
        <v>0</v>
      </c>
      <c r="CH454" s="15">
        <v>0</v>
      </c>
      <c r="CI454" s="15">
        <v>0</v>
      </c>
      <c r="CJ454" s="15">
        <v>0</v>
      </c>
      <c r="CK454" s="15">
        <v>0</v>
      </c>
      <c r="CL454" s="15">
        <v>0</v>
      </c>
      <c r="CM454" s="15">
        <v>0</v>
      </c>
      <c r="CN454" s="15">
        <v>0</v>
      </c>
      <c r="CO454" s="15">
        <v>0</v>
      </c>
      <c r="CP454" s="15">
        <v>0</v>
      </c>
      <c r="CQ454" s="15">
        <v>0</v>
      </c>
      <c r="CR454" s="15">
        <v>0</v>
      </c>
      <c r="CS454" s="15">
        <v>0</v>
      </c>
      <c r="CT454" s="15">
        <v>0</v>
      </c>
      <c r="CU454" s="15">
        <v>0</v>
      </c>
      <c r="CV454" s="15">
        <v>0</v>
      </c>
      <c r="CW454" s="15">
        <v>0</v>
      </c>
      <c r="CX454" s="15">
        <v>0</v>
      </c>
      <c r="CY454" s="15">
        <v>0</v>
      </c>
      <c r="CZ454" s="15">
        <v>0</v>
      </c>
      <c r="DA454" s="15">
        <v>0</v>
      </c>
      <c r="DB454" s="15">
        <v>0</v>
      </c>
      <c r="DC454" s="15">
        <v>0</v>
      </c>
      <c r="DD454" s="15">
        <v>0</v>
      </c>
      <c r="DE454" s="15">
        <v>0</v>
      </c>
      <c r="DF454" s="15">
        <v>0</v>
      </c>
      <c r="DG454" s="15">
        <v>0</v>
      </c>
      <c r="DH454" s="15">
        <v>0</v>
      </c>
      <c r="DI454" s="15">
        <v>0</v>
      </c>
      <c r="DJ454" s="15">
        <v>0</v>
      </c>
      <c r="DK454" s="15">
        <v>35</v>
      </c>
      <c r="DL454" s="15">
        <v>45</v>
      </c>
      <c r="DM454" s="15">
        <v>55</v>
      </c>
      <c r="DN454" s="15">
        <v>65</v>
      </c>
      <c r="DO454" s="15">
        <v>65</v>
      </c>
      <c r="DP454" s="15">
        <v>65</v>
      </c>
      <c r="DQ454" s="15">
        <v>55</v>
      </c>
      <c r="DR454" s="15">
        <v>0</v>
      </c>
      <c r="DS454" s="15">
        <v>0</v>
      </c>
      <c r="DT454" s="15">
        <v>0</v>
      </c>
      <c r="DU454" s="15">
        <v>0</v>
      </c>
      <c r="DV454" s="15">
        <v>0</v>
      </c>
      <c r="DW454" s="15">
        <v>0</v>
      </c>
      <c r="DX454" s="15">
        <v>0</v>
      </c>
      <c r="DY454" s="15">
        <v>0</v>
      </c>
      <c r="DZ454" s="15">
        <v>0</v>
      </c>
      <c r="EA454" s="15">
        <v>0</v>
      </c>
      <c r="EB454" s="15">
        <v>0</v>
      </c>
      <c r="EC454" s="15">
        <v>0</v>
      </c>
      <c r="ED454" s="15">
        <v>0</v>
      </c>
      <c r="EE454" s="15">
        <v>0</v>
      </c>
      <c r="EF454" s="15">
        <v>0</v>
      </c>
    </row>
    <row r="455" spans="1:136" ht="15" customHeight="1" x14ac:dyDescent="0.35">
      <c r="A455" s="8" t="s">
        <v>12</v>
      </c>
      <c r="B455" s="8" t="s">
        <v>351</v>
      </c>
      <c r="C455" s="8" t="s">
        <v>352</v>
      </c>
      <c r="D455" s="8" t="s">
        <v>322</v>
      </c>
      <c r="E455" s="8" t="s">
        <v>14</v>
      </c>
      <c r="F455" s="8" t="s">
        <v>103</v>
      </c>
      <c r="G455" s="15">
        <v>120</v>
      </c>
      <c r="H455" s="15">
        <v>760</v>
      </c>
      <c r="I455" s="15">
        <v>550</v>
      </c>
      <c r="J455" s="15">
        <v>210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  <c r="AW455" s="15">
        <v>0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0</v>
      </c>
      <c r="BN455" s="15">
        <v>0</v>
      </c>
      <c r="BO455" s="15">
        <v>0</v>
      </c>
      <c r="BP455" s="15">
        <v>0</v>
      </c>
      <c r="BQ455" s="15">
        <v>0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5">
        <v>0</v>
      </c>
      <c r="CH455" s="15">
        <v>0</v>
      </c>
      <c r="CI455" s="15">
        <v>0</v>
      </c>
      <c r="CJ455" s="15">
        <v>0</v>
      </c>
      <c r="CK455" s="15">
        <v>0</v>
      </c>
      <c r="CL455" s="15">
        <v>0</v>
      </c>
      <c r="CM455" s="15">
        <v>0</v>
      </c>
      <c r="CN455" s="15">
        <v>0</v>
      </c>
      <c r="CO455" s="15">
        <v>0</v>
      </c>
      <c r="CP455" s="15">
        <v>0</v>
      </c>
      <c r="CQ455" s="15">
        <v>0</v>
      </c>
      <c r="CR455" s="15">
        <v>0</v>
      </c>
      <c r="CS455" s="15">
        <v>0</v>
      </c>
      <c r="CT455" s="15">
        <v>0</v>
      </c>
      <c r="CU455" s="15">
        <v>0</v>
      </c>
      <c r="CV455" s="15">
        <v>15</v>
      </c>
      <c r="CW455" s="15">
        <v>15</v>
      </c>
      <c r="CX455" s="15">
        <v>10</v>
      </c>
      <c r="CY455" s="15">
        <v>15</v>
      </c>
      <c r="CZ455" s="15">
        <v>15</v>
      </c>
      <c r="DA455" s="15">
        <v>15</v>
      </c>
      <c r="DB455" s="15">
        <v>15</v>
      </c>
      <c r="DC455" s="15">
        <v>20</v>
      </c>
      <c r="DD455" s="15">
        <v>20</v>
      </c>
      <c r="DE455" s="15">
        <v>15</v>
      </c>
      <c r="DF455" s="15">
        <v>10</v>
      </c>
      <c r="DG455" s="15">
        <v>10</v>
      </c>
      <c r="DH455" s="15">
        <v>5</v>
      </c>
      <c r="DI455" s="15">
        <v>0</v>
      </c>
      <c r="DJ455" s="15">
        <v>0</v>
      </c>
      <c r="DK455" s="15">
        <v>20</v>
      </c>
      <c r="DL455" s="15">
        <v>50</v>
      </c>
      <c r="DM455" s="15">
        <v>55</v>
      </c>
      <c r="DN455" s="15">
        <v>60</v>
      </c>
      <c r="DO455" s="15">
        <v>65</v>
      </c>
      <c r="DP455" s="15">
        <v>65</v>
      </c>
      <c r="DQ455" s="15">
        <v>55</v>
      </c>
      <c r="DR455" s="15">
        <v>0</v>
      </c>
      <c r="DS455" s="15">
        <v>0</v>
      </c>
      <c r="DT455" s="15">
        <v>0</v>
      </c>
      <c r="DU455" s="15">
        <v>0</v>
      </c>
      <c r="DV455" s="15">
        <v>0</v>
      </c>
      <c r="DW455" s="15">
        <v>0</v>
      </c>
      <c r="DX455" s="15">
        <v>0</v>
      </c>
      <c r="DY455" s="15">
        <v>0</v>
      </c>
      <c r="DZ455" s="15">
        <v>0</v>
      </c>
      <c r="EA455" s="15">
        <v>0</v>
      </c>
      <c r="EB455" s="15">
        <v>0</v>
      </c>
      <c r="EC455" s="15">
        <v>0</v>
      </c>
      <c r="ED455" s="15">
        <v>0</v>
      </c>
      <c r="EE455" s="15">
        <v>0</v>
      </c>
      <c r="EF455" s="15">
        <v>0</v>
      </c>
    </row>
    <row r="456" spans="1:136" ht="15" customHeight="1" x14ac:dyDescent="0.35">
      <c r="A456" s="8" t="s">
        <v>12</v>
      </c>
      <c r="B456" s="8" t="s">
        <v>353</v>
      </c>
      <c r="C456" s="8" t="s">
        <v>354</v>
      </c>
      <c r="D456" s="8" t="s">
        <v>322</v>
      </c>
      <c r="E456" s="8" t="s">
        <v>14</v>
      </c>
      <c r="F456" s="8" t="s">
        <v>43</v>
      </c>
      <c r="G456" s="15">
        <v>0</v>
      </c>
      <c r="H456" s="15">
        <v>0</v>
      </c>
      <c r="I456" s="15">
        <v>90</v>
      </c>
      <c r="J456" s="15">
        <v>-90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  <c r="AW456" s="15">
        <v>0</v>
      </c>
      <c r="AX456" s="15">
        <v>0</v>
      </c>
      <c r="AY456" s="15">
        <v>0</v>
      </c>
      <c r="AZ456" s="15">
        <v>0</v>
      </c>
      <c r="BA456" s="15">
        <v>0</v>
      </c>
      <c r="BB456" s="15">
        <v>0</v>
      </c>
      <c r="BC456" s="15">
        <v>0</v>
      </c>
      <c r="BD456" s="15">
        <v>0</v>
      </c>
      <c r="BE456" s="15">
        <v>0</v>
      </c>
      <c r="BF456" s="15">
        <v>0</v>
      </c>
      <c r="BG456" s="15">
        <v>0</v>
      </c>
      <c r="BH456" s="15">
        <v>0</v>
      </c>
      <c r="BI456" s="15">
        <v>0</v>
      </c>
      <c r="BJ456" s="15">
        <v>0</v>
      </c>
      <c r="BK456" s="15">
        <v>0</v>
      </c>
      <c r="BL456" s="15">
        <v>0</v>
      </c>
      <c r="BM456" s="15">
        <v>0</v>
      </c>
      <c r="BN456" s="15">
        <v>0</v>
      </c>
      <c r="BO456" s="15">
        <v>0</v>
      </c>
      <c r="BP456" s="15">
        <v>0</v>
      </c>
      <c r="BQ456" s="15">
        <v>0</v>
      </c>
      <c r="BR456" s="15">
        <v>0</v>
      </c>
      <c r="BS456" s="15">
        <v>0</v>
      </c>
      <c r="BT456" s="15">
        <v>0</v>
      </c>
      <c r="BU456" s="15">
        <v>0</v>
      </c>
      <c r="BV456" s="15">
        <v>0</v>
      </c>
      <c r="BW456" s="15">
        <v>0</v>
      </c>
      <c r="BX456" s="15">
        <v>0</v>
      </c>
      <c r="BY456" s="15">
        <v>0</v>
      </c>
      <c r="BZ456" s="15">
        <v>0</v>
      </c>
      <c r="CA456" s="15">
        <v>0</v>
      </c>
      <c r="CB456" s="15">
        <v>0</v>
      </c>
      <c r="CC456" s="15">
        <v>0</v>
      </c>
      <c r="CD456" s="15">
        <v>0</v>
      </c>
      <c r="CE456" s="15">
        <v>0</v>
      </c>
      <c r="CF456" s="15">
        <v>0</v>
      </c>
      <c r="CG456" s="15">
        <v>0</v>
      </c>
      <c r="CH456" s="15">
        <v>0</v>
      </c>
      <c r="CI456" s="15">
        <v>0</v>
      </c>
      <c r="CJ456" s="15">
        <v>0</v>
      </c>
      <c r="CK456" s="15">
        <v>0</v>
      </c>
      <c r="CL456" s="15">
        <v>0</v>
      </c>
      <c r="CM456" s="15">
        <v>0</v>
      </c>
      <c r="CN456" s="15">
        <v>0</v>
      </c>
      <c r="CO456" s="15">
        <v>0</v>
      </c>
      <c r="CP456" s="15">
        <v>0</v>
      </c>
      <c r="CQ456" s="15">
        <v>0</v>
      </c>
      <c r="CR456" s="15">
        <v>0</v>
      </c>
      <c r="CS456" s="15">
        <v>0</v>
      </c>
      <c r="CT456" s="15">
        <v>0</v>
      </c>
      <c r="CU456" s="15">
        <v>0</v>
      </c>
      <c r="CV456" s="15">
        <v>0</v>
      </c>
      <c r="CW456" s="15">
        <v>0</v>
      </c>
      <c r="CX456" s="15">
        <v>0</v>
      </c>
      <c r="CY456" s="15">
        <v>0</v>
      </c>
      <c r="CZ456" s="15">
        <v>0</v>
      </c>
      <c r="DA456" s="15">
        <v>0</v>
      </c>
      <c r="DB456" s="15">
        <v>0</v>
      </c>
      <c r="DC456" s="15">
        <v>0</v>
      </c>
      <c r="DD456" s="15">
        <v>0</v>
      </c>
      <c r="DE456" s="15">
        <v>0</v>
      </c>
      <c r="DF456" s="15">
        <v>0</v>
      </c>
      <c r="DG456" s="15">
        <v>0</v>
      </c>
      <c r="DH456" s="15">
        <v>0</v>
      </c>
      <c r="DI456" s="15">
        <v>0</v>
      </c>
      <c r="DJ456" s="15">
        <v>0</v>
      </c>
      <c r="DK456" s="15">
        <v>0</v>
      </c>
      <c r="DL456" s="15">
        <v>0</v>
      </c>
      <c r="DM456" s="15">
        <v>0</v>
      </c>
      <c r="DN456" s="15">
        <v>10</v>
      </c>
      <c r="DO456" s="15">
        <v>10</v>
      </c>
      <c r="DP456" s="15">
        <v>20</v>
      </c>
      <c r="DQ456" s="15">
        <v>20</v>
      </c>
      <c r="DR456" s="15">
        <v>30</v>
      </c>
      <c r="DS456" s="15">
        <v>0</v>
      </c>
      <c r="DT456" s="15">
        <v>0</v>
      </c>
      <c r="DU456" s="15">
        <v>0</v>
      </c>
      <c r="DV456" s="15">
        <v>0</v>
      </c>
      <c r="DW456" s="15">
        <v>0</v>
      </c>
      <c r="DX456" s="15">
        <v>0</v>
      </c>
      <c r="DY456" s="15">
        <v>0</v>
      </c>
      <c r="DZ456" s="15">
        <v>0</v>
      </c>
      <c r="EA456" s="15">
        <v>0</v>
      </c>
      <c r="EB456" s="15">
        <v>0</v>
      </c>
      <c r="EC456" s="15">
        <v>0</v>
      </c>
      <c r="ED456" s="15">
        <v>0</v>
      </c>
      <c r="EE456" s="15">
        <v>0</v>
      </c>
      <c r="EF456" s="15">
        <v>0</v>
      </c>
    </row>
    <row r="457" spans="1:136" ht="15" customHeight="1" x14ac:dyDescent="0.35">
      <c r="A457" s="8" t="s">
        <v>12</v>
      </c>
      <c r="B457" s="8" t="s">
        <v>355</v>
      </c>
      <c r="C457" s="8" t="s">
        <v>356</v>
      </c>
      <c r="D457" s="8" t="s">
        <v>322</v>
      </c>
      <c r="E457" s="8" t="s">
        <v>14</v>
      </c>
      <c r="F457" s="8" t="s">
        <v>100</v>
      </c>
      <c r="G457" s="15">
        <v>6</v>
      </c>
      <c r="H457" s="15">
        <v>24</v>
      </c>
      <c r="I457" s="15">
        <v>15</v>
      </c>
      <c r="J457" s="15">
        <v>9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0</v>
      </c>
      <c r="BN457" s="15">
        <v>0</v>
      </c>
      <c r="BO457" s="15">
        <v>0</v>
      </c>
      <c r="BP457" s="15">
        <v>0</v>
      </c>
      <c r="BQ457" s="15">
        <v>0</v>
      </c>
      <c r="BR457" s="15">
        <v>0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5">
        <v>0</v>
      </c>
      <c r="CH457" s="15">
        <v>0</v>
      </c>
      <c r="CI457" s="15">
        <v>0</v>
      </c>
      <c r="CJ457" s="15">
        <v>0</v>
      </c>
      <c r="CK457" s="15">
        <v>0</v>
      </c>
      <c r="CL457" s="15">
        <v>0</v>
      </c>
      <c r="CM457" s="15">
        <v>0</v>
      </c>
      <c r="CN457" s="15">
        <v>0</v>
      </c>
      <c r="CO457" s="15">
        <v>0</v>
      </c>
      <c r="CP457" s="15">
        <v>0</v>
      </c>
      <c r="CQ457" s="15">
        <v>0</v>
      </c>
      <c r="CR457" s="15">
        <v>0</v>
      </c>
      <c r="CS457" s="15">
        <v>0</v>
      </c>
      <c r="CT457" s="15">
        <v>0</v>
      </c>
      <c r="CU457" s="15">
        <v>0</v>
      </c>
      <c r="CV457" s="15">
        <v>0</v>
      </c>
      <c r="CW457" s="15">
        <v>0</v>
      </c>
      <c r="CX457" s="15">
        <v>0</v>
      </c>
      <c r="CY457" s="15">
        <v>0</v>
      </c>
      <c r="CZ457" s="15">
        <v>0</v>
      </c>
      <c r="DA457" s="15">
        <v>0</v>
      </c>
      <c r="DB457" s="15">
        <v>0</v>
      </c>
      <c r="DC457" s="15">
        <v>0</v>
      </c>
      <c r="DD457" s="15">
        <v>0</v>
      </c>
      <c r="DE457" s="15">
        <v>0</v>
      </c>
      <c r="DF457" s="15">
        <v>0</v>
      </c>
      <c r="DG457" s="15">
        <v>0</v>
      </c>
      <c r="DH457" s="15">
        <v>0</v>
      </c>
      <c r="DI457" s="15">
        <v>0</v>
      </c>
      <c r="DJ457" s="15">
        <v>0</v>
      </c>
      <c r="DK457" s="15">
        <v>0</v>
      </c>
      <c r="DL457" s="15">
        <v>0</v>
      </c>
      <c r="DM457" s="15">
        <v>0</v>
      </c>
      <c r="DN457" s="15">
        <v>0</v>
      </c>
      <c r="DO457" s="15">
        <v>0</v>
      </c>
      <c r="DP457" s="15">
        <v>0</v>
      </c>
      <c r="DQ457" s="15">
        <v>10</v>
      </c>
      <c r="DR457" s="15">
        <v>5</v>
      </c>
      <c r="DS457" s="15">
        <v>0</v>
      </c>
      <c r="DT457" s="15">
        <v>0</v>
      </c>
      <c r="DU457" s="15">
        <v>0</v>
      </c>
      <c r="DV457" s="15">
        <v>0</v>
      </c>
      <c r="DW457" s="15">
        <v>0</v>
      </c>
      <c r="DX457" s="15">
        <v>0</v>
      </c>
      <c r="DY457" s="15">
        <v>0</v>
      </c>
      <c r="DZ457" s="15">
        <v>0</v>
      </c>
      <c r="EA457" s="15">
        <v>0</v>
      </c>
      <c r="EB457" s="15">
        <v>0</v>
      </c>
      <c r="EC457" s="15">
        <v>0</v>
      </c>
      <c r="ED457" s="15">
        <v>0</v>
      </c>
      <c r="EE457" s="15">
        <v>0</v>
      </c>
      <c r="EF457" s="15">
        <v>0</v>
      </c>
    </row>
    <row r="458" spans="1:136" ht="15" customHeight="1" x14ac:dyDescent="0.35">
      <c r="A458" s="8" t="s">
        <v>12</v>
      </c>
      <c r="B458" s="8" t="s">
        <v>25</v>
      </c>
      <c r="C458" s="8" t="s">
        <v>25</v>
      </c>
      <c r="D458" s="8" t="s">
        <v>320</v>
      </c>
      <c r="E458" s="8" t="s">
        <v>16</v>
      </c>
      <c r="F458" s="8" t="s">
        <v>79</v>
      </c>
      <c r="G458" s="15">
        <v>34.4</v>
      </c>
      <c r="H458" s="15">
        <v>86.4</v>
      </c>
      <c r="I458" s="15">
        <v>25.5</v>
      </c>
      <c r="J458" s="15">
        <v>60.9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3</v>
      </c>
      <c r="AC458" s="15">
        <v>4.5</v>
      </c>
      <c r="AD458" s="15">
        <v>3</v>
      </c>
      <c r="AE458" s="15">
        <v>1</v>
      </c>
      <c r="AF458" s="15">
        <v>6</v>
      </c>
      <c r="AG458" s="15">
        <v>1.5</v>
      </c>
      <c r="AH458" s="15">
        <v>2.5</v>
      </c>
      <c r="AI458" s="15">
        <v>3</v>
      </c>
      <c r="AJ458" s="15">
        <v>1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</v>
      </c>
      <c r="AY458" s="15">
        <v>0</v>
      </c>
      <c r="AZ458" s="15">
        <v>0</v>
      </c>
      <c r="BA458" s="15">
        <v>0</v>
      </c>
      <c r="BB458" s="15">
        <v>0</v>
      </c>
      <c r="BC458" s="15">
        <v>0</v>
      </c>
      <c r="BD458" s="15">
        <v>0</v>
      </c>
      <c r="BE458" s="15">
        <v>0</v>
      </c>
      <c r="BF458" s="15">
        <v>0</v>
      </c>
      <c r="BG458" s="15">
        <v>0</v>
      </c>
      <c r="BH458" s="15">
        <v>0</v>
      </c>
      <c r="BI458" s="15">
        <v>0</v>
      </c>
      <c r="BJ458" s="15">
        <v>0</v>
      </c>
      <c r="BK458" s="15">
        <v>0</v>
      </c>
      <c r="BL458" s="15">
        <v>0</v>
      </c>
      <c r="BM458" s="15">
        <v>0</v>
      </c>
      <c r="BN458" s="15">
        <v>0</v>
      </c>
      <c r="BO458" s="15">
        <v>0</v>
      </c>
      <c r="BP458" s="15">
        <v>0</v>
      </c>
      <c r="BQ458" s="15">
        <v>0</v>
      </c>
      <c r="BR458" s="15">
        <v>0</v>
      </c>
      <c r="BS458" s="15">
        <v>0</v>
      </c>
      <c r="BT458" s="15">
        <v>0</v>
      </c>
      <c r="BU458" s="15">
        <v>0</v>
      </c>
      <c r="BV458" s="15">
        <v>0</v>
      </c>
      <c r="BW458" s="15">
        <v>0</v>
      </c>
      <c r="BX458" s="15">
        <v>0</v>
      </c>
      <c r="BY458" s="15">
        <v>0</v>
      </c>
      <c r="BZ458" s="15">
        <v>0</v>
      </c>
      <c r="CA458" s="15">
        <v>0</v>
      </c>
      <c r="CB458" s="15">
        <v>0</v>
      </c>
      <c r="CC458" s="15">
        <v>0</v>
      </c>
      <c r="CD458" s="15">
        <v>0</v>
      </c>
      <c r="CE458" s="15">
        <v>0</v>
      </c>
      <c r="CF458" s="15">
        <v>0</v>
      </c>
      <c r="CG458" s="15">
        <v>0</v>
      </c>
      <c r="CH458" s="15">
        <v>0</v>
      </c>
      <c r="CI458" s="15">
        <v>0</v>
      </c>
      <c r="CJ458" s="15">
        <v>0</v>
      </c>
      <c r="CK458" s="15">
        <v>0</v>
      </c>
      <c r="CL458" s="15">
        <v>0</v>
      </c>
      <c r="CM458" s="15">
        <v>0</v>
      </c>
      <c r="CN458" s="15">
        <v>0</v>
      </c>
      <c r="CO458" s="15">
        <v>0</v>
      </c>
      <c r="CP458" s="15">
        <v>0</v>
      </c>
      <c r="CQ458" s="15">
        <v>0</v>
      </c>
      <c r="CR458" s="15">
        <v>0</v>
      </c>
      <c r="CS458" s="15">
        <v>0</v>
      </c>
      <c r="CT458" s="15">
        <v>0</v>
      </c>
      <c r="CU458" s="15">
        <v>0</v>
      </c>
      <c r="CV458" s="15">
        <v>0</v>
      </c>
      <c r="CW458" s="15">
        <v>0</v>
      </c>
      <c r="CX458" s="15">
        <v>0</v>
      </c>
      <c r="CY458" s="15">
        <v>0</v>
      </c>
      <c r="CZ458" s="15">
        <v>0</v>
      </c>
      <c r="DA458" s="15">
        <v>0</v>
      </c>
      <c r="DB458" s="15">
        <v>0</v>
      </c>
      <c r="DC458" s="15">
        <v>0</v>
      </c>
      <c r="DD458" s="15">
        <v>0</v>
      </c>
      <c r="DE458" s="15">
        <v>0</v>
      </c>
      <c r="DF458" s="15">
        <v>0</v>
      </c>
      <c r="DG458" s="15">
        <v>0</v>
      </c>
      <c r="DH458" s="15">
        <v>0</v>
      </c>
      <c r="DI458" s="15">
        <v>0</v>
      </c>
      <c r="DJ458" s="15">
        <v>0</v>
      </c>
      <c r="DK458" s="15">
        <v>0</v>
      </c>
      <c r="DL458" s="15">
        <v>0</v>
      </c>
      <c r="DM458" s="15">
        <v>0</v>
      </c>
      <c r="DN458" s="15">
        <v>0</v>
      </c>
      <c r="DO458" s="15">
        <v>0</v>
      </c>
      <c r="DP458" s="15">
        <v>0</v>
      </c>
      <c r="DQ458" s="15">
        <v>0</v>
      </c>
      <c r="DR458" s="15">
        <v>0</v>
      </c>
      <c r="DS458" s="15">
        <v>0</v>
      </c>
      <c r="DT458" s="15">
        <v>0</v>
      </c>
      <c r="DU458" s="15">
        <v>0</v>
      </c>
      <c r="DV458" s="15">
        <v>0</v>
      </c>
      <c r="DW458" s="15">
        <v>0</v>
      </c>
      <c r="DX458" s="15">
        <v>0</v>
      </c>
      <c r="DY458" s="15">
        <v>0</v>
      </c>
      <c r="DZ458" s="15">
        <v>0</v>
      </c>
      <c r="EA458" s="15">
        <v>0</v>
      </c>
      <c r="EB458" s="15">
        <v>0</v>
      </c>
      <c r="EC458" s="15">
        <v>0</v>
      </c>
      <c r="ED458" s="15">
        <v>0</v>
      </c>
      <c r="EE458" s="15">
        <v>0</v>
      </c>
      <c r="EF458" s="15">
        <v>0</v>
      </c>
    </row>
    <row r="459" spans="1:136" ht="15" customHeight="1" x14ac:dyDescent="0.35">
      <c r="A459" s="8" t="s">
        <v>12</v>
      </c>
      <c r="B459" s="8" t="s">
        <v>25</v>
      </c>
      <c r="C459" s="8" t="s">
        <v>25</v>
      </c>
      <c r="D459" s="8" t="s">
        <v>320</v>
      </c>
      <c r="E459" s="8" t="s">
        <v>16</v>
      </c>
      <c r="F459" s="8" t="s">
        <v>79</v>
      </c>
      <c r="G459" s="15">
        <v>0</v>
      </c>
      <c r="H459" s="15">
        <v>0</v>
      </c>
      <c r="I459" s="15">
        <v>17.5</v>
      </c>
      <c r="J459" s="15">
        <v>-17.5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2</v>
      </c>
      <c r="Z459" s="15">
        <v>9.5</v>
      </c>
      <c r="AA459" s="15">
        <v>6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>
        <v>0</v>
      </c>
      <c r="AX459" s="15">
        <v>0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0</v>
      </c>
      <c r="BN459" s="15">
        <v>0</v>
      </c>
      <c r="BO459" s="15">
        <v>0</v>
      </c>
      <c r="BP459" s="15">
        <v>0</v>
      </c>
      <c r="BQ459" s="15">
        <v>0</v>
      </c>
      <c r="BR459" s="15">
        <v>0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5">
        <v>0</v>
      </c>
      <c r="CH459" s="15">
        <v>0</v>
      </c>
      <c r="CI459" s="15">
        <v>0</v>
      </c>
      <c r="CJ459" s="15">
        <v>0</v>
      </c>
      <c r="CK459" s="15">
        <v>0</v>
      </c>
      <c r="CL459" s="15">
        <v>0</v>
      </c>
      <c r="CM459" s="15">
        <v>0</v>
      </c>
      <c r="CN459" s="15">
        <v>0</v>
      </c>
      <c r="CO459" s="15">
        <v>0</v>
      </c>
      <c r="CP459" s="15">
        <v>0</v>
      </c>
      <c r="CQ459" s="15">
        <v>0</v>
      </c>
      <c r="CR459" s="15">
        <v>0</v>
      </c>
      <c r="CS459" s="15">
        <v>0</v>
      </c>
      <c r="CT459" s="15">
        <v>0</v>
      </c>
      <c r="CU459" s="15">
        <v>0</v>
      </c>
      <c r="CV459" s="15">
        <v>0</v>
      </c>
      <c r="CW459" s="15">
        <v>0</v>
      </c>
      <c r="CX459" s="15">
        <v>0</v>
      </c>
      <c r="CY459" s="15">
        <v>0</v>
      </c>
      <c r="CZ459" s="15">
        <v>0</v>
      </c>
      <c r="DA459" s="15">
        <v>0</v>
      </c>
      <c r="DB459" s="15">
        <v>0</v>
      </c>
      <c r="DC459" s="15">
        <v>0</v>
      </c>
      <c r="DD459" s="15">
        <v>0</v>
      </c>
      <c r="DE459" s="15">
        <v>0</v>
      </c>
      <c r="DF459" s="15">
        <v>0</v>
      </c>
      <c r="DG459" s="15">
        <v>0</v>
      </c>
      <c r="DH459" s="15">
        <v>0</v>
      </c>
      <c r="DI459" s="15">
        <v>0</v>
      </c>
      <c r="DJ459" s="15">
        <v>0</v>
      </c>
      <c r="DK459" s="15">
        <v>0</v>
      </c>
      <c r="DL459" s="15">
        <v>0</v>
      </c>
      <c r="DM459" s="15">
        <v>0</v>
      </c>
      <c r="DN459" s="15">
        <v>0</v>
      </c>
      <c r="DO459" s="15">
        <v>0</v>
      </c>
      <c r="DP459" s="15">
        <v>0</v>
      </c>
      <c r="DQ459" s="15">
        <v>0</v>
      </c>
      <c r="DR459" s="15">
        <v>0</v>
      </c>
      <c r="DS459" s="15">
        <v>0</v>
      </c>
      <c r="DT459" s="15">
        <v>0</v>
      </c>
      <c r="DU459" s="15">
        <v>0</v>
      </c>
      <c r="DV459" s="15">
        <v>0</v>
      </c>
      <c r="DW459" s="15">
        <v>0</v>
      </c>
      <c r="DX459" s="15">
        <v>0</v>
      </c>
      <c r="DY459" s="15">
        <v>0</v>
      </c>
      <c r="DZ459" s="15">
        <v>0</v>
      </c>
      <c r="EA459" s="15">
        <v>0</v>
      </c>
      <c r="EB459" s="15">
        <v>0</v>
      </c>
      <c r="EC459" s="15">
        <v>0</v>
      </c>
      <c r="ED459" s="15">
        <v>0</v>
      </c>
      <c r="EE459" s="15">
        <v>0</v>
      </c>
      <c r="EF459" s="15">
        <v>0</v>
      </c>
    </row>
    <row r="460" spans="1:136" ht="15" customHeight="1" x14ac:dyDescent="0.35">
      <c r="A460" s="8" t="s">
        <v>12</v>
      </c>
      <c r="B460" s="8" t="s">
        <v>25</v>
      </c>
      <c r="C460" s="8" t="s">
        <v>25</v>
      </c>
      <c r="D460" s="8" t="s">
        <v>319</v>
      </c>
      <c r="E460" s="8" t="s">
        <v>16</v>
      </c>
      <c r="F460" s="8" t="s">
        <v>79</v>
      </c>
      <c r="G460" s="15">
        <v>0</v>
      </c>
      <c r="H460" s="15">
        <v>0</v>
      </c>
      <c r="I460" s="15">
        <v>80</v>
      </c>
      <c r="J460" s="15">
        <v>-80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5</v>
      </c>
      <c r="AK460" s="15">
        <v>1.5</v>
      </c>
      <c r="AL460" s="15">
        <v>0.5</v>
      </c>
      <c r="AM460" s="15">
        <v>3</v>
      </c>
      <c r="AN460" s="15">
        <v>3</v>
      </c>
      <c r="AO460" s="15">
        <v>7</v>
      </c>
      <c r="AP460" s="15">
        <v>3.5</v>
      </c>
      <c r="AQ460" s="15">
        <v>0</v>
      </c>
      <c r="AR460" s="15">
        <v>3.5</v>
      </c>
      <c r="AS460" s="15">
        <v>2.5</v>
      </c>
      <c r="AT460" s="15">
        <v>0</v>
      </c>
      <c r="AU460" s="15">
        <v>0</v>
      </c>
      <c r="AV460" s="15">
        <v>0</v>
      </c>
      <c r="AW460" s="15">
        <v>0</v>
      </c>
      <c r="AX460" s="15">
        <v>0</v>
      </c>
      <c r="AY460" s="15">
        <v>0</v>
      </c>
      <c r="AZ460" s="15">
        <v>0</v>
      </c>
      <c r="BA460" s="15">
        <v>0</v>
      </c>
      <c r="BB460" s="15">
        <v>0</v>
      </c>
      <c r="BC460" s="15">
        <v>0</v>
      </c>
      <c r="BD460" s="15">
        <v>0</v>
      </c>
      <c r="BE460" s="15">
        <v>0</v>
      </c>
      <c r="BF460" s="15">
        <v>0</v>
      </c>
      <c r="BG460" s="15">
        <v>0</v>
      </c>
      <c r="BH460" s="15">
        <v>0</v>
      </c>
      <c r="BI460" s="15">
        <v>0</v>
      </c>
      <c r="BJ460" s="15">
        <v>0</v>
      </c>
      <c r="BK460" s="15">
        <v>0</v>
      </c>
      <c r="BL460" s="15">
        <v>0</v>
      </c>
      <c r="BM460" s="15">
        <v>0</v>
      </c>
      <c r="BN460" s="15">
        <v>0</v>
      </c>
      <c r="BO460" s="15">
        <v>0</v>
      </c>
      <c r="BP460" s="15">
        <v>0</v>
      </c>
      <c r="BQ460" s="15">
        <v>0</v>
      </c>
      <c r="BR460" s="15">
        <v>0</v>
      </c>
      <c r="BS460" s="15">
        <v>0</v>
      </c>
      <c r="BT460" s="15">
        <v>0</v>
      </c>
      <c r="BU460" s="15">
        <v>0</v>
      </c>
      <c r="BV460" s="15">
        <v>0</v>
      </c>
      <c r="BW460" s="15">
        <v>0</v>
      </c>
      <c r="BX460" s="15">
        <v>0</v>
      </c>
      <c r="BY460" s="15">
        <v>0</v>
      </c>
      <c r="BZ460" s="15">
        <v>0</v>
      </c>
      <c r="CA460" s="15">
        <v>0</v>
      </c>
      <c r="CB460" s="15">
        <v>0</v>
      </c>
      <c r="CC460" s="15">
        <v>0</v>
      </c>
      <c r="CD460" s="15">
        <v>0</v>
      </c>
      <c r="CE460" s="15">
        <v>0</v>
      </c>
      <c r="CF460" s="15">
        <v>0</v>
      </c>
      <c r="CG460" s="15">
        <v>0</v>
      </c>
      <c r="CH460" s="15">
        <v>0</v>
      </c>
      <c r="CI460" s="15">
        <v>0</v>
      </c>
      <c r="CJ460" s="15">
        <v>0</v>
      </c>
      <c r="CK460" s="15">
        <v>0</v>
      </c>
      <c r="CL460" s="15">
        <v>0</v>
      </c>
      <c r="CM460" s="15">
        <v>0</v>
      </c>
      <c r="CN460" s="15">
        <v>0</v>
      </c>
      <c r="CO460" s="15">
        <v>0</v>
      </c>
      <c r="CP460" s="15">
        <v>0</v>
      </c>
      <c r="CQ460" s="15">
        <v>0</v>
      </c>
      <c r="CR460" s="15">
        <v>0</v>
      </c>
      <c r="CS460" s="15">
        <v>2.5</v>
      </c>
      <c r="CT460" s="15">
        <v>1.4035089999999999</v>
      </c>
      <c r="CU460" s="15">
        <v>1.4035089999999999</v>
      </c>
      <c r="CV460" s="15">
        <v>1.4035089999999999</v>
      </c>
      <c r="CW460" s="15">
        <v>1.4035089999999999</v>
      </c>
      <c r="CX460" s="15">
        <v>1.4035089999999999</v>
      </c>
      <c r="CY460" s="15">
        <v>1.4035089999999999</v>
      </c>
      <c r="CZ460" s="15">
        <v>1.4035089999999999</v>
      </c>
      <c r="DA460" s="15">
        <v>1.4035089999999999</v>
      </c>
      <c r="DB460" s="15">
        <v>1.4035089999999999</v>
      </c>
      <c r="DC460" s="15">
        <v>1.4035089999999999</v>
      </c>
      <c r="DD460" s="15">
        <v>1.4035089999999999</v>
      </c>
      <c r="DE460" s="15">
        <v>1.4035089999999999</v>
      </c>
      <c r="DF460" s="15">
        <v>1.4035089999999999</v>
      </c>
      <c r="DG460" s="15">
        <v>1.4035089999999999</v>
      </c>
      <c r="DH460" s="15">
        <v>1.4035089999999999</v>
      </c>
      <c r="DI460" s="15">
        <v>1.4035089999999999</v>
      </c>
      <c r="DJ460" s="15">
        <v>1.4035089999999999</v>
      </c>
      <c r="DK460" s="15">
        <v>1.4035089999999999</v>
      </c>
      <c r="DL460" s="15">
        <v>1.4035089999999999</v>
      </c>
      <c r="DM460" s="15">
        <v>1.4035089999999999</v>
      </c>
      <c r="DN460" s="15">
        <v>1.4035089999999999</v>
      </c>
      <c r="DO460" s="15">
        <v>1.4035089999999999</v>
      </c>
      <c r="DP460" s="15">
        <v>1.4035089999999999</v>
      </c>
      <c r="DQ460" s="15">
        <v>1.4035089999999999</v>
      </c>
      <c r="DR460" s="15">
        <v>1.4035089999999999</v>
      </c>
      <c r="DS460" s="15">
        <v>1.4035089999999999</v>
      </c>
      <c r="DT460" s="15">
        <v>1.4035089999999999</v>
      </c>
      <c r="DU460" s="15">
        <v>1.4035089999999999</v>
      </c>
      <c r="DV460" s="15">
        <v>1.4035089999999999</v>
      </c>
      <c r="DW460" s="15">
        <v>1.4035089999999999</v>
      </c>
      <c r="DX460" s="15">
        <v>1.4035089999999999</v>
      </c>
      <c r="DY460" s="15">
        <v>1.4035089999999999</v>
      </c>
      <c r="DZ460" s="15">
        <v>1.4035089999999999</v>
      </c>
      <c r="EA460" s="15">
        <v>1.4035089999999999</v>
      </c>
      <c r="EB460" s="15">
        <v>1.4035089999999999</v>
      </c>
      <c r="EC460" s="15">
        <v>1.4035089999999999</v>
      </c>
      <c r="ED460" s="15">
        <v>0</v>
      </c>
      <c r="EE460" s="15">
        <v>0</v>
      </c>
      <c r="EF460" s="15">
        <v>0</v>
      </c>
    </row>
    <row r="461" spans="1:136" ht="15" customHeight="1" x14ac:dyDescent="0.35">
      <c r="A461" s="8" t="s">
        <v>12</v>
      </c>
      <c r="B461" s="8" t="s">
        <v>25</v>
      </c>
      <c r="C461" s="8" t="s">
        <v>25</v>
      </c>
      <c r="D461" s="8" t="s">
        <v>320</v>
      </c>
      <c r="E461" s="8" t="s">
        <v>16</v>
      </c>
      <c r="F461" s="8" t="s">
        <v>80</v>
      </c>
      <c r="G461" s="15">
        <v>5</v>
      </c>
      <c r="H461" s="15">
        <v>42</v>
      </c>
      <c r="I461" s="15">
        <v>0</v>
      </c>
      <c r="J461" s="15">
        <v>42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>
        <v>0</v>
      </c>
      <c r="AX461" s="15">
        <v>0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0</v>
      </c>
      <c r="BN461" s="15">
        <v>0</v>
      </c>
      <c r="BO461" s="15">
        <v>0</v>
      </c>
      <c r="BP461" s="15">
        <v>0</v>
      </c>
      <c r="BQ461" s="15">
        <v>0</v>
      </c>
      <c r="BR461" s="15">
        <v>0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5">
        <v>0</v>
      </c>
      <c r="CH461" s="15">
        <v>0</v>
      </c>
      <c r="CI461" s="15">
        <v>0</v>
      </c>
      <c r="CJ461" s="15">
        <v>0</v>
      </c>
      <c r="CK461" s="15">
        <v>0</v>
      </c>
      <c r="CL461" s="15">
        <v>0</v>
      </c>
      <c r="CM461" s="15">
        <v>0</v>
      </c>
      <c r="CN461" s="15">
        <v>0</v>
      </c>
      <c r="CO461" s="15">
        <v>0</v>
      </c>
      <c r="CP461" s="15">
        <v>0</v>
      </c>
      <c r="CQ461" s="15">
        <v>0</v>
      </c>
      <c r="CR461" s="15">
        <v>0</v>
      </c>
      <c r="CS461" s="15">
        <v>0</v>
      </c>
      <c r="CT461" s="15">
        <v>0</v>
      </c>
      <c r="CU461" s="15">
        <v>0</v>
      </c>
      <c r="CV461" s="15">
        <v>0</v>
      </c>
      <c r="CW461" s="15">
        <v>0</v>
      </c>
      <c r="CX461" s="15">
        <v>0</v>
      </c>
      <c r="CY461" s="15">
        <v>0</v>
      </c>
      <c r="CZ461" s="15">
        <v>0</v>
      </c>
      <c r="DA461" s="15">
        <v>0</v>
      </c>
      <c r="DB461" s="15">
        <v>0</v>
      </c>
      <c r="DC461" s="15">
        <v>0</v>
      </c>
      <c r="DD461" s="15">
        <v>0</v>
      </c>
      <c r="DE461" s="15">
        <v>0</v>
      </c>
      <c r="DF461" s="15">
        <v>0</v>
      </c>
      <c r="DG461" s="15">
        <v>0</v>
      </c>
      <c r="DH461" s="15">
        <v>0</v>
      </c>
      <c r="DI461" s="15">
        <v>0</v>
      </c>
      <c r="DJ461" s="15">
        <v>0</v>
      </c>
      <c r="DK461" s="15">
        <v>0</v>
      </c>
      <c r="DL461" s="15">
        <v>0</v>
      </c>
      <c r="DM461" s="15">
        <v>0</v>
      </c>
      <c r="DN461" s="15">
        <v>0</v>
      </c>
      <c r="DO461" s="15">
        <v>0</v>
      </c>
      <c r="DP461" s="15">
        <v>0</v>
      </c>
      <c r="DQ461" s="15">
        <v>0</v>
      </c>
      <c r="DR461" s="15">
        <v>0</v>
      </c>
      <c r="DS461" s="15">
        <v>0</v>
      </c>
      <c r="DT461" s="15">
        <v>0</v>
      </c>
      <c r="DU461" s="15">
        <v>0</v>
      </c>
      <c r="DV461" s="15">
        <v>0</v>
      </c>
      <c r="DW461" s="15">
        <v>0</v>
      </c>
      <c r="DX461" s="15">
        <v>0</v>
      </c>
      <c r="DY461" s="15">
        <v>0</v>
      </c>
      <c r="DZ461" s="15">
        <v>0</v>
      </c>
      <c r="EA461" s="15">
        <v>0</v>
      </c>
      <c r="EB461" s="15">
        <v>0</v>
      </c>
      <c r="EC461" s="15">
        <v>0</v>
      </c>
      <c r="ED461" s="15">
        <v>0</v>
      </c>
      <c r="EE461" s="15">
        <v>0</v>
      </c>
      <c r="EF461" s="15">
        <v>0</v>
      </c>
    </row>
    <row r="462" spans="1:136" ht="15" customHeight="1" x14ac:dyDescent="0.35">
      <c r="A462" s="8" t="s">
        <v>12</v>
      </c>
      <c r="B462" s="8" t="s">
        <v>25</v>
      </c>
      <c r="C462" s="8" t="s">
        <v>25</v>
      </c>
      <c r="D462" s="8" t="s">
        <v>319</v>
      </c>
      <c r="E462" s="8" t="s">
        <v>16</v>
      </c>
      <c r="F462" s="8" t="s">
        <v>80</v>
      </c>
      <c r="G462" s="15">
        <v>0</v>
      </c>
      <c r="H462" s="15">
        <v>0</v>
      </c>
      <c r="I462" s="15">
        <v>37</v>
      </c>
      <c r="J462" s="15">
        <v>-37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  <c r="AW462" s="15">
        <v>0</v>
      </c>
      <c r="AX462" s="15">
        <v>0</v>
      </c>
      <c r="AY462" s="15">
        <v>0</v>
      </c>
      <c r="AZ462" s="15">
        <v>0</v>
      </c>
      <c r="BA462" s="15">
        <v>0</v>
      </c>
      <c r="BB462" s="15">
        <v>0</v>
      </c>
      <c r="BC462" s="15">
        <v>0</v>
      </c>
      <c r="BD462" s="15">
        <v>0</v>
      </c>
      <c r="BE462" s="15">
        <v>0</v>
      </c>
      <c r="BF462" s="15">
        <v>0</v>
      </c>
      <c r="BG462" s="15">
        <v>0</v>
      </c>
      <c r="BH462" s="15">
        <v>0</v>
      </c>
      <c r="BI462" s="15">
        <v>0</v>
      </c>
      <c r="BJ462" s="15">
        <v>0</v>
      </c>
      <c r="BK462" s="15">
        <v>0</v>
      </c>
      <c r="BL462" s="15">
        <v>0</v>
      </c>
      <c r="BM462" s="15">
        <v>0</v>
      </c>
      <c r="BN462" s="15">
        <v>0</v>
      </c>
      <c r="BO462" s="15">
        <v>0</v>
      </c>
      <c r="BP462" s="15">
        <v>0</v>
      </c>
      <c r="BQ462" s="15">
        <v>0</v>
      </c>
      <c r="BR462" s="15">
        <v>0</v>
      </c>
      <c r="BS462" s="15">
        <v>0</v>
      </c>
      <c r="BT462" s="15">
        <v>0</v>
      </c>
      <c r="BU462" s="15">
        <v>0</v>
      </c>
      <c r="BV462" s="15">
        <v>0</v>
      </c>
      <c r="BW462" s="15">
        <v>0</v>
      </c>
      <c r="BX462" s="15">
        <v>0</v>
      </c>
      <c r="BY462" s="15">
        <v>0</v>
      </c>
      <c r="BZ462" s="15">
        <v>0</v>
      </c>
      <c r="CA462" s="15">
        <v>0</v>
      </c>
      <c r="CB462" s="15">
        <v>0</v>
      </c>
      <c r="CC462" s="15">
        <v>0</v>
      </c>
      <c r="CD462" s="15">
        <v>0</v>
      </c>
      <c r="CE462" s="15">
        <v>0</v>
      </c>
      <c r="CF462" s="15">
        <v>0</v>
      </c>
      <c r="CG462" s="15">
        <v>0</v>
      </c>
      <c r="CH462" s="15">
        <v>0</v>
      </c>
      <c r="CI462" s="15">
        <v>0</v>
      </c>
      <c r="CJ462" s="15">
        <v>0</v>
      </c>
      <c r="CK462" s="15">
        <v>0</v>
      </c>
      <c r="CL462" s="15">
        <v>0</v>
      </c>
      <c r="CM462" s="15">
        <v>0</v>
      </c>
      <c r="CN462" s="15">
        <v>0</v>
      </c>
      <c r="CO462" s="15">
        <v>0</v>
      </c>
      <c r="CP462" s="15">
        <v>0</v>
      </c>
      <c r="CQ462" s="15">
        <v>0</v>
      </c>
      <c r="CR462" s="15">
        <v>0</v>
      </c>
      <c r="CS462" s="15">
        <v>0</v>
      </c>
      <c r="CT462" s="15">
        <v>0</v>
      </c>
      <c r="CU462" s="15">
        <v>0</v>
      </c>
      <c r="CV462" s="15">
        <v>0</v>
      </c>
      <c r="CW462" s="15">
        <v>0</v>
      </c>
      <c r="CX462" s="15">
        <v>0</v>
      </c>
      <c r="CY462" s="15">
        <v>0</v>
      </c>
      <c r="CZ462" s="15">
        <v>0</v>
      </c>
      <c r="DA462" s="15">
        <v>2</v>
      </c>
      <c r="DB462" s="15">
        <v>3</v>
      </c>
      <c r="DC462" s="15">
        <v>0</v>
      </c>
      <c r="DD462" s="15">
        <v>0</v>
      </c>
      <c r="DE462" s="15">
        <v>0</v>
      </c>
      <c r="DF462" s="15">
        <v>0</v>
      </c>
      <c r="DG462" s="15">
        <v>0</v>
      </c>
      <c r="DH462" s="15">
        <v>0</v>
      </c>
      <c r="DI462" s="15">
        <v>0</v>
      </c>
      <c r="DJ462" s="15">
        <v>0</v>
      </c>
      <c r="DK462" s="15">
        <v>2</v>
      </c>
      <c r="DL462" s="15">
        <v>2</v>
      </c>
      <c r="DM462" s="15">
        <v>2</v>
      </c>
      <c r="DN462" s="15">
        <v>2</v>
      </c>
      <c r="DO462" s="15">
        <v>0</v>
      </c>
      <c r="DP462" s="15">
        <v>0</v>
      </c>
      <c r="DQ462" s="15">
        <v>0</v>
      </c>
      <c r="DR462" s="15">
        <v>0</v>
      </c>
      <c r="DS462" s="15">
        <v>5</v>
      </c>
      <c r="DT462" s="15">
        <v>8</v>
      </c>
      <c r="DU462" s="15">
        <v>9</v>
      </c>
      <c r="DV462" s="15">
        <v>2</v>
      </c>
      <c r="DW462" s="15">
        <v>0</v>
      </c>
      <c r="DX462" s="15">
        <v>0</v>
      </c>
      <c r="DY462" s="15">
        <v>0</v>
      </c>
      <c r="DZ462" s="15">
        <v>0</v>
      </c>
      <c r="EA462" s="15">
        <v>0</v>
      </c>
      <c r="EB462" s="15">
        <v>0</v>
      </c>
      <c r="EC462" s="15">
        <v>0</v>
      </c>
      <c r="ED462" s="15">
        <v>0</v>
      </c>
      <c r="EE462" s="15">
        <v>0</v>
      </c>
      <c r="EF462" s="15">
        <v>0</v>
      </c>
    </row>
    <row r="463" spans="1:136" ht="15" customHeight="1" x14ac:dyDescent="0.35">
      <c r="A463" s="8" t="s">
        <v>12</v>
      </c>
      <c r="B463" s="8" t="s">
        <v>25</v>
      </c>
      <c r="C463" s="8" t="s">
        <v>25</v>
      </c>
      <c r="D463" s="8" t="s">
        <v>320</v>
      </c>
      <c r="E463" s="8" t="s">
        <v>16</v>
      </c>
      <c r="F463" s="8" t="s">
        <v>81</v>
      </c>
      <c r="G463" s="15">
        <v>4.4000000000000004</v>
      </c>
      <c r="H463" s="15">
        <v>16.899999999999999</v>
      </c>
      <c r="I463" s="15">
        <v>0</v>
      </c>
      <c r="J463" s="15">
        <v>16.899999999999999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  <c r="AW463" s="15">
        <v>0</v>
      </c>
      <c r="AX463" s="15">
        <v>0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0</v>
      </c>
      <c r="BN463" s="15">
        <v>0</v>
      </c>
      <c r="BO463" s="15">
        <v>0</v>
      </c>
      <c r="BP463" s="15">
        <v>0</v>
      </c>
      <c r="BQ463" s="15">
        <v>0</v>
      </c>
      <c r="BR463" s="15">
        <v>0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5">
        <v>0</v>
      </c>
      <c r="CH463" s="15">
        <v>0</v>
      </c>
      <c r="CI463" s="15">
        <v>0</v>
      </c>
      <c r="CJ463" s="15">
        <v>0</v>
      </c>
      <c r="CK463" s="15">
        <v>0</v>
      </c>
      <c r="CL463" s="15">
        <v>0</v>
      </c>
      <c r="CM463" s="15">
        <v>0</v>
      </c>
      <c r="CN463" s="15">
        <v>0</v>
      </c>
      <c r="CO463" s="15">
        <v>0</v>
      </c>
      <c r="CP463" s="15">
        <v>0</v>
      </c>
      <c r="CQ463" s="15">
        <v>0</v>
      </c>
      <c r="CR463" s="15">
        <v>0</v>
      </c>
      <c r="CS463" s="15">
        <v>0</v>
      </c>
      <c r="CT463" s="15">
        <v>0</v>
      </c>
      <c r="CU463" s="15">
        <v>0</v>
      </c>
      <c r="CV463" s="15">
        <v>0</v>
      </c>
      <c r="CW463" s="15">
        <v>0</v>
      </c>
      <c r="CX463" s="15">
        <v>0</v>
      </c>
      <c r="CY463" s="15">
        <v>0</v>
      </c>
      <c r="CZ463" s="15">
        <v>0</v>
      </c>
      <c r="DA463" s="15">
        <v>0</v>
      </c>
      <c r="DB463" s="15">
        <v>0</v>
      </c>
      <c r="DC463" s="15">
        <v>0</v>
      </c>
      <c r="DD463" s="15">
        <v>0</v>
      </c>
      <c r="DE463" s="15">
        <v>0</v>
      </c>
      <c r="DF463" s="15">
        <v>0</v>
      </c>
      <c r="DG463" s="15">
        <v>0</v>
      </c>
      <c r="DH463" s="15">
        <v>0</v>
      </c>
      <c r="DI463" s="15">
        <v>0</v>
      </c>
      <c r="DJ463" s="15">
        <v>0</v>
      </c>
      <c r="DK463" s="15">
        <v>0</v>
      </c>
      <c r="DL463" s="15">
        <v>0</v>
      </c>
      <c r="DM463" s="15">
        <v>0</v>
      </c>
      <c r="DN463" s="15">
        <v>0</v>
      </c>
      <c r="DO463" s="15">
        <v>0</v>
      </c>
      <c r="DP463" s="15">
        <v>0</v>
      </c>
      <c r="DQ463" s="15">
        <v>0</v>
      </c>
      <c r="DR463" s="15">
        <v>0</v>
      </c>
      <c r="DS463" s="15">
        <v>0</v>
      </c>
      <c r="DT463" s="15">
        <v>0</v>
      </c>
      <c r="DU463" s="15">
        <v>0</v>
      </c>
      <c r="DV463" s="15">
        <v>0</v>
      </c>
      <c r="DW463" s="15">
        <v>0</v>
      </c>
      <c r="DX463" s="15">
        <v>0</v>
      </c>
      <c r="DY463" s="15">
        <v>0</v>
      </c>
      <c r="DZ463" s="15">
        <v>0</v>
      </c>
      <c r="EA463" s="15">
        <v>0</v>
      </c>
      <c r="EB463" s="15">
        <v>0</v>
      </c>
      <c r="EC463" s="15">
        <v>0</v>
      </c>
      <c r="ED463" s="15">
        <v>0</v>
      </c>
      <c r="EE463" s="15">
        <v>0</v>
      </c>
      <c r="EF463" s="15">
        <v>0</v>
      </c>
    </row>
    <row r="464" spans="1:136" ht="15" customHeight="1" x14ac:dyDescent="0.35">
      <c r="A464" s="8" t="s">
        <v>12</v>
      </c>
      <c r="B464" s="8" t="s">
        <v>25</v>
      </c>
      <c r="C464" s="8" t="s">
        <v>25</v>
      </c>
      <c r="D464" s="8" t="s">
        <v>319</v>
      </c>
      <c r="E464" s="8" t="s">
        <v>16</v>
      </c>
      <c r="F464" s="8" t="s">
        <v>81</v>
      </c>
      <c r="G464" s="15">
        <v>0</v>
      </c>
      <c r="H464" s="15">
        <v>0</v>
      </c>
      <c r="I464" s="15">
        <v>13</v>
      </c>
      <c r="J464" s="15">
        <v>-13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5">
        <v>0</v>
      </c>
      <c r="AX464" s="15">
        <v>0</v>
      </c>
      <c r="AY464" s="15">
        <v>0</v>
      </c>
      <c r="AZ464" s="15">
        <v>0</v>
      </c>
      <c r="BA464" s="15">
        <v>0</v>
      </c>
      <c r="BB464" s="15">
        <v>0</v>
      </c>
      <c r="BC464" s="15">
        <v>0</v>
      </c>
      <c r="BD464" s="15">
        <v>0</v>
      </c>
      <c r="BE464" s="15">
        <v>0</v>
      </c>
      <c r="BF464" s="15">
        <v>0</v>
      </c>
      <c r="BG464" s="15">
        <v>0</v>
      </c>
      <c r="BH464" s="15">
        <v>0</v>
      </c>
      <c r="BI464" s="15">
        <v>0</v>
      </c>
      <c r="BJ464" s="15">
        <v>0</v>
      </c>
      <c r="BK464" s="15">
        <v>0</v>
      </c>
      <c r="BL464" s="15">
        <v>0</v>
      </c>
      <c r="BM464" s="15">
        <v>0</v>
      </c>
      <c r="BN464" s="15">
        <v>0</v>
      </c>
      <c r="BO464" s="15">
        <v>0</v>
      </c>
      <c r="BP464" s="15">
        <v>0</v>
      </c>
      <c r="BQ464" s="15">
        <v>0</v>
      </c>
      <c r="BR464" s="15">
        <v>0</v>
      </c>
      <c r="BS464" s="15">
        <v>0</v>
      </c>
      <c r="BT464" s="15">
        <v>0</v>
      </c>
      <c r="BU464" s="15">
        <v>0</v>
      </c>
      <c r="BV464" s="15">
        <v>0</v>
      </c>
      <c r="BW464" s="15">
        <v>0</v>
      </c>
      <c r="BX464" s="15">
        <v>0</v>
      </c>
      <c r="BY464" s="15">
        <v>0</v>
      </c>
      <c r="BZ464" s="15">
        <v>0</v>
      </c>
      <c r="CA464" s="15">
        <v>0</v>
      </c>
      <c r="CB464" s="15">
        <v>0</v>
      </c>
      <c r="CC464" s="15">
        <v>0</v>
      </c>
      <c r="CD464" s="15">
        <v>0</v>
      </c>
      <c r="CE464" s="15">
        <v>0</v>
      </c>
      <c r="CF464" s="15">
        <v>0</v>
      </c>
      <c r="CG464" s="15">
        <v>0</v>
      </c>
      <c r="CH464" s="15">
        <v>0</v>
      </c>
      <c r="CI464" s="15">
        <v>0</v>
      </c>
      <c r="CJ464" s="15">
        <v>0</v>
      </c>
      <c r="CK464" s="15">
        <v>0</v>
      </c>
      <c r="CL464" s="15">
        <v>0</v>
      </c>
      <c r="CM464" s="15">
        <v>0</v>
      </c>
      <c r="CN464" s="15">
        <v>0</v>
      </c>
      <c r="CO464" s="15">
        <v>0</v>
      </c>
      <c r="CP464" s="15">
        <v>0</v>
      </c>
      <c r="CQ464" s="15">
        <v>0</v>
      </c>
      <c r="CR464" s="15">
        <v>0</v>
      </c>
      <c r="CS464" s="15">
        <v>0.35087699999999999</v>
      </c>
      <c r="CT464" s="15">
        <v>0.35087699999999999</v>
      </c>
      <c r="CU464" s="15">
        <v>0.35087699999999999</v>
      </c>
      <c r="CV464" s="15">
        <v>0.35087699999999999</v>
      </c>
      <c r="CW464" s="15">
        <v>0.35087699999999999</v>
      </c>
      <c r="CX464" s="15">
        <v>0.35087699999999999</v>
      </c>
      <c r="CY464" s="15">
        <v>0.35087699999999999</v>
      </c>
      <c r="CZ464" s="15">
        <v>0.35087699999999999</v>
      </c>
      <c r="DA464" s="15">
        <v>0.35087699999999999</v>
      </c>
      <c r="DB464" s="15">
        <v>0.35087699999999999</v>
      </c>
      <c r="DC464" s="15">
        <v>0.35087699999999999</v>
      </c>
      <c r="DD464" s="15">
        <v>0.35087699999999999</v>
      </c>
      <c r="DE464" s="15">
        <v>0.35087699999999999</v>
      </c>
      <c r="DF464" s="15">
        <v>0.35087699999999999</v>
      </c>
      <c r="DG464" s="15">
        <v>0.35087699999999999</v>
      </c>
      <c r="DH464" s="15">
        <v>0.35087699999999999</v>
      </c>
      <c r="DI464" s="15">
        <v>0.35087699999999999</v>
      </c>
      <c r="DJ464" s="15">
        <v>0.35087699999999999</v>
      </c>
      <c r="DK464" s="15">
        <v>0.6</v>
      </c>
      <c r="DL464" s="15">
        <v>0.6</v>
      </c>
      <c r="DM464" s="15">
        <v>0.7</v>
      </c>
      <c r="DN464" s="15">
        <v>1</v>
      </c>
      <c r="DO464" s="15">
        <v>1</v>
      </c>
      <c r="DP464" s="15">
        <v>1</v>
      </c>
      <c r="DQ464" s="15">
        <v>1</v>
      </c>
      <c r="DR464" s="15">
        <v>0.8</v>
      </c>
      <c r="DS464" s="15">
        <v>0</v>
      </c>
      <c r="DT464" s="15">
        <v>0</v>
      </c>
      <c r="DU464" s="15">
        <v>0</v>
      </c>
      <c r="DV464" s="15">
        <v>0</v>
      </c>
      <c r="DW464" s="15">
        <v>0</v>
      </c>
      <c r="DX464" s="15">
        <v>0</v>
      </c>
      <c r="DY464" s="15">
        <v>0</v>
      </c>
      <c r="DZ464" s="15">
        <v>0</v>
      </c>
      <c r="EA464" s="15">
        <v>0</v>
      </c>
      <c r="EB464" s="15">
        <v>0</v>
      </c>
      <c r="EC464" s="15">
        <v>0</v>
      </c>
      <c r="ED464" s="15">
        <v>0</v>
      </c>
      <c r="EE464" s="15">
        <v>0</v>
      </c>
      <c r="EF464" s="15">
        <v>0</v>
      </c>
    </row>
    <row r="465" spans="1:136" ht="15" customHeight="1" x14ac:dyDescent="0.35">
      <c r="A465" s="8" t="s">
        <v>12</v>
      </c>
      <c r="B465" s="8" t="s">
        <v>25</v>
      </c>
      <c r="C465" s="8" t="s">
        <v>25</v>
      </c>
      <c r="D465" s="8" t="s">
        <v>320</v>
      </c>
      <c r="E465" s="8" t="s">
        <v>16</v>
      </c>
      <c r="F465" s="8" t="s">
        <v>102</v>
      </c>
      <c r="G465" s="15">
        <v>6</v>
      </c>
      <c r="H465" s="15">
        <v>65</v>
      </c>
      <c r="I465" s="15">
        <v>0</v>
      </c>
      <c r="J465" s="15">
        <v>65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5">
        <v>0</v>
      </c>
      <c r="CH465" s="15">
        <v>0</v>
      </c>
      <c r="CI465" s="15">
        <v>0</v>
      </c>
      <c r="CJ465" s="15">
        <v>0</v>
      </c>
      <c r="CK465" s="15">
        <v>0</v>
      </c>
      <c r="CL465" s="15">
        <v>0</v>
      </c>
      <c r="CM465" s="15">
        <v>0</v>
      </c>
      <c r="CN465" s="15">
        <v>0</v>
      </c>
      <c r="CO465" s="15">
        <v>0</v>
      </c>
      <c r="CP465" s="15">
        <v>0</v>
      </c>
      <c r="CQ465" s="15">
        <v>0</v>
      </c>
      <c r="CR465" s="15">
        <v>0</v>
      </c>
      <c r="CS465" s="15">
        <v>0</v>
      </c>
      <c r="CT465" s="15">
        <v>0</v>
      </c>
      <c r="CU465" s="15">
        <v>0</v>
      </c>
      <c r="CV465" s="15">
        <v>0</v>
      </c>
      <c r="CW465" s="15">
        <v>0</v>
      </c>
      <c r="CX465" s="15">
        <v>0</v>
      </c>
      <c r="CY465" s="15">
        <v>0</v>
      </c>
      <c r="CZ465" s="15">
        <v>0</v>
      </c>
      <c r="DA465" s="15">
        <v>0</v>
      </c>
      <c r="DB465" s="15">
        <v>0</v>
      </c>
      <c r="DC465" s="15">
        <v>0</v>
      </c>
      <c r="DD465" s="15">
        <v>0</v>
      </c>
      <c r="DE465" s="15">
        <v>0</v>
      </c>
      <c r="DF465" s="15">
        <v>0</v>
      </c>
      <c r="DG465" s="15">
        <v>0</v>
      </c>
      <c r="DH465" s="15">
        <v>0</v>
      </c>
      <c r="DI465" s="15">
        <v>0</v>
      </c>
      <c r="DJ465" s="15">
        <v>0</v>
      </c>
      <c r="DK465" s="15">
        <v>0</v>
      </c>
      <c r="DL465" s="15">
        <v>0</v>
      </c>
      <c r="DM465" s="15">
        <v>0</v>
      </c>
      <c r="DN465" s="15">
        <v>0</v>
      </c>
      <c r="DO465" s="15">
        <v>0</v>
      </c>
      <c r="DP465" s="15">
        <v>0</v>
      </c>
      <c r="DQ465" s="15">
        <v>0</v>
      </c>
      <c r="DR465" s="15">
        <v>0</v>
      </c>
      <c r="DS465" s="15">
        <v>0</v>
      </c>
      <c r="DT465" s="15">
        <v>0</v>
      </c>
      <c r="DU465" s="15">
        <v>0</v>
      </c>
      <c r="DV465" s="15">
        <v>0</v>
      </c>
      <c r="DW465" s="15">
        <v>0</v>
      </c>
      <c r="DX465" s="15">
        <v>0</v>
      </c>
      <c r="DY465" s="15">
        <v>0</v>
      </c>
      <c r="DZ465" s="15">
        <v>0</v>
      </c>
      <c r="EA465" s="15">
        <v>0</v>
      </c>
      <c r="EB465" s="15">
        <v>0</v>
      </c>
      <c r="EC465" s="15">
        <v>0</v>
      </c>
      <c r="ED465" s="15">
        <v>0</v>
      </c>
      <c r="EE465" s="15">
        <v>0</v>
      </c>
      <c r="EF465" s="15">
        <v>0</v>
      </c>
    </row>
    <row r="466" spans="1:136" ht="15" customHeight="1" x14ac:dyDescent="0.35">
      <c r="A466" s="8" t="s">
        <v>12</v>
      </c>
      <c r="B466" s="8" t="s">
        <v>25</v>
      </c>
      <c r="C466" s="8" t="s">
        <v>25</v>
      </c>
      <c r="D466" s="8" t="s">
        <v>319</v>
      </c>
      <c r="E466" s="8" t="s">
        <v>16</v>
      </c>
      <c r="F466" s="8" t="s">
        <v>102</v>
      </c>
      <c r="G466" s="15">
        <v>0</v>
      </c>
      <c r="H466" s="15">
        <v>0</v>
      </c>
      <c r="I466" s="15">
        <v>65</v>
      </c>
      <c r="J466" s="15">
        <v>-65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  <c r="AW466" s="15">
        <v>0</v>
      </c>
      <c r="AX466" s="15">
        <v>0</v>
      </c>
      <c r="AY466" s="15">
        <v>0</v>
      </c>
      <c r="AZ466" s="15">
        <v>0</v>
      </c>
      <c r="BA466" s="15">
        <v>0</v>
      </c>
      <c r="BB466" s="15">
        <v>0</v>
      </c>
      <c r="BC466" s="15">
        <v>0</v>
      </c>
      <c r="BD466" s="15">
        <v>0</v>
      </c>
      <c r="BE466" s="15">
        <v>0</v>
      </c>
      <c r="BF466" s="15">
        <v>0</v>
      </c>
      <c r="BG466" s="15">
        <v>0</v>
      </c>
      <c r="BH466" s="15">
        <v>0</v>
      </c>
      <c r="BI466" s="15">
        <v>0</v>
      </c>
      <c r="BJ466" s="15">
        <v>0</v>
      </c>
      <c r="BK466" s="15">
        <v>0</v>
      </c>
      <c r="BL466" s="15">
        <v>0</v>
      </c>
      <c r="BM466" s="15">
        <v>0</v>
      </c>
      <c r="BN466" s="15">
        <v>0</v>
      </c>
      <c r="BO466" s="15">
        <v>0</v>
      </c>
      <c r="BP466" s="15">
        <v>0</v>
      </c>
      <c r="BQ466" s="15">
        <v>0</v>
      </c>
      <c r="BR466" s="15">
        <v>0</v>
      </c>
      <c r="BS466" s="15">
        <v>0</v>
      </c>
      <c r="BT466" s="15">
        <v>0</v>
      </c>
      <c r="BU466" s="15">
        <v>0</v>
      </c>
      <c r="BV466" s="15">
        <v>0</v>
      </c>
      <c r="BW466" s="15">
        <v>0</v>
      </c>
      <c r="BX466" s="15">
        <v>0</v>
      </c>
      <c r="BY466" s="15">
        <v>0</v>
      </c>
      <c r="BZ466" s="15">
        <v>0</v>
      </c>
      <c r="CA466" s="15">
        <v>0</v>
      </c>
      <c r="CB466" s="15">
        <v>0</v>
      </c>
      <c r="CC466" s="15">
        <v>0</v>
      </c>
      <c r="CD466" s="15">
        <v>0</v>
      </c>
      <c r="CE466" s="15">
        <v>0</v>
      </c>
      <c r="CF466" s="15">
        <v>0</v>
      </c>
      <c r="CG466" s="15">
        <v>0</v>
      </c>
      <c r="CH466" s="15">
        <v>0</v>
      </c>
      <c r="CI466" s="15">
        <v>0</v>
      </c>
      <c r="CJ466" s="15">
        <v>0</v>
      </c>
      <c r="CK466" s="15">
        <v>0</v>
      </c>
      <c r="CL466" s="15">
        <v>0</v>
      </c>
      <c r="CM466" s="15">
        <v>0</v>
      </c>
      <c r="CN466" s="15">
        <v>0</v>
      </c>
      <c r="CO466" s="15">
        <v>0</v>
      </c>
      <c r="CP466" s="15">
        <v>0</v>
      </c>
      <c r="CQ466" s="15">
        <v>0</v>
      </c>
      <c r="CR466" s="15">
        <v>0</v>
      </c>
      <c r="CS466" s="15">
        <v>0</v>
      </c>
      <c r="CT466" s="15">
        <v>6</v>
      </c>
      <c r="CU466" s="15">
        <v>7</v>
      </c>
      <c r="CV466" s="15">
        <v>7</v>
      </c>
      <c r="CW466" s="15">
        <v>2</v>
      </c>
      <c r="CX466" s="15">
        <v>1</v>
      </c>
      <c r="CY466" s="15">
        <v>1</v>
      </c>
      <c r="CZ466" s="15">
        <v>2</v>
      </c>
      <c r="DA466" s="15">
        <v>2</v>
      </c>
      <c r="DB466" s="15">
        <v>0</v>
      </c>
      <c r="DC466" s="15">
        <v>0</v>
      </c>
      <c r="DD466" s="15">
        <v>0</v>
      </c>
      <c r="DE466" s="15">
        <v>0</v>
      </c>
      <c r="DF466" s="15">
        <v>0</v>
      </c>
      <c r="DG466" s="15">
        <v>2</v>
      </c>
      <c r="DH466" s="15">
        <v>2</v>
      </c>
      <c r="DI466" s="15">
        <v>0</v>
      </c>
      <c r="DJ466" s="15">
        <v>0</v>
      </c>
      <c r="DK466" s="15">
        <v>2</v>
      </c>
      <c r="DL466" s="15">
        <v>3</v>
      </c>
      <c r="DM466" s="15">
        <v>3</v>
      </c>
      <c r="DN466" s="15">
        <v>5</v>
      </c>
      <c r="DO466" s="15">
        <v>5</v>
      </c>
      <c r="DP466" s="15">
        <v>5</v>
      </c>
      <c r="DQ466" s="15">
        <v>5</v>
      </c>
      <c r="DR466" s="15">
        <v>5</v>
      </c>
      <c r="DS466" s="15">
        <v>0</v>
      </c>
      <c r="DT466" s="15">
        <v>0</v>
      </c>
      <c r="DU466" s="15">
        <v>0</v>
      </c>
      <c r="DV466" s="15">
        <v>0</v>
      </c>
      <c r="DW466" s="15">
        <v>0</v>
      </c>
      <c r="DX466" s="15">
        <v>0</v>
      </c>
      <c r="DY466" s="15">
        <v>0</v>
      </c>
      <c r="DZ466" s="15">
        <v>0</v>
      </c>
      <c r="EA466" s="15">
        <v>0</v>
      </c>
      <c r="EB466" s="15">
        <v>0</v>
      </c>
      <c r="EC466" s="15">
        <v>0</v>
      </c>
      <c r="ED466" s="15">
        <v>0</v>
      </c>
      <c r="EE466" s="15">
        <v>0</v>
      </c>
      <c r="EF466" s="15">
        <v>0</v>
      </c>
    </row>
    <row r="467" spans="1:136" ht="15" customHeight="1" x14ac:dyDescent="0.35">
      <c r="A467" s="8" t="s">
        <v>12</v>
      </c>
      <c r="B467" s="8" t="s">
        <v>25</v>
      </c>
      <c r="C467" s="8" t="s">
        <v>25</v>
      </c>
      <c r="D467" s="8" t="s">
        <v>320</v>
      </c>
      <c r="E467" s="8" t="s">
        <v>16</v>
      </c>
      <c r="F467" s="8" t="s">
        <v>40</v>
      </c>
      <c r="G467" s="15">
        <v>0</v>
      </c>
      <c r="H467" s="15">
        <v>15</v>
      </c>
      <c r="I467" s="15">
        <v>0</v>
      </c>
      <c r="J467" s="15">
        <v>15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0</v>
      </c>
      <c r="AV467" s="15">
        <v>0</v>
      </c>
      <c r="AW467" s="15">
        <v>0</v>
      </c>
      <c r="AX467" s="15">
        <v>0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5">
        <v>0</v>
      </c>
      <c r="BS467" s="15">
        <v>0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5">
        <v>0</v>
      </c>
      <c r="CH467" s="15">
        <v>0</v>
      </c>
      <c r="CI467" s="15">
        <v>0</v>
      </c>
      <c r="CJ467" s="15">
        <v>0</v>
      </c>
      <c r="CK467" s="15">
        <v>0</v>
      </c>
      <c r="CL467" s="15">
        <v>0</v>
      </c>
      <c r="CM467" s="15">
        <v>0</v>
      </c>
      <c r="CN467" s="15">
        <v>0</v>
      </c>
      <c r="CO467" s="15">
        <v>0</v>
      </c>
      <c r="CP467" s="15">
        <v>0</v>
      </c>
      <c r="CQ467" s="15">
        <v>0</v>
      </c>
      <c r="CR467" s="15">
        <v>0</v>
      </c>
      <c r="CS467" s="15">
        <v>0</v>
      </c>
      <c r="CT467" s="15">
        <v>0</v>
      </c>
      <c r="CU467" s="15">
        <v>0</v>
      </c>
      <c r="CV467" s="15">
        <v>0</v>
      </c>
      <c r="CW467" s="15">
        <v>0</v>
      </c>
      <c r="CX467" s="15">
        <v>0</v>
      </c>
      <c r="CY467" s="15">
        <v>0</v>
      </c>
      <c r="CZ467" s="15">
        <v>0</v>
      </c>
      <c r="DA467" s="15">
        <v>0</v>
      </c>
      <c r="DB467" s="15">
        <v>0</v>
      </c>
      <c r="DC467" s="15">
        <v>0</v>
      </c>
      <c r="DD467" s="15">
        <v>0</v>
      </c>
      <c r="DE467" s="15">
        <v>0</v>
      </c>
      <c r="DF467" s="15">
        <v>0</v>
      </c>
      <c r="DG467" s="15">
        <v>0</v>
      </c>
      <c r="DH467" s="15">
        <v>0</v>
      </c>
      <c r="DI467" s="15">
        <v>0</v>
      </c>
      <c r="DJ467" s="15">
        <v>0</v>
      </c>
      <c r="DK467" s="15">
        <v>0</v>
      </c>
      <c r="DL467" s="15">
        <v>0</v>
      </c>
      <c r="DM467" s="15">
        <v>0</v>
      </c>
      <c r="DN467" s="15">
        <v>0</v>
      </c>
      <c r="DO467" s="15">
        <v>0</v>
      </c>
      <c r="DP467" s="15">
        <v>0</v>
      </c>
      <c r="DQ467" s="15">
        <v>0</v>
      </c>
      <c r="DR467" s="15">
        <v>0</v>
      </c>
      <c r="DS467" s="15">
        <v>0</v>
      </c>
      <c r="DT467" s="15">
        <v>0</v>
      </c>
      <c r="DU467" s="15">
        <v>0</v>
      </c>
      <c r="DV467" s="15">
        <v>0</v>
      </c>
      <c r="DW467" s="15">
        <v>0</v>
      </c>
      <c r="DX467" s="15">
        <v>0</v>
      </c>
      <c r="DY467" s="15">
        <v>0</v>
      </c>
      <c r="DZ467" s="15">
        <v>0</v>
      </c>
      <c r="EA467" s="15">
        <v>0</v>
      </c>
      <c r="EB467" s="15">
        <v>0</v>
      </c>
      <c r="EC467" s="15">
        <v>0</v>
      </c>
      <c r="ED467" s="15">
        <v>0</v>
      </c>
      <c r="EE467" s="15">
        <v>0</v>
      </c>
      <c r="EF467" s="15">
        <v>0</v>
      </c>
    </row>
    <row r="468" spans="1:136" ht="15" customHeight="1" x14ac:dyDescent="0.35">
      <c r="A468" s="8" t="s">
        <v>12</v>
      </c>
      <c r="B468" s="8" t="s">
        <v>25</v>
      </c>
      <c r="C468" s="8" t="s">
        <v>25</v>
      </c>
      <c r="D468" s="8" t="s">
        <v>319</v>
      </c>
      <c r="E468" s="8" t="s">
        <v>16</v>
      </c>
      <c r="F468" s="8" t="s">
        <v>40</v>
      </c>
      <c r="G468" s="15">
        <v>0</v>
      </c>
      <c r="H468" s="15">
        <v>0</v>
      </c>
      <c r="I468" s="15">
        <v>15</v>
      </c>
      <c r="J468" s="15">
        <v>-15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5">
        <v>0</v>
      </c>
      <c r="AX468" s="15">
        <v>0</v>
      </c>
      <c r="AY468" s="15">
        <v>0</v>
      </c>
      <c r="AZ468" s="15">
        <v>0</v>
      </c>
      <c r="BA468" s="15">
        <v>0</v>
      </c>
      <c r="BB468" s="15">
        <v>0</v>
      </c>
      <c r="BC468" s="15">
        <v>0</v>
      </c>
      <c r="BD468" s="15">
        <v>0</v>
      </c>
      <c r="BE468" s="15">
        <v>0</v>
      </c>
      <c r="BF468" s="15">
        <v>0</v>
      </c>
      <c r="BG468" s="15">
        <v>0</v>
      </c>
      <c r="BH468" s="15">
        <v>0</v>
      </c>
      <c r="BI468" s="15">
        <v>0</v>
      </c>
      <c r="BJ468" s="15">
        <v>0</v>
      </c>
      <c r="BK468" s="15">
        <v>0</v>
      </c>
      <c r="BL468" s="15">
        <v>0</v>
      </c>
      <c r="BM468" s="15">
        <v>0</v>
      </c>
      <c r="BN468" s="15">
        <v>0</v>
      </c>
      <c r="BO468" s="15">
        <v>0</v>
      </c>
      <c r="BP468" s="15">
        <v>0</v>
      </c>
      <c r="BQ468" s="15">
        <v>0</v>
      </c>
      <c r="BR468" s="15">
        <v>0</v>
      </c>
      <c r="BS468" s="15">
        <v>0</v>
      </c>
      <c r="BT468" s="15">
        <v>0</v>
      </c>
      <c r="BU468" s="15">
        <v>0</v>
      </c>
      <c r="BV468" s="15">
        <v>0</v>
      </c>
      <c r="BW468" s="15">
        <v>0</v>
      </c>
      <c r="BX468" s="15">
        <v>0</v>
      </c>
      <c r="BY468" s="15">
        <v>0</v>
      </c>
      <c r="BZ468" s="15">
        <v>0</v>
      </c>
      <c r="CA468" s="15">
        <v>0</v>
      </c>
      <c r="CB468" s="15">
        <v>0</v>
      </c>
      <c r="CC468" s="15">
        <v>0</v>
      </c>
      <c r="CD468" s="15">
        <v>0</v>
      </c>
      <c r="CE468" s="15">
        <v>0</v>
      </c>
      <c r="CF468" s="15">
        <v>0</v>
      </c>
      <c r="CG468" s="15">
        <v>0</v>
      </c>
      <c r="CH468" s="15">
        <v>0</v>
      </c>
      <c r="CI468" s="15">
        <v>0</v>
      </c>
      <c r="CJ468" s="15">
        <v>0</v>
      </c>
      <c r="CK468" s="15">
        <v>0</v>
      </c>
      <c r="CL468" s="15">
        <v>0</v>
      </c>
      <c r="CM468" s="15">
        <v>0</v>
      </c>
      <c r="CN468" s="15">
        <v>0</v>
      </c>
      <c r="CO468" s="15">
        <v>0</v>
      </c>
      <c r="CP468" s="15">
        <v>0</v>
      </c>
      <c r="CQ468" s="15">
        <v>0</v>
      </c>
      <c r="CR468" s="15">
        <v>0</v>
      </c>
      <c r="CS468" s="15">
        <v>0</v>
      </c>
      <c r="CT468" s="15">
        <v>0</v>
      </c>
      <c r="CU468" s="15">
        <v>0</v>
      </c>
      <c r="CV468" s="15">
        <v>0</v>
      </c>
      <c r="CW468" s="15">
        <v>0</v>
      </c>
      <c r="CX468" s="15">
        <v>0</v>
      </c>
      <c r="CY468" s="15">
        <v>0</v>
      </c>
      <c r="CZ468" s="15">
        <v>0</v>
      </c>
      <c r="DA468" s="15">
        <v>0</v>
      </c>
      <c r="DB468" s="15">
        <v>0</v>
      </c>
      <c r="DC468" s="15">
        <v>0</v>
      </c>
      <c r="DD468" s="15">
        <v>0</v>
      </c>
      <c r="DE468" s="15">
        <v>0</v>
      </c>
      <c r="DF468" s="15">
        <v>0</v>
      </c>
      <c r="DG468" s="15">
        <v>0</v>
      </c>
      <c r="DH468" s="15">
        <v>0</v>
      </c>
      <c r="DI468" s="15">
        <v>0</v>
      </c>
      <c r="DJ468" s="15">
        <v>0</v>
      </c>
      <c r="DK468" s="15">
        <v>0</v>
      </c>
      <c r="DL468" s="15">
        <v>0</v>
      </c>
      <c r="DM468" s="15">
        <v>0</v>
      </c>
      <c r="DN468" s="15">
        <v>0</v>
      </c>
      <c r="DO468" s="15">
        <v>0</v>
      </c>
      <c r="DP468" s="15">
        <v>5</v>
      </c>
      <c r="DQ468" s="15">
        <v>5</v>
      </c>
      <c r="DR468" s="15">
        <v>5</v>
      </c>
      <c r="DS468" s="15">
        <v>0</v>
      </c>
      <c r="DT468" s="15">
        <v>0</v>
      </c>
      <c r="DU468" s="15">
        <v>0</v>
      </c>
      <c r="DV468" s="15">
        <v>0</v>
      </c>
      <c r="DW468" s="15">
        <v>0</v>
      </c>
      <c r="DX468" s="15">
        <v>0</v>
      </c>
      <c r="DY468" s="15">
        <v>0</v>
      </c>
      <c r="DZ468" s="15">
        <v>0</v>
      </c>
      <c r="EA468" s="15">
        <v>0</v>
      </c>
      <c r="EB468" s="15">
        <v>0</v>
      </c>
      <c r="EC468" s="15">
        <v>0</v>
      </c>
      <c r="ED468" s="15">
        <v>0</v>
      </c>
      <c r="EE468" s="15">
        <v>0</v>
      </c>
      <c r="EF468" s="15">
        <v>0</v>
      </c>
    </row>
    <row r="469" spans="1:136" ht="15" customHeight="1" x14ac:dyDescent="0.35">
      <c r="A469" s="8" t="s">
        <v>12</v>
      </c>
      <c r="B469" s="8" t="s">
        <v>25</v>
      </c>
      <c r="C469" s="8" t="s">
        <v>25</v>
      </c>
      <c r="D469" s="8" t="s">
        <v>320</v>
      </c>
      <c r="E469" s="8" t="s">
        <v>16</v>
      </c>
      <c r="F469" s="8" t="s">
        <v>103</v>
      </c>
      <c r="G469" s="15">
        <v>40.5</v>
      </c>
      <c r="H469" s="15">
        <v>265.5</v>
      </c>
      <c r="I469" s="15">
        <v>26</v>
      </c>
      <c r="J469" s="15">
        <v>239.5</v>
      </c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1</v>
      </c>
      <c r="AE469" s="15">
        <v>3</v>
      </c>
      <c r="AF469" s="15">
        <v>4</v>
      </c>
      <c r="AG469" s="15">
        <v>7.5</v>
      </c>
      <c r="AH469" s="15">
        <v>3.5</v>
      </c>
      <c r="AI469" s="15">
        <v>5</v>
      </c>
      <c r="AJ469" s="15">
        <v>2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5">
        <v>0</v>
      </c>
      <c r="AX469" s="15">
        <v>0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0</v>
      </c>
      <c r="BN469" s="15">
        <v>0</v>
      </c>
      <c r="BO469" s="15">
        <v>0</v>
      </c>
      <c r="BP469" s="15">
        <v>0</v>
      </c>
      <c r="BQ469" s="15">
        <v>0</v>
      </c>
      <c r="BR469" s="15">
        <v>0</v>
      </c>
      <c r="BS469" s="15">
        <v>0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5">
        <v>0</v>
      </c>
      <c r="CH469" s="15">
        <v>0</v>
      </c>
      <c r="CI469" s="15">
        <v>0</v>
      </c>
      <c r="CJ469" s="15">
        <v>0</v>
      </c>
      <c r="CK469" s="15">
        <v>0</v>
      </c>
      <c r="CL469" s="15">
        <v>0</v>
      </c>
      <c r="CM469" s="15">
        <v>0</v>
      </c>
      <c r="CN469" s="15">
        <v>0</v>
      </c>
      <c r="CO469" s="15">
        <v>0</v>
      </c>
      <c r="CP469" s="15">
        <v>0</v>
      </c>
      <c r="CQ469" s="15">
        <v>0</v>
      </c>
      <c r="CR469" s="15">
        <v>0</v>
      </c>
      <c r="CS469" s="15">
        <v>0</v>
      </c>
      <c r="CT469" s="15">
        <v>0</v>
      </c>
      <c r="CU469" s="15">
        <v>0</v>
      </c>
      <c r="CV469" s="15">
        <v>0</v>
      </c>
      <c r="CW469" s="15">
        <v>0</v>
      </c>
      <c r="CX469" s="15">
        <v>0</v>
      </c>
      <c r="CY469" s="15">
        <v>0</v>
      </c>
      <c r="CZ469" s="15">
        <v>0</v>
      </c>
      <c r="DA469" s="15">
        <v>0</v>
      </c>
      <c r="DB469" s="15">
        <v>0</v>
      </c>
      <c r="DC469" s="15">
        <v>0</v>
      </c>
      <c r="DD469" s="15">
        <v>0</v>
      </c>
      <c r="DE469" s="15">
        <v>0</v>
      </c>
      <c r="DF469" s="15">
        <v>0</v>
      </c>
      <c r="DG469" s="15">
        <v>0</v>
      </c>
      <c r="DH469" s="15">
        <v>0</v>
      </c>
      <c r="DI469" s="15">
        <v>0</v>
      </c>
      <c r="DJ469" s="15">
        <v>0</v>
      </c>
      <c r="DK469" s="15">
        <v>0</v>
      </c>
      <c r="DL469" s="15">
        <v>0</v>
      </c>
      <c r="DM469" s="15">
        <v>0</v>
      </c>
      <c r="DN469" s="15">
        <v>0</v>
      </c>
      <c r="DO469" s="15">
        <v>0</v>
      </c>
      <c r="DP469" s="15">
        <v>0</v>
      </c>
      <c r="DQ469" s="15">
        <v>0</v>
      </c>
      <c r="DR469" s="15">
        <v>0</v>
      </c>
      <c r="DS469" s="15">
        <v>0</v>
      </c>
      <c r="DT469" s="15">
        <v>0</v>
      </c>
      <c r="DU469" s="15">
        <v>0</v>
      </c>
      <c r="DV469" s="15">
        <v>0</v>
      </c>
      <c r="DW469" s="15">
        <v>0</v>
      </c>
      <c r="DX469" s="15">
        <v>0</v>
      </c>
      <c r="DY469" s="15">
        <v>0</v>
      </c>
      <c r="DZ469" s="15">
        <v>0</v>
      </c>
      <c r="EA469" s="15">
        <v>0</v>
      </c>
      <c r="EB469" s="15">
        <v>0</v>
      </c>
      <c r="EC469" s="15">
        <v>0</v>
      </c>
      <c r="ED469" s="15">
        <v>0</v>
      </c>
      <c r="EE469" s="15">
        <v>0</v>
      </c>
      <c r="EF469" s="15">
        <v>0</v>
      </c>
    </row>
    <row r="470" spans="1:136" ht="15" customHeight="1" x14ac:dyDescent="0.35">
      <c r="A470" s="8" t="s">
        <v>12</v>
      </c>
      <c r="B470" s="8" t="s">
        <v>25</v>
      </c>
      <c r="C470" s="8" t="s">
        <v>25</v>
      </c>
      <c r="D470" s="8" t="s">
        <v>319</v>
      </c>
      <c r="E470" s="8" t="s">
        <v>16</v>
      </c>
      <c r="F470" s="8" t="s">
        <v>103</v>
      </c>
      <c r="G470" s="15">
        <v>0</v>
      </c>
      <c r="H470" s="15">
        <v>0</v>
      </c>
      <c r="I470" s="15">
        <v>277.5</v>
      </c>
      <c r="J470" s="15">
        <v>-277.5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5</v>
      </c>
      <c r="AL470" s="15">
        <v>8</v>
      </c>
      <c r="AM470" s="15">
        <v>5</v>
      </c>
      <c r="AN470" s="15">
        <v>11.5</v>
      </c>
      <c r="AO470" s="15">
        <v>1</v>
      </c>
      <c r="AP470" s="15">
        <v>5</v>
      </c>
      <c r="AQ470" s="15">
        <v>0</v>
      </c>
      <c r="AR470" s="15">
        <v>7</v>
      </c>
      <c r="AS470" s="15">
        <v>3</v>
      </c>
      <c r="AT470" s="15">
        <v>0</v>
      </c>
      <c r="AU470" s="15">
        <v>0</v>
      </c>
      <c r="AV470" s="15">
        <v>0</v>
      </c>
      <c r="AW470" s="15">
        <v>0</v>
      </c>
      <c r="AX470" s="15">
        <v>0</v>
      </c>
      <c r="AY470" s="15">
        <v>0</v>
      </c>
      <c r="AZ470" s="15">
        <v>0</v>
      </c>
      <c r="BA470" s="15">
        <v>0</v>
      </c>
      <c r="BB470" s="15">
        <v>0</v>
      </c>
      <c r="BC470" s="15">
        <v>0</v>
      </c>
      <c r="BD470" s="15">
        <v>0</v>
      </c>
      <c r="BE470" s="15">
        <v>0</v>
      </c>
      <c r="BF470" s="15">
        <v>0</v>
      </c>
      <c r="BG470" s="15">
        <v>0</v>
      </c>
      <c r="BH470" s="15">
        <v>0</v>
      </c>
      <c r="BI470" s="15">
        <v>0</v>
      </c>
      <c r="BJ470" s="15">
        <v>0</v>
      </c>
      <c r="BK470" s="15">
        <v>0</v>
      </c>
      <c r="BL470" s="15">
        <v>0</v>
      </c>
      <c r="BM470" s="15">
        <v>0</v>
      </c>
      <c r="BN470" s="15">
        <v>0</v>
      </c>
      <c r="BO470" s="15">
        <v>0</v>
      </c>
      <c r="BP470" s="15">
        <v>0</v>
      </c>
      <c r="BQ470" s="15">
        <v>0</v>
      </c>
      <c r="BR470" s="15">
        <v>0</v>
      </c>
      <c r="BS470" s="15">
        <v>0</v>
      </c>
      <c r="BT470" s="15">
        <v>0</v>
      </c>
      <c r="BU470" s="15">
        <v>0</v>
      </c>
      <c r="BV470" s="15">
        <v>0</v>
      </c>
      <c r="BW470" s="15">
        <v>0</v>
      </c>
      <c r="BX470" s="15">
        <v>0</v>
      </c>
      <c r="BY470" s="15">
        <v>0</v>
      </c>
      <c r="BZ470" s="15">
        <v>0</v>
      </c>
      <c r="CA470" s="15">
        <v>0</v>
      </c>
      <c r="CB470" s="15">
        <v>0</v>
      </c>
      <c r="CC470" s="15">
        <v>0</v>
      </c>
      <c r="CD470" s="15">
        <v>0</v>
      </c>
      <c r="CE470" s="15">
        <v>0</v>
      </c>
      <c r="CF470" s="15">
        <v>0</v>
      </c>
      <c r="CG470" s="15">
        <v>0</v>
      </c>
      <c r="CH470" s="15">
        <v>0</v>
      </c>
      <c r="CI470" s="15">
        <v>0</v>
      </c>
      <c r="CJ470" s="15">
        <v>0</v>
      </c>
      <c r="CK470" s="15">
        <v>0</v>
      </c>
      <c r="CL470" s="15">
        <v>0</v>
      </c>
      <c r="CM470" s="15">
        <v>0</v>
      </c>
      <c r="CN470" s="15">
        <v>0</v>
      </c>
      <c r="CO470" s="15">
        <v>0</v>
      </c>
      <c r="CP470" s="15">
        <v>0</v>
      </c>
      <c r="CQ470" s="15">
        <v>0</v>
      </c>
      <c r="CR470" s="15">
        <v>0</v>
      </c>
      <c r="CS470" s="15">
        <v>5</v>
      </c>
      <c r="CT470" s="15">
        <v>10</v>
      </c>
      <c r="CU470" s="15">
        <v>0</v>
      </c>
      <c r="CV470" s="15">
        <v>0</v>
      </c>
      <c r="CW470" s="15">
        <v>0</v>
      </c>
      <c r="CX470" s="15">
        <v>0</v>
      </c>
      <c r="CY470" s="15">
        <v>0</v>
      </c>
      <c r="CZ470" s="15">
        <v>15</v>
      </c>
      <c r="DA470" s="15">
        <v>15</v>
      </c>
      <c r="DB470" s="15">
        <v>5</v>
      </c>
      <c r="DC470" s="15">
        <v>0</v>
      </c>
      <c r="DD470" s="15">
        <v>0</v>
      </c>
      <c r="DE470" s="15">
        <v>0</v>
      </c>
      <c r="DF470" s="15">
        <v>0</v>
      </c>
      <c r="DG470" s="15">
        <v>5</v>
      </c>
      <c r="DH470" s="15">
        <v>5</v>
      </c>
      <c r="DI470" s="15">
        <v>0</v>
      </c>
      <c r="DJ470" s="15">
        <v>0</v>
      </c>
      <c r="DK470" s="15">
        <v>17</v>
      </c>
      <c r="DL470" s="15">
        <v>25</v>
      </c>
      <c r="DM470" s="15">
        <v>23</v>
      </c>
      <c r="DN470" s="15">
        <v>25</v>
      </c>
      <c r="DO470" s="15">
        <v>25</v>
      </c>
      <c r="DP470" s="15">
        <v>25</v>
      </c>
      <c r="DQ470" s="15">
        <v>35</v>
      </c>
      <c r="DR470" s="15">
        <v>0</v>
      </c>
      <c r="DS470" s="15">
        <v>0</v>
      </c>
      <c r="DT470" s="15">
        <v>0</v>
      </c>
      <c r="DU470" s="15">
        <v>0</v>
      </c>
      <c r="DV470" s="15">
        <v>0</v>
      </c>
      <c r="DW470" s="15">
        <v>0</v>
      </c>
      <c r="DX470" s="15">
        <v>0</v>
      </c>
      <c r="DY470" s="15">
        <v>0</v>
      </c>
      <c r="DZ470" s="15">
        <v>0</v>
      </c>
      <c r="EA470" s="15">
        <v>0</v>
      </c>
      <c r="EB470" s="15">
        <v>0</v>
      </c>
      <c r="EC470" s="15">
        <v>0</v>
      </c>
      <c r="ED470" s="15">
        <v>0</v>
      </c>
      <c r="EE470" s="15">
        <v>0</v>
      </c>
      <c r="EF470" s="15">
        <v>0</v>
      </c>
    </row>
    <row r="471" spans="1:136" ht="15" customHeight="1" x14ac:dyDescent="0.35">
      <c r="A471" s="8" t="s">
        <v>12</v>
      </c>
      <c r="B471" s="8" t="s">
        <v>25</v>
      </c>
      <c r="C471" s="8" t="s">
        <v>25</v>
      </c>
      <c r="D471" s="8" t="s">
        <v>320</v>
      </c>
      <c r="E471" s="8" t="s">
        <v>16</v>
      </c>
      <c r="F471" s="8" t="s">
        <v>86</v>
      </c>
      <c r="G471" s="15">
        <v>0</v>
      </c>
      <c r="H471" s="15">
        <v>0</v>
      </c>
      <c r="I471" s="15">
        <v>4</v>
      </c>
      <c r="J471" s="15">
        <v>-4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3</v>
      </c>
      <c r="Z471" s="15">
        <v>1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5">
        <v>0</v>
      </c>
      <c r="AX471" s="15">
        <v>0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0</v>
      </c>
      <c r="BN471" s="15">
        <v>0</v>
      </c>
      <c r="BO471" s="15">
        <v>0</v>
      </c>
      <c r="BP471" s="15">
        <v>0</v>
      </c>
      <c r="BQ471" s="15">
        <v>0</v>
      </c>
      <c r="BR471" s="15">
        <v>0</v>
      </c>
      <c r="BS471" s="15">
        <v>0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5">
        <v>0</v>
      </c>
      <c r="CH471" s="15">
        <v>0</v>
      </c>
      <c r="CI471" s="15">
        <v>0</v>
      </c>
      <c r="CJ471" s="15">
        <v>0</v>
      </c>
      <c r="CK471" s="15">
        <v>0</v>
      </c>
      <c r="CL471" s="15">
        <v>0</v>
      </c>
      <c r="CM471" s="15">
        <v>0</v>
      </c>
      <c r="CN471" s="15">
        <v>0</v>
      </c>
      <c r="CO471" s="15">
        <v>0</v>
      </c>
      <c r="CP471" s="15">
        <v>0</v>
      </c>
      <c r="CQ471" s="15">
        <v>0</v>
      </c>
      <c r="CR471" s="15">
        <v>0</v>
      </c>
      <c r="CS471" s="15">
        <v>0</v>
      </c>
      <c r="CT471" s="15">
        <v>0</v>
      </c>
      <c r="CU471" s="15">
        <v>0</v>
      </c>
      <c r="CV471" s="15">
        <v>0</v>
      </c>
      <c r="CW471" s="15">
        <v>0</v>
      </c>
      <c r="CX471" s="15">
        <v>0</v>
      </c>
      <c r="CY471" s="15">
        <v>0</v>
      </c>
      <c r="CZ471" s="15">
        <v>0</v>
      </c>
      <c r="DA471" s="15">
        <v>0</v>
      </c>
      <c r="DB471" s="15">
        <v>0</v>
      </c>
      <c r="DC471" s="15">
        <v>0</v>
      </c>
      <c r="DD471" s="15">
        <v>0</v>
      </c>
      <c r="DE471" s="15">
        <v>0</v>
      </c>
      <c r="DF471" s="15">
        <v>0</v>
      </c>
      <c r="DG471" s="15">
        <v>0</v>
      </c>
      <c r="DH471" s="15">
        <v>0</v>
      </c>
      <c r="DI471" s="15">
        <v>0</v>
      </c>
      <c r="DJ471" s="15">
        <v>0</v>
      </c>
      <c r="DK471" s="15">
        <v>0</v>
      </c>
      <c r="DL471" s="15">
        <v>0</v>
      </c>
      <c r="DM471" s="15">
        <v>0</v>
      </c>
      <c r="DN471" s="15">
        <v>0</v>
      </c>
      <c r="DO471" s="15">
        <v>0</v>
      </c>
      <c r="DP471" s="15">
        <v>0</v>
      </c>
      <c r="DQ471" s="15">
        <v>0</v>
      </c>
      <c r="DR471" s="15">
        <v>0</v>
      </c>
      <c r="DS471" s="15">
        <v>0</v>
      </c>
      <c r="DT471" s="15">
        <v>0</v>
      </c>
      <c r="DU471" s="15">
        <v>0</v>
      </c>
      <c r="DV471" s="15">
        <v>0</v>
      </c>
      <c r="DW471" s="15">
        <v>0</v>
      </c>
      <c r="DX471" s="15">
        <v>0</v>
      </c>
      <c r="DY471" s="15">
        <v>0</v>
      </c>
      <c r="DZ471" s="15">
        <v>0</v>
      </c>
      <c r="EA471" s="15">
        <v>0</v>
      </c>
      <c r="EB471" s="15">
        <v>0</v>
      </c>
      <c r="EC471" s="15">
        <v>0</v>
      </c>
      <c r="ED471" s="15">
        <v>0</v>
      </c>
      <c r="EE471" s="15">
        <v>0</v>
      </c>
      <c r="EF471" s="15">
        <v>0</v>
      </c>
    </row>
    <row r="472" spans="1:136" ht="15" customHeight="1" x14ac:dyDescent="0.35">
      <c r="A472" s="8" t="s">
        <v>12</v>
      </c>
      <c r="B472" s="8" t="s">
        <v>25</v>
      </c>
      <c r="C472" s="8" t="s">
        <v>25</v>
      </c>
      <c r="D472" s="8" t="s">
        <v>320</v>
      </c>
      <c r="E472" s="8" t="s">
        <v>16</v>
      </c>
      <c r="F472" s="8" t="s">
        <v>98</v>
      </c>
      <c r="G472" s="15">
        <v>20</v>
      </c>
      <c r="H472" s="15">
        <v>48</v>
      </c>
      <c r="I472" s="15">
        <v>4</v>
      </c>
      <c r="J472" s="15">
        <v>44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2</v>
      </c>
      <c r="AI472" s="15">
        <v>2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5">
        <v>0</v>
      </c>
      <c r="AX472" s="15">
        <v>0</v>
      </c>
      <c r="AY472" s="15">
        <v>0</v>
      </c>
      <c r="AZ472" s="15">
        <v>0</v>
      </c>
      <c r="BA472" s="15">
        <v>0</v>
      </c>
      <c r="BB472" s="15">
        <v>0</v>
      </c>
      <c r="BC472" s="15">
        <v>0</v>
      </c>
      <c r="BD472" s="15">
        <v>0</v>
      </c>
      <c r="BE472" s="15">
        <v>0</v>
      </c>
      <c r="BF472" s="15">
        <v>0</v>
      </c>
      <c r="BG472" s="15">
        <v>0</v>
      </c>
      <c r="BH472" s="15">
        <v>0</v>
      </c>
      <c r="BI472" s="15">
        <v>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  <c r="BP472" s="15">
        <v>0</v>
      </c>
      <c r="BQ472" s="15">
        <v>0</v>
      </c>
      <c r="BR472" s="15">
        <v>0</v>
      </c>
      <c r="BS472" s="15">
        <v>0</v>
      </c>
      <c r="BT472" s="15">
        <v>0</v>
      </c>
      <c r="BU472" s="15">
        <v>0</v>
      </c>
      <c r="BV472" s="15">
        <v>0</v>
      </c>
      <c r="BW472" s="15">
        <v>0</v>
      </c>
      <c r="BX472" s="15">
        <v>0</v>
      </c>
      <c r="BY472" s="15">
        <v>0</v>
      </c>
      <c r="BZ472" s="15">
        <v>0</v>
      </c>
      <c r="CA472" s="15">
        <v>0</v>
      </c>
      <c r="CB472" s="15">
        <v>0</v>
      </c>
      <c r="CC472" s="15">
        <v>0</v>
      </c>
      <c r="CD472" s="15">
        <v>0</v>
      </c>
      <c r="CE472" s="15">
        <v>0</v>
      </c>
      <c r="CF472" s="15">
        <v>0</v>
      </c>
      <c r="CG472" s="15">
        <v>0</v>
      </c>
      <c r="CH472" s="15">
        <v>0</v>
      </c>
      <c r="CI472" s="15">
        <v>0</v>
      </c>
      <c r="CJ472" s="15">
        <v>0</v>
      </c>
      <c r="CK472" s="15">
        <v>0</v>
      </c>
      <c r="CL472" s="15">
        <v>0</v>
      </c>
      <c r="CM472" s="15">
        <v>0</v>
      </c>
      <c r="CN472" s="15">
        <v>0</v>
      </c>
      <c r="CO472" s="15">
        <v>0</v>
      </c>
      <c r="CP472" s="15">
        <v>0</v>
      </c>
      <c r="CQ472" s="15">
        <v>0</v>
      </c>
      <c r="CR472" s="15">
        <v>0</v>
      </c>
      <c r="CS472" s="15">
        <v>0</v>
      </c>
      <c r="CT472" s="15">
        <v>0</v>
      </c>
      <c r="CU472" s="15">
        <v>0</v>
      </c>
      <c r="CV472" s="15">
        <v>0</v>
      </c>
      <c r="CW472" s="15">
        <v>0</v>
      </c>
      <c r="CX472" s="15">
        <v>0</v>
      </c>
      <c r="CY472" s="15">
        <v>0</v>
      </c>
      <c r="CZ472" s="15">
        <v>0</v>
      </c>
      <c r="DA472" s="15">
        <v>0</v>
      </c>
      <c r="DB472" s="15">
        <v>0</v>
      </c>
      <c r="DC472" s="15">
        <v>0</v>
      </c>
      <c r="DD472" s="15">
        <v>0</v>
      </c>
      <c r="DE472" s="15">
        <v>0</v>
      </c>
      <c r="DF472" s="15">
        <v>0</v>
      </c>
      <c r="DG472" s="15">
        <v>0</v>
      </c>
      <c r="DH472" s="15">
        <v>0</v>
      </c>
      <c r="DI472" s="15">
        <v>0</v>
      </c>
      <c r="DJ472" s="15">
        <v>0</v>
      </c>
      <c r="DK472" s="15">
        <v>0</v>
      </c>
      <c r="DL472" s="15">
        <v>0</v>
      </c>
      <c r="DM472" s="15">
        <v>0</v>
      </c>
      <c r="DN472" s="15">
        <v>0</v>
      </c>
      <c r="DO472" s="15">
        <v>0</v>
      </c>
      <c r="DP472" s="15">
        <v>0</v>
      </c>
      <c r="DQ472" s="15">
        <v>0</v>
      </c>
      <c r="DR472" s="15">
        <v>0</v>
      </c>
      <c r="DS472" s="15">
        <v>0</v>
      </c>
      <c r="DT472" s="15">
        <v>0</v>
      </c>
      <c r="DU472" s="15">
        <v>0</v>
      </c>
      <c r="DV472" s="15">
        <v>0</v>
      </c>
      <c r="DW472" s="15">
        <v>0</v>
      </c>
      <c r="DX472" s="15">
        <v>0</v>
      </c>
      <c r="DY472" s="15">
        <v>0</v>
      </c>
      <c r="DZ472" s="15">
        <v>0</v>
      </c>
      <c r="EA472" s="15">
        <v>0</v>
      </c>
      <c r="EB472" s="15">
        <v>0</v>
      </c>
      <c r="EC472" s="15">
        <v>0</v>
      </c>
      <c r="ED472" s="15">
        <v>0</v>
      </c>
      <c r="EE472" s="15">
        <v>0</v>
      </c>
      <c r="EF472" s="15">
        <v>0</v>
      </c>
    </row>
    <row r="473" spans="1:136" ht="15" customHeight="1" x14ac:dyDescent="0.35">
      <c r="A473" s="8" t="s">
        <v>12</v>
      </c>
      <c r="B473" s="8" t="s">
        <v>25</v>
      </c>
      <c r="C473" s="8" t="s">
        <v>25</v>
      </c>
      <c r="D473" s="8" t="s">
        <v>319</v>
      </c>
      <c r="E473" s="8" t="s">
        <v>16</v>
      </c>
      <c r="F473" s="8" t="s">
        <v>98</v>
      </c>
      <c r="G473" s="15">
        <v>0</v>
      </c>
      <c r="H473" s="15">
        <v>0</v>
      </c>
      <c r="I473" s="15">
        <v>24.5</v>
      </c>
      <c r="J473" s="15">
        <v>-24.5</v>
      </c>
      <c r="K473" s="15">
        <v>0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1</v>
      </c>
      <c r="AL473" s="15">
        <v>0.5</v>
      </c>
      <c r="AM473" s="15">
        <v>1</v>
      </c>
      <c r="AN473" s="15">
        <v>2</v>
      </c>
      <c r="AO473" s="15">
        <v>2</v>
      </c>
      <c r="AP473" s="15">
        <v>2</v>
      </c>
      <c r="AQ473" s="15">
        <v>0</v>
      </c>
      <c r="AR473" s="15">
        <v>0</v>
      </c>
      <c r="AS473" s="15">
        <v>2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5">
        <v>0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  <c r="BP473" s="15">
        <v>0</v>
      </c>
      <c r="BQ473" s="15">
        <v>0</v>
      </c>
      <c r="BR473" s="15">
        <v>0</v>
      </c>
      <c r="BS473" s="15">
        <v>0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5">
        <v>0</v>
      </c>
      <c r="CH473" s="15">
        <v>0</v>
      </c>
      <c r="CI473" s="15">
        <v>0</v>
      </c>
      <c r="CJ473" s="15">
        <v>0</v>
      </c>
      <c r="CK473" s="15">
        <v>0</v>
      </c>
      <c r="CL473" s="15">
        <v>0</v>
      </c>
      <c r="CM473" s="15">
        <v>0</v>
      </c>
      <c r="CN473" s="15">
        <v>0</v>
      </c>
      <c r="CO473" s="15">
        <v>0</v>
      </c>
      <c r="CP473" s="15">
        <v>0</v>
      </c>
      <c r="CQ473" s="15">
        <v>0</v>
      </c>
      <c r="CR473" s="15">
        <v>0</v>
      </c>
      <c r="CS473" s="15">
        <v>2</v>
      </c>
      <c r="CT473" s="15">
        <v>0</v>
      </c>
      <c r="CU473" s="15">
        <v>0</v>
      </c>
      <c r="CV473" s="15">
        <v>0</v>
      </c>
      <c r="CW473" s="15">
        <v>0</v>
      </c>
      <c r="CX473" s="15">
        <v>0</v>
      </c>
      <c r="CY473" s="15">
        <v>0</v>
      </c>
      <c r="CZ473" s="15">
        <v>0</v>
      </c>
      <c r="DA473" s="15">
        <v>0</v>
      </c>
      <c r="DB473" s="15">
        <v>0</v>
      </c>
      <c r="DC473" s="15">
        <v>0</v>
      </c>
      <c r="DD473" s="15">
        <v>0</v>
      </c>
      <c r="DE473" s="15">
        <v>0</v>
      </c>
      <c r="DF473" s="15">
        <v>0</v>
      </c>
      <c r="DG473" s="15">
        <v>0</v>
      </c>
      <c r="DH473" s="15">
        <v>0</v>
      </c>
      <c r="DI473" s="15">
        <v>0</v>
      </c>
      <c r="DJ473" s="15">
        <v>0</v>
      </c>
      <c r="DK473" s="15">
        <v>2</v>
      </c>
      <c r="DL473" s="15">
        <v>2</v>
      </c>
      <c r="DM473" s="15">
        <v>2</v>
      </c>
      <c r="DN473" s="15">
        <v>2</v>
      </c>
      <c r="DO473" s="15">
        <v>2</v>
      </c>
      <c r="DP473" s="15">
        <v>2</v>
      </c>
      <c r="DQ473" s="15">
        <v>2</v>
      </c>
      <c r="DR473" s="15">
        <v>0</v>
      </c>
      <c r="DS473" s="15">
        <v>0</v>
      </c>
      <c r="DT473" s="15">
        <v>0</v>
      </c>
      <c r="DU473" s="15">
        <v>0</v>
      </c>
      <c r="DV473" s="15">
        <v>0</v>
      </c>
      <c r="DW473" s="15">
        <v>0</v>
      </c>
      <c r="DX473" s="15">
        <v>0</v>
      </c>
      <c r="DY473" s="15">
        <v>0</v>
      </c>
      <c r="DZ473" s="15">
        <v>0</v>
      </c>
      <c r="EA473" s="15">
        <v>0</v>
      </c>
      <c r="EB473" s="15">
        <v>0</v>
      </c>
      <c r="EC473" s="15">
        <v>0</v>
      </c>
      <c r="ED473" s="15">
        <v>0</v>
      </c>
      <c r="EE473" s="15">
        <v>0</v>
      </c>
      <c r="EF473" s="15">
        <v>0</v>
      </c>
    </row>
    <row r="474" spans="1:136" ht="15" customHeight="1" x14ac:dyDescent="0.35">
      <c r="A474" s="8" t="s">
        <v>12</v>
      </c>
      <c r="B474" s="8" t="s">
        <v>25</v>
      </c>
      <c r="C474" s="8" t="s">
        <v>25</v>
      </c>
      <c r="D474" s="8" t="s">
        <v>320</v>
      </c>
      <c r="E474" s="8" t="s">
        <v>16</v>
      </c>
      <c r="F474" s="8" t="s">
        <v>99</v>
      </c>
      <c r="G474" s="15">
        <v>64</v>
      </c>
      <c r="H474" s="15">
        <v>200</v>
      </c>
      <c r="I474" s="15">
        <v>8.5</v>
      </c>
      <c r="J474" s="15">
        <v>191.5</v>
      </c>
      <c r="K474" s="15">
        <v>0</v>
      </c>
      <c r="L474" s="15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2.5</v>
      </c>
      <c r="AI474" s="15">
        <v>3</v>
      </c>
      <c r="AJ474" s="15">
        <v>3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5">
        <v>0</v>
      </c>
      <c r="AX474" s="15">
        <v>0</v>
      </c>
      <c r="AY474" s="15">
        <v>0</v>
      </c>
      <c r="AZ474" s="15">
        <v>0</v>
      </c>
      <c r="BA474" s="15">
        <v>0</v>
      </c>
      <c r="BB474" s="15">
        <v>0</v>
      </c>
      <c r="BC474" s="15">
        <v>0</v>
      </c>
      <c r="BD474" s="15">
        <v>0</v>
      </c>
      <c r="BE474" s="15">
        <v>0</v>
      </c>
      <c r="BF474" s="15">
        <v>0</v>
      </c>
      <c r="BG474" s="15">
        <v>0</v>
      </c>
      <c r="BH474" s="15">
        <v>0</v>
      </c>
      <c r="BI474" s="15">
        <v>0</v>
      </c>
      <c r="BJ474" s="15">
        <v>0</v>
      </c>
      <c r="BK474" s="15">
        <v>0</v>
      </c>
      <c r="BL474" s="15">
        <v>0</v>
      </c>
      <c r="BM474" s="15">
        <v>0</v>
      </c>
      <c r="BN474" s="15">
        <v>0</v>
      </c>
      <c r="BO474" s="15">
        <v>0</v>
      </c>
      <c r="BP474" s="15">
        <v>0</v>
      </c>
      <c r="BQ474" s="15">
        <v>0</v>
      </c>
      <c r="BR474" s="15">
        <v>0</v>
      </c>
      <c r="BS474" s="15">
        <v>0</v>
      </c>
      <c r="BT474" s="15">
        <v>0</v>
      </c>
      <c r="BU474" s="15">
        <v>0</v>
      </c>
      <c r="BV474" s="15">
        <v>0</v>
      </c>
      <c r="BW474" s="15">
        <v>0</v>
      </c>
      <c r="BX474" s="15">
        <v>0</v>
      </c>
      <c r="BY474" s="15">
        <v>0</v>
      </c>
      <c r="BZ474" s="15">
        <v>0</v>
      </c>
      <c r="CA474" s="15">
        <v>0</v>
      </c>
      <c r="CB474" s="15">
        <v>0</v>
      </c>
      <c r="CC474" s="15">
        <v>0</v>
      </c>
      <c r="CD474" s="15">
        <v>0</v>
      </c>
      <c r="CE474" s="15">
        <v>0</v>
      </c>
      <c r="CF474" s="15">
        <v>0</v>
      </c>
      <c r="CG474" s="15">
        <v>0</v>
      </c>
      <c r="CH474" s="15">
        <v>0</v>
      </c>
      <c r="CI474" s="15">
        <v>0</v>
      </c>
      <c r="CJ474" s="15">
        <v>0</v>
      </c>
      <c r="CK474" s="15">
        <v>0</v>
      </c>
      <c r="CL474" s="15">
        <v>0</v>
      </c>
      <c r="CM474" s="15">
        <v>0</v>
      </c>
      <c r="CN474" s="15">
        <v>0</v>
      </c>
      <c r="CO474" s="15">
        <v>0</v>
      </c>
      <c r="CP474" s="15">
        <v>0</v>
      </c>
      <c r="CQ474" s="15">
        <v>0</v>
      </c>
      <c r="CR474" s="15">
        <v>0</v>
      </c>
      <c r="CS474" s="15">
        <v>0</v>
      </c>
      <c r="CT474" s="15">
        <v>0</v>
      </c>
      <c r="CU474" s="15">
        <v>0</v>
      </c>
      <c r="CV474" s="15">
        <v>0</v>
      </c>
      <c r="CW474" s="15">
        <v>0</v>
      </c>
      <c r="CX474" s="15">
        <v>0</v>
      </c>
      <c r="CY474" s="15">
        <v>0</v>
      </c>
      <c r="CZ474" s="15">
        <v>0</v>
      </c>
      <c r="DA474" s="15">
        <v>0</v>
      </c>
      <c r="DB474" s="15">
        <v>0</v>
      </c>
      <c r="DC474" s="15">
        <v>0</v>
      </c>
      <c r="DD474" s="15">
        <v>0</v>
      </c>
      <c r="DE474" s="15">
        <v>0</v>
      </c>
      <c r="DF474" s="15">
        <v>0</v>
      </c>
      <c r="DG474" s="15">
        <v>0</v>
      </c>
      <c r="DH474" s="15">
        <v>0</v>
      </c>
      <c r="DI474" s="15">
        <v>0</v>
      </c>
      <c r="DJ474" s="15">
        <v>0</v>
      </c>
      <c r="DK474" s="15">
        <v>0</v>
      </c>
      <c r="DL474" s="15">
        <v>0</v>
      </c>
      <c r="DM474" s="15">
        <v>0</v>
      </c>
      <c r="DN474" s="15">
        <v>0</v>
      </c>
      <c r="DO474" s="15">
        <v>0</v>
      </c>
      <c r="DP474" s="15">
        <v>0</v>
      </c>
      <c r="DQ474" s="15">
        <v>0</v>
      </c>
      <c r="DR474" s="15">
        <v>0</v>
      </c>
      <c r="DS474" s="15">
        <v>0</v>
      </c>
      <c r="DT474" s="15">
        <v>0</v>
      </c>
      <c r="DU474" s="15">
        <v>0</v>
      </c>
      <c r="DV474" s="15">
        <v>0</v>
      </c>
      <c r="DW474" s="15">
        <v>0</v>
      </c>
      <c r="DX474" s="15">
        <v>0</v>
      </c>
      <c r="DY474" s="15">
        <v>0</v>
      </c>
      <c r="DZ474" s="15">
        <v>0</v>
      </c>
      <c r="EA474" s="15">
        <v>0</v>
      </c>
      <c r="EB474" s="15">
        <v>0</v>
      </c>
      <c r="EC474" s="15">
        <v>0</v>
      </c>
      <c r="ED474" s="15">
        <v>0</v>
      </c>
      <c r="EE474" s="15">
        <v>0</v>
      </c>
      <c r="EF474" s="15">
        <v>0</v>
      </c>
    </row>
    <row r="475" spans="1:136" ht="15" customHeight="1" x14ac:dyDescent="0.35">
      <c r="A475" s="8" t="s">
        <v>12</v>
      </c>
      <c r="B475" s="8" t="s">
        <v>25</v>
      </c>
      <c r="C475" s="8" t="s">
        <v>25</v>
      </c>
      <c r="D475" s="8" t="s">
        <v>319</v>
      </c>
      <c r="E475" s="8" t="s">
        <v>16</v>
      </c>
      <c r="F475" s="8" t="s">
        <v>99</v>
      </c>
      <c r="G475" s="15">
        <v>0</v>
      </c>
      <c r="H475" s="15">
        <v>0</v>
      </c>
      <c r="I475" s="15">
        <v>182</v>
      </c>
      <c r="J475" s="15">
        <v>-182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2</v>
      </c>
      <c r="AK475" s="15">
        <v>3</v>
      </c>
      <c r="AL475" s="15">
        <v>4</v>
      </c>
      <c r="AM475" s="15">
        <v>10</v>
      </c>
      <c r="AN475" s="15">
        <v>6.5</v>
      </c>
      <c r="AO475" s="15">
        <v>10</v>
      </c>
      <c r="AP475" s="15">
        <v>5.5</v>
      </c>
      <c r="AQ475" s="15">
        <v>0</v>
      </c>
      <c r="AR475" s="15">
        <v>3.5</v>
      </c>
      <c r="AS475" s="15">
        <v>2</v>
      </c>
      <c r="AT475" s="15">
        <v>0</v>
      </c>
      <c r="AU475" s="15">
        <v>0</v>
      </c>
      <c r="AV475" s="15">
        <v>0</v>
      </c>
      <c r="AW475" s="15">
        <v>0</v>
      </c>
      <c r="AX475" s="15">
        <v>0</v>
      </c>
      <c r="AY475" s="15">
        <v>0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0</v>
      </c>
      <c r="BN475" s="15">
        <v>0</v>
      </c>
      <c r="BO475" s="15">
        <v>0</v>
      </c>
      <c r="BP475" s="15">
        <v>0</v>
      </c>
      <c r="BQ475" s="15">
        <v>0</v>
      </c>
      <c r="BR475" s="15">
        <v>0</v>
      </c>
      <c r="BS475" s="15">
        <v>0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5">
        <v>0</v>
      </c>
      <c r="CH475" s="15">
        <v>0</v>
      </c>
      <c r="CI475" s="15">
        <v>0</v>
      </c>
      <c r="CJ475" s="15">
        <v>0</v>
      </c>
      <c r="CK475" s="15">
        <v>0</v>
      </c>
      <c r="CL475" s="15">
        <v>0</v>
      </c>
      <c r="CM475" s="15">
        <v>0</v>
      </c>
      <c r="CN475" s="15">
        <v>0</v>
      </c>
      <c r="CO475" s="15">
        <v>0</v>
      </c>
      <c r="CP475" s="15">
        <v>0</v>
      </c>
      <c r="CQ475" s="15">
        <v>0</v>
      </c>
      <c r="CR475" s="15">
        <v>0</v>
      </c>
      <c r="CS475" s="15">
        <v>5.5</v>
      </c>
      <c r="CT475" s="15">
        <v>4</v>
      </c>
      <c r="CU475" s="15">
        <v>3</v>
      </c>
      <c r="CV475" s="15">
        <v>0</v>
      </c>
      <c r="CW475" s="15">
        <v>0</v>
      </c>
      <c r="CX475" s="15">
        <v>0</v>
      </c>
      <c r="CY475" s="15">
        <v>0</v>
      </c>
      <c r="CZ475" s="15">
        <v>0</v>
      </c>
      <c r="DA475" s="15">
        <v>0</v>
      </c>
      <c r="DB475" s="15">
        <v>0</v>
      </c>
      <c r="DC475" s="15">
        <v>0</v>
      </c>
      <c r="DD475" s="15">
        <v>0</v>
      </c>
      <c r="DE475" s="15">
        <v>0</v>
      </c>
      <c r="DF475" s="15">
        <v>0</v>
      </c>
      <c r="DG475" s="15">
        <v>0</v>
      </c>
      <c r="DH475" s="15">
        <v>3</v>
      </c>
      <c r="DI475" s="15">
        <v>0</v>
      </c>
      <c r="DJ475" s="15">
        <v>0</v>
      </c>
      <c r="DK475" s="15">
        <v>2</v>
      </c>
      <c r="DL475" s="15">
        <v>15</v>
      </c>
      <c r="DM475" s="15">
        <v>15</v>
      </c>
      <c r="DN475" s="15">
        <v>15</v>
      </c>
      <c r="DO475" s="15">
        <v>15</v>
      </c>
      <c r="DP475" s="15">
        <v>20</v>
      </c>
      <c r="DQ475" s="15">
        <v>20</v>
      </c>
      <c r="DR475" s="15">
        <v>20</v>
      </c>
      <c r="DS475" s="15">
        <v>0</v>
      </c>
      <c r="DT475" s="15">
        <v>0</v>
      </c>
      <c r="DU475" s="15">
        <v>0</v>
      </c>
      <c r="DV475" s="15">
        <v>0</v>
      </c>
      <c r="DW475" s="15">
        <v>0</v>
      </c>
      <c r="DX475" s="15">
        <v>0</v>
      </c>
      <c r="DY475" s="15">
        <v>0</v>
      </c>
      <c r="DZ475" s="15">
        <v>0</v>
      </c>
      <c r="EA475" s="15">
        <v>0</v>
      </c>
      <c r="EB475" s="15">
        <v>0</v>
      </c>
      <c r="EC475" s="15">
        <v>0</v>
      </c>
      <c r="ED475" s="15">
        <v>0</v>
      </c>
      <c r="EE475" s="15">
        <v>0</v>
      </c>
      <c r="EF475" s="15">
        <v>0</v>
      </c>
    </row>
    <row r="476" spans="1:136" ht="15" customHeight="1" x14ac:dyDescent="0.35">
      <c r="A476" s="8" t="s">
        <v>12</v>
      </c>
      <c r="B476" s="8" t="s">
        <v>25</v>
      </c>
      <c r="C476" s="8" t="s">
        <v>25</v>
      </c>
      <c r="D476" s="8" t="s">
        <v>320</v>
      </c>
      <c r="E476" s="8" t="s">
        <v>16</v>
      </c>
      <c r="F476" s="8" t="s">
        <v>106</v>
      </c>
      <c r="G476" s="15">
        <v>0</v>
      </c>
      <c r="H476" s="15">
        <v>0</v>
      </c>
      <c r="I476" s="15">
        <v>5</v>
      </c>
      <c r="J476" s="15">
        <v>-5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5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</v>
      </c>
      <c r="AY476" s="15">
        <v>0</v>
      </c>
      <c r="AZ476" s="15">
        <v>0</v>
      </c>
      <c r="BA476" s="15">
        <v>0</v>
      </c>
      <c r="BB476" s="15">
        <v>0</v>
      </c>
      <c r="BC476" s="15">
        <v>0</v>
      </c>
      <c r="BD476" s="15">
        <v>0</v>
      </c>
      <c r="BE476" s="15">
        <v>0</v>
      </c>
      <c r="BF476" s="15">
        <v>0</v>
      </c>
      <c r="BG476" s="15">
        <v>0</v>
      </c>
      <c r="BH476" s="15">
        <v>0</v>
      </c>
      <c r="BI476" s="15">
        <v>0</v>
      </c>
      <c r="BJ476" s="15">
        <v>0</v>
      </c>
      <c r="BK476" s="15">
        <v>0</v>
      </c>
      <c r="BL476" s="15">
        <v>0</v>
      </c>
      <c r="BM476" s="15">
        <v>0</v>
      </c>
      <c r="BN476" s="15">
        <v>0</v>
      </c>
      <c r="BO476" s="15">
        <v>0</v>
      </c>
      <c r="BP476" s="15">
        <v>0</v>
      </c>
      <c r="BQ476" s="15">
        <v>0</v>
      </c>
      <c r="BR476" s="15">
        <v>0</v>
      </c>
      <c r="BS476" s="15">
        <v>0</v>
      </c>
      <c r="BT476" s="15">
        <v>0</v>
      </c>
      <c r="BU476" s="15">
        <v>0</v>
      </c>
      <c r="BV476" s="15">
        <v>0</v>
      </c>
      <c r="BW476" s="15">
        <v>0</v>
      </c>
      <c r="BX476" s="15">
        <v>0</v>
      </c>
      <c r="BY476" s="15">
        <v>0</v>
      </c>
      <c r="BZ476" s="15">
        <v>0</v>
      </c>
      <c r="CA476" s="15">
        <v>0</v>
      </c>
      <c r="CB476" s="15">
        <v>0</v>
      </c>
      <c r="CC476" s="15">
        <v>0</v>
      </c>
      <c r="CD476" s="15">
        <v>0</v>
      </c>
      <c r="CE476" s="15">
        <v>0</v>
      </c>
      <c r="CF476" s="15">
        <v>0</v>
      </c>
      <c r="CG476" s="15">
        <v>0</v>
      </c>
      <c r="CH476" s="15">
        <v>0</v>
      </c>
      <c r="CI476" s="15">
        <v>0</v>
      </c>
      <c r="CJ476" s="15">
        <v>0</v>
      </c>
      <c r="CK476" s="15">
        <v>0</v>
      </c>
      <c r="CL476" s="15">
        <v>0</v>
      </c>
      <c r="CM476" s="15">
        <v>0</v>
      </c>
      <c r="CN476" s="15">
        <v>0</v>
      </c>
      <c r="CO476" s="15">
        <v>0</v>
      </c>
      <c r="CP476" s="15">
        <v>0</v>
      </c>
      <c r="CQ476" s="15">
        <v>0</v>
      </c>
      <c r="CR476" s="15">
        <v>0</v>
      </c>
      <c r="CS476" s="15">
        <v>0</v>
      </c>
      <c r="CT476" s="15">
        <v>0</v>
      </c>
      <c r="CU476" s="15">
        <v>0</v>
      </c>
      <c r="CV476" s="15">
        <v>0</v>
      </c>
      <c r="CW476" s="15">
        <v>0</v>
      </c>
      <c r="CX476" s="15">
        <v>0</v>
      </c>
      <c r="CY476" s="15">
        <v>0</v>
      </c>
      <c r="CZ476" s="15">
        <v>0</v>
      </c>
      <c r="DA476" s="15">
        <v>0</v>
      </c>
      <c r="DB476" s="15">
        <v>0</v>
      </c>
      <c r="DC476" s="15">
        <v>0</v>
      </c>
      <c r="DD476" s="15">
        <v>0</v>
      </c>
      <c r="DE476" s="15">
        <v>0</v>
      </c>
      <c r="DF476" s="15">
        <v>0</v>
      </c>
      <c r="DG476" s="15">
        <v>0</v>
      </c>
      <c r="DH476" s="15">
        <v>0</v>
      </c>
      <c r="DI476" s="15">
        <v>0</v>
      </c>
      <c r="DJ476" s="15">
        <v>0</v>
      </c>
      <c r="DK476" s="15">
        <v>0</v>
      </c>
      <c r="DL476" s="15">
        <v>0</v>
      </c>
      <c r="DM476" s="15">
        <v>0</v>
      </c>
      <c r="DN476" s="15">
        <v>0</v>
      </c>
      <c r="DO476" s="15">
        <v>0</v>
      </c>
      <c r="DP476" s="15">
        <v>0</v>
      </c>
      <c r="DQ476" s="15">
        <v>0</v>
      </c>
      <c r="DR476" s="15">
        <v>0</v>
      </c>
      <c r="DS476" s="15">
        <v>0</v>
      </c>
      <c r="DT476" s="15">
        <v>0</v>
      </c>
      <c r="DU476" s="15">
        <v>0</v>
      </c>
      <c r="DV476" s="15">
        <v>0</v>
      </c>
      <c r="DW476" s="15">
        <v>0</v>
      </c>
      <c r="DX476" s="15">
        <v>0</v>
      </c>
      <c r="DY476" s="15">
        <v>0</v>
      </c>
      <c r="DZ476" s="15">
        <v>0</v>
      </c>
      <c r="EA476" s="15">
        <v>0</v>
      </c>
      <c r="EB476" s="15">
        <v>0</v>
      </c>
      <c r="EC476" s="15">
        <v>0</v>
      </c>
      <c r="ED476" s="15">
        <v>0</v>
      </c>
      <c r="EE476" s="15">
        <v>0</v>
      </c>
      <c r="EF476" s="15">
        <v>0</v>
      </c>
    </row>
    <row r="477" spans="1:136" ht="15" customHeight="1" x14ac:dyDescent="0.35">
      <c r="A477" s="8" t="s">
        <v>12</v>
      </c>
      <c r="B477" s="8" t="s">
        <v>25</v>
      </c>
      <c r="C477" s="8" t="s">
        <v>25</v>
      </c>
      <c r="D477" s="8" t="s">
        <v>320</v>
      </c>
      <c r="E477" s="8" t="s">
        <v>16</v>
      </c>
      <c r="F477" s="8" t="s">
        <v>106</v>
      </c>
      <c r="G477" s="15">
        <v>67</v>
      </c>
      <c r="H477" s="15">
        <v>145</v>
      </c>
      <c r="I477" s="15">
        <v>19.5</v>
      </c>
      <c r="J477" s="15">
        <v>125.5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1</v>
      </c>
      <c r="AC477" s="15">
        <v>0</v>
      </c>
      <c r="AD477" s="15">
        <v>2</v>
      </c>
      <c r="AE477" s="15">
        <v>2</v>
      </c>
      <c r="AF477" s="15">
        <v>3</v>
      </c>
      <c r="AG477" s="15">
        <v>4</v>
      </c>
      <c r="AH477" s="15">
        <v>3.5</v>
      </c>
      <c r="AI477" s="15">
        <v>3</v>
      </c>
      <c r="AJ477" s="15">
        <v>1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0</v>
      </c>
      <c r="BP477" s="15">
        <v>0</v>
      </c>
      <c r="BQ477" s="15">
        <v>0</v>
      </c>
      <c r="BR477" s="15">
        <v>0</v>
      </c>
      <c r="BS477" s="15">
        <v>0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5">
        <v>0</v>
      </c>
      <c r="CH477" s="15">
        <v>0</v>
      </c>
      <c r="CI477" s="15">
        <v>0</v>
      </c>
      <c r="CJ477" s="15">
        <v>0</v>
      </c>
      <c r="CK477" s="15">
        <v>0</v>
      </c>
      <c r="CL477" s="15">
        <v>0</v>
      </c>
      <c r="CM477" s="15">
        <v>0</v>
      </c>
      <c r="CN477" s="15">
        <v>0</v>
      </c>
      <c r="CO477" s="15">
        <v>0</v>
      </c>
      <c r="CP477" s="15">
        <v>0</v>
      </c>
      <c r="CQ477" s="15">
        <v>0</v>
      </c>
      <c r="CR477" s="15">
        <v>0</v>
      </c>
      <c r="CS477" s="15">
        <v>0</v>
      </c>
      <c r="CT477" s="15">
        <v>0</v>
      </c>
      <c r="CU477" s="15">
        <v>0</v>
      </c>
      <c r="CV477" s="15">
        <v>0</v>
      </c>
      <c r="CW477" s="15">
        <v>0</v>
      </c>
      <c r="CX477" s="15">
        <v>0</v>
      </c>
      <c r="CY477" s="15">
        <v>0</v>
      </c>
      <c r="CZ477" s="15">
        <v>0</v>
      </c>
      <c r="DA477" s="15">
        <v>0</v>
      </c>
      <c r="DB477" s="15">
        <v>0</v>
      </c>
      <c r="DC477" s="15">
        <v>0</v>
      </c>
      <c r="DD477" s="15">
        <v>0</v>
      </c>
      <c r="DE477" s="15">
        <v>0</v>
      </c>
      <c r="DF477" s="15">
        <v>0</v>
      </c>
      <c r="DG477" s="15">
        <v>0</v>
      </c>
      <c r="DH477" s="15">
        <v>0</v>
      </c>
      <c r="DI477" s="15">
        <v>0</v>
      </c>
      <c r="DJ477" s="15">
        <v>0</v>
      </c>
      <c r="DK477" s="15">
        <v>0</v>
      </c>
      <c r="DL477" s="15">
        <v>0</v>
      </c>
      <c r="DM477" s="15">
        <v>0</v>
      </c>
      <c r="DN477" s="15">
        <v>0</v>
      </c>
      <c r="DO477" s="15">
        <v>0</v>
      </c>
      <c r="DP477" s="15">
        <v>0</v>
      </c>
      <c r="DQ477" s="15">
        <v>0</v>
      </c>
      <c r="DR477" s="15">
        <v>0</v>
      </c>
      <c r="DS477" s="15">
        <v>0</v>
      </c>
      <c r="DT477" s="15">
        <v>0</v>
      </c>
      <c r="DU477" s="15">
        <v>0</v>
      </c>
      <c r="DV477" s="15">
        <v>0</v>
      </c>
      <c r="DW477" s="15">
        <v>0</v>
      </c>
      <c r="DX477" s="15">
        <v>0</v>
      </c>
      <c r="DY477" s="15">
        <v>0</v>
      </c>
      <c r="DZ477" s="15">
        <v>0</v>
      </c>
      <c r="EA477" s="15">
        <v>0</v>
      </c>
      <c r="EB477" s="15">
        <v>0</v>
      </c>
      <c r="EC477" s="15">
        <v>0</v>
      </c>
      <c r="ED477" s="15">
        <v>0</v>
      </c>
      <c r="EE477" s="15">
        <v>0</v>
      </c>
      <c r="EF477" s="15">
        <v>0</v>
      </c>
    </row>
    <row r="478" spans="1:136" ht="15" customHeight="1" x14ac:dyDescent="0.35">
      <c r="A478" s="8" t="s">
        <v>12</v>
      </c>
      <c r="B478" s="8" t="s">
        <v>25</v>
      </c>
      <c r="C478" s="8" t="s">
        <v>25</v>
      </c>
      <c r="D478" s="8" t="s">
        <v>319</v>
      </c>
      <c r="E478" s="8" t="s">
        <v>16</v>
      </c>
      <c r="F478" s="8" t="s">
        <v>106</v>
      </c>
      <c r="G478" s="15">
        <v>0</v>
      </c>
      <c r="H478" s="15">
        <v>0</v>
      </c>
      <c r="I478" s="15">
        <v>116</v>
      </c>
      <c r="J478" s="15">
        <v>-116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1</v>
      </c>
      <c r="AK478" s="15">
        <v>4</v>
      </c>
      <c r="AL478" s="15">
        <v>2</v>
      </c>
      <c r="AM478" s="15">
        <v>4</v>
      </c>
      <c r="AN478" s="15">
        <v>4</v>
      </c>
      <c r="AO478" s="15">
        <v>4</v>
      </c>
      <c r="AP478" s="15">
        <v>5</v>
      </c>
      <c r="AQ478" s="15">
        <v>0</v>
      </c>
      <c r="AR478" s="15">
        <v>8</v>
      </c>
      <c r="AS478" s="15">
        <v>2</v>
      </c>
      <c r="AT478" s="15">
        <v>0</v>
      </c>
      <c r="AU478" s="15">
        <v>0</v>
      </c>
      <c r="AV478" s="15">
        <v>0</v>
      </c>
      <c r="AW478" s="15">
        <v>0</v>
      </c>
      <c r="AX478" s="15">
        <v>0</v>
      </c>
      <c r="AY478" s="15">
        <v>0</v>
      </c>
      <c r="AZ478" s="15">
        <v>0</v>
      </c>
      <c r="BA478" s="15">
        <v>0</v>
      </c>
      <c r="BB478" s="15">
        <v>0</v>
      </c>
      <c r="BC478" s="15">
        <v>0</v>
      </c>
      <c r="BD478" s="15">
        <v>0</v>
      </c>
      <c r="BE478" s="15">
        <v>0</v>
      </c>
      <c r="BF478" s="15">
        <v>0</v>
      </c>
      <c r="BG478" s="15">
        <v>0</v>
      </c>
      <c r="BH478" s="15">
        <v>0</v>
      </c>
      <c r="BI478" s="15">
        <v>0</v>
      </c>
      <c r="BJ478" s="15">
        <v>0</v>
      </c>
      <c r="BK478" s="15">
        <v>0</v>
      </c>
      <c r="BL478" s="15">
        <v>0</v>
      </c>
      <c r="BM478" s="15">
        <v>0</v>
      </c>
      <c r="BN478" s="15">
        <v>0</v>
      </c>
      <c r="BO478" s="15">
        <v>0</v>
      </c>
      <c r="BP478" s="15">
        <v>0</v>
      </c>
      <c r="BQ478" s="15">
        <v>0</v>
      </c>
      <c r="BR478" s="15">
        <v>0</v>
      </c>
      <c r="BS478" s="15">
        <v>0</v>
      </c>
      <c r="BT478" s="15">
        <v>0</v>
      </c>
      <c r="BU478" s="15">
        <v>0</v>
      </c>
      <c r="BV478" s="15">
        <v>0</v>
      </c>
      <c r="BW478" s="15">
        <v>0</v>
      </c>
      <c r="BX478" s="15">
        <v>0</v>
      </c>
      <c r="BY478" s="15">
        <v>0</v>
      </c>
      <c r="BZ478" s="15">
        <v>0</v>
      </c>
      <c r="CA478" s="15">
        <v>0</v>
      </c>
      <c r="CB478" s="15">
        <v>0</v>
      </c>
      <c r="CC478" s="15">
        <v>0</v>
      </c>
      <c r="CD478" s="15">
        <v>0</v>
      </c>
      <c r="CE478" s="15">
        <v>0</v>
      </c>
      <c r="CF478" s="15">
        <v>0</v>
      </c>
      <c r="CG478" s="15">
        <v>0</v>
      </c>
      <c r="CH478" s="15">
        <v>0</v>
      </c>
      <c r="CI478" s="15">
        <v>0</v>
      </c>
      <c r="CJ478" s="15">
        <v>0</v>
      </c>
      <c r="CK478" s="15">
        <v>0</v>
      </c>
      <c r="CL478" s="15">
        <v>0</v>
      </c>
      <c r="CM478" s="15">
        <v>0</v>
      </c>
      <c r="CN478" s="15">
        <v>0</v>
      </c>
      <c r="CO478" s="15">
        <v>0</v>
      </c>
      <c r="CP478" s="15">
        <v>0</v>
      </c>
      <c r="CQ478" s="15">
        <v>0</v>
      </c>
      <c r="CR478" s="15">
        <v>0</v>
      </c>
      <c r="CS478" s="15">
        <v>2</v>
      </c>
      <c r="CT478" s="15">
        <v>0</v>
      </c>
      <c r="CU478" s="15">
        <v>0</v>
      </c>
      <c r="CV478" s="15">
        <v>0</v>
      </c>
      <c r="CW478" s="15">
        <v>0</v>
      </c>
      <c r="CX478" s="15">
        <v>8</v>
      </c>
      <c r="CY478" s="15">
        <v>8</v>
      </c>
      <c r="CZ478" s="15">
        <v>6</v>
      </c>
      <c r="DA478" s="15">
        <v>6</v>
      </c>
      <c r="DB478" s="15">
        <v>6</v>
      </c>
      <c r="DC478" s="15">
        <v>6</v>
      </c>
      <c r="DD478" s="15">
        <v>6</v>
      </c>
      <c r="DE478" s="15">
        <v>0</v>
      </c>
      <c r="DF478" s="15">
        <v>6</v>
      </c>
      <c r="DG478" s="15">
        <v>4</v>
      </c>
      <c r="DH478" s="15">
        <v>6</v>
      </c>
      <c r="DI478" s="15">
        <v>0</v>
      </c>
      <c r="DJ478" s="15">
        <v>0</v>
      </c>
      <c r="DK478" s="15">
        <v>8</v>
      </c>
      <c r="DL478" s="15">
        <v>8</v>
      </c>
      <c r="DM478" s="15">
        <v>4</v>
      </c>
      <c r="DN478" s="15">
        <v>0</v>
      </c>
      <c r="DO478" s="15">
        <v>0</v>
      </c>
      <c r="DP478" s="15">
        <v>0</v>
      </c>
      <c r="DQ478" s="15">
        <v>0</v>
      </c>
      <c r="DR478" s="15">
        <v>0</v>
      </c>
      <c r="DS478" s="15">
        <v>0</v>
      </c>
      <c r="DT478" s="15">
        <v>0</v>
      </c>
      <c r="DU478" s="15">
        <v>0</v>
      </c>
      <c r="DV478" s="15">
        <v>0</v>
      </c>
      <c r="DW478" s="15">
        <v>0</v>
      </c>
      <c r="DX478" s="15">
        <v>0</v>
      </c>
      <c r="DY478" s="15">
        <v>0</v>
      </c>
      <c r="DZ478" s="15">
        <v>0</v>
      </c>
      <c r="EA478" s="15">
        <v>0</v>
      </c>
      <c r="EB478" s="15">
        <v>0</v>
      </c>
      <c r="EC478" s="15">
        <v>0</v>
      </c>
      <c r="ED478" s="15">
        <v>0</v>
      </c>
      <c r="EE478" s="15">
        <v>0</v>
      </c>
      <c r="EF478" s="15">
        <v>0</v>
      </c>
    </row>
    <row r="479" spans="1:136" ht="15" customHeight="1" x14ac:dyDescent="0.35">
      <c r="A479" s="8" t="s">
        <v>12</v>
      </c>
      <c r="B479" s="8" t="s">
        <v>25</v>
      </c>
      <c r="C479" s="8" t="s">
        <v>25</v>
      </c>
      <c r="D479" s="8" t="s">
        <v>320</v>
      </c>
      <c r="E479" s="8" t="s">
        <v>16</v>
      </c>
      <c r="F479" s="8" t="s">
        <v>100</v>
      </c>
      <c r="G479" s="15">
        <v>3</v>
      </c>
      <c r="H479" s="15">
        <v>12</v>
      </c>
      <c r="I479" s="15">
        <v>0</v>
      </c>
      <c r="J479" s="15">
        <v>12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>
        <v>0</v>
      </c>
      <c r="AM479" s="15">
        <v>0</v>
      </c>
      <c r="AN479" s="15">
        <v>0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0</v>
      </c>
      <c r="AU479" s="15">
        <v>0</v>
      </c>
      <c r="AV479" s="15">
        <v>0</v>
      </c>
      <c r="AW479" s="15">
        <v>0</v>
      </c>
      <c r="AX479" s="15">
        <v>0</v>
      </c>
      <c r="AY479" s="15">
        <v>0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0</v>
      </c>
      <c r="BN479" s="15">
        <v>0</v>
      </c>
      <c r="BO479" s="15">
        <v>0</v>
      </c>
      <c r="BP479" s="15">
        <v>0</v>
      </c>
      <c r="BQ479" s="15">
        <v>0</v>
      </c>
      <c r="BR479" s="15">
        <v>0</v>
      </c>
      <c r="BS479" s="15">
        <v>0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5">
        <v>0</v>
      </c>
      <c r="CH479" s="15">
        <v>0</v>
      </c>
      <c r="CI479" s="15">
        <v>0</v>
      </c>
      <c r="CJ479" s="15">
        <v>0</v>
      </c>
      <c r="CK479" s="15">
        <v>0</v>
      </c>
      <c r="CL479" s="15">
        <v>0</v>
      </c>
      <c r="CM479" s="15">
        <v>0</v>
      </c>
      <c r="CN479" s="15">
        <v>0</v>
      </c>
      <c r="CO479" s="15">
        <v>0</v>
      </c>
      <c r="CP479" s="15">
        <v>0</v>
      </c>
      <c r="CQ479" s="15">
        <v>0</v>
      </c>
      <c r="CR479" s="15">
        <v>0</v>
      </c>
      <c r="CS479" s="15">
        <v>0</v>
      </c>
      <c r="CT479" s="15">
        <v>0</v>
      </c>
      <c r="CU479" s="15">
        <v>0</v>
      </c>
      <c r="CV479" s="15">
        <v>0</v>
      </c>
      <c r="CW479" s="15">
        <v>0</v>
      </c>
      <c r="CX479" s="15">
        <v>0</v>
      </c>
      <c r="CY479" s="15">
        <v>0</v>
      </c>
      <c r="CZ479" s="15">
        <v>0</v>
      </c>
      <c r="DA479" s="15">
        <v>0</v>
      </c>
      <c r="DB479" s="15">
        <v>0</v>
      </c>
      <c r="DC479" s="15">
        <v>0</v>
      </c>
      <c r="DD479" s="15">
        <v>0</v>
      </c>
      <c r="DE479" s="15">
        <v>0</v>
      </c>
      <c r="DF479" s="15">
        <v>0</v>
      </c>
      <c r="DG479" s="15">
        <v>0</v>
      </c>
      <c r="DH479" s="15">
        <v>0</v>
      </c>
      <c r="DI479" s="15">
        <v>0</v>
      </c>
      <c r="DJ479" s="15">
        <v>0</v>
      </c>
      <c r="DK479" s="15">
        <v>0</v>
      </c>
      <c r="DL479" s="15">
        <v>0</v>
      </c>
      <c r="DM479" s="15">
        <v>0</v>
      </c>
      <c r="DN479" s="15">
        <v>0</v>
      </c>
      <c r="DO479" s="15">
        <v>0</v>
      </c>
      <c r="DP479" s="15">
        <v>0</v>
      </c>
      <c r="DQ479" s="15">
        <v>0</v>
      </c>
      <c r="DR479" s="15">
        <v>0</v>
      </c>
      <c r="DS479" s="15">
        <v>0</v>
      </c>
      <c r="DT479" s="15">
        <v>0</v>
      </c>
      <c r="DU479" s="15">
        <v>0</v>
      </c>
      <c r="DV479" s="15">
        <v>0</v>
      </c>
      <c r="DW479" s="15">
        <v>0</v>
      </c>
      <c r="DX479" s="15">
        <v>0</v>
      </c>
      <c r="DY479" s="15">
        <v>0</v>
      </c>
      <c r="DZ479" s="15">
        <v>0</v>
      </c>
      <c r="EA479" s="15">
        <v>0</v>
      </c>
      <c r="EB479" s="15">
        <v>0</v>
      </c>
      <c r="EC479" s="15">
        <v>0</v>
      </c>
      <c r="ED479" s="15">
        <v>0</v>
      </c>
      <c r="EE479" s="15">
        <v>0</v>
      </c>
      <c r="EF479" s="15">
        <v>0</v>
      </c>
    </row>
    <row r="480" spans="1:136" ht="15" customHeight="1" x14ac:dyDescent="0.35">
      <c r="A480" s="8" t="s">
        <v>12</v>
      </c>
      <c r="B480" s="8" t="s">
        <v>25</v>
      </c>
      <c r="C480" s="8" t="s">
        <v>25</v>
      </c>
      <c r="D480" s="8" t="s">
        <v>319</v>
      </c>
      <c r="E480" s="8" t="s">
        <v>16</v>
      </c>
      <c r="F480" s="8" t="s">
        <v>100</v>
      </c>
      <c r="G480" s="15">
        <v>0</v>
      </c>
      <c r="H480" s="15">
        <v>0</v>
      </c>
      <c r="I480" s="15">
        <v>2</v>
      </c>
      <c r="J480" s="15">
        <v>-2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0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5">
        <v>0</v>
      </c>
      <c r="AX480" s="15">
        <v>0</v>
      </c>
      <c r="AY480" s="15">
        <v>0</v>
      </c>
      <c r="AZ480" s="15">
        <v>0</v>
      </c>
      <c r="BA480" s="15">
        <v>0</v>
      </c>
      <c r="BB480" s="15">
        <v>0</v>
      </c>
      <c r="BC480" s="15">
        <v>0</v>
      </c>
      <c r="BD480" s="15">
        <v>0</v>
      </c>
      <c r="BE480" s="15">
        <v>0</v>
      </c>
      <c r="BF480" s="15">
        <v>0</v>
      </c>
      <c r="BG480" s="15">
        <v>0</v>
      </c>
      <c r="BH480" s="15">
        <v>0</v>
      </c>
      <c r="BI480" s="15">
        <v>0</v>
      </c>
      <c r="BJ480" s="15">
        <v>0</v>
      </c>
      <c r="BK480" s="15">
        <v>0</v>
      </c>
      <c r="BL480" s="15">
        <v>0</v>
      </c>
      <c r="BM480" s="15">
        <v>0</v>
      </c>
      <c r="BN480" s="15">
        <v>0</v>
      </c>
      <c r="BO480" s="15">
        <v>0</v>
      </c>
      <c r="BP480" s="15">
        <v>0</v>
      </c>
      <c r="BQ480" s="15">
        <v>0</v>
      </c>
      <c r="BR480" s="15">
        <v>0</v>
      </c>
      <c r="BS480" s="15">
        <v>0</v>
      </c>
      <c r="BT480" s="15">
        <v>0</v>
      </c>
      <c r="BU480" s="15">
        <v>0</v>
      </c>
      <c r="BV480" s="15">
        <v>0</v>
      </c>
      <c r="BW480" s="15">
        <v>0</v>
      </c>
      <c r="BX480" s="15">
        <v>0</v>
      </c>
      <c r="BY480" s="15">
        <v>0</v>
      </c>
      <c r="BZ480" s="15">
        <v>0</v>
      </c>
      <c r="CA480" s="15">
        <v>0</v>
      </c>
      <c r="CB480" s="15">
        <v>0</v>
      </c>
      <c r="CC480" s="15">
        <v>0</v>
      </c>
      <c r="CD480" s="15">
        <v>0</v>
      </c>
      <c r="CE480" s="15">
        <v>0</v>
      </c>
      <c r="CF480" s="15">
        <v>0</v>
      </c>
      <c r="CG480" s="15">
        <v>0</v>
      </c>
      <c r="CH480" s="15">
        <v>0</v>
      </c>
      <c r="CI480" s="15">
        <v>0</v>
      </c>
      <c r="CJ480" s="15">
        <v>0</v>
      </c>
      <c r="CK480" s="15">
        <v>0</v>
      </c>
      <c r="CL480" s="15">
        <v>0</v>
      </c>
      <c r="CM480" s="15">
        <v>0</v>
      </c>
      <c r="CN480" s="15">
        <v>0</v>
      </c>
      <c r="CO480" s="15">
        <v>0</v>
      </c>
      <c r="CP480" s="15">
        <v>0</v>
      </c>
      <c r="CQ480" s="15">
        <v>0</v>
      </c>
      <c r="CR480" s="15">
        <v>0</v>
      </c>
      <c r="CS480" s="15">
        <v>0</v>
      </c>
      <c r="CT480" s="15">
        <v>0</v>
      </c>
      <c r="CU480" s="15">
        <v>0</v>
      </c>
      <c r="CV480" s="15">
        <v>0</v>
      </c>
      <c r="CW480" s="15">
        <v>0</v>
      </c>
      <c r="CX480" s="15">
        <v>0</v>
      </c>
      <c r="CY480" s="15">
        <v>0</v>
      </c>
      <c r="CZ480" s="15">
        <v>0</v>
      </c>
      <c r="DA480" s="15">
        <v>0</v>
      </c>
      <c r="DB480" s="15">
        <v>0</v>
      </c>
      <c r="DC480" s="15">
        <v>0</v>
      </c>
      <c r="DD480" s="15">
        <v>0</v>
      </c>
      <c r="DE480" s="15">
        <v>0</v>
      </c>
      <c r="DF480" s="15">
        <v>0</v>
      </c>
      <c r="DG480" s="15">
        <v>0</v>
      </c>
      <c r="DH480" s="15">
        <v>0</v>
      </c>
      <c r="DI480" s="15">
        <v>0</v>
      </c>
      <c r="DJ480" s="15">
        <v>0</v>
      </c>
      <c r="DK480" s="15">
        <v>0</v>
      </c>
      <c r="DL480" s="15">
        <v>0</v>
      </c>
      <c r="DM480" s="15">
        <v>0</v>
      </c>
      <c r="DN480" s="15">
        <v>0</v>
      </c>
      <c r="DO480" s="15">
        <v>0</v>
      </c>
      <c r="DP480" s="15">
        <v>0</v>
      </c>
      <c r="DQ480" s="15">
        <v>0</v>
      </c>
      <c r="DR480" s="15">
        <v>2</v>
      </c>
      <c r="DS480" s="15">
        <v>0</v>
      </c>
      <c r="DT480" s="15">
        <v>0</v>
      </c>
      <c r="DU480" s="15">
        <v>0</v>
      </c>
      <c r="DV480" s="15">
        <v>0</v>
      </c>
      <c r="DW480" s="15">
        <v>0</v>
      </c>
      <c r="DX480" s="15">
        <v>0</v>
      </c>
      <c r="DY480" s="15">
        <v>0</v>
      </c>
      <c r="DZ480" s="15">
        <v>0</v>
      </c>
      <c r="EA480" s="15">
        <v>0</v>
      </c>
      <c r="EB480" s="15">
        <v>0</v>
      </c>
      <c r="EC480" s="15">
        <v>0</v>
      </c>
      <c r="ED480" s="15">
        <v>0</v>
      </c>
      <c r="EE480" s="15">
        <v>0</v>
      </c>
      <c r="EF480" s="15">
        <v>0</v>
      </c>
    </row>
    <row r="481" spans="1:136" ht="15" customHeight="1" x14ac:dyDescent="0.35">
      <c r="A481" s="8" t="s">
        <v>12</v>
      </c>
      <c r="B481" s="8" t="s">
        <v>25</v>
      </c>
      <c r="C481" s="8" t="s">
        <v>25</v>
      </c>
      <c r="D481" s="8" t="s">
        <v>320</v>
      </c>
      <c r="E481" s="8" t="s">
        <v>16</v>
      </c>
      <c r="F481" s="8" t="s">
        <v>87</v>
      </c>
      <c r="G481" s="15">
        <v>8</v>
      </c>
      <c r="H481" s="15">
        <v>8</v>
      </c>
      <c r="I481" s="15">
        <v>0</v>
      </c>
      <c r="J481" s="15">
        <v>8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>
        <v>0</v>
      </c>
      <c r="AM481" s="15">
        <v>0</v>
      </c>
      <c r="AN481" s="15">
        <v>0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5">
        <v>0</v>
      </c>
      <c r="AX481" s="15">
        <v>0</v>
      </c>
      <c r="AY481" s="15">
        <v>0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0</v>
      </c>
      <c r="BN481" s="15">
        <v>0</v>
      </c>
      <c r="BO481" s="15">
        <v>0</v>
      </c>
      <c r="BP481" s="15">
        <v>0</v>
      </c>
      <c r="BQ481" s="15">
        <v>0</v>
      </c>
      <c r="BR481" s="15">
        <v>0</v>
      </c>
      <c r="BS481" s="15">
        <v>0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5">
        <v>0</v>
      </c>
      <c r="CH481" s="15">
        <v>0</v>
      </c>
      <c r="CI481" s="15">
        <v>0</v>
      </c>
      <c r="CJ481" s="15">
        <v>0</v>
      </c>
      <c r="CK481" s="15">
        <v>0</v>
      </c>
      <c r="CL481" s="15">
        <v>0</v>
      </c>
      <c r="CM481" s="15">
        <v>0</v>
      </c>
      <c r="CN481" s="15">
        <v>0</v>
      </c>
      <c r="CO481" s="15">
        <v>0</v>
      </c>
      <c r="CP481" s="15">
        <v>0</v>
      </c>
      <c r="CQ481" s="15">
        <v>0</v>
      </c>
      <c r="CR481" s="15">
        <v>0</v>
      </c>
      <c r="CS481" s="15">
        <v>0</v>
      </c>
      <c r="CT481" s="15">
        <v>0</v>
      </c>
      <c r="CU481" s="15">
        <v>0</v>
      </c>
      <c r="CV481" s="15">
        <v>0</v>
      </c>
      <c r="CW481" s="15">
        <v>0</v>
      </c>
      <c r="CX481" s="15">
        <v>0</v>
      </c>
      <c r="CY481" s="15">
        <v>0</v>
      </c>
      <c r="CZ481" s="15">
        <v>0</v>
      </c>
      <c r="DA481" s="15">
        <v>0</v>
      </c>
      <c r="DB481" s="15">
        <v>0</v>
      </c>
      <c r="DC481" s="15">
        <v>0</v>
      </c>
      <c r="DD481" s="15">
        <v>0</v>
      </c>
      <c r="DE481" s="15">
        <v>0</v>
      </c>
      <c r="DF481" s="15">
        <v>0</v>
      </c>
      <c r="DG481" s="15">
        <v>0</v>
      </c>
      <c r="DH481" s="15">
        <v>0</v>
      </c>
      <c r="DI481" s="15">
        <v>0</v>
      </c>
      <c r="DJ481" s="15">
        <v>0</v>
      </c>
      <c r="DK481" s="15">
        <v>0</v>
      </c>
      <c r="DL481" s="15">
        <v>0</v>
      </c>
      <c r="DM481" s="15">
        <v>0</v>
      </c>
      <c r="DN481" s="15">
        <v>0</v>
      </c>
      <c r="DO481" s="15">
        <v>0</v>
      </c>
      <c r="DP481" s="15">
        <v>0</v>
      </c>
      <c r="DQ481" s="15">
        <v>0</v>
      </c>
      <c r="DR481" s="15">
        <v>0</v>
      </c>
      <c r="DS481" s="15">
        <v>0</v>
      </c>
      <c r="DT481" s="15">
        <v>0</v>
      </c>
      <c r="DU481" s="15">
        <v>0</v>
      </c>
      <c r="DV481" s="15">
        <v>0</v>
      </c>
      <c r="DW481" s="15">
        <v>0</v>
      </c>
      <c r="DX481" s="15">
        <v>0</v>
      </c>
      <c r="DY481" s="15">
        <v>0</v>
      </c>
      <c r="DZ481" s="15">
        <v>0</v>
      </c>
      <c r="EA481" s="15">
        <v>0</v>
      </c>
      <c r="EB481" s="15">
        <v>0</v>
      </c>
      <c r="EC481" s="15">
        <v>0</v>
      </c>
      <c r="ED481" s="15">
        <v>0</v>
      </c>
      <c r="EE481" s="15">
        <v>0</v>
      </c>
      <c r="EF481" s="15">
        <v>0</v>
      </c>
    </row>
    <row r="482" spans="1:136" ht="15" customHeight="1" x14ac:dyDescent="0.35">
      <c r="A482" s="8" t="s">
        <v>12</v>
      </c>
      <c r="B482" s="8" t="s">
        <v>25</v>
      </c>
      <c r="C482" s="8" t="s">
        <v>25</v>
      </c>
      <c r="D482" s="8" t="s">
        <v>319</v>
      </c>
      <c r="E482" s="8" t="s">
        <v>16</v>
      </c>
      <c r="F482" s="8" t="s">
        <v>87</v>
      </c>
      <c r="G482" s="15">
        <v>0</v>
      </c>
      <c r="H482" s="15">
        <v>0</v>
      </c>
      <c r="I482" s="15">
        <v>2</v>
      </c>
      <c r="J482" s="15">
        <v>-2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2</v>
      </c>
      <c r="AM482" s="15">
        <v>0</v>
      </c>
      <c r="AN482" s="15">
        <v>0</v>
      </c>
      <c r="AO482" s="15">
        <v>0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</v>
      </c>
      <c r="AY482" s="15">
        <v>0</v>
      </c>
      <c r="AZ482" s="15">
        <v>0</v>
      </c>
      <c r="BA482" s="15">
        <v>0</v>
      </c>
      <c r="BB482" s="15">
        <v>0</v>
      </c>
      <c r="BC482" s="15">
        <v>0</v>
      </c>
      <c r="BD482" s="15">
        <v>0</v>
      </c>
      <c r="BE482" s="15">
        <v>0</v>
      </c>
      <c r="BF482" s="15">
        <v>0</v>
      </c>
      <c r="BG482" s="15">
        <v>0</v>
      </c>
      <c r="BH482" s="15">
        <v>0</v>
      </c>
      <c r="BI482" s="15">
        <v>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  <c r="BP482" s="15">
        <v>0</v>
      </c>
      <c r="BQ482" s="15">
        <v>0</v>
      </c>
      <c r="BR482" s="15">
        <v>0</v>
      </c>
      <c r="BS482" s="15">
        <v>0</v>
      </c>
      <c r="BT482" s="15">
        <v>0</v>
      </c>
      <c r="BU482" s="15">
        <v>0</v>
      </c>
      <c r="BV482" s="15">
        <v>0</v>
      </c>
      <c r="BW482" s="15">
        <v>0</v>
      </c>
      <c r="BX482" s="15">
        <v>0</v>
      </c>
      <c r="BY482" s="15">
        <v>0</v>
      </c>
      <c r="BZ482" s="15">
        <v>0</v>
      </c>
      <c r="CA482" s="15">
        <v>0</v>
      </c>
      <c r="CB482" s="15">
        <v>0</v>
      </c>
      <c r="CC482" s="15">
        <v>0</v>
      </c>
      <c r="CD482" s="15">
        <v>0</v>
      </c>
      <c r="CE482" s="15">
        <v>0</v>
      </c>
      <c r="CF482" s="15">
        <v>0</v>
      </c>
      <c r="CG482" s="15">
        <v>0</v>
      </c>
      <c r="CH482" s="15">
        <v>0</v>
      </c>
      <c r="CI482" s="15">
        <v>0</v>
      </c>
      <c r="CJ482" s="15">
        <v>0</v>
      </c>
      <c r="CK482" s="15">
        <v>0</v>
      </c>
      <c r="CL482" s="15">
        <v>0</v>
      </c>
      <c r="CM482" s="15">
        <v>0</v>
      </c>
      <c r="CN482" s="15">
        <v>0</v>
      </c>
      <c r="CO482" s="15">
        <v>0</v>
      </c>
      <c r="CP482" s="15">
        <v>0</v>
      </c>
      <c r="CQ482" s="15">
        <v>0</v>
      </c>
      <c r="CR482" s="15">
        <v>0</v>
      </c>
      <c r="CS482" s="15">
        <v>0</v>
      </c>
      <c r="CT482" s="15">
        <v>0</v>
      </c>
      <c r="CU482" s="15">
        <v>0</v>
      </c>
      <c r="CV482" s="15">
        <v>0</v>
      </c>
      <c r="CW482" s="15">
        <v>0</v>
      </c>
      <c r="CX482" s="15">
        <v>0</v>
      </c>
      <c r="CY482" s="15">
        <v>0</v>
      </c>
      <c r="CZ482" s="15">
        <v>0</v>
      </c>
      <c r="DA482" s="15">
        <v>0</v>
      </c>
      <c r="DB482" s="15">
        <v>0</v>
      </c>
      <c r="DC482" s="15">
        <v>0</v>
      </c>
      <c r="DD482" s="15">
        <v>0</v>
      </c>
      <c r="DE482" s="15">
        <v>0</v>
      </c>
      <c r="DF482" s="15">
        <v>0</v>
      </c>
      <c r="DG482" s="15">
        <v>0</v>
      </c>
      <c r="DH482" s="15">
        <v>0</v>
      </c>
      <c r="DI482" s="15">
        <v>0</v>
      </c>
      <c r="DJ482" s="15">
        <v>0</v>
      </c>
      <c r="DK482" s="15">
        <v>0</v>
      </c>
      <c r="DL482" s="15">
        <v>0</v>
      </c>
      <c r="DM482" s="15">
        <v>0</v>
      </c>
      <c r="DN482" s="15">
        <v>0</v>
      </c>
      <c r="DO482" s="15">
        <v>0</v>
      </c>
      <c r="DP482" s="15">
        <v>0</v>
      </c>
      <c r="DQ482" s="15">
        <v>0</v>
      </c>
      <c r="DR482" s="15">
        <v>0</v>
      </c>
      <c r="DS482" s="15">
        <v>0</v>
      </c>
      <c r="DT482" s="15">
        <v>0</v>
      </c>
      <c r="DU482" s="15">
        <v>0</v>
      </c>
      <c r="DV482" s="15">
        <v>0</v>
      </c>
      <c r="DW482" s="15">
        <v>0</v>
      </c>
      <c r="DX482" s="15">
        <v>0</v>
      </c>
      <c r="DY482" s="15">
        <v>0</v>
      </c>
      <c r="DZ482" s="15">
        <v>0</v>
      </c>
      <c r="EA482" s="15">
        <v>0</v>
      </c>
      <c r="EB482" s="15">
        <v>0</v>
      </c>
      <c r="EC482" s="15">
        <v>0</v>
      </c>
      <c r="ED482" s="15">
        <v>0</v>
      </c>
      <c r="EE482" s="15">
        <v>0</v>
      </c>
      <c r="EF482" s="15">
        <v>0</v>
      </c>
    </row>
    <row r="483" spans="1:136" ht="15" customHeight="1" x14ac:dyDescent="0.35">
      <c r="A483" s="8" t="s">
        <v>12</v>
      </c>
      <c r="B483" s="8" t="s">
        <v>25</v>
      </c>
      <c r="C483" s="8" t="s">
        <v>25</v>
      </c>
      <c r="D483" s="8" t="s">
        <v>320</v>
      </c>
      <c r="E483" s="8" t="s">
        <v>16</v>
      </c>
      <c r="F483" s="8" t="s">
        <v>88</v>
      </c>
      <c r="G483" s="15">
        <v>0</v>
      </c>
      <c r="H483" s="15">
        <v>20</v>
      </c>
      <c r="I483" s="15">
        <v>0</v>
      </c>
      <c r="J483" s="15">
        <v>20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>
        <v>0</v>
      </c>
      <c r="AM483" s="15">
        <v>0</v>
      </c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5">
        <v>0</v>
      </c>
      <c r="AV483" s="15">
        <v>0</v>
      </c>
      <c r="AW483" s="15">
        <v>0</v>
      </c>
      <c r="AX483" s="15">
        <v>0</v>
      </c>
      <c r="AY483" s="15">
        <v>0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0</v>
      </c>
      <c r="BN483" s="15">
        <v>0</v>
      </c>
      <c r="BO483" s="15">
        <v>0</v>
      </c>
      <c r="BP483" s="15">
        <v>0</v>
      </c>
      <c r="BQ483" s="15">
        <v>0</v>
      </c>
      <c r="BR483" s="15">
        <v>0</v>
      </c>
      <c r="BS483" s="15">
        <v>0</v>
      </c>
      <c r="BT483" s="15">
        <v>0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5">
        <v>0</v>
      </c>
      <c r="CH483" s="15">
        <v>0</v>
      </c>
      <c r="CI483" s="15">
        <v>0</v>
      </c>
      <c r="CJ483" s="15">
        <v>0</v>
      </c>
      <c r="CK483" s="15">
        <v>0</v>
      </c>
      <c r="CL483" s="15">
        <v>0</v>
      </c>
      <c r="CM483" s="15">
        <v>0</v>
      </c>
      <c r="CN483" s="15">
        <v>0</v>
      </c>
      <c r="CO483" s="15">
        <v>0</v>
      </c>
      <c r="CP483" s="15">
        <v>0</v>
      </c>
      <c r="CQ483" s="15">
        <v>0</v>
      </c>
      <c r="CR483" s="15">
        <v>0</v>
      </c>
      <c r="CS483" s="15">
        <v>0</v>
      </c>
      <c r="CT483" s="15">
        <v>0</v>
      </c>
      <c r="CU483" s="15">
        <v>0</v>
      </c>
      <c r="CV483" s="15">
        <v>0</v>
      </c>
      <c r="CW483" s="15">
        <v>0</v>
      </c>
      <c r="CX483" s="15">
        <v>0</v>
      </c>
      <c r="CY483" s="15">
        <v>0</v>
      </c>
      <c r="CZ483" s="15">
        <v>0</v>
      </c>
      <c r="DA483" s="15">
        <v>0</v>
      </c>
      <c r="DB483" s="15">
        <v>0</v>
      </c>
      <c r="DC483" s="15">
        <v>0</v>
      </c>
      <c r="DD483" s="15">
        <v>0</v>
      </c>
      <c r="DE483" s="15">
        <v>0</v>
      </c>
      <c r="DF483" s="15">
        <v>0</v>
      </c>
      <c r="DG483" s="15">
        <v>0</v>
      </c>
      <c r="DH483" s="15">
        <v>0</v>
      </c>
      <c r="DI483" s="15">
        <v>0</v>
      </c>
      <c r="DJ483" s="15">
        <v>0</v>
      </c>
      <c r="DK483" s="15">
        <v>0</v>
      </c>
      <c r="DL483" s="15">
        <v>0</v>
      </c>
      <c r="DM483" s="15">
        <v>0</v>
      </c>
      <c r="DN483" s="15">
        <v>0</v>
      </c>
      <c r="DO483" s="15">
        <v>0</v>
      </c>
      <c r="DP483" s="15">
        <v>0</v>
      </c>
      <c r="DQ483" s="15">
        <v>0</v>
      </c>
      <c r="DR483" s="15">
        <v>0</v>
      </c>
      <c r="DS483" s="15">
        <v>0</v>
      </c>
      <c r="DT483" s="15">
        <v>0</v>
      </c>
      <c r="DU483" s="15">
        <v>0</v>
      </c>
      <c r="DV483" s="15">
        <v>0</v>
      </c>
      <c r="DW483" s="15">
        <v>0</v>
      </c>
      <c r="DX483" s="15">
        <v>0</v>
      </c>
      <c r="DY483" s="15">
        <v>0</v>
      </c>
      <c r="DZ483" s="15">
        <v>0</v>
      </c>
      <c r="EA483" s="15">
        <v>0</v>
      </c>
      <c r="EB483" s="15">
        <v>0</v>
      </c>
      <c r="EC483" s="15">
        <v>0</v>
      </c>
      <c r="ED483" s="15">
        <v>0</v>
      </c>
      <c r="EE483" s="15">
        <v>0</v>
      </c>
      <c r="EF483" s="15">
        <v>0</v>
      </c>
    </row>
    <row r="484" spans="1:136" ht="15" customHeight="1" x14ac:dyDescent="0.35">
      <c r="A484" s="8" t="s">
        <v>12</v>
      </c>
      <c r="B484" s="8" t="s">
        <v>25</v>
      </c>
      <c r="C484" s="8" t="s">
        <v>25</v>
      </c>
      <c r="D484" s="8" t="s">
        <v>319</v>
      </c>
      <c r="E484" s="8" t="s">
        <v>16</v>
      </c>
      <c r="F484" s="8" t="s">
        <v>88</v>
      </c>
      <c r="G484" s="15">
        <v>0</v>
      </c>
      <c r="H484" s="15">
        <v>0</v>
      </c>
      <c r="I484" s="15">
        <v>20</v>
      </c>
      <c r="J484" s="15">
        <v>-20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5">
        <v>0</v>
      </c>
      <c r="AX484" s="15">
        <v>0</v>
      </c>
      <c r="AY484" s="15">
        <v>0</v>
      </c>
      <c r="AZ484" s="15">
        <v>0</v>
      </c>
      <c r="BA484" s="15">
        <v>0</v>
      </c>
      <c r="BB484" s="15">
        <v>0</v>
      </c>
      <c r="BC484" s="15">
        <v>0</v>
      </c>
      <c r="BD484" s="15">
        <v>0</v>
      </c>
      <c r="BE484" s="15">
        <v>0</v>
      </c>
      <c r="BF484" s="15">
        <v>0</v>
      </c>
      <c r="BG484" s="15">
        <v>0</v>
      </c>
      <c r="BH484" s="15">
        <v>0</v>
      </c>
      <c r="BI484" s="15">
        <v>0</v>
      </c>
      <c r="BJ484" s="15">
        <v>0</v>
      </c>
      <c r="BK484" s="15">
        <v>0</v>
      </c>
      <c r="BL484" s="15">
        <v>0</v>
      </c>
      <c r="BM484" s="15">
        <v>0</v>
      </c>
      <c r="BN484" s="15">
        <v>0</v>
      </c>
      <c r="BO484" s="15">
        <v>0</v>
      </c>
      <c r="BP484" s="15">
        <v>0</v>
      </c>
      <c r="BQ484" s="15">
        <v>0</v>
      </c>
      <c r="BR484" s="15">
        <v>0</v>
      </c>
      <c r="BS484" s="15">
        <v>0</v>
      </c>
      <c r="BT484" s="15">
        <v>0</v>
      </c>
      <c r="BU484" s="15">
        <v>0</v>
      </c>
      <c r="BV484" s="15">
        <v>0</v>
      </c>
      <c r="BW484" s="15">
        <v>0</v>
      </c>
      <c r="BX484" s="15">
        <v>0</v>
      </c>
      <c r="BY484" s="15">
        <v>0</v>
      </c>
      <c r="BZ484" s="15">
        <v>0</v>
      </c>
      <c r="CA484" s="15">
        <v>0</v>
      </c>
      <c r="CB484" s="15">
        <v>0</v>
      </c>
      <c r="CC484" s="15">
        <v>0</v>
      </c>
      <c r="CD484" s="15">
        <v>0</v>
      </c>
      <c r="CE484" s="15">
        <v>0</v>
      </c>
      <c r="CF484" s="15">
        <v>0</v>
      </c>
      <c r="CG484" s="15">
        <v>0</v>
      </c>
      <c r="CH484" s="15">
        <v>0</v>
      </c>
      <c r="CI484" s="15">
        <v>0</v>
      </c>
      <c r="CJ484" s="15">
        <v>0</v>
      </c>
      <c r="CK484" s="15">
        <v>0</v>
      </c>
      <c r="CL484" s="15">
        <v>0</v>
      </c>
      <c r="CM484" s="15">
        <v>0</v>
      </c>
      <c r="CN484" s="15">
        <v>0</v>
      </c>
      <c r="CO484" s="15">
        <v>0</v>
      </c>
      <c r="CP484" s="15">
        <v>0</v>
      </c>
      <c r="CQ484" s="15">
        <v>0</v>
      </c>
      <c r="CR484" s="15">
        <v>0</v>
      </c>
      <c r="CS484" s="15">
        <v>0</v>
      </c>
      <c r="CT484" s="15">
        <v>0</v>
      </c>
      <c r="CU484" s="15">
        <v>0</v>
      </c>
      <c r="CV484" s="15">
        <v>0</v>
      </c>
      <c r="CW484" s="15">
        <v>0</v>
      </c>
      <c r="CX484" s="15">
        <v>0</v>
      </c>
      <c r="CY484" s="15">
        <v>0</v>
      </c>
      <c r="CZ484" s="15">
        <v>10</v>
      </c>
      <c r="DA484" s="15">
        <v>10</v>
      </c>
      <c r="DB484" s="15">
        <v>0</v>
      </c>
      <c r="DC484" s="15">
        <v>0</v>
      </c>
      <c r="DD484" s="15">
        <v>0</v>
      </c>
      <c r="DE484" s="15">
        <v>0</v>
      </c>
      <c r="DF484" s="15">
        <v>0</v>
      </c>
      <c r="DG484" s="15">
        <v>0</v>
      </c>
      <c r="DH484" s="15">
        <v>0</v>
      </c>
      <c r="DI484" s="15">
        <v>0</v>
      </c>
      <c r="DJ484" s="15">
        <v>0</v>
      </c>
      <c r="DK484" s="15">
        <v>0</v>
      </c>
      <c r="DL484" s="15">
        <v>0</v>
      </c>
      <c r="DM484" s="15">
        <v>0</v>
      </c>
      <c r="DN484" s="15">
        <v>0</v>
      </c>
      <c r="DO484" s="15">
        <v>0</v>
      </c>
      <c r="DP484" s="15">
        <v>0</v>
      </c>
      <c r="DQ484" s="15">
        <v>0</v>
      </c>
      <c r="DR484" s="15">
        <v>0</v>
      </c>
      <c r="DS484" s="15">
        <v>0</v>
      </c>
      <c r="DT484" s="15">
        <v>0</v>
      </c>
      <c r="DU484" s="15">
        <v>0</v>
      </c>
      <c r="DV484" s="15">
        <v>0</v>
      </c>
      <c r="DW484" s="15">
        <v>0</v>
      </c>
      <c r="DX484" s="15">
        <v>0</v>
      </c>
      <c r="DY484" s="15">
        <v>0</v>
      </c>
      <c r="DZ484" s="15">
        <v>0</v>
      </c>
      <c r="EA484" s="15">
        <v>0</v>
      </c>
      <c r="EB484" s="15">
        <v>0</v>
      </c>
      <c r="EC484" s="15">
        <v>0</v>
      </c>
      <c r="ED484" s="15">
        <v>0</v>
      </c>
      <c r="EE484" s="15">
        <v>0</v>
      </c>
      <c r="EF484" s="15">
        <v>0</v>
      </c>
    </row>
    <row r="485" spans="1:136" ht="15" customHeight="1" x14ac:dyDescent="0.35">
      <c r="A485" s="8" t="s">
        <v>12</v>
      </c>
      <c r="B485" s="8" t="s">
        <v>25</v>
      </c>
      <c r="C485" s="8" t="s">
        <v>25</v>
      </c>
      <c r="D485" s="8" t="s">
        <v>320</v>
      </c>
      <c r="E485" s="8" t="s">
        <v>16</v>
      </c>
      <c r="F485" s="8" t="s">
        <v>107</v>
      </c>
      <c r="G485" s="15">
        <v>4.9000000000000004</v>
      </c>
      <c r="H485" s="15">
        <v>69.5</v>
      </c>
      <c r="I485" s="15">
        <v>0</v>
      </c>
      <c r="J485" s="15">
        <v>69.5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5">
        <v>0</v>
      </c>
      <c r="AX485" s="15">
        <v>0</v>
      </c>
      <c r="AY485" s="15">
        <v>0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0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  <c r="BS485" s="15">
        <v>0</v>
      </c>
      <c r="BT485" s="15">
        <v>0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5">
        <v>0</v>
      </c>
      <c r="CH485" s="15">
        <v>0</v>
      </c>
      <c r="CI485" s="15">
        <v>0</v>
      </c>
      <c r="CJ485" s="15">
        <v>0</v>
      </c>
      <c r="CK485" s="15">
        <v>0</v>
      </c>
      <c r="CL485" s="15">
        <v>0</v>
      </c>
      <c r="CM485" s="15">
        <v>0</v>
      </c>
      <c r="CN485" s="15">
        <v>0</v>
      </c>
      <c r="CO485" s="15">
        <v>0</v>
      </c>
      <c r="CP485" s="15">
        <v>0</v>
      </c>
      <c r="CQ485" s="15">
        <v>0</v>
      </c>
      <c r="CR485" s="15">
        <v>0</v>
      </c>
      <c r="CS485" s="15">
        <v>0</v>
      </c>
      <c r="CT485" s="15">
        <v>0</v>
      </c>
      <c r="CU485" s="15">
        <v>0</v>
      </c>
      <c r="CV485" s="15">
        <v>0</v>
      </c>
      <c r="CW485" s="15">
        <v>0</v>
      </c>
      <c r="CX485" s="15">
        <v>0</v>
      </c>
      <c r="CY485" s="15">
        <v>0</v>
      </c>
      <c r="CZ485" s="15">
        <v>0</v>
      </c>
      <c r="DA485" s="15">
        <v>0</v>
      </c>
      <c r="DB485" s="15">
        <v>0</v>
      </c>
      <c r="DC485" s="15">
        <v>0</v>
      </c>
      <c r="DD485" s="15">
        <v>0</v>
      </c>
      <c r="DE485" s="15">
        <v>0</v>
      </c>
      <c r="DF485" s="15">
        <v>0</v>
      </c>
      <c r="DG485" s="15">
        <v>0</v>
      </c>
      <c r="DH485" s="15">
        <v>0</v>
      </c>
      <c r="DI485" s="15">
        <v>0</v>
      </c>
      <c r="DJ485" s="15">
        <v>0</v>
      </c>
      <c r="DK485" s="15">
        <v>0</v>
      </c>
      <c r="DL485" s="15">
        <v>0</v>
      </c>
      <c r="DM485" s="15">
        <v>0</v>
      </c>
      <c r="DN485" s="15">
        <v>0</v>
      </c>
      <c r="DO485" s="15">
        <v>0</v>
      </c>
      <c r="DP485" s="15">
        <v>0</v>
      </c>
      <c r="DQ485" s="15">
        <v>0</v>
      </c>
      <c r="DR485" s="15">
        <v>0</v>
      </c>
      <c r="DS485" s="15">
        <v>0</v>
      </c>
      <c r="DT485" s="15">
        <v>0</v>
      </c>
      <c r="DU485" s="15">
        <v>0</v>
      </c>
      <c r="DV485" s="15">
        <v>0</v>
      </c>
      <c r="DW485" s="15">
        <v>0</v>
      </c>
      <c r="DX485" s="15">
        <v>0</v>
      </c>
      <c r="DY485" s="15">
        <v>0</v>
      </c>
      <c r="DZ485" s="15">
        <v>0</v>
      </c>
      <c r="EA485" s="15">
        <v>0</v>
      </c>
      <c r="EB485" s="15">
        <v>0</v>
      </c>
      <c r="EC485" s="15">
        <v>0</v>
      </c>
      <c r="ED485" s="15">
        <v>0</v>
      </c>
      <c r="EE485" s="15">
        <v>0</v>
      </c>
      <c r="EF485" s="15">
        <v>0</v>
      </c>
    </row>
    <row r="486" spans="1:136" ht="15" customHeight="1" x14ac:dyDescent="0.35">
      <c r="A486" s="8" t="s">
        <v>12</v>
      </c>
      <c r="B486" s="8" t="s">
        <v>25</v>
      </c>
      <c r="C486" s="8" t="s">
        <v>25</v>
      </c>
      <c r="D486" s="8" t="s">
        <v>319</v>
      </c>
      <c r="E486" s="8" t="s">
        <v>16</v>
      </c>
      <c r="F486" s="8" t="s">
        <v>107</v>
      </c>
      <c r="G486" s="15">
        <v>0</v>
      </c>
      <c r="H486" s="15">
        <v>0</v>
      </c>
      <c r="I486" s="15">
        <v>65.599999999999994</v>
      </c>
      <c r="J486" s="15">
        <v>-65.599999999999994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15">
        <v>0</v>
      </c>
      <c r="AR486" s="15">
        <v>1</v>
      </c>
      <c r="AS486" s="15">
        <v>0</v>
      </c>
      <c r="AT486" s="15">
        <v>0</v>
      </c>
      <c r="AU486" s="15">
        <v>0</v>
      </c>
      <c r="AV486" s="15">
        <v>0</v>
      </c>
      <c r="AW486" s="15">
        <v>0</v>
      </c>
      <c r="AX486" s="15">
        <v>0</v>
      </c>
      <c r="AY486" s="15">
        <v>0</v>
      </c>
      <c r="AZ486" s="15">
        <v>0</v>
      </c>
      <c r="BA486" s="15">
        <v>0</v>
      </c>
      <c r="BB486" s="15">
        <v>0</v>
      </c>
      <c r="BC486" s="15">
        <v>0</v>
      </c>
      <c r="BD486" s="15">
        <v>0</v>
      </c>
      <c r="BE486" s="15">
        <v>0</v>
      </c>
      <c r="BF486" s="15">
        <v>0</v>
      </c>
      <c r="BG486" s="15">
        <v>0</v>
      </c>
      <c r="BH486" s="15">
        <v>0</v>
      </c>
      <c r="BI486" s="15">
        <v>0</v>
      </c>
      <c r="BJ486" s="15">
        <v>0</v>
      </c>
      <c r="BK486" s="15">
        <v>0</v>
      </c>
      <c r="BL486" s="15">
        <v>0</v>
      </c>
      <c r="BM486" s="15">
        <v>0</v>
      </c>
      <c r="BN486" s="15">
        <v>0</v>
      </c>
      <c r="BO486" s="15">
        <v>0</v>
      </c>
      <c r="BP486" s="15">
        <v>0</v>
      </c>
      <c r="BQ486" s="15">
        <v>0</v>
      </c>
      <c r="BR486" s="15">
        <v>0</v>
      </c>
      <c r="BS486" s="15">
        <v>0</v>
      </c>
      <c r="BT486" s="15">
        <v>0</v>
      </c>
      <c r="BU486" s="15">
        <v>0</v>
      </c>
      <c r="BV486" s="15">
        <v>0</v>
      </c>
      <c r="BW486" s="15">
        <v>0</v>
      </c>
      <c r="BX486" s="15">
        <v>0</v>
      </c>
      <c r="BY486" s="15">
        <v>0</v>
      </c>
      <c r="BZ486" s="15">
        <v>0</v>
      </c>
      <c r="CA486" s="15">
        <v>0</v>
      </c>
      <c r="CB486" s="15">
        <v>0</v>
      </c>
      <c r="CC486" s="15">
        <v>0</v>
      </c>
      <c r="CD486" s="15">
        <v>0</v>
      </c>
      <c r="CE486" s="15">
        <v>0</v>
      </c>
      <c r="CF486" s="15">
        <v>0</v>
      </c>
      <c r="CG486" s="15">
        <v>0</v>
      </c>
      <c r="CH486" s="15">
        <v>0</v>
      </c>
      <c r="CI486" s="15">
        <v>0</v>
      </c>
      <c r="CJ486" s="15">
        <v>0</v>
      </c>
      <c r="CK486" s="15">
        <v>0</v>
      </c>
      <c r="CL486" s="15">
        <v>0</v>
      </c>
      <c r="CM486" s="15">
        <v>0</v>
      </c>
      <c r="CN486" s="15">
        <v>0</v>
      </c>
      <c r="CO486" s="15">
        <v>0</v>
      </c>
      <c r="CP486" s="15">
        <v>0</v>
      </c>
      <c r="CQ486" s="15">
        <v>0</v>
      </c>
      <c r="CR486" s="15">
        <v>0</v>
      </c>
      <c r="CS486" s="15">
        <v>4</v>
      </c>
      <c r="CT486" s="15">
        <v>4</v>
      </c>
      <c r="CU486" s="15">
        <v>2</v>
      </c>
      <c r="CV486" s="15">
        <v>1</v>
      </c>
      <c r="CW486" s="15">
        <v>1</v>
      </c>
      <c r="CX486" s="15">
        <v>0.7</v>
      </c>
      <c r="CY486" s="15">
        <v>0.1</v>
      </c>
      <c r="CZ486" s="15">
        <v>0</v>
      </c>
      <c r="DA486" s="15">
        <v>0.1</v>
      </c>
      <c r="DB486" s="15">
        <v>0.1</v>
      </c>
      <c r="DC486" s="15">
        <v>0</v>
      </c>
      <c r="DD486" s="15">
        <v>0</v>
      </c>
      <c r="DE486" s="15">
        <v>0</v>
      </c>
      <c r="DF486" s="15">
        <v>7</v>
      </c>
      <c r="DG486" s="15">
        <v>7</v>
      </c>
      <c r="DH486" s="15">
        <v>7</v>
      </c>
      <c r="DI486" s="15">
        <v>0</v>
      </c>
      <c r="DJ486" s="15">
        <v>0</v>
      </c>
      <c r="DK486" s="15">
        <v>4.0999999999999996</v>
      </c>
      <c r="DL486" s="15">
        <v>0.1</v>
      </c>
      <c r="DM486" s="15">
        <v>0</v>
      </c>
      <c r="DN486" s="15">
        <v>0</v>
      </c>
      <c r="DO486" s="15">
        <v>0</v>
      </c>
      <c r="DP486" s="15">
        <v>0</v>
      </c>
      <c r="DQ486" s="15">
        <v>0</v>
      </c>
      <c r="DR486" s="15">
        <v>0.7</v>
      </c>
      <c r="DS486" s="15">
        <v>2.2000000000000002</v>
      </c>
      <c r="DT486" s="15">
        <v>3.1</v>
      </c>
      <c r="DU486" s="15">
        <v>4</v>
      </c>
      <c r="DV486" s="15">
        <v>5.0999999999999996</v>
      </c>
      <c r="DW486" s="15">
        <v>5.6</v>
      </c>
      <c r="DX486" s="15">
        <v>3.9</v>
      </c>
      <c r="DY486" s="15">
        <v>1.8</v>
      </c>
      <c r="DZ486" s="15">
        <v>0</v>
      </c>
      <c r="EA486" s="15">
        <v>0</v>
      </c>
      <c r="EB486" s="15">
        <v>0</v>
      </c>
      <c r="EC486" s="15">
        <v>0</v>
      </c>
      <c r="ED486" s="15">
        <v>0</v>
      </c>
      <c r="EE486" s="15">
        <v>0</v>
      </c>
      <c r="EF486" s="1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Staffing Detail</vt:lpstr>
      <vt:lpstr>Proposed Hours</vt:lpstr>
      <vt:lpstr>Movement Log</vt:lpstr>
      <vt:lpstr>Retained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Sofía Daniela Rodriguez (AC Buenos Aires)</cp:lastModifiedBy>
  <dcterms:modified xsi:type="dcterms:W3CDTF">2026-09-03T23:44:00Z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2026-09-03T22:55:03Z</dcterms:created>
  <dc:creator>openpyxl</dc:creator>
  <dc:description/>
  <dc:language>en-US</dc:language>
  <cp:lastModifiedBy/>
  <dcterms:modified xsi:type="dcterms:W3CDTF">2026-09-03T23:41:58Z</dcterms:modified>
  <cp:revision>0</cp:revision>
  <dc:subject/>
  <dc:title/>
</cp:coreProperties>
</file>